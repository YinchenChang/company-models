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" sheetId="2" state="visible" r:id="rId4"/>
    <sheet name="In" sheetId="3" state="visible" r:id="rId5"/>
    <sheet name="Units" sheetId="4" state="visible" r:id="rId6"/>
    <sheet name="ShareTbl" sheetId="5" state="visible" r:id="rId7"/>
    <sheet name="Deploy" sheetId="6" state="visible" r:id="rId8"/>
    <sheet name="ABF" sheetId="7" state="visible" r:id="rId9"/>
    <sheet name="PGW" sheetId="8" state="visible" r:id="rId10"/>
    <sheet name="Rack" sheetId="9" state="visible" r:id="rId11"/>
    <sheet name="Path" sheetId="10" state="visible" r:id="rId12"/>
    <sheet name="Mkt" sheetId="11" state="visible" r:id="rId13"/>
    <sheet name="TK_In" sheetId="12" state="visible" r:id="rId14"/>
    <sheet name="Conflicts" sheetId="13" state="visible" r:id="rId15"/>
    <sheet name="Interface" sheetId="14" state="visible" r:id="rId16"/>
    <sheet name="Checks" sheetId="15" state="visible" r:id="rId17"/>
    <sheet name="Decisions" sheetId="16" state="visible" r:id="rId18"/>
    <sheet name="DB_Evidence" sheetId="17" state="visible" r:id="rId19"/>
  </sheets>
  <definedNames>
    <definedName function="false" hidden="false" name="abfcap_ib_27" vbProcedure="false">In!$E$388</definedName>
    <definedName function="false" hidden="false" name="abfcap_ib_27_hi" vbProcedure="false">In!$F$388</definedName>
    <definedName function="false" hidden="false" name="abfcap_ib_27_lo" vbProcedure="false">In!$D$388</definedName>
    <definedName function="false" hidden="false" name="abfcap_ib_28" vbProcedure="false">In!$E$389</definedName>
    <definedName function="false" hidden="false" name="abfcap_ib_28_hi" vbProcedure="false">In!$F$389</definedName>
    <definedName function="false" hidden="false" name="abfcap_ib_28_lo" vbProcedure="false">In!$D$389</definedName>
    <definedName function="false" hidden="false" name="abfcap_ib_29" vbProcedure="false">In!$E$390</definedName>
    <definedName function="false" hidden="false" name="abfcap_ib_29_hi" vbProcedure="false">In!$F$390</definedName>
    <definedName function="false" hidden="false" name="abfcap_ib_29_lo" vbProcedure="false">In!$D$390</definedName>
    <definedName function="false" hidden="false" name="abfcap_ks_27" vbProcedure="false">In!$E$397</definedName>
    <definedName function="false" hidden="false" name="abfcap_ks_27_hi" vbProcedure="false">In!$F$397</definedName>
    <definedName function="false" hidden="false" name="abfcap_ks_27_lo" vbProcedure="false">In!$D$397</definedName>
    <definedName function="false" hidden="false" name="abfcap_ks_28" vbProcedure="false">In!$E$398</definedName>
    <definedName function="false" hidden="false" name="abfcap_ks_28_hi" vbProcedure="false">In!$F$398</definedName>
    <definedName function="false" hidden="false" name="abfcap_ks_28_lo" vbProcedure="false">In!$D$398</definedName>
    <definedName function="false" hidden="false" name="abfcap_ks_29" vbProcedure="false">In!$E$399</definedName>
    <definedName function="false" hidden="false" name="abfcap_ks_29_hi" vbProcedure="false">In!$F$399</definedName>
    <definedName function="false" hidden="false" name="abfcap_ks_29_lo" vbProcedure="false">In!$D$399</definedName>
    <definedName function="false" hidden="false" name="abfcap_np_27" vbProcedure="false">In!$E$394</definedName>
    <definedName function="false" hidden="false" name="abfcap_np_27_hi" vbProcedure="false">In!$F$394</definedName>
    <definedName function="false" hidden="false" name="abfcap_np_27_lo" vbProcedure="false">In!$D$394</definedName>
    <definedName function="false" hidden="false" name="abfcap_np_28" vbProcedure="false">In!$E$395</definedName>
    <definedName function="false" hidden="false" name="abfcap_np_28_hi" vbProcedure="false">In!$F$395</definedName>
    <definedName function="false" hidden="false" name="abfcap_np_28_lo" vbProcedure="false">In!$D$395</definedName>
    <definedName function="false" hidden="false" name="abfcap_np_29" vbProcedure="false">In!$E$396</definedName>
    <definedName function="false" hidden="false" name="abfcap_np_29_hi" vbProcedure="false">In!$F$396</definedName>
    <definedName function="false" hidden="false" name="abfcap_np_29_lo" vbProcedure="false">In!$D$396</definedName>
    <definedName function="false" hidden="false" name="abfcap_oth_27" vbProcedure="false">In!$E$400</definedName>
    <definedName function="false" hidden="false" name="abfcap_oth_27_hi" vbProcedure="false">In!$F$400</definedName>
    <definedName function="false" hidden="false" name="abfcap_oth_27_lo" vbProcedure="false">In!$D$400</definedName>
    <definedName function="false" hidden="false" name="abfcap_oth_28" vbProcedure="false">In!$E$401</definedName>
    <definedName function="false" hidden="false" name="abfcap_oth_28_hi" vbProcedure="false">In!$F$401</definedName>
    <definedName function="false" hidden="false" name="abfcap_oth_28_lo" vbProcedure="false">In!$D$401</definedName>
    <definedName function="false" hidden="false" name="abfcap_oth_29" vbProcedure="false">In!$E$402</definedName>
    <definedName function="false" hidden="false" name="abfcap_oth_29_hi" vbProcedure="false">In!$F$402</definedName>
    <definedName function="false" hidden="false" name="abfcap_oth_29_lo" vbProcedure="false">In!$D$402</definedName>
    <definedName function="false" hidden="false" name="abfcap_un_27" vbProcedure="false">In!$E$391</definedName>
    <definedName function="false" hidden="false" name="abfcap_un_27_hi" vbProcedure="false">In!$F$391</definedName>
    <definedName function="false" hidden="false" name="abfcap_un_27_lo" vbProcedure="false">In!$D$391</definedName>
    <definedName function="false" hidden="false" name="abfcap_un_28" vbProcedure="false">In!$E$392</definedName>
    <definedName function="false" hidden="false" name="abfcap_un_28_hi" vbProcedure="false">In!$F$392</definedName>
    <definedName function="false" hidden="false" name="abfcap_un_28_lo" vbProcedure="false">In!$D$392</definedName>
    <definedName function="false" hidden="false" name="abfcap_un_29" vbProcedure="false">In!$E$393</definedName>
    <definedName function="false" hidden="false" name="abfcap_un_29_hi" vbProcedure="false">In!$F$393</definedName>
    <definedName function="false" hidden="false" name="abfcap_un_29_lo" vbProcedure="false">In!$D$393</definedName>
    <definedName function="false" hidden="false" name="abffilm_27" vbProcedure="false">In!$E$403</definedName>
    <definedName function="false" hidden="false" name="abffilm_27_hi" vbProcedure="false">In!$F$403</definedName>
    <definedName function="false" hidden="false" name="abffilm_27_lo" vbProcedure="false">In!$D$403</definedName>
    <definedName function="false" hidden="false" name="abffilm_28" vbProcedure="false">In!$E$404</definedName>
    <definedName function="false" hidden="false" name="abffilm_28_hi" vbProcedure="false">In!$F$404</definedName>
    <definedName function="false" hidden="false" name="abffilm_28_lo" vbProcedure="false">In!$D$404</definedName>
    <definedName function="false" hidden="false" name="abffilm_29" vbProcedure="false">In!$E$405</definedName>
    <definedName function="false" hidden="false" name="abffilm_29_hi" vbProcedure="false">In!$F$405</definedName>
    <definedName function="false" hidden="false" name="abffilm_29_lo" vbProcedure="false">In!$D$405</definedName>
    <definedName function="false" hidden="false" name="abfm_25" vbProcedure="false">In!$E$378</definedName>
    <definedName function="false" hidden="false" name="abfm_g26" vbProcedure="false">In!$E$379</definedName>
    <definedName function="false" hidden="false" name="abfm_g26_hi" vbProcedure="false">In!$F$379</definedName>
    <definedName function="false" hidden="false" name="abfm_g26_lo" vbProcedure="false">In!$D$379</definedName>
    <definedName function="false" hidden="false" name="abfrev_ib26" vbProcedure="false">In!$E$384</definedName>
    <definedName function="false" hidden="false" name="abfrev_ib26_hi" vbProcedure="false">In!$F$384</definedName>
    <definedName function="false" hidden="false" name="abfrev_ib26_lo" vbProcedure="false">In!$D$384</definedName>
    <definedName function="false" hidden="false" name="abfrev_ks26" vbProcedure="false">In!$E$387</definedName>
    <definedName function="false" hidden="false" name="abfrev_np26" vbProcedure="false">In!$E$386</definedName>
    <definedName function="false" hidden="false" name="abfrev_un26" vbProcedure="false">In!$E$385</definedName>
    <definedName function="false" hidden="false" name="abf_accsh26" vbProcedure="false">In!$E$381</definedName>
    <definedName function="false" hidden="false" name="abf_accsh26_hi" vbProcedure="false">In!$F$381</definedName>
    <definedName function="false" hidden="false" name="abf_accsh26_lo" vbProcedure="false">In!$D$381</definedName>
    <definedName function="false" hidden="false" name="abf_ai26" vbProcedure="false">In!$E$380</definedName>
    <definedName function="false" hidden="false" name="abf_ai26_hi" vbProcedure="false">In!$F$380</definedName>
    <definedName function="false" hidden="false" name="abf_ai26_lo" vbProcedure="false">In!$D$380</definedName>
    <definedName function="false" hidden="false" name="abf_gap_26" vbProcedure="false">In!$E$353</definedName>
    <definedName function="false" hidden="false" name="abf_gap_26_hi" vbProcedure="false">In!$F$353</definedName>
    <definedName function="false" hidden="false" name="abf_gap_26_lo" vbProcedure="false">In!$D$353</definedName>
    <definedName function="false" hidden="false" name="abf_gap_27" vbProcedure="false">In!$E$354</definedName>
    <definedName function="false" hidden="false" name="abf_gap_27_hi" vbProcedure="false">In!$F$354</definedName>
    <definedName function="false" hidden="false" name="abf_gap_27_lo" vbProcedure="false">In!$D$354</definedName>
    <definedName function="false" hidden="false" name="abf_gap_28" vbProcedure="false">In!$E$355</definedName>
    <definedName function="false" hidden="false" name="abf_gap_28_hi" vbProcedure="false">In!$F$355</definedName>
    <definedName function="false" hidden="false" name="abf_gap_28_lo" vbProcedure="false">In!$D$355</definedName>
    <definedName function="false" hidden="false" name="abf_gasp" vbProcedure="false">In!$E$325</definedName>
    <definedName function="false" hidden="false" name="abf_gasp_hi" vbProcedure="false">In!$F$325</definedName>
    <definedName function="false" hidden="false" name="abf_gasp_lo" vbProcedure="false">In!$D$325</definedName>
    <definedName function="false" hidden="false" name="abf_gnai" vbProcedure="false">In!$E$383</definedName>
    <definedName function="false" hidden="false" name="abf_gnai_hi" vbProcedure="false">In!$F$383</definedName>
    <definedName function="false" hidden="false" name="abf_gnai_lo" vbProcedure="false">In!$D$383</definedName>
    <definedName function="false" hidden="false" name="abf_ibrel_27" vbProcedure="false">In!$E$320</definedName>
    <definedName function="false" hidden="false" name="abf_ibrel_27_hi" vbProcedure="false">In!$F$320</definedName>
    <definedName function="false" hidden="false" name="abf_ibrel_27_lo" vbProcedure="false">In!$D$320</definedName>
    <definedName function="false" hidden="false" name="abf_ibrel_28" vbProcedure="false">In!$E$321</definedName>
    <definedName function="false" hidden="false" name="abf_ibrel_28_hi" vbProcedure="false">In!$F$321</definedName>
    <definedName function="false" hidden="false" name="abf_ibrel_28_lo" vbProcedure="false">In!$D$321</definedName>
    <definedName function="false" hidden="false" name="abf_ibrel_29" vbProcedure="false">In!$E$322</definedName>
    <definedName function="false" hidden="false" name="abf_ibrel_29_hi" vbProcedure="false">In!$F$322</definedName>
    <definedName function="false" hidden="false" name="abf_ibrel_29_lo" vbProcedure="false">In!$D$322</definedName>
    <definedName function="false" hidden="false" name="abf_ibsh26" vbProcedure="false">In!$E$319</definedName>
    <definedName function="false" hidden="false" name="abf_ibsh26_hi" vbProcedure="false">In!$F$319</definedName>
    <definedName function="false" hidden="false" name="abf_ibsh26_lo" vbProcedure="false">In!$D$319</definedName>
    <definedName function="false" hidden="false" name="abf_ks_nv_26" vbProcedure="false">In!$E$345</definedName>
    <definedName function="false" hidden="false" name="abf_ks_nv_26_hi" vbProcedure="false">In!$F$345</definedName>
    <definedName function="false" hidden="false" name="abf_ks_nv_26_lo" vbProcedure="false">In!$D$345</definedName>
    <definedName function="false" hidden="false" name="abf_ks_nv_27" vbProcedure="false">In!$E$346</definedName>
    <definedName function="false" hidden="false" name="abf_ks_nv_27_hi" vbProcedure="false">In!$F$346</definedName>
    <definedName function="false" hidden="false" name="abf_ks_nv_27_lo" vbProcedure="false">In!$D$346</definedName>
    <definedName function="false" hidden="false" name="abf_ks_nv_28" vbProcedure="false">In!$E$347</definedName>
    <definedName function="false" hidden="false" name="abf_ks_nv_28_hi" vbProcedure="false">In!$F$347</definedName>
    <definedName function="false" hidden="false" name="abf_ks_nv_28_lo" vbProcedure="false">In!$D$347</definedName>
    <definedName function="false" hidden="false" name="abf_ks_nv_29" vbProcedure="false">In!$E$348</definedName>
    <definedName function="false" hidden="false" name="abf_ks_nv_29_hi" vbProcedure="false">In!$F$348</definedName>
    <definedName function="false" hidden="false" name="abf_ks_nv_29_lo" vbProcedure="false">In!$D$348</definedName>
    <definedName function="false" hidden="false" name="abf_ks_ot_26" vbProcedure="false">In!$E$349</definedName>
    <definedName function="false" hidden="false" name="abf_ks_ot_26_hi" vbProcedure="false">In!$F$349</definedName>
    <definedName function="false" hidden="false" name="abf_ks_ot_26_lo" vbProcedure="false">In!$D$349</definedName>
    <definedName function="false" hidden="false" name="abf_ks_ot_27" vbProcedure="false">In!$E$350</definedName>
    <definedName function="false" hidden="false" name="abf_ks_ot_27_hi" vbProcedure="false">In!$F$350</definedName>
    <definedName function="false" hidden="false" name="abf_ks_ot_27_lo" vbProcedure="false">In!$D$350</definedName>
    <definedName function="false" hidden="false" name="abf_ks_ot_28" vbProcedure="false">In!$E$351</definedName>
    <definedName function="false" hidden="false" name="abf_ks_ot_28_hi" vbProcedure="false">In!$F$351</definedName>
    <definedName function="false" hidden="false" name="abf_ks_ot_28_lo" vbProcedure="false">In!$D$351</definedName>
    <definedName function="false" hidden="false" name="abf_ks_ot_29" vbProcedure="false">In!$E$352</definedName>
    <definedName function="false" hidden="false" name="abf_ks_ot_29_hi" vbProcedure="false">In!$F$352</definedName>
    <definedName function="false" hidden="false" name="abf_ks_ot_29_lo" vbProcedure="false">In!$D$352</definedName>
    <definedName function="false" hidden="false" name="abf_np_nv_26" vbProcedure="false">In!$E$337</definedName>
    <definedName function="false" hidden="false" name="abf_np_nv_26_hi" vbProcedure="false">In!$F$337</definedName>
    <definedName function="false" hidden="false" name="abf_np_nv_26_lo" vbProcedure="false">In!$D$337</definedName>
    <definedName function="false" hidden="false" name="abf_np_nv_27" vbProcedure="false">In!$E$338</definedName>
    <definedName function="false" hidden="false" name="abf_np_nv_27_hi" vbProcedure="false">In!$F$338</definedName>
    <definedName function="false" hidden="false" name="abf_np_nv_27_lo" vbProcedure="false">In!$D$338</definedName>
    <definedName function="false" hidden="false" name="abf_np_nv_28" vbProcedure="false">In!$E$339</definedName>
    <definedName function="false" hidden="false" name="abf_np_nv_28_hi" vbProcedure="false">In!$F$339</definedName>
    <definedName function="false" hidden="false" name="abf_np_nv_28_lo" vbProcedure="false">In!$D$339</definedName>
    <definedName function="false" hidden="false" name="abf_np_nv_29" vbProcedure="false">In!$E$340</definedName>
    <definedName function="false" hidden="false" name="abf_np_nv_29_hi" vbProcedure="false">In!$F$340</definedName>
    <definedName function="false" hidden="false" name="abf_np_nv_29_lo" vbProcedure="false">In!$D$340</definedName>
    <definedName function="false" hidden="false" name="abf_np_ot_26" vbProcedure="false">In!$E$341</definedName>
    <definedName function="false" hidden="false" name="abf_np_ot_26_hi" vbProcedure="false">In!$F$341</definedName>
    <definedName function="false" hidden="false" name="abf_np_ot_26_lo" vbProcedure="false">In!$D$341</definedName>
    <definedName function="false" hidden="false" name="abf_np_ot_27" vbProcedure="false">In!$E$342</definedName>
    <definedName function="false" hidden="false" name="abf_np_ot_27_hi" vbProcedure="false">In!$F$342</definedName>
    <definedName function="false" hidden="false" name="abf_np_ot_27_lo" vbProcedure="false">In!$D$342</definedName>
    <definedName function="false" hidden="false" name="abf_np_ot_28" vbProcedure="false">In!$E$343</definedName>
    <definedName function="false" hidden="false" name="abf_np_ot_28_hi" vbProcedure="false">In!$F$343</definedName>
    <definedName function="false" hidden="false" name="abf_np_ot_28_lo" vbProcedure="false">In!$D$343</definedName>
    <definedName function="false" hidden="false" name="abf_np_ot_29" vbProcedure="false">In!$E$344</definedName>
    <definedName function="false" hidden="false" name="abf_np_ot_29_hi" vbProcedure="false">In!$F$344</definedName>
    <definedName function="false" hidden="false" name="abf_np_ot_29_lo" vbProcedure="false">In!$D$344</definedName>
    <definedName function="false" hidden="false" name="abf_oai_el" vbProcedure="false">In!$E$382</definedName>
    <definedName function="false" hidden="false" name="abf_oai_el_hi" vbProcedure="false">In!$F$382</definedName>
    <definedName function="false" hidden="false" name="abf_oai_el_lo" vbProcedure="false">In!$D$382</definedName>
    <definedName function="false" hidden="false" name="abf_pp_27" vbProcedure="false">In!$E$326</definedName>
    <definedName function="false" hidden="false" name="abf_pp_27_hi" vbProcedure="false">In!$F$326</definedName>
    <definedName function="false" hidden="false" name="abf_pp_27_lo" vbProcedure="false">In!$D$326</definedName>
    <definedName function="false" hidden="false" name="abf_pp_28" vbProcedure="false">In!$E$327</definedName>
    <definedName function="false" hidden="false" name="abf_pp_28_hi" vbProcedure="false">In!$F$327</definedName>
    <definedName function="false" hidden="false" name="abf_pp_28_lo" vbProcedure="false">In!$D$327</definedName>
    <definedName function="false" hidden="false" name="abf_pp_29" vbProcedure="false">In!$E$328</definedName>
    <definedName function="false" hidden="false" name="abf_pp_29_hi" vbProcedure="false">In!$F$328</definedName>
    <definedName function="false" hidden="false" name="abf_pp_29_lo" vbProcedure="false">In!$D$328</definedName>
    <definedName function="false" hidden="false" name="abf_un_nv_26" vbProcedure="false">In!$E$329</definedName>
    <definedName function="false" hidden="false" name="abf_un_nv_26_hi" vbProcedure="false">In!$F$329</definedName>
    <definedName function="false" hidden="false" name="abf_un_nv_26_lo" vbProcedure="false">In!$D$329</definedName>
    <definedName function="false" hidden="false" name="abf_un_nv_27" vbProcedure="false">In!$E$330</definedName>
    <definedName function="false" hidden="false" name="abf_un_nv_27_hi" vbProcedure="false">In!$F$330</definedName>
    <definedName function="false" hidden="false" name="abf_un_nv_27_lo" vbProcedure="false">In!$D$330</definedName>
    <definedName function="false" hidden="false" name="abf_un_nv_28" vbProcedure="false">In!$E$331</definedName>
    <definedName function="false" hidden="false" name="abf_un_nv_28_hi" vbProcedure="false">In!$F$331</definedName>
    <definedName function="false" hidden="false" name="abf_un_nv_28_lo" vbProcedure="false">In!$D$331</definedName>
    <definedName function="false" hidden="false" name="abf_un_nv_29" vbProcedure="false">In!$E$332</definedName>
    <definedName function="false" hidden="false" name="abf_un_nv_29_hi" vbProcedure="false">In!$F$332</definedName>
    <definedName function="false" hidden="false" name="abf_un_nv_29_lo" vbProcedure="false">In!$D$332</definedName>
    <definedName function="false" hidden="false" name="abf_un_ot_26" vbProcedure="false">In!$E$333</definedName>
    <definedName function="false" hidden="false" name="abf_un_ot_26_hi" vbProcedure="false">In!$F$333</definedName>
    <definedName function="false" hidden="false" name="abf_un_ot_26_lo" vbProcedure="false">In!$D$333</definedName>
    <definedName function="false" hidden="false" name="abf_un_ot_27" vbProcedure="false">In!$E$334</definedName>
    <definedName function="false" hidden="false" name="abf_un_ot_27_hi" vbProcedure="false">In!$F$334</definedName>
    <definedName function="false" hidden="false" name="abf_un_ot_27_lo" vbProcedure="false">In!$D$334</definedName>
    <definedName function="false" hidden="false" name="abf_un_ot_28" vbProcedure="false">In!$E$335</definedName>
    <definedName function="false" hidden="false" name="abf_un_ot_28_hi" vbProcedure="false">In!$F$335</definedName>
    <definedName function="false" hidden="false" name="abf_un_ot_28_lo" vbProcedure="false">In!$D$335</definedName>
    <definedName function="false" hidden="false" name="abf_un_ot_29" vbProcedure="false">In!$E$336</definedName>
    <definedName function="false" hidden="false" name="abf_un_ot_29_hi" vbProcedure="false">In!$F$336</definedName>
    <definedName function="false" hidden="false" name="abf_un_ot_29_lo" vbProcedure="false">In!$D$336</definedName>
    <definedName function="false" hidden="false" name="abf_vot" vbProcedure="false">In!$E$324</definedName>
    <definedName function="false" hidden="false" name="abf_vot_hi" vbProcedure="false">In!$F$324</definedName>
    <definedName function="false" hidden="false" name="abf_vot_lo" vbProcedure="false">In!$D$324</definedName>
    <definedName function="false" hidden="false" name="abf_wot_ib" vbProcedure="false">In!$E$323</definedName>
    <definedName function="false" hidden="false" name="abf_wot_ib_hi" vbProcedure="false">In!$F$323</definedName>
    <definedName function="false" hidden="false" name="abf_wot_ib_lo" vbProcedure="false">In!$D$323</definedName>
    <definedName function="false" hidden="false" name="al27_A" vbProcedure="false">In!$E$211</definedName>
    <definedName function="false" hidden="false" name="al27_A_hi" vbProcedure="false">In!$F$211</definedName>
    <definedName function="false" hidden="false" name="al27_A_lo" vbProcedure="false">In!$D$211</definedName>
    <definedName function="false" hidden="false" name="al27_B" vbProcedure="false">In!$E$212</definedName>
    <definedName function="false" hidden="false" name="al27_B_hi" vbProcedure="false">In!$F$212</definedName>
    <definedName function="false" hidden="false" name="al27_B_lo" vbProcedure="false">In!$D$212</definedName>
    <definedName function="false" hidden="false" name="al27_C" vbProcedure="false">In!$E$213</definedName>
    <definedName function="false" hidden="false" name="al27_C_hi" vbProcedure="false">In!$F$213</definedName>
    <definedName function="false" hidden="false" name="al27_C_lo" vbProcedure="false">In!$D$213</definedName>
    <definedName function="false" hidden="false" name="al28_A" vbProcedure="false">In!$E$214</definedName>
    <definedName function="false" hidden="false" name="al28_A_hi" vbProcedure="false">In!$F$214</definedName>
    <definedName function="false" hidden="false" name="al28_A_lo" vbProcedure="false">In!$D$214</definedName>
    <definedName function="false" hidden="false" name="al28_B" vbProcedure="false">In!$E$215</definedName>
    <definedName function="false" hidden="false" name="al28_B_hi" vbProcedure="false">In!$F$215</definedName>
    <definedName function="false" hidden="false" name="al28_B_lo" vbProcedure="false">In!$D$215</definedName>
    <definedName function="false" hidden="false" name="al28_C" vbProcedure="false">In!$E$216</definedName>
    <definedName function="false" hidden="false" name="al28_C_hi" vbProcedure="false">In!$F$216</definedName>
    <definedName function="false" hidden="false" name="al28_C_lo" vbProcedure="false">In!$D$216</definedName>
    <definedName function="false" hidden="false" name="al_trn_26" vbProcedure="false">In!$E$210</definedName>
    <definedName function="false" hidden="false" name="al_trn_26_hi" vbProcedure="false">In!$F$210</definedName>
    <definedName function="false" hidden="false" name="al_trn_26_lo" vbProcedure="false">In!$D$210</definedName>
    <definedName function="false" hidden="false" name="asm_odm_gb" vbProcedure="false">In!$E$449</definedName>
    <definedName function="false" hidden="false" name="asm_odm_gb_hi" vbProcedure="false">In!$F$449</definedName>
    <definedName function="false" hidden="false" name="asm_odm_gb_lo" vbProcedure="false">In!$D$449</definedName>
    <definedName function="false" hidden="false" name="asm_odm_vr" vbProcedure="false">In!$E$450</definedName>
    <definedName function="false" hidden="false" name="asm_odm_vr_hi" vbProcedure="false">In!$F$450</definedName>
    <definedName function="false" hidden="false" name="asm_odm_vr_lo" vbProcedure="false">In!$D$450</definedName>
    <definedName function="false" hidden="false" name="asm_wyai_26" vbProcedure="false">In!$E$451</definedName>
    <definedName function="false" hidden="false" name="asm_wyai_26_hi" vbProcedure="false">In!$F$451</definedName>
    <definedName function="false" hidden="false" name="asm_wyai_26_lo" vbProcedure="false">In!$D$451</definedName>
    <definedName function="false" hidden="false" name="ccl_cmpx_27" vbProcedure="false">In!$E$422</definedName>
    <definedName function="false" hidden="false" name="ccl_cmpx_27_hi" vbProcedure="false">In!$F$422</definedName>
    <definedName function="false" hidden="false" name="ccl_cmpx_27_lo" vbProcedure="false">In!$D$422</definedName>
    <definedName function="false" hidden="false" name="ccl_cmpx_28" vbProcedure="false">In!$E$423</definedName>
    <definedName function="false" hidden="false" name="ccl_cmpx_28_hi" vbProcedure="false">In!$F$423</definedName>
    <definedName function="false" hidden="false" name="ccl_cmpx_28_lo" vbProcedure="false">In!$D$423</definedName>
    <definedName function="false" hidden="false" name="ccl_cmpx_29" vbProcedure="false">In!$E$424</definedName>
    <definedName function="false" hidden="false" name="ccl_cmpx_29_hi" vbProcedure="false">In!$F$424</definedName>
    <definedName function="false" hidden="false" name="ccl_cmpx_29_lo" vbProcedure="false">In!$D$424</definedName>
    <definedName function="false" hidden="false" name="ccl_cmp_26" vbProcedure="false">In!$E$419</definedName>
    <definedName function="false" hidden="false" name="ccl_cmp_26_hi" vbProcedure="false">In!$F$419</definedName>
    <definedName function="false" hidden="false" name="ccl_cmp_26_lo" vbProcedure="false">In!$D$419</definedName>
    <definedName function="false" hidden="false" name="ccl_swx_27" vbProcedure="false">In!$E$425</definedName>
    <definedName function="false" hidden="false" name="ccl_swx_27_hi" vbProcedure="false">In!$F$425</definedName>
    <definedName function="false" hidden="false" name="ccl_swx_27_lo" vbProcedure="false">In!$D$425</definedName>
    <definedName function="false" hidden="false" name="ccl_swx_28" vbProcedure="false">In!$E$426</definedName>
    <definedName function="false" hidden="false" name="ccl_swx_28_hi" vbProcedure="false">In!$F$426</definedName>
    <definedName function="false" hidden="false" name="ccl_swx_28_lo" vbProcedure="false">In!$D$426</definedName>
    <definedName function="false" hidden="false" name="ccl_swx_29" vbProcedure="false">In!$E$427</definedName>
    <definedName function="false" hidden="false" name="ccl_swx_29_hi" vbProcedure="false">In!$F$427</definedName>
    <definedName function="false" hidden="false" name="ccl_swx_29_lo" vbProcedure="false">In!$D$427</definedName>
    <definedName function="false" hidden="false" name="ccl_sw_26" vbProcedure="false">In!$E$420</definedName>
    <definedName function="false" hidden="false" name="ccl_sw_26_hi" vbProcedure="false">In!$F$420</definedName>
    <definedName function="false" hidden="false" name="ccl_sw_26_lo" vbProcedure="false">In!$D$420</definedName>
    <definedName function="false" hidden="false" name="ccl_ubbx_27" vbProcedure="false">In!$E$428</definedName>
    <definedName function="false" hidden="false" name="ccl_ubbx_27_hi" vbProcedure="false">In!$F$428</definedName>
    <definedName function="false" hidden="false" name="ccl_ubbx_27_lo" vbProcedure="false">In!$D$428</definedName>
    <definedName function="false" hidden="false" name="ccl_ubbx_28" vbProcedure="false">In!$E$429</definedName>
    <definedName function="false" hidden="false" name="ccl_ubbx_28_hi" vbProcedure="false">In!$F$429</definedName>
    <definedName function="false" hidden="false" name="ccl_ubbx_28_lo" vbProcedure="false">In!$D$429</definedName>
    <definedName function="false" hidden="false" name="ccl_ubbx_29" vbProcedure="false">In!$E$430</definedName>
    <definedName function="false" hidden="false" name="ccl_ubbx_29_hi" vbProcedure="false">In!$F$430</definedName>
    <definedName function="false" hidden="false" name="ccl_ubbx_29_lo" vbProcedure="false">In!$D$430</definedName>
    <definedName function="false" hidden="false" name="ccl_ubb_26" vbProcedure="false">In!$E$421</definedName>
    <definedName function="false" hidden="false" name="ccl_ubb_26_hi" vbProcedure="false">In!$F$421</definedName>
    <definedName function="false" hidden="false" name="ccl_ubb_26_lo" vbProcedure="false">In!$D$421</definedName>
    <definedName function="false" hidden="false" name="core_oth" vbProcedure="false">In!$E$186</definedName>
    <definedName function="false" hidden="false" name="core_oth_hi" vbProcedure="false">In!$F$186</definedName>
    <definedName function="false" hidden="false" name="core_oth_lo" vbProcedure="false">In!$D$186</definedName>
    <definedName function="false" hidden="false" name="core_tpu" vbProcedure="false">In!$E$185</definedName>
    <definedName function="false" hidden="false" name="core_tpu_hi" vbProcedure="false">In!$F$185</definedName>
    <definedName function="false" hidden="false" name="core_tpu_lo" vbProcedure="false">In!$D$185</definedName>
    <definedName function="false" hidden="false" name="cposh_cohr_27" vbProcedure="false">In!$E$306</definedName>
    <definedName function="false" hidden="false" name="cposh_cohr_27_hi" vbProcedure="false">In!$F$306</definedName>
    <definedName function="false" hidden="false" name="cposh_cohr_27_lo" vbProcedure="false">In!$D$306</definedName>
    <definedName function="false" hidden="false" name="cposh_cohr_28" vbProcedure="false">In!$E$307</definedName>
    <definedName function="false" hidden="false" name="cposh_cohr_28_hi" vbProcedure="false">In!$F$307</definedName>
    <definedName function="false" hidden="false" name="cposh_cohr_28_lo" vbProcedure="false">In!$D$307</definedName>
    <definedName function="false" hidden="false" name="cposh_cohr_29" vbProcedure="false">In!$E$308</definedName>
    <definedName function="false" hidden="false" name="cposh_cohr_29_hi" vbProcedure="false">In!$F$308</definedName>
    <definedName function="false" hidden="false" name="cposh_cohr_29_lo" vbProcedure="false">In!$D$308</definedName>
    <definedName function="false" hidden="false" name="cposh_eoptolink_27" vbProcedure="false">In!$E$312</definedName>
    <definedName function="false" hidden="false" name="cposh_eoptolink_27_hi" vbProcedure="false">In!$F$312</definedName>
    <definedName function="false" hidden="false" name="cposh_eoptolink_27_lo" vbProcedure="false">In!$D$312</definedName>
    <definedName function="false" hidden="false" name="cposh_eoptolink_28" vbProcedure="false">In!$E$313</definedName>
    <definedName function="false" hidden="false" name="cposh_eoptolink_28_hi" vbProcedure="false">In!$F$313</definedName>
    <definedName function="false" hidden="false" name="cposh_eoptolink_28_lo" vbProcedure="false">In!$D$313</definedName>
    <definedName function="false" hidden="false" name="cposh_eoptolink_29" vbProcedure="false">In!$E$314</definedName>
    <definedName function="false" hidden="false" name="cposh_eoptolink_29_hi" vbProcedure="false">In!$F$314</definedName>
    <definedName function="false" hidden="false" name="cposh_eoptolink_29_lo" vbProcedure="false">In!$D$314</definedName>
    <definedName function="false" hidden="false" name="cposh_fabrinet_27" vbProcedure="false">In!$E$315</definedName>
    <definedName function="false" hidden="false" name="cposh_fabrinet_27_hi" vbProcedure="false">In!$F$315</definedName>
    <definedName function="false" hidden="false" name="cposh_fabrinet_27_lo" vbProcedure="false">In!$D$315</definedName>
    <definedName function="false" hidden="false" name="cposh_fabrinet_28" vbProcedure="false">In!$E$316</definedName>
    <definedName function="false" hidden="false" name="cposh_fabrinet_28_hi" vbProcedure="false">In!$F$316</definedName>
    <definedName function="false" hidden="false" name="cposh_fabrinet_28_lo" vbProcedure="false">In!$D$316</definedName>
    <definedName function="false" hidden="false" name="cposh_fabrinet_29" vbProcedure="false">In!$E$317</definedName>
    <definedName function="false" hidden="false" name="cposh_fabrinet_29_hi" vbProcedure="false">In!$F$317</definedName>
    <definedName function="false" hidden="false" name="cposh_fabrinet_29_lo" vbProcedure="false">In!$D$317</definedName>
    <definedName function="false" hidden="false" name="cposh_innolight_27" vbProcedure="false">In!$E$309</definedName>
    <definedName function="false" hidden="false" name="cposh_innolight_27_hi" vbProcedure="false">In!$F$309</definedName>
    <definedName function="false" hidden="false" name="cposh_innolight_27_lo" vbProcedure="false">In!$D$309</definedName>
    <definedName function="false" hidden="false" name="cposh_innolight_28" vbProcedure="false">In!$E$310</definedName>
    <definedName function="false" hidden="false" name="cposh_innolight_28_hi" vbProcedure="false">In!$F$310</definedName>
    <definedName function="false" hidden="false" name="cposh_innolight_28_lo" vbProcedure="false">In!$D$310</definedName>
    <definedName function="false" hidden="false" name="cposh_innolight_29" vbProcedure="false">In!$E$311</definedName>
    <definedName function="false" hidden="false" name="cposh_innolight_29_hi" vbProcedure="false">In!$F$311</definedName>
    <definedName function="false" hidden="false" name="cposh_innolight_29_lo" vbProcedure="false">In!$D$311</definedName>
    <definedName function="false" hidden="false" name="cposh_lite_27" vbProcedure="false">In!$E$303</definedName>
    <definedName function="false" hidden="false" name="cposh_lite_27_hi" vbProcedure="false">In!$F$303</definedName>
    <definedName function="false" hidden="false" name="cposh_lite_27_lo" vbProcedure="false">In!$D$303</definedName>
    <definedName function="false" hidden="false" name="cposh_lite_28" vbProcedure="false">In!$E$304</definedName>
    <definedName function="false" hidden="false" name="cposh_lite_28_hi" vbProcedure="false">In!$F$304</definedName>
    <definedName function="false" hidden="false" name="cposh_lite_28_lo" vbProcedure="false">In!$D$304</definedName>
    <definedName function="false" hidden="false" name="cposh_lite_29" vbProcedure="false">In!$E$305</definedName>
    <definedName function="false" hidden="false" name="cposh_lite_29_hi" vbProcedure="false">In!$F$305</definedName>
    <definedName function="false" hidden="false" name="cposh_lite_29_lo" vbProcedure="false">In!$D$305</definedName>
    <definedName function="false" hidden="false" name="cpo_A_26" vbProcedure="false">In!$E$288</definedName>
    <definedName function="false" hidden="false" name="cpo_A_26_hi" vbProcedure="false">In!$F$288</definedName>
    <definedName function="false" hidden="false" name="cpo_A_26_lo" vbProcedure="false">In!$D$288</definedName>
    <definedName function="false" hidden="false" name="cpo_A_27" vbProcedure="false">In!$E$289</definedName>
    <definedName function="false" hidden="false" name="cpo_A_27_hi" vbProcedure="false">In!$F$289</definedName>
    <definedName function="false" hidden="false" name="cpo_A_27_lo" vbProcedure="false">In!$D$289</definedName>
    <definedName function="false" hidden="false" name="cpo_A_28" vbProcedure="false">In!$E$290</definedName>
    <definedName function="false" hidden="false" name="cpo_A_28_hi" vbProcedure="false">In!$F$290</definedName>
    <definedName function="false" hidden="false" name="cpo_A_28_lo" vbProcedure="false">In!$D$290</definedName>
    <definedName function="false" hidden="false" name="cpo_A_29" vbProcedure="false">In!$E$291</definedName>
    <definedName function="false" hidden="false" name="cpo_A_29_hi" vbProcedure="false">In!$F$291</definedName>
    <definedName function="false" hidden="false" name="cpo_A_29_lo" vbProcedure="false">In!$D$291</definedName>
    <definedName function="false" hidden="false" name="cpo_B_26" vbProcedure="false">In!$E$292</definedName>
    <definedName function="false" hidden="false" name="cpo_B_26_hi" vbProcedure="false">In!$F$292</definedName>
    <definedName function="false" hidden="false" name="cpo_B_26_lo" vbProcedure="false">In!$D$292</definedName>
    <definedName function="false" hidden="false" name="cpo_B_27" vbProcedure="false">In!$E$293</definedName>
    <definedName function="false" hidden="false" name="cpo_B_27_hi" vbProcedure="false">In!$F$293</definedName>
    <definedName function="false" hidden="false" name="cpo_B_27_lo" vbProcedure="false">In!$D$293</definedName>
    <definedName function="false" hidden="false" name="cpo_B_28" vbProcedure="false">In!$E$294</definedName>
    <definedName function="false" hidden="false" name="cpo_B_28_hi" vbProcedure="false">In!$F$294</definedName>
    <definedName function="false" hidden="false" name="cpo_B_28_lo" vbProcedure="false">In!$D$294</definedName>
    <definedName function="false" hidden="false" name="cpo_B_29" vbProcedure="false">In!$E$295</definedName>
    <definedName function="false" hidden="false" name="cpo_B_29_hi" vbProcedure="false">In!$F$295</definedName>
    <definedName function="false" hidden="false" name="cpo_B_29_lo" vbProcedure="false">In!$D$295</definedName>
    <definedName function="false" hidden="false" name="cpo_C_26" vbProcedure="false">In!$E$296</definedName>
    <definedName function="false" hidden="false" name="cpo_C_26_hi" vbProcedure="false">In!$F$296</definedName>
    <definedName function="false" hidden="false" name="cpo_C_26_lo" vbProcedure="false">In!$D$296</definedName>
    <definedName function="false" hidden="false" name="cpo_C_27" vbProcedure="false">In!$E$297</definedName>
    <definedName function="false" hidden="false" name="cpo_C_27_hi" vbProcedure="false">In!$F$297</definedName>
    <definedName function="false" hidden="false" name="cpo_C_27_lo" vbProcedure="false">In!$D$297</definedName>
    <definedName function="false" hidden="false" name="cpo_C_28" vbProcedure="false">In!$E$298</definedName>
    <definedName function="false" hidden="false" name="cpo_C_28_hi" vbProcedure="false">In!$F$298</definedName>
    <definedName function="false" hidden="false" name="cpo_C_28_lo" vbProcedure="false">In!$D$298</definedName>
    <definedName function="false" hidden="false" name="cpo_C_29" vbProcedure="false">In!$E$299</definedName>
    <definedName function="false" hidden="false" name="cpo_C_29_hi" vbProcedure="false">In!$F$299</definedName>
    <definedName function="false" hidden="false" name="cpo_C_29_lo" vbProcedure="false">In!$D$299</definedName>
    <definedName function="false" hidden="false" name="cqA_10" vbProcedure="false">In!$E$15</definedName>
    <definedName function="false" hidden="false" name="cqA_11" vbProcedure="false">In!$E$16</definedName>
    <definedName function="false" hidden="false" name="cqA_12" vbProcedure="false">In!$E$17</definedName>
    <definedName function="false" hidden="false" name="cqA_13" vbProcedure="false">In!$E$18</definedName>
    <definedName function="false" hidden="false" name="cqA_14" vbProcedure="false">In!$E$19</definedName>
    <definedName function="false" hidden="false" name="cqA_15" vbProcedure="false">In!$E$20</definedName>
    <definedName function="false" hidden="false" name="cqA_16" vbProcedure="false">In!$E$21</definedName>
    <definedName function="false" hidden="false" name="cqA_17" vbProcedure="false">In!$E$22</definedName>
    <definedName function="false" hidden="false" name="cqA_18" vbProcedure="false">In!$E$23</definedName>
    <definedName function="false" hidden="false" name="cqA_19" vbProcedure="false">In!$E$24</definedName>
    <definedName function="false" hidden="false" name="cqA_8" vbProcedure="false">In!$E$13</definedName>
    <definedName function="false" hidden="false" name="cqA_9" vbProcedure="false">In!$E$14</definedName>
    <definedName function="false" hidden="false" name="cqB_10" vbProcedure="false">In!$E$27</definedName>
    <definedName function="false" hidden="false" name="cqB_11" vbProcedure="false">In!$E$28</definedName>
    <definedName function="false" hidden="false" name="cqB_12" vbProcedure="false">In!$E$29</definedName>
    <definedName function="false" hidden="false" name="cqB_13" vbProcedure="false">In!$E$30</definedName>
    <definedName function="false" hidden="false" name="cqB_14" vbProcedure="false">In!$E$31</definedName>
    <definedName function="false" hidden="false" name="cqB_15" vbProcedure="false">In!$E$32</definedName>
    <definedName function="false" hidden="false" name="cqB_16" vbProcedure="false">In!$E$33</definedName>
    <definedName function="false" hidden="false" name="cqB_17" vbProcedure="false">In!$E$34</definedName>
    <definedName function="false" hidden="false" name="cqB_18" vbProcedure="false">In!$E$35</definedName>
    <definedName function="false" hidden="false" name="cqB_19" vbProcedure="false">In!$E$36</definedName>
    <definedName function="false" hidden="false" name="cqB_8" vbProcedure="false">In!$E$25</definedName>
    <definedName function="false" hidden="false" name="cqB_9" vbProcedure="false">In!$E$26</definedName>
    <definedName function="false" hidden="false" name="cqC_10" vbProcedure="false">In!$E$39</definedName>
    <definedName function="false" hidden="false" name="cqC_10_hi" vbProcedure="false">In!$F$39</definedName>
    <definedName function="false" hidden="false" name="cqC_10_lo" vbProcedure="false">In!$D$39</definedName>
    <definedName function="false" hidden="false" name="cqC_11" vbProcedure="false">In!$E$40</definedName>
    <definedName function="false" hidden="false" name="cqC_11_hi" vbProcedure="false">In!$F$40</definedName>
    <definedName function="false" hidden="false" name="cqC_11_lo" vbProcedure="false">In!$D$40</definedName>
    <definedName function="false" hidden="false" name="cqC_12" vbProcedure="false">In!$E$41</definedName>
    <definedName function="false" hidden="false" name="cqC_12_hi" vbProcedure="false">In!$F$41</definedName>
    <definedName function="false" hidden="false" name="cqC_12_lo" vbProcedure="false">In!$D$41</definedName>
    <definedName function="false" hidden="false" name="cqC_13" vbProcedure="false">In!$E$42</definedName>
    <definedName function="false" hidden="false" name="cqC_13_hi" vbProcedure="false">In!$F$42</definedName>
    <definedName function="false" hidden="false" name="cqC_13_lo" vbProcedure="false">In!$D$42</definedName>
    <definedName function="false" hidden="false" name="cqC_14" vbProcedure="false">In!$E$43</definedName>
    <definedName function="false" hidden="false" name="cqC_14_hi" vbProcedure="false">In!$F$43</definedName>
    <definedName function="false" hidden="false" name="cqC_14_lo" vbProcedure="false">In!$D$43</definedName>
    <definedName function="false" hidden="false" name="cqC_15" vbProcedure="false">In!$E$44</definedName>
    <definedName function="false" hidden="false" name="cqC_15_hi" vbProcedure="false">In!$F$44</definedName>
    <definedName function="false" hidden="false" name="cqC_15_lo" vbProcedure="false">In!$D$44</definedName>
    <definedName function="false" hidden="false" name="cqC_16" vbProcedure="false">In!$E$45</definedName>
    <definedName function="false" hidden="false" name="cqC_16_hi" vbProcedure="false">In!$F$45</definedName>
    <definedName function="false" hidden="false" name="cqC_16_lo" vbProcedure="false">In!$D$45</definedName>
    <definedName function="false" hidden="false" name="cqC_17" vbProcedure="false">In!$E$46</definedName>
    <definedName function="false" hidden="false" name="cqC_17_hi" vbProcedure="false">In!$F$46</definedName>
    <definedName function="false" hidden="false" name="cqC_17_lo" vbProcedure="false">In!$D$46</definedName>
    <definedName function="false" hidden="false" name="cqC_18" vbProcedure="false">In!$E$47</definedName>
    <definedName function="false" hidden="false" name="cqC_18_hi" vbProcedure="false">In!$F$47</definedName>
    <definedName function="false" hidden="false" name="cqC_18_lo" vbProcedure="false">In!$D$47</definedName>
    <definedName function="false" hidden="false" name="cqC_19" vbProcedure="false">In!$E$48</definedName>
    <definedName function="false" hidden="false" name="cqC_19_hi" vbProcedure="false">In!$F$48</definedName>
    <definedName function="false" hidden="false" name="cqC_19_lo" vbProcedure="false">In!$D$48</definedName>
    <definedName function="false" hidden="false" name="cqC_8" vbProcedure="false">In!$E$37</definedName>
    <definedName function="false" hidden="false" name="cqC_8_hi" vbProcedure="false">In!$F$37</definedName>
    <definedName function="false" hidden="false" name="cqC_8_lo" vbProcedure="false">In!$D$37</definedName>
    <definedName function="false" hidden="false" name="cqC_9" vbProcedure="false">In!$E$38</definedName>
    <definedName function="false" hidden="false" name="cqC_9_hi" vbProcedure="false">In!$F$38</definedName>
    <definedName function="false" hidden="false" name="cqC_9_lo" vbProcedure="false">In!$D$38</definedName>
    <definedName function="false" hidden="false" name="cq_1" vbProcedure="false">In!$E$6</definedName>
    <definedName function="false" hidden="false" name="cq_2" vbProcedure="false">In!$E$7</definedName>
    <definedName function="false" hidden="false" name="cq_3" vbProcedure="false">In!$E$8</definedName>
    <definedName function="false" hidden="false" name="cq_4" vbProcedure="false">In!$E$9</definedName>
    <definedName function="false" hidden="false" name="cq_5" vbProcedure="false">In!$E$10</definedName>
    <definedName function="false" hidden="false" name="cq_6" vbProcedure="false">In!$E$11</definedName>
    <definedName function="false" hidden="false" name="cq_7" vbProcedure="false">In!$E$12</definedName>
    <definedName function="false" hidden="false" name="cw_capend25" vbProcedure="false">In!$E$369</definedName>
    <definedName function="false" hidden="false" name="cw_capend26" vbProcedure="false">In!$E$370</definedName>
    <definedName function="false" hidden="false" name="cw_capend27" vbProcedure="false">In!$E$371</definedName>
    <definedName function="false" hidden="false" name="cw_capend28" vbProcedure="false">In!$E$372</definedName>
    <definedName function="false" hidden="false" name="cw_capend29" vbProcedure="false">In!$E$373</definedName>
    <definedName function="false" hidden="false" name="cw_capend29_hi" vbProcedure="false">In!$F$373</definedName>
    <definedName function="false" hidden="false" name="cw_capend29_lo" vbProcedure="false">In!$D$373</definedName>
    <definedName function="false" hidden="false" name="cw_msdem26" vbProcedure="false">In!$E$375</definedName>
    <definedName function="false" hidden="false" name="cw_msdem27" vbProcedure="false">In!$E$376</definedName>
    <definedName function="false" hidden="false" name="cw_osat" vbProcedure="false">In!$E$374</definedName>
    <definedName function="false" hidden="false" name="cw_osat_hi" vbProcedure="false">In!$F$374</definedName>
    <definedName function="false" hidden="false" name="cw_osat_lo" vbProcedure="false">In!$D$374</definedName>
    <definedName function="false" hidden="false" name="cw_oth26" vbProcedure="false">In!$E$367</definedName>
    <definedName function="false" hidden="false" name="cw_oth26_hi" vbProcedure="false">In!$F$367</definedName>
    <definedName function="false" hidden="false" name="cw_oth26_lo" vbProcedure="false">In!$D$367</definedName>
    <definedName function="false" hidden="false" name="cw_oth_g" vbProcedure="false">In!$E$368</definedName>
    <definedName function="false" hidden="false" name="cw_oth_g_hi" vbProcedure="false">In!$F$368</definedName>
    <definedName function="false" hidden="false" name="cw_oth_g_lo" vbProcedure="false">In!$D$368</definedName>
    <definedName function="false" hidden="false" name="cw_pp_AMD8" vbProcedure="false">In!$E$361</definedName>
    <definedName function="false" hidden="false" name="cw_pp_AMD8_hi" vbProcedure="false">In!$F$361</definedName>
    <definedName function="false" hidden="false" name="cw_pp_AMD8_lo" vbProcedure="false">In!$D$361</definedName>
    <definedName function="false" hidden="false" name="cw_pp_AMDR" vbProcedure="false">In!$E$362</definedName>
    <definedName function="false" hidden="false" name="cw_pp_AMDR_hi" vbProcedure="false">In!$F$362</definedName>
    <definedName function="false" hidden="false" name="cw_pp_AMDR_lo" vbProcedure="false">In!$D$362</definedName>
    <definedName function="false" hidden="false" name="cw_pp_ASIC" vbProcedure="false">In!$E$366</definedName>
    <definedName function="false" hidden="false" name="cw_pp_ASIC_hi" vbProcedure="false">In!$F$366</definedName>
    <definedName function="false" hidden="false" name="cw_pp_ASIC_lo" vbProcedure="false">In!$D$366</definedName>
    <definedName function="false" hidden="false" name="cw_pp_GB" vbProcedure="false">In!$E$357</definedName>
    <definedName function="false" hidden="false" name="cw_pp_GB_hi" vbProcedure="false">In!$F$357</definedName>
    <definedName function="false" hidden="false" name="cw_pp_GB_lo" vbProcedure="false">In!$D$357</definedName>
    <definedName function="false" hidden="false" name="cw_pp_HP" vbProcedure="false">In!$E$360</definedName>
    <definedName function="false" hidden="false" name="cw_pp_HP_hi" vbProcedure="false">In!$F$360</definedName>
    <definedName function="false" hidden="false" name="cw_pp_HP_lo" vbProcedure="false">In!$D$360</definedName>
    <definedName function="false" hidden="false" name="cw_pp_RU" vbProcedure="false">In!$E$359</definedName>
    <definedName function="false" hidden="false" name="cw_pp_RU_hi" vbProcedure="false">In!$F$359</definedName>
    <definedName function="false" hidden="false" name="cw_pp_RU_lo" vbProcedure="false">In!$D$359</definedName>
    <definedName function="false" hidden="false" name="cw_pp_TPU7" vbProcedure="false">In!$E$363</definedName>
    <definedName function="false" hidden="false" name="cw_pp_TPU7_hi" vbProcedure="false">In!$F$363</definedName>
    <definedName function="false" hidden="false" name="cw_pp_TPU7_lo" vbProcedure="false">In!$D$363</definedName>
    <definedName function="false" hidden="false" name="cw_pp_TPU8" vbProcedure="false">In!$E$364</definedName>
    <definedName function="false" hidden="false" name="cw_pp_TPU8_hi" vbProcedure="false">In!$F$364</definedName>
    <definedName function="false" hidden="false" name="cw_pp_TPU8_lo" vbProcedure="false">In!$D$364</definedName>
    <definedName function="false" hidden="false" name="cw_pp_TRN" vbProcedure="false">In!$E$365</definedName>
    <definedName function="false" hidden="false" name="cw_pp_TRN_hi" vbProcedure="false">In!$F$365</definedName>
    <definedName function="false" hidden="false" name="cw_pp_TRN_lo" vbProcedure="false">In!$D$365</definedName>
    <definedName function="false" hidden="false" name="cw_pp_VR" vbProcedure="false">In!$E$358</definedName>
    <definedName function="false" hidden="false" name="cw_pp_VR_hi" vbProcedure="false">In!$F$358</definedName>
    <definedName function="false" hidden="false" name="cw_pp_VR_lo" vbProcedure="false">In!$D$358</definedName>
    <definedName function="false" hidden="false" name="c_AMD8_nic" vbProcedure="false">In!$E$247</definedName>
    <definedName function="false" hidden="false" name="c_AMD8_nic_hi" vbProcedure="false">In!$F$247</definedName>
    <definedName function="false" hidden="false" name="c_AMD8_nic_lo" vbProcedure="false">In!$D$247</definedName>
    <definedName function="false" hidden="false" name="c_AMD8_so_cu" vbProcedure="false">In!$E$246</definedName>
    <definedName function="false" hidden="false" name="c_AMD8_so_cu_hi" vbProcedure="false">In!$F$246</definedName>
    <definedName function="false" hidden="false" name="c_AMD8_so_cu_lo" vbProcedure="false">In!$D$246</definedName>
    <definedName function="false" hidden="false" name="c_AMD8_so_opt" vbProcedure="false">In!$E$245</definedName>
    <definedName function="false" hidden="false" name="c_AMD8_so_opt_hi" vbProcedure="false">In!$F$245</definedName>
    <definedName function="false" hidden="false" name="c_AMD8_so_opt_lo" vbProcedure="false">In!$D$245</definedName>
    <definedName function="false" hidden="false" name="c_AMD8_so_sw" vbProcedure="false">In!$E$244</definedName>
    <definedName function="false" hidden="false" name="c_AMD8_so_sw_hi" vbProcedure="false">In!$F$244</definedName>
    <definedName function="false" hidden="false" name="c_AMD8_so_sw_lo" vbProcedure="false">In!$D$244</definedName>
    <definedName function="false" hidden="false" name="c_AMD8_su_ic" vbProcedure="false">In!$E$243</definedName>
    <definedName function="false" hidden="false" name="c_AMD8_su_ic_hi" vbProcedure="false">In!$F$243</definedName>
    <definedName function="false" hidden="false" name="c_AMD8_su_ic_lo" vbProcedure="false">In!$D$243</definedName>
    <definedName function="false" hidden="false" name="c_AMD8_su_sw" vbProcedure="false">In!$E$242</definedName>
    <definedName function="false" hidden="false" name="c_AMD8_su_sw_hi" vbProcedure="false">In!$F$242</definedName>
    <definedName function="false" hidden="false" name="c_AMD8_su_sw_lo" vbProcedure="false">In!$D$242</definedName>
    <definedName function="false" hidden="false" name="c_AMDR_nic" vbProcedure="false">In!$E$253</definedName>
    <definedName function="false" hidden="false" name="c_AMDR_nic_hi" vbProcedure="false">In!$F$253</definedName>
    <definedName function="false" hidden="false" name="c_AMDR_nic_lo" vbProcedure="false">In!$D$253</definedName>
    <definedName function="false" hidden="false" name="c_AMDR_so_cu" vbProcedure="false">In!$E$252</definedName>
    <definedName function="false" hidden="false" name="c_AMDR_so_cu_hi" vbProcedure="false">In!$F$252</definedName>
    <definedName function="false" hidden="false" name="c_AMDR_so_cu_lo" vbProcedure="false">In!$D$252</definedName>
    <definedName function="false" hidden="false" name="c_AMDR_so_opt" vbProcedure="false">In!$E$251</definedName>
    <definedName function="false" hidden="false" name="c_AMDR_so_opt_hi" vbProcedure="false">In!$F$251</definedName>
    <definedName function="false" hidden="false" name="c_AMDR_so_opt_lo" vbProcedure="false">In!$D$251</definedName>
    <definedName function="false" hidden="false" name="c_AMDR_so_sw" vbProcedure="false">In!$E$250</definedName>
    <definedName function="false" hidden="false" name="c_AMDR_so_sw_hi" vbProcedure="false">In!$F$250</definedName>
    <definedName function="false" hidden="false" name="c_AMDR_so_sw_lo" vbProcedure="false">In!$D$250</definedName>
    <definedName function="false" hidden="false" name="c_AMDR_su_ic" vbProcedure="false">In!$E$249</definedName>
    <definedName function="false" hidden="false" name="c_AMDR_su_ic_hi" vbProcedure="false">In!$F$249</definedName>
    <definedName function="false" hidden="false" name="c_AMDR_su_ic_lo" vbProcedure="false">In!$D$249</definedName>
    <definedName function="false" hidden="false" name="c_AMDR_su_sw" vbProcedure="false">In!$E$248</definedName>
    <definedName function="false" hidden="false" name="c_AMDR_su_sw_hi" vbProcedure="false">In!$F$248</definedName>
    <definedName function="false" hidden="false" name="c_AMDR_su_sw_lo" vbProcedure="false">In!$D$248</definedName>
    <definedName function="false" hidden="false" name="c_ASIC_nic" vbProcedure="false">In!$E$271</definedName>
    <definedName function="false" hidden="false" name="c_ASIC_nic_hi" vbProcedure="false">In!$F$271</definedName>
    <definedName function="false" hidden="false" name="c_ASIC_nic_lo" vbProcedure="false">In!$D$271</definedName>
    <definedName function="false" hidden="false" name="c_ASIC_so_cu" vbProcedure="false">In!$E$270</definedName>
    <definedName function="false" hidden="false" name="c_ASIC_so_cu_hi" vbProcedure="false">In!$F$270</definedName>
    <definedName function="false" hidden="false" name="c_ASIC_so_cu_lo" vbProcedure="false">In!$D$270</definedName>
    <definedName function="false" hidden="false" name="c_ASIC_so_opt" vbProcedure="false">In!$E$269</definedName>
    <definedName function="false" hidden="false" name="c_ASIC_so_opt_hi" vbProcedure="false">In!$F$269</definedName>
    <definedName function="false" hidden="false" name="c_ASIC_so_opt_lo" vbProcedure="false">In!$D$269</definedName>
    <definedName function="false" hidden="false" name="c_ASIC_so_sw" vbProcedure="false">In!$E$268</definedName>
    <definedName function="false" hidden="false" name="c_ASIC_so_sw_hi" vbProcedure="false">In!$F$268</definedName>
    <definedName function="false" hidden="false" name="c_ASIC_so_sw_lo" vbProcedure="false">In!$D$268</definedName>
    <definedName function="false" hidden="false" name="c_ASIC_su_ic" vbProcedure="false">In!$E$267</definedName>
    <definedName function="false" hidden="false" name="c_ASIC_su_ic_hi" vbProcedure="false">In!$F$267</definedName>
    <definedName function="false" hidden="false" name="c_ASIC_su_ic_lo" vbProcedure="false">In!$D$267</definedName>
    <definedName function="false" hidden="false" name="c_ASIC_su_sw" vbProcedure="false">In!$E$266</definedName>
    <definedName function="false" hidden="false" name="c_ASIC_su_sw_hi" vbProcedure="false">In!$F$266</definedName>
    <definedName function="false" hidden="false" name="c_ASIC_su_sw_lo" vbProcedure="false">In!$D$266</definedName>
    <definedName function="false" hidden="false" name="c_GB_nic" vbProcedure="false">In!$E$223</definedName>
    <definedName function="false" hidden="false" name="c_GB_nic_hi" vbProcedure="false">In!$F$223</definedName>
    <definedName function="false" hidden="false" name="c_GB_nic_lo" vbProcedure="false">In!$D$223</definedName>
    <definedName function="false" hidden="false" name="c_GB_so_cu" vbProcedure="false">In!$E$222</definedName>
    <definedName function="false" hidden="false" name="c_GB_so_cu_hi" vbProcedure="false">In!$F$222</definedName>
    <definedName function="false" hidden="false" name="c_GB_so_cu_lo" vbProcedure="false">In!$D$222</definedName>
    <definedName function="false" hidden="false" name="c_GB_so_opt" vbProcedure="false">In!$E$221</definedName>
    <definedName function="false" hidden="false" name="c_GB_so_opt_hi" vbProcedure="false">In!$F$221</definedName>
    <definedName function="false" hidden="false" name="c_GB_so_opt_lo" vbProcedure="false">In!$D$221</definedName>
    <definedName function="false" hidden="false" name="c_GB_so_sw" vbProcedure="false">In!$E$220</definedName>
    <definedName function="false" hidden="false" name="c_GB_so_sw_hi" vbProcedure="false">In!$F$220</definedName>
    <definedName function="false" hidden="false" name="c_GB_so_sw_lo" vbProcedure="false">In!$D$220</definedName>
    <definedName function="false" hidden="false" name="c_GB_su_ic" vbProcedure="false">In!$E$219</definedName>
    <definedName function="false" hidden="false" name="c_GB_su_ic_hi" vbProcedure="false">In!$F$219</definedName>
    <definedName function="false" hidden="false" name="c_GB_su_ic_lo" vbProcedure="false">In!$D$219</definedName>
    <definedName function="false" hidden="false" name="c_GB_su_sw" vbProcedure="false">In!$E$218</definedName>
    <definedName function="false" hidden="false" name="c_GB_su_sw_hi" vbProcedure="false">In!$F$218</definedName>
    <definedName function="false" hidden="false" name="c_GB_su_sw_lo" vbProcedure="false">In!$D$218</definedName>
    <definedName function="false" hidden="false" name="c_HP_nic" vbProcedure="false">In!$E$241</definedName>
    <definedName function="false" hidden="false" name="c_HP_nic_hi" vbProcedure="false">In!$F$241</definedName>
    <definedName function="false" hidden="false" name="c_HP_nic_lo" vbProcedure="false">In!$D$241</definedName>
    <definedName function="false" hidden="false" name="c_HP_so_cu" vbProcedure="false">In!$E$240</definedName>
    <definedName function="false" hidden="false" name="c_HP_so_cu_hi" vbProcedure="false">In!$F$240</definedName>
    <definedName function="false" hidden="false" name="c_HP_so_cu_lo" vbProcedure="false">In!$D$240</definedName>
    <definedName function="false" hidden="false" name="c_HP_so_opt" vbProcedure="false">In!$E$239</definedName>
    <definedName function="false" hidden="false" name="c_HP_so_opt_hi" vbProcedure="false">In!$F$239</definedName>
    <definedName function="false" hidden="false" name="c_HP_so_opt_lo" vbProcedure="false">In!$D$239</definedName>
    <definedName function="false" hidden="false" name="c_HP_so_sw" vbProcedure="false">In!$E$238</definedName>
    <definedName function="false" hidden="false" name="c_HP_so_sw_hi" vbProcedure="false">In!$F$238</definedName>
    <definedName function="false" hidden="false" name="c_HP_so_sw_lo" vbProcedure="false">In!$D$238</definedName>
    <definedName function="false" hidden="false" name="c_HP_su_ic" vbProcedure="false">In!$E$237</definedName>
    <definedName function="false" hidden="false" name="c_HP_su_ic_hi" vbProcedure="false">In!$F$237</definedName>
    <definedName function="false" hidden="false" name="c_HP_su_ic_lo" vbProcedure="false">In!$D$237</definedName>
    <definedName function="false" hidden="false" name="c_HP_su_sw" vbProcedure="false">In!$E$236</definedName>
    <definedName function="false" hidden="false" name="c_HP_su_sw_hi" vbProcedure="false">In!$F$236</definedName>
    <definedName function="false" hidden="false" name="c_HP_su_sw_lo" vbProcedure="false">In!$D$236</definedName>
    <definedName function="false" hidden="false" name="c_RU_nic" vbProcedure="false">In!$E$235</definedName>
    <definedName function="false" hidden="false" name="c_RU_nic_hi" vbProcedure="false">In!$F$235</definedName>
    <definedName function="false" hidden="false" name="c_RU_nic_lo" vbProcedure="false">In!$D$235</definedName>
    <definedName function="false" hidden="false" name="c_RU_so_cu" vbProcedure="false">In!$E$234</definedName>
    <definedName function="false" hidden="false" name="c_RU_so_cu_hi" vbProcedure="false">In!$F$234</definedName>
    <definedName function="false" hidden="false" name="c_RU_so_cu_lo" vbProcedure="false">In!$D$234</definedName>
    <definedName function="false" hidden="false" name="c_RU_so_opt" vbProcedure="false">In!$E$233</definedName>
    <definedName function="false" hidden="false" name="c_RU_so_opt_hi" vbProcedure="false">In!$F$233</definedName>
    <definedName function="false" hidden="false" name="c_RU_so_opt_lo" vbProcedure="false">In!$D$233</definedName>
    <definedName function="false" hidden="false" name="c_RU_so_sw" vbProcedure="false">In!$E$232</definedName>
    <definedName function="false" hidden="false" name="c_RU_so_sw_hi" vbProcedure="false">In!$F$232</definedName>
    <definedName function="false" hidden="false" name="c_RU_so_sw_lo" vbProcedure="false">In!$D$232</definedName>
    <definedName function="false" hidden="false" name="c_RU_su_ic" vbProcedure="false">In!$E$231</definedName>
    <definedName function="false" hidden="false" name="c_RU_su_ic_hi" vbProcedure="false">In!$F$231</definedName>
    <definedName function="false" hidden="false" name="c_RU_su_ic_lo" vbProcedure="false">In!$D$231</definedName>
    <definedName function="false" hidden="false" name="c_RU_su_sw" vbProcedure="false">In!$E$230</definedName>
    <definedName function="false" hidden="false" name="c_RU_su_sw_hi" vbProcedure="false">In!$F$230</definedName>
    <definedName function="false" hidden="false" name="c_RU_su_sw_lo" vbProcedure="false">In!$D$230</definedName>
    <definedName function="false" hidden="false" name="c_TPU_nic" vbProcedure="false">In!$E$259</definedName>
    <definedName function="false" hidden="false" name="c_TPU_nic_hi" vbProcedure="false">In!$F$259</definedName>
    <definedName function="false" hidden="false" name="c_TPU_nic_lo" vbProcedure="false">In!$D$259</definedName>
    <definedName function="false" hidden="false" name="c_TPU_so_cu" vbProcedure="false">In!$E$258</definedName>
    <definedName function="false" hidden="false" name="c_TPU_so_cu_hi" vbProcedure="false">In!$F$258</definedName>
    <definedName function="false" hidden="false" name="c_TPU_so_cu_lo" vbProcedure="false">In!$D$258</definedName>
    <definedName function="false" hidden="false" name="c_TPU_so_opt" vbProcedure="false">In!$E$257</definedName>
    <definedName function="false" hidden="false" name="c_TPU_so_opt_hi" vbProcedure="false">In!$F$257</definedName>
    <definedName function="false" hidden="false" name="c_TPU_so_opt_lo" vbProcedure="false">In!$D$257</definedName>
    <definedName function="false" hidden="false" name="c_TPU_so_sw" vbProcedure="false">In!$E$256</definedName>
    <definedName function="false" hidden="false" name="c_TPU_so_sw_hi" vbProcedure="false">In!$F$256</definedName>
    <definedName function="false" hidden="false" name="c_TPU_so_sw_lo" vbProcedure="false">In!$D$256</definedName>
    <definedName function="false" hidden="false" name="c_TPU_su_ic" vbProcedure="false">In!$E$255</definedName>
    <definedName function="false" hidden="false" name="c_TPU_su_ic_hi" vbProcedure="false">In!$F$255</definedName>
    <definedName function="false" hidden="false" name="c_TPU_su_ic_lo" vbProcedure="false">In!$D$255</definedName>
    <definedName function="false" hidden="false" name="c_TPU_su_sw" vbProcedure="false">In!$E$254</definedName>
    <definedName function="false" hidden="false" name="c_TPU_su_sw_hi" vbProcedure="false">In!$F$254</definedName>
    <definedName function="false" hidden="false" name="c_TPU_su_sw_lo" vbProcedure="false">In!$D$254</definedName>
    <definedName function="false" hidden="false" name="c_TRN_nic" vbProcedure="false">In!$E$265</definedName>
    <definedName function="false" hidden="false" name="c_TRN_nic_hi" vbProcedure="false">In!$F$265</definedName>
    <definedName function="false" hidden="false" name="c_TRN_nic_lo" vbProcedure="false">In!$D$265</definedName>
    <definedName function="false" hidden="false" name="c_TRN_so_cu" vbProcedure="false">In!$E$264</definedName>
    <definedName function="false" hidden="false" name="c_TRN_so_cu_hi" vbProcedure="false">In!$F$264</definedName>
    <definedName function="false" hidden="false" name="c_TRN_so_cu_lo" vbProcedure="false">In!$D$264</definedName>
    <definedName function="false" hidden="false" name="c_TRN_so_opt" vbProcedure="false">In!$E$263</definedName>
    <definedName function="false" hidden="false" name="c_TRN_so_opt_hi" vbProcedure="false">In!$F$263</definedName>
    <definedName function="false" hidden="false" name="c_TRN_so_opt_lo" vbProcedure="false">In!$D$263</definedName>
    <definedName function="false" hidden="false" name="c_TRN_so_sw" vbProcedure="false">In!$E$262</definedName>
    <definedName function="false" hidden="false" name="c_TRN_so_sw_hi" vbProcedure="false">In!$F$262</definedName>
    <definedName function="false" hidden="false" name="c_TRN_so_sw_lo" vbProcedure="false">In!$D$262</definedName>
    <definedName function="false" hidden="false" name="c_TRN_su_ic" vbProcedure="false">In!$E$261</definedName>
    <definedName function="false" hidden="false" name="c_TRN_su_ic_hi" vbProcedure="false">In!$F$261</definedName>
    <definedName function="false" hidden="false" name="c_TRN_su_ic_lo" vbProcedure="false">In!$D$261</definedName>
    <definedName function="false" hidden="false" name="c_TRN_su_sw" vbProcedure="false">In!$E$260</definedName>
    <definedName function="false" hidden="false" name="c_TRN_su_sw_hi" vbProcedure="false">In!$F$260</definedName>
    <definedName function="false" hidden="false" name="c_TRN_su_sw_lo" vbProcedure="false">In!$D$260</definedName>
    <definedName function="false" hidden="false" name="c_VR_nic" vbProcedure="false">In!$E$229</definedName>
    <definedName function="false" hidden="false" name="c_VR_nic_hi" vbProcedure="false">In!$F$229</definedName>
    <definedName function="false" hidden="false" name="c_VR_nic_lo" vbProcedure="false">In!$D$229</definedName>
    <definedName function="false" hidden="false" name="c_VR_so_cu" vbProcedure="false">In!$E$228</definedName>
    <definedName function="false" hidden="false" name="c_VR_so_cu_hi" vbProcedure="false">In!$F$228</definedName>
    <definedName function="false" hidden="false" name="c_VR_so_cu_lo" vbProcedure="false">In!$D$228</definedName>
    <definedName function="false" hidden="false" name="c_VR_so_opt" vbProcedure="false">In!$E$227</definedName>
    <definedName function="false" hidden="false" name="c_VR_so_opt_hi" vbProcedure="false">In!$F$227</definedName>
    <definedName function="false" hidden="false" name="c_VR_so_opt_lo" vbProcedure="false">In!$D$227</definedName>
    <definedName function="false" hidden="false" name="c_VR_so_sw" vbProcedure="false">In!$E$226</definedName>
    <definedName function="false" hidden="false" name="c_VR_so_sw_hi" vbProcedure="false">In!$F$226</definedName>
    <definedName function="false" hidden="false" name="c_VR_so_sw_lo" vbProcedure="false">In!$D$226</definedName>
    <definedName function="false" hidden="false" name="c_VR_su_ic" vbProcedure="false">In!$E$225</definedName>
    <definedName function="false" hidden="false" name="c_VR_su_ic_hi" vbProcedure="false">In!$F$225</definedName>
    <definedName function="false" hidden="false" name="c_VR_su_ic_lo" vbProcedure="false">In!$D$225</definedName>
    <definedName function="false" hidden="false" name="c_VR_su_sw" vbProcedure="false">In!$E$224</definedName>
    <definedName function="false" hidden="false" name="c_VR_su_sw_hi" vbProcedure="false">In!$F$224</definedName>
    <definedName function="false" hidden="false" name="c_VR_su_sw_lo" vbProcedure="false">In!$D$224</definedName>
    <definedName function="false" hidden="false" name="f_hbm" vbProcedure="false">In!$E$187</definedName>
    <definedName function="false" hidden="false" name="f_hbm_hi" vbProcedure="false">In!$F$187</definedName>
    <definedName function="false" hidden="false" name="f_hbm_lo" vbProcedure="false">In!$D$187</definedName>
    <definedName function="false" hidden="false" name="g29_amd" vbProcedure="false">In!$E$176</definedName>
    <definedName function="false" hidden="false" name="g29_amd_hi" vbProcedure="false">In!$F$176</definedName>
    <definedName function="false" hidden="false" name="g29_amd_lo" vbProcedure="false">In!$D$176</definedName>
    <definedName function="false" hidden="false" name="g29_bw" vbProcedure="false">In!$E$172</definedName>
    <definedName function="false" hidden="false" name="g29_bw_hi" vbProcedure="false">In!$F$172</definedName>
    <definedName function="false" hidden="false" name="g29_bw_lo" vbProcedure="false">In!$D$172</definedName>
    <definedName function="false" hidden="false" name="g29_hp" vbProcedure="false">In!$E$175</definedName>
    <definedName function="false" hidden="false" name="g29_hp_hi" vbProcedure="false">In!$F$175</definedName>
    <definedName function="false" hidden="false" name="g29_hp_lo" vbProcedure="false">In!$D$175</definedName>
    <definedName function="false" hidden="false" name="g29_oth" vbProcedure="false">In!$E$179</definedName>
    <definedName function="false" hidden="false" name="g29_oth_hi" vbProcedure="false">In!$F$179</definedName>
    <definedName function="false" hidden="false" name="g29_oth_lo" vbProcedure="false">In!$D$179</definedName>
    <definedName function="false" hidden="false" name="g29_rb" vbProcedure="false">In!$E$173</definedName>
    <definedName function="false" hidden="false" name="g29_rb_hi" vbProcedure="false">In!$F$173</definedName>
    <definedName function="false" hidden="false" name="g29_rb_lo" vbProcedure="false">In!$D$173</definedName>
    <definedName function="false" hidden="false" name="g29_ru" vbProcedure="false">In!$E$174</definedName>
    <definedName function="false" hidden="false" name="g29_ru_hi" vbProcedure="false">In!$F$174</definedName>
    <definedName function="false" hidden="false" name="g29_ru_lo" vbProcedure="false">In!$D$174</definedName>
    <definedName function="false" hidden="false" name="g29_tpu" vbProcedure="false">In!$E$177</definedName>
    <definedName function="false" hidden="false" name="g29_tpu_hi" vbProcedure="false">In!$F$177</definedName>
    <definedName function="false" hidden="false" name="g29_tpu_lo" vbProcedure="false">In!$D$177</definedName>
    <definedName function="false" hidden="false" name="g29_trn" vbProcedure="false">In!$E$178</definedName>
    <definedName function="false" hidden="false" name="g29_trn_hi" vbProcedure="false">In!$F$178</definedName>
    <definedName function="false" hidden="false" name="g29_trn_lo" vbProcedure="false">In!$D$178</definedName>
    <definedName function="false" hidden="false" name="g_amd_26" vbProcedure="false">In!$E$120</definedName>
    <definedName function="false" hidden="false" name="g_amd_26_hi" vbProcedure="false">In!$F$120</definedName>
    <definedName function="false" hidden="false" name="g_amd_26_lo" vbProcedure="false">In!$D$120</definedName>
    <definedName function="false" hidden="false" name="g_amd_27" vbProcedure="false">In!$E$121</definedName>
    <definedName function="false" hidden="false" name="g_amd_27_hi" vbProcedure="false">In!$F$121</definedName>
    <definedName function="false" hidden="false" name="g_amd_27_lo" vbProcedure="false">In!$D$121</definedName>
    <definedName function="false" hidden="false" name="g_amd_28" vbProcedure="false">In!$E$122</definedName>
    <definedName function="false" hidden="false" name="g_amd_28_hi" vbProcedure="false">In!$F$122</definedName>
    <definedName function="false" hidden="false" name="g_amd_28_lo" vbProcedure="false">In!$D$122</definedName>
    <definedName function="false" hidden="false" name="g_bw_26" vbProcedure="false">In!$E$96</definedName>
    <definedName function="false" hidden="false" name="g_bw_27" vbProcedure="false">In!$E$97</definedName>
    <definedName function="false" hidden="false" name="g_bw_28" vbProcedure="false">In!$E$98</definedName>
    <definedName function="false" hidden="false" name="g_hp_26" vbProcedure="false">In!$E$114</definedName>
    <definedName function="false" hidden="false" name="g_hp_27" vbProcedure="false">In!$E$115</definedName>
    <definedName function="false" hidden="false" name="g_hp_28" vbProcedure="false">In!$E$116</definedName>
    <definedName function="false" hidden="false" name="g_oth_26" vbProcedure="false">In!$E$138</definedName>
    <definedName function="false" hidden="false" name="g_oth_26_hi" vbProcedure="false">In!$F$138</definedName>
    <definedName function="false" hidden="false" name="g_oth_26_lo" vbProcedure="false">In!$D$138</definedName>
    <definedName function="false" hidden="false" name="g_oth_27" vbProcedure="false">In!$E$139</definedName>
    <definedName function="false" hidden="false" name="g_oth_27_hi" vbProcedure="false">In!$F$139</definedName>
    <definedName function="false" hidden="false" name="g_oth_27_lo" vbProcedure="false">In!$D$139</definedName>
    <definedName function="false" hidden="false" name="g_oth_28" vbProcedure="false">In!$E$140</definedName>
    <definedName function="false" hidden="false" name="g_oth_28_hi" vbProcedure="false">In!$F$140</definedName>
    <definedName function="false" hidden="false" name="g_oth_28_lo" vbProcedure="false">In!$D$140</definedName>
    <definedName function="false" hidden="false" name="g_rb_26" vbProcedure="false">In!$E$102</definedName>
    <definedName function="false" hidden="false" name="g_rb_27" vbProcedure="false">In!$E$103</definedName>
    <definedName function="false" hidden="false" name="g_rb_28" vbProcedure="false">In!$E$104</definedName>
    <definedName function="false" hidden="false" name="g_ru_26" vbProcedure="false">In!$E$108</definedName>
    <definedName function="false" hidden="false" name="g_ru_27" vbProcedure="false">In!$E$109</definedName>
    <definedName function="false" hidden="false" name="g_ru_28" vbProcedure="false">In!$E$110</definedName>
    <definedName function="false" hidden="false" name="g_tpu_26" vbProcedure="false">In!$E$126</definedName>
    <definedName function="false" hidden="false" name="g_tpu_27" vbProcedure="false">In!$E$127</definedName>
    <definedName function="false" hidden="false" name="g_tpu_28" vbProcedure="false">In!$E$128</definedName>
    <definedName function="false" hidden="false" name="g_trn_26" vbProcedure="false">In!$E$132</definedName>
    <definedName function="false" hidden="false" name="g_trn_26_hi" vbProcedure="false">In!$F$132</definedName>
    <definedName function="false" hidden="false" name="g_trn_26_lo" vbProcedure="false">In!$D$132</definedName>
    <definedName function="false" hidden="false" name="g_trn_27" vbProcedure="false">In!$E$133</definedName>
    <definedName function="false" hidden="false" name="g_trn_27_hi" vbProcedure="false">In!$F$133</definedName>
    <definedName function="false" hidden="false" name="g_trn_27_lo" vbProcedure="false">In!$D$133</definedName>
    <definedName function="false" hidden="false" name="g_trn_28" vbProcedure="false">In!$E$134</definedName>
    <definedName function="false" hidden="false" name="g_trn_28_hi" vbProcedure="false">In!$F$134</definedName>
    <definedName function="false" hidden="false" name="g_trn_28_lo" vbProcedure="false">In!$D$134</definedName>
    <definedName function="false" hidden="false" name="hbm_dem29" vbProcedure="false">In!$E$159</definedName>
    <definedName function="false" hidden="false" name="hbm_dem29_hi" vbProcedure="false">In!$F$159</definedName>
    <definedName function="false" hidden="false" name="hbm_dem29_lo" vbProcedure="false">In!$D$159</definedName>
    <definedName function="false" hidden="false" name="hbm_g26" vbProcedure="false">In!$E$150</definedName>
    <definedName function="false" hidden="false" name="hbm_g26_hi" vbProcedure="false">In!$F$150</definedName>
    <definedName function="false" hidden="false" name="hbm_g26_lo" vbProcedure="false">In!$D$150</definedName>
    <definedName function="false" hidden="false" name="hbm_gross" vbProcedure="false">In!$E$151</definedName>
    <definedName function="false" hidden="false" name="hbm_gross_hi" vbProcedure="false">In!$F$151</definedName>
    <definedName function="false" hidden="false" name="hbm_gross_lo" vbProcedure="false">In!$D$151</definedName>
    <definedName function="false" hidden="false" name="hbm_mkt25" vbProcedure="false">In!$E$149</definedName>
    <definedName function="false" hidden="false" name="hbm_mkt25_hi" vbProcedure="false">In!$F$149</definedName>
    <definedName function="false" hidden="false" name="hbm_mkt25_lo" vbProcedure="false">In!$D$149</definedName>
    <definedName function="false" hidden="false" name="hbm_p26" vbProcedure="false">In!$E$154</definedName>
    <definedName function="false" hidden="false" name="hbm_p26_hi" vbProcedure="false">In!$F$154</definedName>
    <definedName function="false" hidden="false" name="hbm_p26_lo" vbProcedure="false">In!$D$154</definedName>
    <definedName function="false" hidden="false" name="hbm_p27" vbProcedure="false">In!$E$155</definedName>
    <definedName function="false" hidden="false" name="hbm_p27_hi" vbProcedure="false">In!$F$155</definedName>
    <definedName function="false" hidden="false" name="hbm_p27_lo" vbProcedure="false">In!$D$155</definedName>
    <definedName function="false" hidden="false" name="hbm_p28_A" vbProcedure="false">In!$E$156</definedName>
    <definedName function="false" hidden="false" name="hbm_p28_A_hi" vbProcedure="false">In!$F$156</definedName>
    <definedName function="false" hidden="false" name="hbm_p28_A_lo" vbProcedure="false">In!$D$156</definedName>
    <definedName function="false" hidden="false" name="hbm_p28_B" vbProcedure="false">In!$E$157</definedName>
    <definedName function="false" hidden="false" name="hbm_p28_B_hi" vbProcedure="false">In!$F$157</definedName>
    <definedName function="false" hidden="false" name="hbm_p28_B_lo" vbProcedure="false">In!$D$157</definedName>
    <definedName function="false" hidden="false" name="hbm_p28_C" vbProcedure="false">In!$E$158</definedName>
    <definedName function="false" hidden="false" name="hbm_p28_C_hi" vbProcedure="false">In!$F$158</definedName>
    <definedName function="false" hidden="false" name="hbm_p28_C_lo" vbProcedure="false">In!$D$158</definedName>
    <definedName function="false" hidden="false" name="hbm_p29_A" vbProcedure="false">In!$E$161</definedName>
    <definedName function="false" hidden="false" name="hbm_p29_A_hi" vbProcedure="false">In!$F$161</definedName>
    <definedName function="false" hidden="false" name="hbm_p29_A_lo" vbProcedure="false">In!$D$161</definedName>
    <definedName function="false" hidden="false" name="hbm_p29_B" vbProcedure="false">In!$E$162</definedName>
    <definedName function="false" hidden="false" name="hbm_p29_B_hi" vbProcedure="false">In!$F$162</definedName>
    <definedName function="false" hidden="false" name="hbm_p29_B_lo" vbProcedure="false">In!$D$162</definedName>
    <definedName function="false" hidden="false" name="hbm_p29_C" vbProcedure="false">In!$E$163</definedName>
    <definedName function="false" hidden="false" name="hbm_p29_C_hi" vbProcedure="false">In!$F$163</definedName>
    <definedName function="false" hidden="false" name="hbm_p29_C_lo" vbProcedure="false">In!$D$163</definedName>
    <definedName function="false" hidden="false" name="hbm_sup27" vbProcedure="false">In!$E$152</definedName>
    <definedName function="false" hidden="false" name="hbm_sup27_hi" vbProcedure="false">In!$F$152</definedName>
    <definedName function="false" hidden="false" name="hbm_sup27_lo" vbProcedure="false">In!$D$152</definedName>
    <definedName function="false" hidden="false" name="hbm_sup28" vbProcedure="false">In!$E$153</definedName>
    <definedName function="false" hidden="false" name="hbm_sup28_hi" vbProcedure="false">In!$F$153</definedName>
    <definedName function="false" hidden="false" name="hbm_sup28_lo" vbProcedure="false">In!$D$153</definedName>
    <definedName function="false" hidden="false" name="hbm_sup29" vbProcedure="false">In!$E$160</definedName>
    <definedName function="false" hidden="false" name="hbm_sup29_hi" vbProcedure="false">In!$F$160</definedName>
    <definedName function="false" hidden="false" name="hbm_sup29_lo" vbProcedure="false">In!$D$160</definedName>
    <definedName function="false" hidden="false" name="it_AMD8" vbProcedure="false">In!$E$277</definedName>
    <definedName function="false" hidden="false" name="it_AMD8_hi" vbProcedure="false">In!$F$277</definedName>
    <definedName function="false" hidden="false" name="it_AMD8_lo" vbProcedure="false">In!$D$277</definedName>
    <definedName function="false" hidden="false" name="it_AMDR" vbProcedure="false">In!$E$278</definedName>
    <definedName function="false" hidden="false" name="it_AMDR_hi" vbProcedure="false">In!$F$278</definedName>
    <definedName function="false" hidden="false" name="it_AMDR_lo" vbProcedure="false">In!$D$278</definedName>
    <definedName function="false" hidden="false" name="it_ASIC" vbProcedure="false">In!$E$281</definedName>
    <definedName function="false" hidden="false" name="it_ASIC_hi" vbProcedure="false">In!$F$281</definedName>
    <definedName function="false" hidden="false" name="it_ASIC_lo" vbProcedure="false">In!$D$281</definedName>
    <definedName function="false" hidden="false" name="it_GB" vbProcedure="false">In!$E$273</definedName>
    <definedName function="false" hidden="false" name="it_HP" vbProcedure="false">In!$E$276</definedName>
    <definedName function="false" hidden="false" name="it_RU" vbProcedure="false">In!$E$275</definedName>
    <definedName function="false" hidden="false" name="it_TPU" vbProcedure="false">In!$E$279</definedName>
    <definedName function="false" hidden="false" name="it_TPU_hi" vbProcedure="false">In!$F$279</definedName>
    <definedName function="false" hidden="false" name="it_TPU_lo" vbProcedure="false">In!$D$279</definedName>
    <definedName function="false" hidden="false" name="it_TRN" vbProcedure="false">In!$E$280</definedName>
    <definedName function="false" hidden="false" name="it_TRN_hi" vbProcedure="false">In!$F$280</definedName>
    <definedName function="false" hidden="false" name="it_TRN_lo" vbProcedure="false">In!$D$280</definedName>
    <definedName function="false" hidden="false" name="it_VR" vbProcedure="false">In!$E$274</definedName>
    <definedName function="false" hidden="false" name="lc_adj_27" vbProcedure="false">In!$E$456</definedName>
    <definedName function="false" hidden="false" name="lc_adj_27_hi" vbProcedure="false">In!$F$456</definedName>
    <definedName function="false" hidden="false" name="lc_adj_27_lo" vbProcedure="false">In!$D$456</definedName>
    <definedName function="false" hidden="false" name="lc_adj_28" vbProcedure="false">In!$E$457</definedName>
    <definedName function="false" hidden="false" name="lc_adj_28_hi" vbProcedure="false">In!$F$457</definedName>
    <definedName function="false" hidden="false" name="lc_adj_28_lo" vbProcedure="false">In!$D$457</definedName>
    <definedName function="false" hidden="false" name="lc_adj_29" vbProcedure="false">In!$E$458</definedName>
    <definedName function="false" hidden="false" name="lc_adj_29_hi" vbProcedure="false">In!$F$458</definedName>
    <definedName function="false" hidden="false" name="lc_adj_29_lo" vbProcedure="false">In!$D$458</definedName>
    <definedName function="false" hidden="false" name="lc_aush_26" vbProcedure="false">In!$E$469</definedName>
    <definedName function="false" hidden="false" name="lc_avrel_27" vbProcedure="false">In!$E$466</definedName>
    <definedName function="false" hidden="false" name="lc_avrel_27_hi" vbProcedure="false">In!$F$466</definedName>
    <definedName function="false" hidden="false" name="lc_avrel_27_lo" vbProcedure="false">In!$D$466</definedName>
    <definedName function="false" hidden="false" name="lc_avrel_28" vbProcedure="false">In!$E$467</definedName>
    <definedName function="false" hidden="false" name="lc_avrel_28_hi" vbProcedure="false">In!$F$467</definedName>
    <definedName function="false" hidden="false" name="lc_avrel_28_lo" vbProcedure="false">In!$D$467</definedName>
    <definedName function="false" hidden="false" name="lc_avrel_29" vbProcedure="false">In!$E$468</definedName>
    <definedName function="false" hidden="false" name="lc_avrel_29_hi" vbProcedure="false">In!$F$468</definedName>
    <definedName function="false" hidden="false" name="lc_avrel_29_lo" vbProcedure="false">In!$D$468</definedName>
    <definedName function="false" hidden="false" name="lc_avsh_26" vbProcedure="false">In!$E$465</definedName>
    <definedName function="false" hidden="false" name="lc_cool_gb" vbProcedure="false">In!$E$453</definedName>
    <definedName function="false" hidden="false" name="lc_cool_gb_hi" vbProcedure="false">In!$F$453</definedName>
    <definedName function="false" hidden="false" name="lc_cool_gb_lo" vbProcedure="false">In!$D$453</definedName>
    <definedName function="false" hidden="false" name="lc_cool_vr" vbProcedure="false">In!$E$454</definedName>
    <definedName function="false" hidden="false" name="lc_cool_vr_hi" vbProcedure="false">In!$F$454</definedName>
    <definedName function="false" hidden="false" name="lc_cool_vr_lo" vbProcedure="false">In!$D$454</definedName>
    <definedName function="false" hidden="false" name="lc_jtsh_27" vbProcedure="false">In!$E$470</definedName>
    <definedName function="false" hidden="false" name="lc_jtsh_27_hi" vbProcedure="false">In!$F$470</definedName>
    <definedName function="false" hidden="false" name="lc_jtsh_27_lo" vbProcedure="false">In!$D$470</definedName>
    <definedName function="false" hidden="false" name="lc_jtsh_28" vbProcedure="false">In!$E$471</definedName>
    <definedName function="false" hidden="false" name="lc_jtsh_28_hi" vbProcedure="false">In!$F$471</definedName>
    <definedName function="false" hidden="false" name="lc_jtsh_28_lo" vbProcedure="false">In!$D$471</definedName>
    <definedName function="false" hidden="false" name="lc_jtsh_29" vbProcedure="false">In!$E$472</definedName>
    <definedName function="false" hidden="false" name="lc_jtsh_29_hi" vbProcedure="false">In!$F$472</definedName>
    <definedName function="false" hidden="false" name="lc_jtsh_29_lo" vbProcedure="false">In!$D$472</definedName>
    <definedName function="false" hidden="false" name="lc_mani" vbProcedure="false">In!$E$455</definedName>
    <definedName function="false" hidden="false" name="lc_mani_hi" vbProcedure="false">In!$F$455</definedName>
    <definedName function="false" hidden="false" name="lc_mani_lo" vbProcedure="false">In!$D$455</definedName>
    <definedName function="false" hidden="false" name="lc_pen_26" vbProcedure="false">In!$E$459</definedName>
    <definedName function="false" hidden="false" name="lc_pen_26_hi" vbProcedure="false">In!$F$459</definedName>
    <definedName function="false" hidden="false" name="lc_pen_26_lo" vbProcedure="false">In!$D$459</definedName>
    <definedName function="false" hidden="false" name="lc_pen_27" vbProcedure="false">In!$E$460</definedName>
    <definedName function="false" hidden="false" name="lc_pen_27_hi" vbProcedure="false">In!$F$460</definedName>
    <definedName function="false" hidden="false" name="lc_pen_27_lo" vbProcedure="false">In!$D$460</definedName>
    <definedName function="false" hidden="false" name="lc_pen_28" vbProcedure="false">In!$E$461</definedName>
    <definedName function="false" hidden="false" name="lc_pen_28_hi" vbProcedure="false">In!$F$461</definedName>
    <definedName function="false" hidden="false" name="lc_pen_28_lo" vbProcedure="false">In!$D$461</definedName>
    <definedName function="false" hidden="false" name="lc_pen_29" vbProcedure="false">In!$E$462</definedName>
    <definedName function="false" hidden="false" name="lc_pen_29_hi" vbProcedure="false">In!$F$462</definedName>
    <definedName function="false" hidden="false" name="lc_pen_29_lo" vbProcedure="false">In!$D$462</definedName>
    <definedName function="false" hidden="false" name="lc_tf_26" vbProcedure="false">In!$E$463</definedName>
    <definedName function="false" hidden="false" name="lc_tf_27" vbProcedure="false">In!$E$464</definedName>
    <definedName function="false" hidden="false" name="msh_oth_26" vbProcedure="false">In!$E$198</definedName>
    <definedName function="false" hidden="false" name="msh_oth_26_hi" vbProcedure="false">In!$F$198</definedName>
    <definedName function="false" hidden="false" name="msh_oth_26_lo" vbProcedure="false">In!$D$198</definedName>
    <definedName function="false" hidden="false" name="msh_oth_27" vbProcedure="false">In!$E$199</definedName>
    <definedName function="false" hidden="false" name="msh_oth_27_hi" vbProcedure="false">In!$F$199</definedName>
    <definedName function="false" hidden="false" name="msh_oth_27_lo" vbProcedure="false">In!$D$199</definedName>
    <definedName function="false" hidden="false" name="msh_oth_28" vbProcedure="false">In!$E$200</definedName>
    <definedName function="false" hidden="false" name="msh_oth_28_hi" vbProcedure="false">In!$F$200</definedName>
    <definedName function="false" hidden="false" name="msh_oth_28_lo" vbProcedure="false">In!$D$200</definedName>
    <definedName function="false" hidden="false" name="msh_tpu_26" vbProcedure="false">In!$E$201</definedName>
    <definedName function="false" hidden="false" name="msh_tpu_26_hi" vbProcedure="false">In!$F$201</definedName>
    <definedName function="false" hidden="false" name="msh_tpu_26_lo" vbProcedure="false">In!$D$201</definedName>
    <definedName function="false" hidden="false" name="msh_tpu_27" vbProcedure="false">In!$E$202</definedName>
    <definedName function="false" hidden="false" name="msh_tpu_27_hi" vbProcedure="false">In!$F$202</definedName>
    <definedName function="false" hidden="false" name="msh_tpu_27_lo" vbProcedure="false">In!$D$202</definedName>
    <definedName function="false" hidden="false" name="msh_tpu_28" vbProcedure="false">In!$E$203</definedName>
    <definedName function="false" hidden="false" name="msh_tpu_28_hi" vbProcedure="false">In!$F$203</definedName>
    <definedName function="false" hidden="false" name="msh_tpu_28_lo" vbProcedure="false">In!$D$203</definedName>
    <definedName function="false" hidden="false" name="msh_trn_26" vbProcedure="false">In!$E$195</definedName>
    <definedName function="false" hidden="false" name="msh_trn_26_hi" vbProcedure="false">In!$F$195</definedName>
    <definedName function="false" hidden="false" name="msh_trn_26_lo" vbProcedure="false">In!$D$195</definedName>
    <definedName function="false" hidden="false" name="msh_trn_27" vbProcedure="false">In!$E$196</definedName>
    <definedName function="false" hidden="false" name="msh_trn_27_hi" vbProcedure="false">In!$F$196</definedName>
    <definedName function="false" hidden="false" name="msh_trn_27_lo" vbProcedure="false">In!$D$196</definedName>
    <definedName function="false" hidden="false" name="msh_trn_28" vbProcedure="false">In!$E$197</definedName>
    <definedName function="false" hidden="false" name="msh_trn_28_hi" vbProcedure="false">In!$F$197</definedName>
    <definedName function="false" hidden="false" name="msh_trn_28_lo" vbProcedure="false">In!$D$197</definedName>
    <definedName function="false" hidden="false" name="mtk_oth_26" vbProcedure="false">In!$E$207</definedName>
    <definedName function="false" hidden="false" name="mtk_oth_26_hi" vbProcedure="false">In!$F$207</definedName>
    <definedName function="false" hidden="false" name="mtk_oth_26_lo" vbProcedure="false">In!$D$207</definedName>
    <definedName function="false" hidden="false" name="mtk_oth_27" vbProcedure="false">In!$E$208</definedName>
    <definedName function="false" hidden="false" name="mtk_oth_27_hi" vbProcedure="false">In!$F$208</definedName>
    <definedName function="false" hidden="false" name="mtk_oth_27_lo" vbProcedure="false">In!$D$208</definedName>
    <definedName function="false" hidden="false" name="mtk_oth_28" vbProcedure="false">In!$E$209</definedName>
    <definedName function="false" hidden="false" name="mtk_oth_28_hi" vbProcedure="false">In!$F$209</definedName>
    <definedName function="false" hidden="false" name="mtk_oth_28_lo" vbProcedure="false">In!$D$209</definedName>
    <definedName function="false" hidden="false" name="mtk_tpu_26" vbProcedure="false">In!$E$204</definedName>
    <definedName function="false" hidden="false" name="mtk_tpu_26_hi" vbProcedure="false">In!$F$204</definedName>
    <definedName function="false" hidden="false" name="mtk_tpu_26_lo" vbProcedure="false">In!$D$204</definedName>
    <definedName function="false" hidden="false" name="mtk_tpu_27" vbProcedure="false">In!$E$205</definedName>
    <definedName function="false" hidden="false" name="mtk_tpu_27_hi" vbProcedure="false">In!$F$205</definedName>
    <definedName function="false" hidden="false" name="mtk_tpu_27_lo" vbProcedure="false">In!$D$205</definedName>
    <definedName function="false" hidden="false" name="mtk_tpu_28" vbProcedure="false">In!$E$206</definedName>
    <definedName function="false" hidden="false" name="mtk_tpu_28_hi" vbProcedure="false">In!$F$206</definedName>
    <definedName function="false" hidden="false" name="mtk_tpu_28_lo" vbProcedure="false">In!$D$206</definedName>
    <definedName function="false" hidden="false" name="nqA_10" vbProcedure="false">In!$E$58</definedName>
    <definedName function="false" hidden="false" name="nqA_11" vbProcedure="false">In!$E$59</definedName>
    <definedName function="false" hidden="false" name="nqA_12" vbProcedure="false">In!$E$60</definedName>
    <definedName function="false" hidden="false" name="nqA_13" vbProcedure="false">In!$E$61</definedName>
    <definedName function="false" hidden="false" name="nqA_14" vbProcedure="false">In!$E$62</definedName>
    <definedName function="false" hidden="false" name="nqA_15" vbProcedure="false">In!$E$63</definedName>
    <definedName function="false" hidden="false" name="nqA_16" vbProcedure="false">In!$E$64</definedName>
    <definedName function="false" hidden="false" name="nqA_17" vbProcedure="false">In!$E$65</definedName>
    <definedName function="false" hidden="false" name="nqA_18" vbProcedure="false">In!$E$66</definedName>
    <definedName function="false" hidden="false" name="nqA_19" vbProcedure="false">In!$E$67</definedName>
    <definedName function="false" hidden="false" name="nqA_8" vbProcedure="false">In!$E$56</definedName>
    <definedName function="false" hidden="false" name="nqA_9" vbProcedure="false">In!$E$57</definedName>
    <definedName function="false" hidden="false" name="nqB_10" vbProcedure="false">In!$E$70</definedName>
    <definedName function="false" hidden="false" name="nqB_11" vbProcedure="false">In!$E$71</definedName>
    <definedName function="false" hidden="false" name="nqB_12" vbProcedure="false">In!$E$72</definedName>
    <definedName function="false" hidden="false" name="nqB_13" vbProcedure="false">In!$E$73</definedName>
    <definedName function="false" hidden="false" name="nqB_14" vbProcedure="false">In!$E$74</definedName>
    <definedName function="false" hidden="false" name="nqB_15" vbProcedure="false">In!$E$75</definedName>
    <definedName function="false" hidden="false" name="nqB_16" vbProcedure="false">In!$E$76</definedName>
    <definedName function="false" hidden="false" name="nqB_17" vbProcedure="false">In!$E$77</definedName>
    <definedName function="false" hidden="false" name="nqB_18" vbProcedure="false">In!$E$78</definedName>
    <definedName function="false" hidden="false" name="nqB_19" vbProcedure="false">In!$E$79</definedName>
    <definedName function="false" hidden="false" name="nqB_8" vbProcedure="false">In!$E$68</definedName>
    <definedName function="false" hidden="false" name="nqB_9" vbProcedure="false">In!$E$69</definedName>
    <definedName function="false" hidden="false" name="nqC_10" vbProcedure="false">In!$E$82</definedName>
    <definedName function="false" hidden="false" name="nqC_10_hi" vbProcedure="false">In!$F$82</definedName>
    <definedName function="false" hidden="false" name="nqC_10_lo" vbProcedure="false">In!$D$82</definedName>
    <definedName function="false" hidden="false" name="nqC_11" vbProcedure="false">In!$E$83</definedName>
    <definedName function="false" hidden="false" name="nqC_11_hi" vbProcedure="false">In!$F$83</definedName>
    <definedName function="false" hidden="false" name="nqC_11_lo" vbProcedure="false">In!$D$83</definedName>
    <definedName function="false" hidden="false" name="nqC_12" vbProcedure="false">In!$E$84</definedName>
    <definedName function="false" hidden="false" name="nqC_12_hi" vbProcedure="false">In!$F$84</definedName>
    <definedName function="false" hidden="false" name="nqC_12_lo" vbProcedure="false">In!$D$84</definedName>
    <definedName function="false" hidden="false" name="nqC_13" vbProcedure="false">In!$E$85</definedName>
    <definedName function="false" hidden="false" name="nqC_13_hi" vbProcedure="false">In!$F$85</definedName>
    <definedName function="false" hidden="false" name="nqC_13_lo" vbProcedure="false">In!$D$85</definedName>
    <definedName function="false" hidden="false" name="nqC_14" vbProcedure="false">In!$E$86</definedName>
    <definedName function="false" hidden="false" name="nqC_14_hi" vbProcedure="false">In!$F$86</definedName>
    <definedName function="false" hidden="false" name="nqC_14_lo" vbProcedure="false">In!$D$86</definedName>
    <definedName function="false" hidden="false" name="nqC_15" vbProcedure="false">In!$E$87</definedName>
    <definedName function="false" hidden="false" name="nqC_15_hi" vbProcedure="false">In!$F$87</definedName>
    <definedName function="false" hidden="false" name="nqC_15_lo" vbProcedure="false">In!$D$87</definedName>
    <definedName function="false" hidden="false" name="nqC_16" vbProcedure="false">In!$E$88</definedName>
    <definedName function="false" hidden="false" name="nqC_16_hi" vbProcedure="false">In!$F$88</definedName>
    <definedName function="false" hidden="false" name="nqC_16_lo" vbProcedure="false">In!$D$88</definedName>
    <definedName function="false" hidden="false" name="nqC_17" vbProcedure="false">In!$E$89</definedName>
    <definedName function="false" hidden="false" name="nqC_17_hi" vbProcedure="false">In!$F$89</definedName>
    <definedName function="false" hidden="false" name="nqC_17_lo" vbProcedure="false">In!$D$89</definedName>
    <definedName function="false" hidden="false" name="nqC_18" vbProcedure="false">In!$E$90</definedName>
    <definedName function="false" hidden="false" name="nqC_18_hi" vbProcedure="false">In!$F$90</definedName>
    <definedName function="false" hidden="false" name="nqC_18_lo" vbProcedure="false">In!$D$90</definedName>
    <definedName function="false" hidden="false" name="nqC_19" vbProcedure="false">In!$E$91</definedName>
    <definedName function="false" hidden="false" name="nqC_19_hi" vbProcedure="false">In!$F$91</definedName>
    <definedName function="false" hidden="false" name="nqC_19_lo" vbProcedure="false">In!$D$91</definedName>
    <definedName function="false" hidden="false" name="nqC_8" vbProcedure="false">In!$E$80</definedName>
    <definedName function="false" hidden="false" name="nqC_8_hi" vbProcedure="false">In!$F$80</definedName>
    <definedName function="false" hidden="false" name="nqC_8_lo" vbProcedure="false">In!$D$80</definedName>
    <definedName function="false" hidden="false" name="nqC_9" vbProcedure="false">In!$E$81</definedName>
    <definedName function="false" hidden="false" name="nqC_9_hi" vbProcedure="false">In!$F$81</definedName>
    <definedName function="false" hidden="false" name="nqC_9_lo" vbProcedure="false">In!$D$81</definedName>
    <definedName function="false" hidden="false" name="nq_1" vbProcedure="false">In!$E$49</definedName>
    <definedName function="false" hidden="false" name="nq_2" vbProcedure="false">In!$E$50</definedName>
    <definedName function="false" hidden="false" name="nq_3" vbProcedure="false">In!$E$51</definedName>
    <definedName function="false" hidden="false" name="nq_4" vbProcedure="false">In!$E$52</definedName>
    <definedName function="false" hidden="false" name="nq_5" vbProcedure="false">In!$E$53</definedName>
    <definedName function="false" hidden="false" name="nq_6" vbProcedure="false">In!$E$54</definedName>
    <definedName function="false" hidden="false" name="nq_7" vbProcedure="false">In!$E$55</definedName>
    <definedName function="false" hidden="false" name="nv_content" vbProcedure="false">In!$E$166</definedName>
    <definedName function="false" hidden="false" name="nv_content_hi" vbProcedure="false">In!$F$166</definedName>
    <definedName function="false" hidden="false" name="nv_content_lo" vbProcedure="false">In!$D$166</definedName>
    <definedName function="false" hidden="false" name="nv_dc26" vbProcedure="false">In!$E$165</definedName>
    <definedName function="false" hidden="false" name="nv_dc26_hi" vbProcedure="false">In!$F$165</definedName>
    <definedName function="false" hidden="false" name="nv_dc26_lo" vbProcedure="false">In!$D$165</definedName>
    <definedName function="false" hidden="false" name="nv_hbm" vbProcedure="false">In!$E$167</definedName>
    <definedName function="false" hidden="false" name="nv_hbm_hi" vbProcedure="false">In!$F$167</definedName>
    <definedName function="false" hidden="false" name="nv_hbm_lo" vbProcedure="false">In!$D$167</definedName>
    <definedName function="false" hidden="false" name="pa_amd" vbProcedure="false">In!$E$181</definedName>
    <definedName function="false" hidden="false" name="pa_amd_hi" vbProcedure="false">In!$F$181</definedName>
    <definedName function="false" hidden="false" name="pa_amd_lo" vbProcedure="false">In!$D$181</definedName>
    <definedName function="false" hidden="false" name="pa_oth" vbProcedure="false">In!$E$184</definedName>
    <definedName function="false" hidden="false" name="pa_oth_hi" vbProcedure="false">In!$F$184</definedName>
    <definedName function="false" hidden="false" name="pa_oth_lo" vbProcedure="false">In!$D$184</definedName>
    <definedName function="false" hidden="false" name="pa_tpu" vbProcedure="false">In!$E$182</definedName>
    <definedName function="false" hidden="false" name="pa_tpu_hi" vbProcedure="false">In!$F$182</definedName>
    <definedName function="false" hidden="false" name="pa_tpu_lo" vbProcedure="false">In!$D$182</definedName>
    <definedName function="false" hidden="false" name="pa_trn" vbProcedure="false">In!$E$183</definedName>
    <definedName function="false" hidden="false" name="pa_trn_hi" vbProcedure="false">In!$F$183</definedName>
    <definedName function="false" hidden="false" name="pa_trn_lo" vbProcedure="false">In!$D$183</definedName>
    <definedName function="false" hidden="false" name="pcb_cmpx_27" vbProcedure="false">In!$E$410</definedName>
    <definedName function="false" hidden="false" name="pcb_cmpx_27_hi" vbProcedure="false">In!$F$410</definedName>
    <definedName function="false" hidden="false" name="pcb_cmpx_27_lo" vbProcedure="false">In!$D$410</definedName>
    <definedName function="false" hidden="false" name="pcb_cmpx_28" vbProcedure="false">In!$E$411</definedName>
    <definedName function="false" hidden="false" name="pcb_cmpx_28_hi" vbProcedure="false">In!$F$411</definedName>
    <definedName function="false" hidden="false" name="pcb_cmpx_28_lo" vbProcedure="false">In!$D$411</definedName>
    <definedName function="false" hidden="false" name="pcb_cmpx_29" vbProcedure="false">In!$E$412</definedName>
    <definedName function="false" hidden="false" name="pcb_cmpx_29_hi" vbProcedure="false">In!$F$412</definedName>
    <definedName function="false" hidden="false" name="pcb_cmpx_29_lo" vbProcedure="false">In!$D$412</definedName>
    <definedName function="false" hidden="false" name="pcb_cmp_26" vbProcedure="false">In!$E$407</definedName>
    <definedName function="false" hidden="false" name="pcb_cmp_26_hi" vbProcedure="false">In!$F$407</definedName>
    <definedName function="false" hidden="false" name="pcb_cmp_26_lo" vbProcedure="false">In!$D$407</definedName>
    <definedName function="false" hidden="false" name="pcb_midx_27" vbProcedure="false">In!$E$416</definedName>
    <definedName function="false" hidden="false" name="pcb_midx_27_hi" vbProcedure="false">In!$F$416</definedName>
    <definedName function="false" hidden="false" name="pcb_midx_27_lo" vbProcedure="false">In!$D$416</definedName>
    <definedName function="false" hidden="false" name="pcb_midx_28" vbProcedure="false">In!$E$417</definedName>
    <definedName function="false" hidden="false" name="pcb_midx_28_hi" vbProcedure="false">In!$F$417</definedName>
    <definedName function="false" hidden="false" name="pcb_midx_28_lo" vbProcedure="false">In!$D$417</definedName>
    <definedName function="false" hidden="false" name="pcb_midx_29" vbProcedure="false">In!$E$418</definedName>
    <definedName function="false" hidden="false" name="pcb_midx_29_hi" vbProcedure="false">In!$F$418</definedName>
    <definedName function="false" hidden="false" name="pcb_midx_29_lo" vbProcedure="false">In!$D$418</definedName>
    <definedName function="false" hidden="false" name="pcb_mid_26" vbProcedure="false">In!$E$409</definedName>
    <definedName function="false" hidden="false" name="pcb_mid_26_hi" vbProcedure="false">In!$F$409</definedName>
    <definedName function="false" hidden="false" name="pcb_mid_26_lo" vbProcedure="false">In!$D$409</definedName>
    <definedName function="false" hidden="false" name="pcb_swx_27" vbProcedure="false">In!$E$413</definedName>
    <definedName function="false" hidden="false" name="pcb_swx_27_hi" vbProcedure="false">In!$F$413</definedName>
    <definedName function="false" hidden="false" name="pcb_swx_27_lo" vbProcedure="false">In!$D$413</definedName>
    <definedName function="false" hidden="false" name="pcb_swx_28" vbProcedure="false">In!$E$414</definedName>
    <definedName function="false" hidden="false" name="pcb_swx_28_hi" vbProcedure="false">In!$F$414</definedName>
    <definedName function="false" hidden="false" name="pcb_swx_28_lo" vbProcedure="false">In!$D$414</definedName>
    <definedName function="false" hidden="false" name="pcb_swx_29" vbProcedure="false">In!$E$415</definedName>
    <definedName function="false" hidden="false" name="pcb_swx_29_hi" vbProcedure="false">In!$F$415</definedName>
    <definedName function="false" hidden="false" name="pcb_swx_29_lo" vbProcedure="false">In!$D$415</definedName>
    <definedName function="false" hidden="false" name="pcb_sw_26" vbProcedure="false">In!$E$408</definedName>
    <definedName function="false" hidden="false" name="pcb_sw_26_hi" vbProcedure="false">In!$F$408</definedName>
    <definedName function="false" hidden="false" name="pcb_sw_26_lo" vbProcedure="false">In!$D$408</definedName>
    <definedName function="false" hidden="false" name="pub26_hi" vbProcedure="false">In!$E$169</definedName>
    <definedName function="false" hidden="false" name="pub26_lo" vbProcedure="false">In!$E$168</definedName>
    <definedName function="false" hidden="false" name="pub27" vbProcedure="false">In!$E$170</definedName>
    <definedName function="false" hidden="false" name="pwr_drel_27" vbProcedure="false">In!$E$436</definedName>
    <definedName function="false" hidden="false" name="pwr_drel_27_hi" vbProcedure="false">In!$F$436</definedName>
    <definedName function="false" hidden="false" name="pwr_drel_27_lo" vbProcedure="false">In!$D$436</definedName>
    <definedName function="false" hidden="false" name="pwr_drel_28" vbProcedure="false">In!$E$437</definedName>
    <definedName function="false" hidden="false" name="pwr_drel_28_hi" vbProcedure="false">In!$F$437</definedName>
    <definedName function="false" hidden="false" name="pwr_drel_28_lo" vbProcedure="false">In!$D$437</definedName>
    <definedName function="false" hidden="false" name="pwr_drel_29" vbProcedure="false">In!$E$438</definedName>
    <definedName function="false" hidden="false" name="pwr_drel_29_hi" vbProcedure="false">In!$F$438</definedName>
    <definedName function="false" hidden="false" name="pwr_drel_29_lo" vbProcedure="false">In!$D$438</definedName>
    <definedName function="false" hidden="false" name="pwr_dsh_26" vbProcedure="false">In!$E$442</definedName>
    <definedName function="false" hidden="false" name="pwr_kgi_0701" vbProcedure="false">In!$E$444</definedName>
    <definedName function="false" hidden="false" name="pwr_kgi_0926" vbProcedure="false">In!$E$445</definedName>
    <definedName function="false" hidden="false" name="pwr_kgi_0926_hi" vbProcedure="false">In!$F$445</definedName>
    <definedName function="false" hidden="false" name="pwr_kgi_0926_lo" vbProcedure="false">In!$D$445</definedName>
    <definedName function="false" hidden="false" name="pwr_lrel_27" vbProcedure="false">In!$E$439</definedName>
    <definedName function="false" hidden="false" name="pwr_lrel_27_hi" vbProcedure="false">In!$F$439</definedName>
    <definedName function="false" hidden="false" name="pwr_lrel_27_lo" vbProcedure="false">In!$D$439</definedName>
    <definedName function="false" hidden="false" name="pwr_lrel_28" vbProcedure="false">In!$E$440</definedName>
    <definedName function="false" hidden="false" name="pwr_lrel_28_hi" vbProcedure="false">In!$F$440</definedName>
    <definedName function="false" hidden="false" name="pwr_lrel_28_lo" vbProcedure="false">In!$D$440</definedName>
    <definedName function="false" hidden="false" name="pwr_lrel_29" vbProcedure="false">In!$E$441</definedName>
    <definedName function="false" hidden="false" name="pwr_lrel_29_hi" vbProcedure="false">In!$F$441</definedName>
    <definedName function="false" hidden="false" name="pwr_lrel_29_lo" vbProcedure="false">In!$D$441</definedName>
    <definedName function="false" hidden="false" name="pwr_lsh_26" vbProcedure="false">In!$E$443</definedName>
    <definedName function="false" hidden="false" name="pwr_pkw_26" vbProcedure="false">In!$E$432</definedName>
    <definedName function="false" hidden="false" name="pwr_pkw_26_hi" vbProcedure="false">In!$F$432</definedName>
    <definedName function="false" hidden="false" name="pwr_pkw_26_lo" vbProcedure="false">In!$D$432</definedName>
    <definedName function="false" hidden="false" name="pwr_pkw_27" vbProcedure="false">In!$E$433</definedName>
    <definedName function="false" hidden="false" name="pwr_pkw_27_hi" vbProcedure="false">In!$F$433</definedName>
    <definedName function="false" hidden="false" name="pwr_pkw_27_lo" vbProcedure="false">In!$D$433</definedName>
    <definedName function="false" hidden="false" name="pwr_pkw_28" vbProcedure="false">In!$E$434</definedName>
    <definedName function="false" hidden="false" name="pwr_pkw_28_hi" vbProcedure="false">In!$F$434</definedName>
    <definedName function="false" hidden="false" name="pwr_pkw_28_lo" vbProcedure="false">In!$D$434</definedName>
    <definedName function="false" hidden="false" name="pwr_pkw_29" vbProcedure="false">In!$E$435</definedName>
    <definedName function="false" hidden="false" name="pwr_pkw_29_hi" vbProcedure="false">In!$F$435</definedName>
    <definedName function="false" hidden="false" name="pwr_pkw_29_lo" vbProcedure="false">In!$D$435</definedName>
    <definedName function="false" hidden="false" name="pwr_ubs_26" vbProcedure="false">In!$E$446</definedName>
    <definedName function="false" hidden="false" name="pwr_ubs_27" vbProcedure="false">In!$E$447</definedName>
    <definedName function="false" hidden="false" name="SGOV_Errors" vbProcedure="false">Checks!$C$96</definedName>
    <definedName function="false" hidden="false" name="SGOV_Warn" vbProcedure="false">Checks!$C$97</definedName>
    <definedName function="false" hidden="false" name="sh_oth_26" vbProcedure="false">In!$E$192</definedName>
    <definedName function="false" hidden="false" name="sh_oth_26_hi" vbProcedure="false">In!$F$192</definedName>
    <definedName function="false" hidden="false" name="sh_oth_26_lo" vbProcedure="false">In!$D$192</definedName>
    <definedName function="false" hidden="false" name="sh_oth_27" vbProcedure="false">In!$E$193</definedName>
    <definedName function="false" hidden="false" name="sh_oth_27_hi" vbProcedure="false">In!$F$193</definedName>
    <definedName function="false" hidden="false" name="sh_oth_27_lo" vbProcedure="false">In!$D$193</definedName>
    <definedName function="false" hidden="false" name="sh_oth_28" vbProcedure="false">In!$E$194</definedName>
    <definedName function="false" hidden="false" name="sh_oth_28_hi" vbProcedure="false">In!$F$194</definedName>
    <definedName function="false" hidden="false" name="sh_oth_28_lo" vbProcedure="false">In!$D$194</definedName>
    <definedName function="false" hidden="false" name="sh_tpu_26" vbProcedure="false">In!$E$189</definedName>
    <definedName function="false" hidden="false" name="sh_tpu_26_hi" vbProcedure="false">In!$F$189</definedName>
    <definedName function="false" hidden="false" name="sh_tpu_26_lo" vbProcedure="false">In!$D$189</definedName>
    <definedName function="false" hidden="false" name="sh_tpu_27" vbProcedure="false">In!$E$190</definedName>
    <definedName function="false" hidden="false" name="sh_tpu_27_hi" vbProcedure="false">In!$F$190</definedName>
    <definedName function="false" hidden="false" name="sh_tpu_27_lo" vbProcedure="false">In!$D$190</definedName>
    <definedName function="false" hidden="false" name="sh_tpu_28" vbProcedure="false">In!$E$191</definedName>
    <definedName function="false" hidden="false" name="sh_tpu_28_hi" vbProcedure="false">In!$F$191</definedName>
    <definedName function="false" hidden="false" name="sh_tpu_28_lo" vbProcedure="false">In!$D$191</definedName>
    <definedName function="false" hidden="false" name="SIF_abfcap_ib_27" vbProcedure="false">Interface!$E$373</definedName>
    <definedName function="false" hidden="false" name="SIF_abfcap_ib_27_hi" vbProcedure="false">Interface!$F$373</definedName>
    <definedName function="false" hidden="false" name="SIF_abfcap_ib_27_lo" vbProcedure="false">Interface!$D$373</definedName>
    <definedName function="false" hidden="false" name="SIF_abfcap_ib_28" vbProcedure="false">Interface!$E$374</definedName>
    <definedName function="false" hidden="false" name="SIF_abfcap_ib_28_hi" vbProcedure="false">Interface!$F$374</definedName>
    <definedName function="false" hidden="false" name="SIF_abfcap_ib_28_lo" vbProcedure="false">Interface!$D$374</definedName>
    <definedName function="false" hidden="false" name="SIF_abfcap_ib_29" vbProcedure="false">Interface!$E$375</definedName>
    <definedName function="false" hidden="false" name="SIF_abfcap_ib_29_hi" vbProcedure="false">Interface!$F$375</definedName>
    <definedName function="false" hidden="false" name="SIF_abfcap_ib_29_lo" vbProcedure="false">Interface!$D$375</definedName>
    <definedName function="false" hidden="false" name="SIF_abfcap_ks_27" vbProcedure="false">Interface!$E$382</definedName>
    <definedName function="false" hidden="false" name="SIF_abfcap_ks_27_hi" vbProcedure="false">Interface!$F$382</definedName>
    <definedName function="false" hidden="false" name="SIF_abfcap_ks_27_lo" vbProcedure="false">Interface!$D$382</definedName>
    <definedName function="false" hidden="false" name="SIF_abfcap_ks_28" vbProcedure="false">Interface!$E$383</definedName>
    <definedName function="false" hidden="false" name="SIF_abfcap_ks_28_hi" vbProcedure="false">Interface!$F$383</definedName>
    <definedName function="false" hidden="false" name="SIF_abfcap_ks_28_lo" vbProcedure="false">Interface!$D$383</definedName>
    <definedName function="false" hidden="false" name="SIF_abfcap_ks_29" vbProcedure="false">Interface!$E$384</definedName>
    <definedName function="false" hidden="false" name="SIF_abfcap_ks_29_hi" vbProcedure="false">Interface!$F$384</definedName>
    <definedName function="false" hidden="false" name="SIF_abfcap_ks_29_lo" vbProcedure="false">Interface!$D$384</definedName>
    <definedName function="false" hidden="false" name="SIF_abfcap_np_27" vbProcedure="false">Interface!$E$379</definedName>
    <definedName function="false" hidden="false" name="SIF_abfcap_np_27_hi" vbProcedure="false">Interface!$F$379</definedName>
    <definedName function="false" hidden="false" name="SIF_abfcap_np_27_lo" vbProcedure="false">Interface!$D$379</definedName>
    <definedName function="false" hidden="false" name="SIF_abfcap_np_28" vbProcedure="false">Interface!$E$380</definedName>
    <definedName function="false" hidden="false" name="SIF_abfcap_np_28_hi" vbProcedure="false">Interface!$F$380</definedName>
    <definedName function="false" hidden="false" name="SIF_abfcap_np_28_lo" vbProcedure="false">Interface!$D$380</definedName>
    <definedName function="false" hidden="false" name="SIF_abfcap_np_29" vbProcedure="false">Interface!$E$381</definedName>
    <definedName function="false" hidden="false" name="SIF_abfcap_np_29_hi" vbProcedure="false">Interface!$F$381</definedName>
    <definedName function="false" hidden="false" name="SIF_abfcap_np_29_lo" vbProcedure="false">Interface!$D$381</definedName>
    <definedName function="false" hidden="false" name="SIF_abfcap_oth_27" vbProcedure="false">Interface!$E$385</definedName>
    <definedName function="false" hidden="false" name="SIF_abfcap_oth_27_hi" vbProcedure="false">Interface!$F$385</definedName>
    <definedName function="false" hidden="false" name="SIF_abfcap_oth_27_lo" vbProcedure="false">Interface!$D$385</definedName>
    <definedName function="false" hidden="false" name="SIF_abfcap_oth_28" vbProcedure="false">Interface!$E$386</definedName>
    <definedName function="false" hidden="false" name="SIF_abfcap_oth_28_hi" vbProcedure="false">Interface!$F$386</definedName>
    <definedName function="false" hidden="false" name="SIF_abfcap_oth_28_lo" vbProcedure="false">Interface!$D$386</definedName>
    <definedName function="false" hidden="false" name="SIF_abfcap_oth_29" vbProcedure="false">Interface!$E$387</definedName>
    <definedName function="false" hidden="false" name="SIF_abfcap_oth_29_hi" vbProcedure="false">Interface!$F$387</definedName>
    <definedName function="false" hidden="false" name="SIF_abfcap_oth_29_lo" vbProcedure="false">Interface!$D$387</definedName>
    <definedName function="false" hidden="false" name="SIF_abfcap_un_27" vbProcedure="false">Interface!$E$376</definedName>
    <definedName function="false" hidden="false" name="SIF_abfcap_un_27_hi" vbProcedure="false">Interface!$F$376</definedName>
    <definedName function="false" hidden="false" name="SIF_abfcap_un_27_lo" vbProcedure="false">Interface!$D$376</definedName>
    <definedName function="false" hidden="false" name="SIF_abfcap_un_28" vbProcedure="false">Interface!$E$377</definedName>
    <definedName function="false" hidden="false" name="SIF_abfcap_un_28_hi" vbProcedure="false">Interface!$F$377</definedName>
    <definedName function="false" hidden="false" name="SIF_abfcap_un_28_lo" vbProcedure="false">Interface!$D$377</definedName>
    <definedName function="false" hidden="false" name="SIF_abfcap_un_29" vbProcedure="false">Interface!$E$378</definedName>
    <definedName function="false" hidden="false" name="SIF_abfcap_un_29_hi" vbProcedure="false">Interface!$F$378</definedName>
    <definedName function="false" hidden="false" name="SIF_abfcap_un_29_lo" vbProcedure="false">Interface!$D$378</definedName>
    <definedName function="false" hidden="false" name="SIF_ABFDemIdx_A" vbProcedure="false">Interface!$E$513:$H$513</definedName>
    <definedName function="false" hidden="false" name="SIF_ABFDemIdx_B" vbProcedure="false">Interface!$E$514:$H$514</definedName>
    <definedName function="false" hidden="false" name="SIF_ABFDemIdx_C" vbProcedure="false">Interface!$E$515:$H$515</definedName>
    <definedName function="false" hidden="false" name="SIF_ABFFilmIdx" vbProcedure="false">Interface!$E$517:$H$517</definedName>
    <definedName function="false" hidden="false" name="SIF_abffilm_27" vbProcedure="false">Interface!$E$388</definedName>
    <definedName function="false" hidden="false" name="SIF_abffilm_27_hi" vbProcedure="false">Interface!$F$388</definedName>
    <definedName function="false" hidden="false" name="SIF_abffilm_27_lo" vbProcedure="false">Interface!$D$388</definedName>
    <definedName function="false" hidden="false" name="SIF_abffilm_28" vbProcedure="false">Interface!$E$389</definedName>
    <definedName function="false" hidden="false" name="SIF_abffilm_28_hi" vbProcedure="false">Interface!$F$389</definedName>
    <definedName function="false" hidden="false" name="SIF_abffilm_28_lo" vbProcedure="false">Interface!$D$389</definedName>
    <definedName function="false" hidden="false" name="SIF_abffilm_29" vbProcedure="false">Interface!$E$390</definedName>
    <definedName function="false" hidden="false" name="SIF_abffilm_29_hi" vbProcedure="false">Interface!$F$390</definedName>
    <definedName function="false" hidden="false" name="SIF_abffilm_29_lo" vbProcedure="false">Interface!$D$390</definedName>
    <definedName function="false" hidden="false" name="SIF_ABFGap_A" vbProcedure="false">Interface!$E$519:$H$519</definedName>
    <definedName function="false" hidden="false" name="SIF_ABFGap_B" vbProcedure="false">Interface!$E$520:$H$520</definedName>
    <definedName function="false" hidden="false" name="SIF_ABFGap_C" vbProcedure="false">Interface!$E$521:$H$521</definedName>
    <definedName function="false" hidden="false" name="SIF_abfm_25" vbProcedure="false">Interface!$E$363</definedName>
    <definedName function="false" hidden="false" name="SIF_abfm_g26" vbProcedure="false">Interface!$E$364</definedName>
    <definedName function="false" hidden="false" name="SIF_abfm_g26_hi" vbProcedure="false">Interface!$F$364</definedName>
    <definedName function="false" hidden="false" name="SIF_abfm_g26_lo" vbProcedure="false">Interface!$D$364</definedName>
    <definedName function="false" hidden="false" name="SIF_abfrev_ib26" vbProcedure="false">Interface!$E$369</definedName>
    <definedName function="false" hidden="false" name="SIF_abfrev_ib26_hi" vbProcedure="false">Interface!$F$369</definedName>
    <definedName function="false" hidden="false" name="SIF_abfrev_ib26_lo" vbProcedure="false">Interface!$D$369</definedName>
    <definedName function="false" hidden="false" name="SIF_abfrev_ks26" vbProcedure="false">Interface!$E$372</definedName>
    <definedName function="false" hidden="false" name="SIF_abfrev_np26" vbProcedure="false">Interface!$E$371</definedName>
    <definedName function="false" hidden="false" name="SIF_abfrev_un26" vbProcedure="false">Interface!$E$370</definedName>
    <definedName function="false" hidden="false" name="SIF_ABFShareSum_nv" vbProcedure="false">Interface!$E$500:$H$500</definedName>
    <definedName function="false" hidden="false" name="SIF_ABFShareSum_ot" vbProcedure="false">Interface!$E$501:$H$501</definedName>
    <definedName function="false" hidden="false" name="SIF_ABFSubCapIdx" vbProcedure="false">Interface!$E$516:$H$516</definedName>
    <definedName function="false" hidden="false" name="SIF_ABFSupIdx" vbProcedure="false">Interface!$E$518:$H$518</definedName>
    <definedName function="false" hidden="false" name="SIF_abf_accsh26" vbProcedure="false">Interface!$E$366</definedName>
    <definedName function="false" hidden="false" name="SIF_abf_accsh26_hi" vbProcedure="false">Interface!$F$366</definedName>
    <definedName function="false" hidden="false" name="SIF_abf_accsh26_lo" vbProcedure="false">Interface!$D$366</definedName>
    <definedName function="false" hidden="false" name="SIF_abf_ai26" vbProcedure="false">Interface!$E$365</definedName>
    <definedName function="false" hidden="false" name="SIF_abf_ai26_hi" vbProcedure="false">Interface!$F$365</definedName>
    <definedName function="false" hidden="false" name="SIF_abf_ai26_lo" vbProcedure="false">Interface!$D$365</definedName>
    <definedName function="false" hidden="false" name="SIF_abf_gap_26" vbProcedure="false">Interface!$E$340</definedName>
    <definedName function="false" hidden="false" name="SIF_abf_gap_26_hi" vbProcedure="false">Interface!$F$340</definedName>
    <definedName function="false" hidden="false" name="SIF_abf_gap_26_lo" vbProcedure="false">Interface!$D$340</definedName>
    <definedName function="false" hidden="false" name="SIF_abf_gap_27" vbProcedure="false">Interface!$E$341</definedName>
    <definedName function="false" hidden="false" name="SIF_abf_gap_27_hi" vbProcedure="false">Interface!$F$341</definedName>
    <definedName function="false" hidden="false" name="SIF_abf_gap_27_lo" vbProcedure="false">Interface!$D$341</definedName>
    <definedName function="false" hidden="false" name="SIF_abf_gap_28" vbProcedure="false">Interface!$E$342</definedName>
    <definedName function="false" hidden="false" name="SIF_abf_gap_28_hi" vbProcedure="false">Interface!$F$342</definedName>
    <definedName function="false" hidden="false" name="SIF_abf_gap_28_lo" vbProcedure="false">Interface!$D$342</definedName>
    <definedName function="false" hidden="false" name="SIF_abf_gasp" vbProcedure="false">Interface!$E$312</definedName>
    <definedName function="false" hidden="false" name="SIF_abf_gasp_hi" vbProcedure="false">Interface!$F$312</definedName>
    <definedName function="false" hidden="false" name="SIF_abf_gasp_lo" vbProcedure="false">Interface!$D$312</definedName>
    <definedName function="false" hidden="false" name="SIF_abf_gnai" vbProcedure="false">Interface!$E$368</definedName>
    <definedName function="false" hidden="false" name="SIF_abf_gnai_hi" vbProcedure="false">Interface!$F$368</definedName>
    <definedName function="false" hidden="false" name="SIF_abf_gnai_lo" vbProcedure="false">Interface!$D$368</definedName>
    <definedName function="false" hidden="false" name="SIF_abf_ibrel_27" vbProcedure="false">Interface!$E$307</definedName>
    <definedName function="false" hidden="false" name="SIF_abf_ibrel_27_hi" vbProcedure="false">Interface!$F$307</definedName>
    <definedName function="false" hidden="false" name="SIF_abf_ibrel_27_lo" vbProcedure="false">Interface!$D$307</definedName>
    <definedName function="false" hidden="false" name="SIF_abf_ibrel_28" vbProcedure="false">Interface!$E$308</definedName>
    <definedName function="false" hidden="false" name="SIF_abf_ibrel_28_hi" vbProcedure="false">Interface!$F$308</definedName>
    <definedName function="false" hidden="false" name="SIF_abf_ibrel_28_lo" vbProcedure="false">Interface!$D$308</definedName>
    <definedName function="false" hidden="false" name="SIF_abf_ibrel_29" vbProcedure="false">Interface!$E$309</definedName>
    <definedName function="false" hidden="false" name="SIF_abf_ibrel_29_hi" vbProcedure="false">Interface!$F$309</definedName>
    <definedName function="false" hidden="false" name="SIF_abf_ibrel_29_lo" vbProcedure="false">Interface!$D$309</definedName>
    <definedName function="false" hidden="false" name="SIF_abf_ibsh26" vbProcedure="false">Interface!$E$306</definedName>
    <definedName function="false" hidden="false" name="SIF_abf_ibsh26_hi" vbProcedure="false">Interface!$F$306</definedName>
    <definedName function="false" hidden="false" name="SIF_abf_ibsh26_lo" vbProcedure="false">Interface!$D$306</definedName>
    <definedName function="false" hidden="false" name="SIF_abf_ks_nv_26" vbProcedure="false">Interface!$E$332</definedName>
    <definedName function="false" hidden="false" name="SIF_abf_ks_nv_26_hi" vbProcedure="false">Interface!$F$332</definedName>
    <definedName function="false" hidden="false" name="SIF_abf_ks_nv_26_lo" vbProcedure="false">Interface!$D$332</definedName>
    <definedName function="false" hidden="false" name="SIF_abf_ks_nv_27" vbProcedure="false">Interface!$E$333</definedName>
    <definedName function="false" hidden="false" name="SIF_abf_ks_nv_27_hi" vbProcedure="false">Interface!$F$333</definedName>
    <definedName function="false" hidden="false" name="SIF_abf_ks_nv_27_lo" vbProcedure="false">Interface!$D$333</definedName>
    <definedName function="false" hidden="false" name="SIF_abf_ks_nv_28" vbProcedure="false">Interface!$E$334</definedName>
    <definedName function="false" hidden="false" name="SIF_abf_ks_nv_28_hi" vbProcedure="false">Interface!$F$334</definedName>
    <definedName function="false" hidden="false" name="SIF_abf_ks_nv_28_lo" vbProcedure="false">Interface!$D$334</definedName>
    <definedName function="false" hidden="false" name="SIF_abf_ks_nv_29" vbProcedure="false">Interface!$E$335</definedName>
    <definedName function="false" hidden="false" name="SIF_abf_ks_nv_29_hi" vbProcedure="false">Interface!$F$335</definedName>
    <definedName function="false" hidden="false" name="SIF_abf_ks_nv_29_lo" vbProcedure="false">Interface!$D$335</definedName>
    <definedName function="false" hidden="false" name="SIF_abf_ks_ot_26" vbProcedure="false">Interface!$E$336</definedName>
    <definedName function="false" hidden="false" name="SIF_abf_ks_ot_26_hi" vbProcedure="false">Interface!$F$336</definedName>
    <definedName function="false" hidden="false" name="SIF_abf_ks_ot_26_lo" vbProcedure="false">Interface!$D$336</definedName>
    <definedName function="false" hidden="false" name="SIF_abf_ks_ot_27" vbProcedure="false">Interface!$E$337</definedName>
    <definedName function="false" hidden="false" name="SIF_abf_ks_ot_27_hi" vbProcedure="false">Interface!$F$337</definedName>
    <definedName function="false" hidden="false" name="SIF_abf_ks_ot_27_lo" vbProcedure="false">Interface!$D$337</definedName>
    <definedName function="false" hidden="false" name="SIF_abf_ks_ot_28" vbProcedure="false">Interface!$E$338</definedName>
    <definedName function="false" hidden="false" name="SIF_abf_ks_ot_28_hi" vbProcedure="false">Interface!$F$338</definedName>
    <definedName function="false" hidden="false" name="SIF_abf_ks_ot_28_lo" vbProcedure="false">Interface!$D$338</definedName>
    <definedName function="false" hidden="false" name="SIF_abf_ks_ot_29" vbProcedure="false">Interface!$E$339</definedName>
    <definedName function="false" hidden="false" name="SIF_abf_ks_ot_29_hi" vbProcedure="false">Interface!$F$339</definedName>
    <definedName function="false" hidden="false" name="SIF_abf_ks_ot_29_lo" vbProcedure="false">Interface!$D$339</definedName>
    <definedName function="false" hidden="false" name="SIF_abf_np_nv_26" vbProcedure="false">Interface!$E$324</definedName>
    <definedName function="false" hidden="false" name="SIF_abf_np_nv_26_hi" vbProcedure="false">Interface!$F$324</definedName>
    <definedName function="false" hidden="false" name="SIF_abf_np_nv_26_lo" vbProcedure="false">Interface!$D$324</definedName>
    <definedName function="false" hidden="false" name="SIF_abf_np_nv_27" vbProcedure="false">Interface!$E$325</definedName>
    <definedName function="false" hidden="false" name="SIF_abf_np_nv_27_hi" vbProcedure="false">Interface!$F$325</definedName>
    <definedName function="false" hidden="false" name="SIF_abf_np_nv_27_lo" vbProcedure="false">Interface!$D$325</definedName>
    <definedName function="false" hidden="false" name="SIF_abf_np_nv_28" vbProcedure="false">Interface!$E$326</definedName>
    <definedName function="false" hidden="false" name="SIF_abf_np_nv_28_hi" vbProcedure="false">Interface!$F$326</definedName>
    <definedName function="false" hidden="false" name="SIF_abf_np_nv_28_lo" vbProcedure="false">Interface!$D$326</definedName>
    <definedName function="false" hidden="false" name="SIF_abf_np_nv_29" vbProcedure="false">Interface!$E$327</definedName>
    <definedName function="false" hidden="false" name="SIF_abf_np_nv_29_hi" vbProcedure="false">Interface!$F$327</definedName>
    <definedName function="false" hidden="false" name="SIF_abf_np_nv_29_lo" vbProcedure="false">Interface!$D$327</definedName>
    <definedName function="false" hidden="false" name="SIF_abf_np_ot_26" vbProcedure="false">Interface!$E$328</definedName>
    <definedName function="false" hidden="false" name="SIF_abf_np_ot_26_hi" vbProcedure="false">Interface!$F$328</definedName>
    <definedName function="false" hidden="false" name="SIF_abf_np_ot_26_lo" vbProcedure="false">Interface!$D$328</definedName>
    <definedName function="false" hidden="false" name="SIF_abf_np_ot_27" vbProcedure="false">Interface!$E$329</definedName>
    <definedName function="false" hidden="false" name="SIF_abf_np_ot_27_hi" vbProcedure="false">Interface!$F$329</definedName>
    <definedName function="false" hidden="false" name="SIF_abf_np_ot_27_lo" vbProcedure="false">Interface!$D$329</definedName>
    <definedName function="false" hidden="false" name="SIF_abf_np_ot_28" vbProcedure="false">Interface!$E$330</definedName>
    <definedName function="false" hidden="false" name="SIF_abf_np_ot_28_hi" vbProcedure="false">Interface!$F$330</definedName>
    <definedName function="false" hidden="false" name="SIF_abf_np_ot_28_lo" vbProcedure="false">Interface!$D$330</definedName>
    <definedName function="false" hidden="false" name="SIF_abf_np_ot_29" vbProcedure="false">Interface!$E$331</definedName>
    <definedName function="false" hidden="false" name="SIF_abf_np_ot_29_hi" vbProcedure="false">Interface!$F$331</definedName>
    <definedName function="false" hidden="false" name="SIF_abf_np_ot_29_lo" vbProcedure="false">Interface!$D$331</definedName>
    <definedName function="false" hidden="false" name="SIF_abf_oai_el" vbProcedure="false">Interface!$E$367</definedName>
    <definedName function="false" hidden="false" name="SIF_abf_oai_el_hi" vbProcedure="false">Interface!$F$367</definedName>
    <definedName function="false" hidden="false" name="SIF_abf_oai_el_lo" vbProcedure="false">Interface!$D$367</definedName>
    <definedName function="false" hidden="false" name="SIF_abf_pp_27" vbProcedure="false">Interface!$E$313</definedName>
    <definedName function="false" hidden="false" name="SIF_abf_pp_27_hi" vbProcedure="false">Interface!$F$313</definedName>
    <definedName function="false" hidden="false" name="SIF_abf_pp_27_lo" vbProcedure="false">Interface!$D$313</definedName>
    <definedName function="false" hidden="false" name="SIF_abf_pp_28" vbProcedure="false">Interface!$E$314</definedName>
    <definedName function="false" hidden="false" name="SIF_abf_pp_28_hi" vbProcedure="false">Interface!$F$314</definedName>
    <definedName function="false" hidden="false" name="SIF_abf_pp_28_lo" vbProcedure="false">Interface!$D$314</definedName>
    <definedName function="false" hidden="false" name="SIF_abf_pp_29" vbProcedure="false">Interface!$E$315</definedName>
    <definedName function="false" hidden="false" name="SIF_abf_pp_29_hi" vbProcedure="false">Interface!$F$315</definedName>
    <definedName function="false" hidden="false" name="SIF_abf_pp_29_lo" vbProcedure="false">Interface!$D$315</definedName>
    <definedName function="false" hidden="false" name="SIF_abf_un_nv_26" vbProcedure="false">Interface!$E$316</definedName>
    <definedName function="false" hidden="false" name="SIF_abf_un_nv_26_hi" vbProcedure="false">Interface!$F$316</definedName>
    <definedName function="false" hidden="false" name="SIF_abf_un_nv_26_lo" vbProcedure="false">Interface!$D$316</definedName>
    <definedName function="false" hidden="false" name="SIF_abf_un_nv_27" vbProcedure="false">Interface!$E$317</definedName>
    <definedName function="false" hidden="false" name="SIF_abf_un_nv_27_hi" vbProcedure="false">Interface!$F$317</definedName>
    <definedName function="false" hidden="false" name="SIF_abf_un_nv_27_lo" vbProcedure="false">Interface!$D$317</definedName>
    <definedName function="false" hidden="false" name="SIF_abf_un_nv_28" vbProcedure="false">Interface!$E$318</definedName>
    <definedName function="false" hidden="false" name="SIF_abf_un_nv_28_hi" vbProcedure="false">Interface!$F$318</definedName>
    <definedName function="false" hidden="false" name="SIF_abf_un_nv_28_lo" vbProcedure="false">Interface!$D$318</definedName>
    <definedName function="false" hidden="false" name="SIF_abf_un_nv_29" vbProcedure="false">Interface!$E$319</definedName>
    <definedName function="false" hidden="false" name="SIF_abf_un_nv_29_hi" vbProcedure="false">Interface!$F$319</definedName>
    <definedName function="false" hidden="false" name="SIF_abf_un_nv_29_lo" vbProcedure="false">Interface!$D$319</definedName>
    <definedName function="false" hidden="false" name="SIF_abf_un_ot_26" vbProcedure="false">Interface!$E$320</definedName>
    <definedName function="false" hidden="false" name="SIF_abf_un_ot_26_hi" vbProcedure="false">Interface!$F$320</definedName>
    <definedName function="false" hidden="false" name="SIF_abf_un_ot_26_lo" vbProcedure="false">Interface!$D$320</definedName>
    <definedName function="false" hidden="false" name="SIF_abf_un_ot_27" vbProcedure="false">Interface!$E$321</definedName>
    <definedName function="false" hidden="false" name="SIF_abf_un_ot_27_hi" vbProcedure="false">Interface!$F$321</definedName>
    <definedName function="false" hidden="false" name="SIF_abf_un_ot_27_lo" vbProcedure="false">Interface!$D$321</definedName>
    <definedName function="false" hidden="false" name="SIF_abf_un_ot_28" vbProcedure="false">Interface!$E$322</definedName>
    <definedName function="false" hidden="false" name="SIF_abf_un_ot_28_hi" vbProcedure="false">Interface!$F$322</definedName>
    <definedName function="false" hidden="false" name="SIF_abf_un_ot_28_lo" vbProcedure="false">Interface!$D$322</definedName>
    <definedName function="false" hidden="false" name="SIF_abf_un_ot_29" vbProcedure="false">Interface!$E$323</definedName>
    <definedName function="false" hidden="false" name="SIF_abf_un_ot_29_hi" vbProcedure="false">Interface!$F$323</definedName>
    <definedName function="false" hidden="false" name="SIF_abf_un_ot_29_lo" vbProcedure="false">Interface!$D$323</definedName>
    <definedName function="false" hidden="false" name="SIF_abf_vot" vbProcedure="false">Interface!$E$311</definedName>
    <definedName function="false" hidden="false" name="SIF_abf_vot_hi" vbProcedure="false">Interface!$F$311</definedName>
    <definedName function="false" hidden="false" name="SIF_abf_vot_lo" vbProcedure="false">Interface!$D$311</definedName>
    <definedName function="false" hidden="false" name="SIF_abf_wot_ib" vbProcedure="false">Interface!$E$310</definedName>
    <definedName function="false" hidden="false" name="SIF_abf_wot_ib_hi" vbProcedure="false">Interface!$F$310</definedName>
    <definedName function="false" hidden="false" name="SIF_abf_wot_ib_lo" vbProcedure="false">Interface!$D$310</definedName>
    <definedName function="false" hidden="false" name="SIF_AIITCapex_A" vbProcedure="false">Interface!$E$504:$H$504</definedName>
    <definedName function="false" hidden="false" name="SIF_AIITCapex_B" vbProcedure="false">Interface!$E$505:$H$505</definedName>
    <definedName function="false" hidden="false" name="SIF_AIITCapex_C" vbProcedure="false">Interface!$E$506:$H$506</definedName>
    <definedName function="false" hidden="false" name="SIF_al27_A" vbProcedure="false">Interface!$E$204</definedName>
    <definedName function="false" hidden="false" name="SIF_al27_A_hi" vbProcedure="false">Interface!$F$204</definedName>
    <definedName function="false" hidden="false" name="SIF_al27_A_lo" vbProcedure="false">Interface!$D$204</definedName>
    <definedName function="false" hidden="false" name="SIF_al27_B" vbProcedure="false">Interface!$E$205</definedName>
    <definedName function="false" hidden="false" name="SIF_al27_B_hi" vbProcedure="false">Interface!$F$205</definedName>
    <definedName function="false" hidden="false" name="SIF_al27_B_lo" vbProcedure="false">Interface!$D$205</definedName>
    <definedName function="false" hidden="false" name="SIF_al27_C" vbProcedure="false">Interface!$E$206</definedName>
    <definedName function="false" hidden="false" name="SIF_al27_C_hi" vbProcedure="false">Interface!$F$206</definedName>
    <definedName function="false" hidden="false" name="SIF_al27_C_lo" vbProcedure="false">Interface!$D$206</definedName>
    <definedName function="false" hidden="false" name="SIF_al28_A" vbProcedure="false">Interface!$E$207</definedName>
    <definedName function="false" hidden="false" name="SIF_al28_A_hi" vbProcedure="false">Interface!$F$207</definedName>
    <definedName function="false" hidden="false" name="SIF_al28_A_lo" vbProcedure="false">Interface!$D$207</definedName>
    <definedName function="false" hidden="false" name="SIF_al28_B" vbProcedure="false">Interface!$E$208</definedName>
    <definedName function="false" hidden="false" name="SIF_al28_B_hi" vbProcedure="false">Interface!$F$208</definedName>
    <definedName function="false" hidden="false" name="SIF_al28_B_lo" vbProcedure="false">Interface!$D$208</definedName>
    <definedName function="false" hidden="false" name="SIF_al28_C" vbProcedure="false">Interface!$E$209</definedName>
    <definedName function="false" hidden="false" name="SIF_al28_C_hi" vbProcedure="false">Interface!$F$209</definedName>
    <definedName function="false" hidden="false" name="SIF_al28_C_lo" vbProcedure="false">Interface!$D$209</definedName>
    <definedName function="false" hidden="false" name="SIF_al_trn_26" vbProcedure="false">Interface!$E$203</definedName>
    <definedName function="false" hidden="false" name="SIF_al_trn_26_hi" vbProcedure="false">Interface!$F$203</definedName>
    <definedName function="false" hidden="false" name="SIF_al_trn_26_lo" vbProcedure="false">Interface!$D$203</definedName>
    <definedName function="false" hidden="false" name="SIF_ASICShareSum_oth" vbProcedure="false">Interface!$E$495:$G$495</definedName>
    <definedName function="false" hidden="false" name="SIF_ASICShareSum_tpu" vbProcedure="false">Interface!$E$494:$G$494</definedName>
    <definedName function="false" hidden="false" name="SIF_ASICShareSum_trnA" vbProcedure="false">Interface!$E$496:$G$496</definedName>
    <definedName function="false" hidden="false" name="SIF_ASICShareSum_trnB" vbProcedure="false">Interface!$E$497:$G$497</definedName>
    <definedName function="false" hidden="false" name="SIF_ASICShareSum_trnC" vbProcedure="false">Interface!$E$498:$G$498</definedName>
    <definedName function="false" hidden="false" name="SIF_AsmMkt_A" vbProcedure="false">Interface!$E$535:$H$535</definedName>
    <definedName function="false" hidden="false" name="SIF_AsmMkt_B" vbProcedure="false">Interface!$E$536:$H$536</definedName>
    <definedName function="false" hidden="false" name="SIF_AsmMkt_C" vbProcedure="false">Interface!$E$537:$H$537</definedName>
    <definedName function="false" hidden="false" name="SIF_asm_odm_gb" vbProcedure="false">Interface!$E$431</definedName>
    <definedName function="false" hidden="false" name="SIF_asm_odm_gb_hi" vbProcedure="false">Interface!$F$431</definedName>
    <definedName function="false" hidden="false" name="SIF_asm_odm_gb_lo" vbProcedure="false">Interface!$D$431</definedName>
    <definedName function="false" hidden="false" name="SIF_asm_odm_vr" vbProcedure="false">Interface!$E$432</definedName>
    <definedName function="false" hidden="false" name="SIF_asm_odm_vr_hi" vbProcedure="false">Interface!$F$432</definedName>
    <definedName function="false" hidden="false" name="SIF_asm_odm_vr_lo" vbProcedure="false">Interface!$D$432</definedName>
    <definedName function="false" hidden="false" name="SIF_asm_wyai_26" vbProcedure="false">Interface!$E$433</definedName>
    <definedName function="false" hidden="false" name="SIF_asm_wyai_26_hi" vbProcedure="false">Interface!$F$433</definedName>
    <definedName function="false" hidden="false" name="SIF_asm_wyai_26_lo" vbProcedure="false">Interface!$D$433</definedName>
    <definedName function="false" hidden="false" name="SIF_CCLMkt_A" vbProcedure="false">Interface!$E$529:$H$529</definedName>
    <definedName function="false" hidden="false" name="SIF_CCLMkt_B" vbProcedure="false">Interface!$E$530:$H$530</definedName>
    <definedName function="false" hidden="false" name="SIF_CCLMkt_C" vbProcedure="false">Interface!$E$531:$H$531</definedName>
    <definedName function="false" hidden="false" name="SIF_CCLperGW" vbProcedure="false">Interface!$E$525:$H$525</definedName>
    <definedName function="false" hidden="false" name="SIF_ccl_cmpx_27" vbProcedure="false">Interface!$E$406</definedName>
    <definedName function="false" hidden="false" name="SIF_ccl_cmpx_27_hi" vbProcedure="false">Interface!$F$406</definedName>
    <definedName function="false" hidden="false" name="SIF_ccl_cmpx_27_lo" vbProcedure="false">Interface!$D$406</definedName>
    <definedName function="false" hidden="false" name="SIF_ccl_cmpx_28" vbProcedure="false">Interface!$E$407</definedName>
    <definedName function="false" hidden="false" name="SIF_ccl_cmpx_28_hi" vbProcedure="false">Interface!$F$407</definedName>
    <definedName function="false" hidden="false" name="SIF_ccl_cmpx_28_lo" vbProcedure="false">Interface!$D$407</definedName>
    <definedName function="false" hidden="false" name="SIF_ccl_cmpx_29" vbProcedure="false">Interface!$E$408</definedName>
    <definedName function="false" hidden="false" name="SIF_ccl_cmpx_29_hi" vbProcedure="false">Interface!$F$408</definedName>
    <definedName function="false" hidden="false" name="SIF_ccl_cmpx_29_lo" vbProcedure="false">Interface!$D$408</definedName>
    <definedName function="false" hidden="false" name="SIF_ccl_cmp_26" vbProcedure="false">Interface!$E$403</definedName>
    <definedName function="false" hidden="false" name="SIF_ccl_cmp_26_hi" vbProcedure="false">Interface!$F$403</definedName>
    <definedName function="false" hidden="false" name="SIF_ccl_cmp_26_lo" vbProcedure="false">Interface!$D$403</definedName>
    <definedName function="false" hidden="false" name="SIF_ccl_swx_27" vbProcedure="false">Interface!$E$409</definedName>
    <definedName function="false" hidden="false" name="SIF_ccl_swx_27_hi" vbProcedure="false">Interface!$F$409</definedName>
    <definedName function="false" hidden="false" name="SIF_ccl_swx_27_lo" vbProcedure="false">Interface!$D$409</definedName>
    <definedName function="false" hidden="false" name="SIF_ccl_swx_28" vbProcedure="false">Interface!$E$410</definedName>
    <definedName function="false" hidden="false" name="SIF_ccl_swx_28_hi" vbProcedure="false">Interface!$F$410</definedName>
    <definedName function="false" hidden="false" name="SIF_ccl_swx_28_lo" vbProcedure="false">Interface!$D$410</definedName>
    <definedName function="false" hidden="false" name="SIF_ccl_swx_29" vbProcedure="false">Interface!$E$411</definedName>
    <definedName function="false" hidden="false" name="SIF_ccl_swx_29_hi" vbProcedure="false">Interface!$F$411</definedName>
    <definedName function="false" hidden="false" name="SIF_ccl_swx_29_lo" vbProcedure="false">Interface!$D$411</definedName>
    <definedName function="false" hidden="false" name="SIF_ccl_sw_26" vbProcedure="false">Interface!$E$404</definedName>
    <definedName function="false" hidden="false" name="SIF_ccl_sw_26_hi" vbProcedure="false">Interface!$F$404</definedName>
    <definedName function="false" hidden="false" name="SIF_ccl_sw_26_lo" vbProcedure="false">Interface!$D$404</definedName>
    <definedName function="false" hidden="false" name="SIF_ccl_ubbx_27" vbProcedure="false">Interface!$E$412</definedName>
    <definedName function="false" hidden="false" name="SIF_ccl_ubbx_27_hi" vbProcedure="false">Interface!$F$412</definedName>
    <definedName function="false" hidden="false" name="SIF_ccl_ubbx_27_lo" vbProcedure="false">Interface!$D$412</definedName>
    <definedName function="false" hidden="false" name="SIF_ccl_ubbx_28" vbProcedure="false">Interface!$E$413</definedName>
    <definedName function="false" hidden="false" name="SIF_ccl_ubbx_28_hi" vbProcedure="false">Interface!$F$413</definedName>
    <definedName function="false" hidden="false" name="SIF_ccl_ubbx_28_lo" vbProcedure="false">Interface!$D$413</definedName>
    <definedName function="false" hidden="false" name="SIF_ccl_ubbx_29" vbProcedure="false">Interface!$E$414</definedName>
    <definedName function="false" hidden="false" name="SIF_ccl_ubbx_29_hi" vbProcedure="false">Interface!$F$414</definedName>
    <definedName function="false" hidden="false" name="SIF_ccl_ubbx_29_lo" vbProcedure="false">Interface!$D$414</definedName>
    <definedName function="false" hidden="false" name="SIF_ccl_ubb_26" vbProcedure="false">Interface!$E$405</definedName>
    <definedName function="false" hidden="false" name="SIF_ccl_ubb_26_hi" vbProcedure="false">Interface!$F$405</definedName>
    <definedName function="false" hidden="false" name="SIF_ccl_ubb_26_lo" vbProcedure="false">Interface!$D$405</definedName>
    <definedName function="false" hidden="false" name="SIF_core_oth" vbProcedure="false">Interface!$E$180</definedName>
    <definedName function="false" hidden="false" name="SIF_core_oth_hi" vbProcedure="false">Interface!$F$180</definedName>
    <definedName function="false" hidden="false" name="SIF_core_oth_lo" vbProcedure="false">Interface!$D$180</definedName>
    <definedName function="false" hidden="false" name="SIF_core_tpu" vbProcedure="false">Interface!$E$179</definedName>
    <definedName function="false" hidden="false" name="SIF_core_tpu_hi" vbProcedure="false">Interface!$F$179</definedName>
    <definedName function="false" hidden="false" name="SIF_core_tpu_lo" vbProcedure="false">Interface!$D$179</definedName>
    <definedName function="false" hidden="false" name="SIF_CPOShareSum" vbProcedure="false">Interface!$E$499:$G$499</definedName>
    <definedName function="false" hidden="false" name="SIF_cposh_cohr_27" vbProcedure="false">Interface!$E$294</definedName>
    <definedName function="false" hidden="false" name="SIF_cposh_cohr_27_hi" vbProcedure="false">Interface!$F$294</definedName>
    <definedName function="false" hidden="false" name="SIF_cposh_cohr_27_lo" vbProcedure="false">Interface!$D$294</definedName>
    <definedName function="false" hidden="false" name="SIF_cposh_cohr_28" vbProcedure="false">Interface!$E$295</definedName>
    <definedName function="false" hidden="false" name="SIF_cposh_cohr_28_hi" vbProcedure="false">Interface!$F$295</definedName>
    <definedName function="false" hidden="false" name="SIF_cposh_cohr_28_lo" vbProcedure="false">Interface!$D$295</definedName>
    <definedName function="false" hidden="false" name="SIF_cposh_cohr_29" vbProcedure="false">Interface!$E$296</definedName>
    <definedName function="false" hidden="false" name="SIF_cposh_cohr_29_hi" vbProcedure="false">Interface!$F$296</definedName>
    <definedName function="false" hidden="false" name="SIF_cposh_cohr_29_lo" vbProcedure="false">Interface!$D$296</definedName>
    <definedName function="false" hidden="false" name="SIF_cposh_eoptolink_27" vbProcedure="false">Interface!$E$300</definedName>
    <definedName function="false" hidden="false" name="SIF_cposh_eoptolink_27_hi" vbProcedure="false">Interface!$F$300</definedName>
    <definedName function="false" hidden="false" name="SIF_cposh_eoptolink_27_lo" vbProcedure="false">Interface!$D$300</definedName>
    <definedName function="false" hidden="false" name="SIF_cposh_eoptolink_28" vbProcedure="false">Interface!$E$301</definedName>
    <definedName function="false" hidden="false" name="SIF_cposh_eoptolink_28_hi" vbProcedure="false">Interface!$F$301</definedName>
    <definedName function="false" hidden="false" name="SIF_cposh_eoptolink_28_lo" vbProcedure="false">Interface!$D$301</definedName>
    <definedName function="false" hidden="false" name="SIF_cposh_eoptolink_29" vbProcedure="false">Interface!$E$302</definedName>
    <definedName function="false" hidden="false" name="SIF_cposh_eoptolink_29_hi" vbProcedure="false">Interface!$F$302</definedName>
    <definedName function="false" hidden="false" name="SIF_cposh_eoptolink_29_lo" vbProcedure="false">Interface!$D$302</definedName>
    <definedName function="false" hidden="false" name="SIF_cposh_fabrinet_27" vbProcedure="false">Interface!$E$303</definedName>
    <definedName function="false" hidden="false" name="SIF_cposh_fabrinet_27_hi" vbProcedure="false">Interface!$F$303</definedName>
    <definedName function="false" hidden="false" name="SIF_cposh_fabrinet_27_lo" vbProcedure="false">Interface!$D$303</definedName>
    <definedName function="false" hidden="false" name="SIF_cposh_fabrinet_28" vbProcedure="false">Interface!$E$304</definedName>
    <definedName function="false" hidden="false" name="SIF_cposh_fabrinet_28_hi" vbProcedure="false">Interface!$F$304</definedName>
    <definedName function="false" hidden="false" name="SIF_cposh_fabrinet_28_lo" vbProcedure="false">Interface!$D$304</definedName>
    <definedName function="false" hidden="false" name="SIF_cposh_fabrinet_29" vbProcedure="false">Interface!$E$305</definedName>
    <definedName function="false" hidden="false" name="SIF_cposh_fabrinet_29_hi" vbProcedure="false">Interface!$F$305</definedName>
    <definedName function="false" hidden="false" name="SIF_cposh_fabrinet_29_lo" vbProcedure="false">Interface!$D$305</definedName>
    <definedName function="false" hidden="false" name="SIF_cposh_innolight_27" vbProcedure="false">Interface!$E$297</definedName>
    <definedName function="false" hidden="false" name="SIF_cposh_innolight_27_hi" vbProcedure="false">Interface!$F$297</definedName>
    <definedName function="false" hidden="false" name="SIF_cposh_innolight_27_lo" vbProcedure="false">Interface!$D$297</definedName>
    <definedName function="false" hidden="false" name="SIF_cposh_innolight_28" vbProcedure="false">Interface!$E$298</definedName>
    <definedName function="false" hidden="false" name="SIF_cposh_innolight_28_hi" vbProcedure="false">Interface!$F$298</definedName>
    <definedName function="false" hidden="false" name="SIF_cposh_innolight_28_lo" vbProcedure="false">Interface!$D$298</definedName>
    <definedName function="false" hidden="false" name="SIF_cposh_innolight_29" vbProcedure="false">Interface!$E$299</definedName>
    <definedName function="false" hidden="false" name="SIF_cposh_innolight_29_hi" vbProcedure="false">Interface!$F$299</definedName>
    <definedName function="false" hidden="false" name="SIF_cposh_innolight_29_lo" vbProcedure="false">Interface!$D$299</definedName>
    <definedName function="false" hidden="false" name="SIF_cposh_lite_27" vbProcedure="false">Interface!$E$291</definedName>
    <definedName function="false" hidden="false" name="SIF_cposh_lite_27_hi" vbProcedure="false">Interface!$F$291</definedName>
    <definedName function="false" hidden="false" name="SIF_cposh_lite_27_lo" vbProcedure="false">Interface!$D$291</definedName>
    <definedName function="false" hidden="false" name="SIF_cposh_lite_28" vbProcedure="false">Interface!$E$292</definedName>
    <definedName function="false" hidden="false" name="SIF_cposh_lite_28_hi" vbProcedure="false">Interface!$F$292</definedName>
    <definedName function="false" hidden="false" name="SIF_cposh_lite_28_lo" vbProcedure="false">Interface!$D$292</definedName>
    <definedName function="false" hidden="false" name="SIF_cposh_lite_29" vbProcedure="false">Interface!$E$293</definedName>
    <definedName function="false" hidden="false" name="SIF_cposh_lite_29_hi" vbProcedure="false">Interface!$F$293</definedName>
    <definedName function="false" hidden="false" name="SIF_cposh_lite_29_lo" vbProcedure="false">Interface!$D$293</definedName>
    <definedName function="false" hidden="false" name="SIF_cpo_A_26" vbProcedure="false">Interface!$E$278</definedName>
    <definedName function="false" hidden="false" name="SIF_cpo_A_26_hi" vbProcedure="false">Interface!$F$278</definedName>
    <definedName function="false" hidden="false" name="SIF_cpo_A_26_lo" vbProcedure="false">Interface!$D$278</definedName>
    <definedName function="false" hidden="false" name="SIF_cpo_A_27" vbProcedure="false">Interface!$E$279</definedName>
    <definedName function="false" hidden="false" name="SIF_cpo_A_27_hi" vbProcedure="false">Interface!$F$279</definedName>
    <definedName function="false" hidden="false" name="SIF_cpo_A_27_lo" vbProcedure="false">Interface!$D$279</definedName>
    <definedName function="false" hidden="false" name="SIF_cpo_A_28" vbProcedure="false">Interface!$E$280</definedName>
    <definedName function="false" hidden="false" name="SIF_cpo_A_28_hi" vbProcedure="false">Interface!$F$280</definedName>
    <definedName function="false" hidden="false" name="SIF_cpo_A_28_lo" vbProcedure="false">Interface!$D$280</definedName>
    <definedName function="false" hidden="false" name="SIF_cpo_A_29" vbProcedure="false">Interface!$E$281</definedName>
    <definedName function="false" hidden="false" name="SIF_cpo_A_29_hi" vbProcedure="false">Interface!$F$281</definedName>
    <definedName function="false" hidden="false" name="SIF_cpo_A_29_lo" vbProcedure="false">Interface!$D$281</definedName>
    <definedName function="false" hidden="false" name="SIF_cpo_B_26" vbProcedure="false">Interface!$E$282</definedName>
    <definedName function="false" hidden="false" name="SIF_cpo_B_26_hi" vbProcedure="false">Interface!$F$282</definedName>
    <definedName function="false" hidden="false" name="SIF_cpo_B_26_lo" vbProcedure="false">Interface!$D$282</definedName>
    <definedName function="false" hidden="false" name="SIF_cpo_B_27" vbProcedure="false">Interface!$E$283</definedName>
    <definedName function="false" hidden="false" name="SIF_cpo_B_27_hi" vbProcedure="false">Interface!$F$283</definedName>
    <definedName function="false" hidden="false" name="SIF_cpo_B_27_lo" vbProcedure="false">Interface!$D$283</definedName>
    <definedName function="false" hidden="false" name="SIF_cpo_B_28" vbProcedure="false">Interface!$E$284</definedName>
    <definedName function="false" hidden="false" name="SIF_cpo_B_28_hi" vbProcedure="false">Interface!$F$284</definedName>
    <definedName function="false" hidden="false" name="SIF_cpo_B_28_lo" vbProcedure="false">Interface!$D$284</definedName>
    <definedName function="false" hidden="false" name="SIF_cpo_B_29" vbProcedure="false">Interface!$E$285</definedName>
    <definedName function="false" hidden="false" name="SIF_cpo_B_29_hi" vbProcedure="false">Interface!$F$285</definedName>
    <definedName function="false" hidden="false" name="SIF_cpo_B_29_lo" vbProcedure="false">Interface!$D$285</definedName>
    <definedName function="false" hidden="false" name="SIF_cpo_C_26" vbProcedure="false">Interface!$E$286</definedName>
    <definedName function="false" hidden="false" name="SIF_cpo_C_26_hi" vbProcedure="false">Interface!$F$286</definedName>
    <definedName function="false" hidden="false" name="SIF_cpo_C_26_lo" vbProcedure="false">Interface!$D$286</definedName>
    <definedName function="false" hidden="false" name="SIF_cpo_C_27" vbProcedure="false">Interface!$E$287</definedName>
    <definedName function="false" hidden="false" name="SIF_cpo_C_27_hi" vbProcedure="false">Interface!$F$287</definedName>
    <definedName function="false" hidden="false" name="SIF_cpo_C_27_lo" vbProcedure="false">Interface!$D$287</definedName>
    <definedName function="false" hidden="false" name="SIF_cpo_C_28" vbProcedure="false">Interface!$E$288</definedName>
    <definedName function="false" hidden="false" name="SIF_cpo_C_28_hi" vbProcedure="false">Interface!$F$288</definedName>
    <definedName function="false" hidden="false" name="SIF_cpo_C_28_lo" vbProcedure="false">Interface!$D$288</definedName>
    <definedName function="false" hidden="false" name="SIF_cpo_C_29" vbProcedure="false">Interface!$E$289</definedName>
    <definedName function="false" hidden="false" name="SIF_cpo_C_29_hi" vbProcedure="false">Interface!$F$289</definedName>
    <definedName function="false" hidden="false" name="SIF_cpo_C_29_lo" vbProcedure="false">Interface!$D$289</definedName>
    <definedName function="false" hidden="false" name="SIF_cqA_10" vbProcedure="false">Interface!$E$15</definedName>
    <definedName function="false" hidden="false" name="SIF_cqA_11" vbProcedure="false">Interface!$E$16</definedName>
    <definedName function="false" hidden="false" name="SIF_cqA_12" vbProcedure="false">Interface!$E$17</definedName>
    <definedName function="false" hidden="false" name="SIF_cqA_13" vbProcedure="false">Interface!$E$18</definedName>
    <definedName function="false" hidden="false" name="SIF_cqA_14" vbProcedure="false">Interface!$E$19</definedName>
    <definedName function="false" hidden="false" name="SIF_cqA_15" vbProcedure="false">Interface!$E$20</definedName>
    <definedName function="false" hidden="false" name="SIF_cqA_16" vbProcedure="false">Interface!$E$21</definedName>
    <definedName function="false" hidden="false" name="SIF_cqA_17" vbProcedure="false">Interface!$E$22</definedName>
    <definedName function="false" hidden="false" name="SIF_cqA_18" vbProcedure="false">Interface!$E$23</definedName>
    <definedName function="false" hidden="false" name="SIF_cqA_19" vbProcedure="false">Interface!$E$24</definedName>
    <definedName function="false" hidden="false" name="SIF_cqA_8" vbProcedure="false">Interface!$E$13</definedName>
    <definedName function="false" hidden="false" name="SIF_cqA_9" vbProcedure="false">Interface!$E$14</definedName>
    <definedName function="false" hidden="false" name="SIF_cqB_10" vbProcedure="false">Interface!$E$27</definedName>
    <definedName function="false" hidden="false" name="SIF_cqB_11" vbProcedure="false">Interface!$E$28</definedName>
    <definedName function="false" hidden="false" name="SIF_cqB_12" vbProcedure="false">Interface!$E$29</definedName>
    <definedName function="false" hidden="false" name="SIF_cqB_13" vbProcedure="false">Interface!$E$30</definedName>
    <definedName function="false" hidden="false" name="SIF_cqB_14" vbProcedure="false">Interface!$E$31</definedName>
    <definedName function="false" hidden="false" name="SIF_cqB_15" vbProcedure="false">Interface!$E$32</definedName>
    <definedName function="false" hidden="false" name="SIF_cqB_16" vbProcedure="false">Interface!$E$33</definedName>
    <definedName function="false" hidden="false" name="SIF_cqB_17" vbProcedure="false">Interface!$E$34</definedName>
    <definedName function="false" hidden="false" name="SIF_cqB_18" vbProcedure="false">Interface!$E$35</definedName>
    <definedName function="false" hidden="false" name="SIF_cqB_19" vbProcedure="false">Interface!$E$36</definedName>
    <definedName function="false" hidden="false" name="SIF_cqB_8" vbProcedure="false">Interface!$E$25</definedName>
    <definedName function="false" hidden="false" name="SIF_cqB_9" vbProcedure="false">Interface!$E$26</definedName>
    <definedName function="false" hidden="false" name="SIF_cqC_10" vbProcedure="false">Interface!$E$39</definedName>
    <definedName function="false" hidden="false" name="SIF_cqC_10_hi" vbProcedure="false">Interface!$F$39</definedName>
    <definedName function="false" hidden="false" name="SIF_cqC_10_lo" vbProcedure="false">Interface!$D$39</definedName>
    <definedName function="false" hidden="false" name="SIF_cqC_11" vbProcedure="false">Interface!$E$40</definedName>
    <definedName function="false" hidden="false" name="SIF_cqC_11_hi" vbProcedure="false">Interface!$F$40</definedName>
    <definedName function="false" hidden="false" name="SIF_cqC_11_lo" vbProcedure="false">Interface!$D$40</definedName>
    <definedName function="false" hidden="false" name="SIF_cqC_12" vbProcedure="false">Interface!$E$41</definedName>
    <definedName function="false" hidden="false" name="SIF_cqC_12_hi" vbProcedure="false">Interface!$F$41</definedName>
    <definedName function="false" hidden="false" name="SIF_cqC_12_lo" vbProcedure="false">Interface!$D$41</definedName>
    <definedName function="false" hidden="false" name="SIF_cqC_13" vbProcedure="false">Interface!$E$42</definedName>
    <definedName function="false" hidden="false" name="SIF_cqC_13_hi" vbProcedure="false">Interface!$F$42</definedName>
    <definedName function="false" hidden="false" name="SIF_cqC_13_lo" vbProcedure="false">Interface!$D$42</definedName>
    <definedName function="false" hidden="false" name="SIF_cqC_14" vbProcedure="false">Interface!$E$43</definedName>
    <definedName function="false" hidden="false" name="SIF_cqC_14_hi" vbProcedure="false">Interface!$F$43</definedName>
    <definedName function="false" hidden="false" name="SIF_cqC_14_lo" vbProcedure="false">Interface!$D$43</definedName>
    <definedName function="false" hidden="false" name="SIF_cqC_15" vbProcedure="false">Interface!$E$44</definedName>
    <definedName function="false" hidden="false" name="SIF_cqC_15_hi" vbProcedure="false">Interface!$F$44</definedName>
    <definedName function="false" hidden="false" name="SIF_cqC_15_lo" vbProcedure="false">Interface!$D$44</definedName>
    <definedName function="false" hidden="false" name="SIF_cqC_16" vbProcedure="false">Interface!$E$45</definedName>
    <definedName function="false" hidden="false" name="SIF_cqC_16_hi" vbProcedure="false">Interface!$F$45</definedName>
    <definedName function="false" hidden="false" name="SIF_cqC_16_lo" vbProcedure="false">Interface!$D$45</definedName>
    <definedName function="false" hidden="false" name="SIF_cqC_17" vbProcedure="false">Interface!$E$46</definedName>
    <definedName function="false" hidden="false" name="SIF_cqC_17_hi" vbProcedure="false">Interface!$F$46</definedName>
    <definedName function="false" hidden="false" name="SIF_cqC_17_lo" vbProcedure="false">Interface!$D$46</definedName>
    <definedName function="false" hidden="false" name="SIF_cqC_18" vbProcedure="false">Interface!$E$47</definedName>
    <definedName function="false" hidden="false" name="SIF_cqC_18_hi" vbProcedure="false">Interface!$F$47</definedName>
    <definedName function="false" hidden="false" name="SIF_cqC_18_lo" vbProcedure="false">Interface!$D$47</definedName>
    <definedName function="false" hidden="false" name="SIF_cqC_19" vbProcedure="false">Interface!$E$48</definedName>
    <definedName function="false" hidden="false" name="SIF_cqC_19_hi" vbProcedure="false">Interface!$F$48</definedName>
    <definedName function="false" hidden="false" name="SIF_cqC_19_lo" vbProcedure="false">Interface!$D$48</definedName>
    <definedName function="false" hidden="false" name="SIF_cqC_8" vbProcedure="false">Interface!$E$37</definedName>
    <definedName function="false" hidden="false" name="SIF_cqC_8_hi" vbProcedure="false">Interface!$F$37</definedName>
    <definedName function="false" hidden="false" name="SIF_cqC_8_lo" vbProcedure="false">Interface!$D$37</definedName>
    <definedName function="false" hidden="false" name="SIF_cqC_9" vbProcedure="false">Interface!$E$38</definedName>
    <definedName function="false" hidden="false" name="SIF_cqC_9_hi" vbProcedure="false">Interface!$F$38</definedName>
    <definedName function="false" hidden="false" name="SIF_cqC_9_lo" vbProcedure="false">Interface!$D$38</definedName>
    <definedName function="false" hidden="false" name="SIF_cq_1" vbProcedure="false">Interface!$E$6</definedName>
    <definedName function="false" hidden="false" name="SIF_cq_2" vbProcedure="false">Interface!$E$7</definedName>
    <definedName function="false" hidden="false" name="SIF_cq_3" vbProcedure="false">Interface!$E$8</definedName>
    <definedName function="false" hidden="false" name="SIF_cq_4" vbProcedure="false">Interface!$E$9</definedName>
    <definedName function="false" hidden="false" name="SIF_cq_5" vbProcedure="false">Interface!$E$10</definedName>
    <definedName function="false" hidden="false" name="SIF_cq_6" vbProcedure="false">Interface!$E$11</definedName>
    <definedName function="false" hidden="false" name="SIF_cq_7" vbProcedure="false">Interface!$E$12</definedName>
    <definedName function="false" hidden="false" name="SIF_cw_capend25" vbProcedure="false">Interface!$E$355</definedName>
    <definedName function="false" hidden="false" name="SIF_cw_capend26" vbProcedure="false">Interface!$E$356</definedName>
    <definedName function="false" hidden="false" name="SIF_cw_capend27" vbProcedure="false">Interface!$E$357</definedName>
    <definedName function="false" hidden="false" name="SIF_cw_capend28" vbProcedure="false">Interface!$E$358</definedName>
    <definedName function="false" hidden="false" name="SIF_cw_capend29" vbProcedure="false">Interface!$E$359</definedName>
    <definedName function="false" hidden="false" name="SIF_cw_capend29_hi" vbProcedure="false">Interface!$F$359</definedName>
    <definedName function="false" hidden="false" name="SIF_cw_capend29_lo" vbProcedure="false">Interface!$D$359</definedName>
    <definedName function="false" hidden="false" name="SIF_cw_msdem26" vbProcedure="false">Interface!$E$361</definedName>
    <definedName function="false" hidden="false" name="SIF_cw_msdem27" vbProcedure="false">Interface!$E$362</definedName>
    <definedName function="false" hidden="false" name="SIF_cw_osat" vbProcedure="false">Interface!$E$360</definedName>
    <definedName function="false" hidden="false" name="SIF_cw_osat_hi" vbProcedure="false">Interface!$F$360</definedName>
    <definedName function="false" hidden="false" name="SIF_cw_osat_lo" vbProcedure="false">Interface!$D$360</definedName>
    <definedName function="false" hidden="false" name="SIF_cw_oth26" vbProcedure="false">Interface!$E$353</definedName>
    <definedName function="false" hidden="false" name="SIF_cw_oth26_hi" vbProcedure="false">Interface!$F$353</definedName>
    <definedName function="false" hidden="false" name="SIF_cw_oth26_lo" vbProcedure="false">Interface!$D$353</definedName>
    <definedName function="false" hidden="false" name="SIF_cw_oth_g" vbProcedure="false">Interface!$E$354</definedName>
    <definedName function="false" hidden="false" name="SIF_cw_oth_g_hi" vbProcedure="false">Interface!$F$354</definedName>
    <definedName function="false" hidden="false" name="SIF_cw_oth_g_lo" vbProcedure="false">Interface!$D$354</definedName>
    <definedName function="false" hidden="false" name="SIF_cw_pp_AMD8" vbProcedure="false">Interface!$E$347</definedName>
    <definedName function="false" hidden="false" name="SIF_cw_pp_AMD8_hi" vbProcedure="false">Interface!$F$347</definedName>
    <definedName function="false" hidden="false" name="SIF_cw_pp_AMD8_lo" vbProcedure="false">Interface!$D$347</definedName>
    <definedName function="false" hidden="false" name="SIF_cw_pp_AMDR" vbProcedure="false">Interface!$E$348</definedName>
    <definedName function="false" hidden="false" name="SIF_cw_pp_AMDR_hi" vbProcedure="false">Interface!$F$348</definedName>
    <definedName function="false" hidden="false" name="SIF_cw_pp_AMDR_lo" vbProcedure="false">Interface!$D$348</definedName>
    <definedName function="false" hidden="false" name="SIF_cw_pp_ASIC" vbProcedure="false">Interface!$E$352</definedName>
    <definedName function="false" hidden="false" name="SIF_cw_pp_ASIC_hi" vbProcedure="false">Interface!$F$352</definedName>
    <definedName function="false" hidden="false" name="SIF_cw_pp_ASIC_lo" vbProcedure="false">Interface!$D$352</definedName>
    <definedName function="false" hidden="false" name="SIF_cw_pp_GB" vbProcedure="false">Interface!$E$343</definedName>
    <definedName function="false" hidden="false" name="SIF_cw_pp_GB_hi" vbProcedure="false">Interface!$F$343</definedName>
    <definedName function="false" hidden="false" name="SIF_cw_pp_GB_lo" vbProcedure="false">Interface!$D$343</definedName>
    <definedName function="false" hidden="false" name="SIF_cw_pp_HP" vbProcedure="false">Interface!$E$346</definedName>
    <definedName function="false" hidden="false" name="SIF_cw_pp_HP_hi" vbProcedure="false">Interface!$F$346</definedName>
    <definedName function="false" hidden="false" name="SIF_cw_pp_HP_lo" vbProcedure="false">Interface!$D$346</definedName>
    <definedName function="false" hidden="false" name="SIF_cw_pp_RU" vbProcedure="false">Interface!$E$345</definedName>
    <definedName function="false" hidden="false" name="SIF_cw_pp_RU_hi" vbProcedure="false">Interface!$F$345</definedName>
    <definedName function="false" hidden="false" name="SIF_cw_pp_RU_lo" vbProcedure="false">Interface!$D$345</definedName>
    <definedName function="false" hidden="false" name="SIF_cw_pp_TPU7" vbProcedure="false">Interface!$E$349</definedName>
    <definedName function="false" hidden="false" name="SIF_cw_pp_TPU7_hi" vbProcedure="false">Interface!$F$349</definedName>
    <definedName function="false" hidden="false" name="SIF_cw_pp_TPU7_lo" vbProcedure="false">Interface!$D$349</definedName>
    <definedName function="false" hidden="false" name="SIF_cw_pp_TPU8" vbProcedure="false">Interface!$E$350</definedName>
    <definedName function="false" hidden="false" name="SIF_cw_pp_TPU8_hi" vbProcedure="false">Interface!$F$350</definedName>
    <definedName function="false" hidden="false" name="SIF_cw_pp_TPU8_lo" vbProcedure="false">Interface!$D$350</definedName>
    <definedName function="false" hidden="false" name="SIF_cw_pp_TRN" vbProcedure="false">Interface!$E$351</definedName>
    <definedName function="false" hidden="false" name="SIF_cw_pp_TRN_hi" vbProcedure="false">Interface!$F$351</definedName>
    <definedName function="false" hidden="false" name="SIF_cw_pp_TRN_lo" vbProcedure="false">Interface!$D$351</definedName>
    <definedName function="false" hidden="false" name="SIF_cw_pp_VR" vbProcedure="false">Interface!$E$344</definedName>
    <definedName function="false" hidden="false" name="SIF_cw_pp_VR_hi" vbProcedure="false">Interface!$F$344</definedName>
    <definedName function="false" hidden="false" name="SIF_cw_pp_VR_lo" vbProcedure="false">Interface!$D$344</definedName>
    <definedName function="false" hidden="false" name="SIF_c_AMD8_nic" vbProcedure="false">Interface!$E$239</definedName>
    <definedName function="false" hidden="false" name="SIF_c_AMD8_nic_hi" vbProcedure="false">Interface!$F$239</definedName>
    <definedName function="false" hidden="false" name="SIF_c_AMD8_nic_lo" vbProcedure="false">Interface!$D$239</definedName>
    <definedName function="false" hidden="false" name="SIF_c_AMD8_so_cu" vbProcedure="false">Interface!$E$238</definedName>
    <definedName function="false" hidden="false" name="SIF_c_AMD8_so_cu_hi" vbProcedure="false">Interface!$F$238</definedName>
    <definedName function="false" hidden="false" name="SIF_c_AMD8_so_cu_lo" vbProcedure="false">Interface!$D$238</definedName>
    <definedName function="false" hidden="false" name="SIF_c_AMD8_so_opt" vbProcedure="false">Interface!$E$237</definedName>
    <definedName function="false" hidden="false" name="SIF_c_AMD8_so_opt_hi" vbProcedure="false">Interface!$F$237</definedName>
    <definedName function="false" hidden="false" name="SIF_c_AMD8_so_opt_lo" vbProcedure="false">Interface!$D$237</definedName>
    <definedName function="false" hidden="false" name="SIF_c_AMD8_so_sw" vbProcedure="false">Interface!$E$236</definedName>
    <definedName function="false" hidden="false" name="SIF_c_AMD8_so_sw_hi" vbProcedure="false">Interface!$F$236</definedName>
    <definedName function="false" hidden="false" name="SIF_c_AMD8_so_sw_lo" vbProcedure="false">Interface!$D$236</definedName>
    <definedName function="false" hidden="false" name="SIF_c_AMD8_su_ic" vbProcedure="false">Interface!$E$235</definedName>
    <definedName function="false" hidden="false" name="SIF_c_AMD8_su_ic_hi" vbProcedure="false">Interface!$F$235</definedName>
    <definedName function="false" hidden="false" name="SIF_c_AMD8_su_ic_lo" vbProcedure="false">Interface!$D$235</definedName>
    <definedName function="false" hidden="false" name="SIF_c_AMD8_su_sw" vbProcedure="false">Interface!$E$234</definedName>
    <definedName function="false" hidden="false" name="SIF_c_AMD8_su_sw_hi" vbProcedure="false">Interface!$F$234</definedName>
    <definedName function="false" hidden="false" name="SIF_c_AMD8_su_sw_lo" vbProcedure="false">Interface!$D$234</definedName>
    <definedName function="false" hidden="false" name="SIF_c_AMDR_nic" vbProcedure="false">Interface!$E$245</definedName>
    <definedName function="false" hidden="false" name="SIF_c_AMDR_nic_hi" vbProcedure="false">Interface!$F$245</definedName>
    <definedName function="false" hidden="false" name="SIF_c_AMDR_nic_lo" vbProcedure="false">Interface!$D$245</definedName>
    <definedName function="false" hidden="false" name="SIF_c_AMDR_so_cu" vbProcedure="false">Interface!$E$244</definedName>
    <definedName function="false" hidden="false" name="SIF_c_AMDR_so_cu_hi" vbProcedure="false">Interface!$F$244</definedName>
    <definedName function="false" hidden="false" name="SIF_c_AMDR_so_cu_lo" vbProcedure="false">Interface!$D$244</definedName>
    <definedName function="false" hidden="false" name="SIF_c_AMDR_so_opt" vbProcedure="false">Interface!$E$243</definedName>
    <definedName function="false" hidden="false" name="SIF_c_AMDR_so_opt_hi" vbProcedure="false">Interface!$F$243</definedName>
    <definedName function="false" hidden="false" name="SIF_c_AMDR_so_opt_lo" vbProcedure="false">Interface!$D$243</definedName>
    <definedName function="false" hidden="false" name="SIF_c_AMDR_so_sw" vbProcedure="false">Interface!$E$242</definedName>
    <definedName function="false" hidden="false" name="SIF_c_AMDR_so_sw_hi" vbProcedure="false">Interface!$F$242</definedName>
    <definedName function="false" hidden="false" name="SIF_c_AMDR_so_sw_lo" vbProcedure="false">Interface!$D$242</definedName>
    <definedName function="false" hidden="false" name="SIF_c_AMDR_su_ic" vbProcedure="false">Interface!$E$241</definedName>
    <definedName function="false" hidden="false" name="SIF_c_AMDR_su_ic_hi" vbProcedure="false">Interface!$F$241</definedName>
    <definedName function="false" hidden="false" name="SIF_c_AMDR_su_ic_lo" vbProcedure="false">Interface!$D$241</definedName>
    <definedName function="false" hidden="false" name="SIF_c_AMDR_su_sw" vbProcedure="false">Interface!$E$240</definedName>
    <definedName function="false" hidden="false" name="SIF_c_AMDR_su_sw_hi" vbProcedure="false">Interface!$F$240</definedName>
    <definedName function="false" hidden="false" name="SIF_c_AMDR_su_sw_lo" vbProcedure="false">Interface!$D$240</definedName>
    <definedName function="false" hidden="false" name="SIF_c_ASIC_nic" vbProcedure="false">Interface!$E$263</definedName>
    <definedName function="false" hidden="false" name="SIF_c_ASIC_nic_hi" vbProcedure="false">Interface!$F$263</definedName>
    <definedName function="false" hidden="false" name="SIF_c_ASIC_nic_lo" vbProcedure="false">Interface!$D$263</definedName>
    <definedName function="false" hidden="false" name="SIF_c_ASIC_so_cu" vbProcedure="false">Interface!$E$262</definedName>
    <definedName function="false" hidden="false" name="SIF_c_ASIC_so_cu_hi" vbProcedure="false">Interface!$F$262</definedName>
    <definedName function="false" hidden="false" name="SIF_c_ASIC_so_cu_lo" vbProcedure="false">Interface!$D$262</definedName>
    <definedName function="false" hidden="false" name="SIF_c_ASIC_so_opt" vbProcedure="false">Interface!$E$261</definedName>
    <definedName function="false" hidden="false" name="SIF_c_ASIC_so_opt_hi" vbProcedure="false">Interface!$F$261</definedName>
    <definedName function="false" hidden="false" name="SIF_c_ASIC_so_opt_lo" vbProcedure="false">Interface!$D$261</definedName>
    <definedName function="false" hidden="false" name="SIF_c_ASIC_so_sw" vbProcedure="false">Interface!$E$260</definedName>
    <definedName function="false" hidden="false" name="SIF_c_ASIC_so_sw_hi" vbProcedure="false">Interface!$F$260</definedName>
    <definedName function="false" hidden="false" name="SIF_c_ASIC_so_sw_lo" vbProcedure="false">Interface!$D$260</definedName>
    <definedName function="false" hidden="false" name="SIF_c_ASIC_su_ic" vbProcedure="false">Interface!$E$259</definedName>
    <definedName function="false" hidden="false" name="SIF_c_ASIC_su_ic_hi" vbProcedure="false">Interface!$F$259</definedName>
    <definedName function="false" hidden="false" name="SIF_c_ASIC_su_ic_lo" vbProcedure="false">Interface!$D$259</definedName>
    <definedName function="false" hidden="false" name="SIF_c_ASIC_su_sw" vbProcedure="false">Interface!$E$258</definedName>
    <definedName function="false" hidden="false" name="SIF_c_ASIC_su_sw_hi" vbProcedure="false">Interface!$F$258</definedName>
    <definedName function="false" hidden="false" name="SIF_c_ASIC_su_sw_lo" vbProcedure="false">Interface!$D$258</definedName>
    <definedName function="false" hidden="false" name="SIF_c_GB_nic" vbProcedure="false">Interface!$E$215</definedName>
    <definedName function="false" hidden="false" name="SIF_c_GB_nic_hi" vbProcedure="false">Interface!$F$215</definedName>
    <definedName function="false" hidden="false" name="SIF_c_GB_nic_lo" vbProcedure="false">Interface!$D$215</definedName>
    <definedName function="false" hidden="false" name="SIF_c_GB_so_cu" vbProcedure="false">Interface!$E$214</definedName>
    <definedName function="false" hidden="false" name="SIF_c_GB_so_cu_hi" vbProcedure="false">Interface!$F$214</definedName>
    <definedName function="false" hidden="false" name="SIF_c_GB_so_cu_lo" vbProcedure="false">Interface!$D$214</definedName>
    <definedName function="false" hidden="false" name="SIF_c_GB_so_opt" vbProcedure="false">Interface!$E$213</definedName>
    <definedName function="false" hidden="false" name="SIF_c_GB_so_opt_hi" vbProcedure="false">Interface!$F$213</definedName>
    <definedName function="false" hidden="false" name="SIF_c_GB_so_opt_lo" vbProcedure="false">Interface!$D$213</definedName>
    <definedName function="false" hidden="false" name="SIF_c_GB_so_sw" vbProcedure="false">Interface!$E$212</definedName>
    <definedName function="false" hidden="false" name="SIF_c_GB_so_sw_hi" vbProcedure="false">Interface!$F$212</definedName>
    <definedName function="false" hidden="false" name="SIF_c_GB_so_sw_lo" vbProcedure="false">Interface!$D$212</definedName>
    <definedName function="false" hidden="false" name="SIF_c_GB_su_ic" vbProcedure="false">Interface!$E$211</definedName>
    <definedName function="false" hidden="false" name="SIF_c_GB_su_ic_hi" vbProcedure="false">Interface!$F$211</definedName>
    <definedName function="false" hidden="false" name="SIF_c_GB_su_ic_lo" vbProcedure="false">Interface!$D$211</definedName>
    <definedName function="false" hidden="false" name="SIF_c_GB_su_sw" vbProcedure="false">Interface!$E$210</definedName>
    <definedName function="false" hidden="false" name="SIF_c_GB_su_sw_hi" vbProcedure="false">Interface!$F$210</definedName>
    <definedName function="false" hidden="false" name="SIF_c_GB_su_sw_lo" vbProcedure="false">Interface!$D$210</definedName>
    <definedName function="false" hidden="false" name="SIF_c_HP_nic" vbProcedure="false">Interface!$E$233</definedName>
    <definedName function="false" hidden="false" name="SIF_c_HP_nic_hi" vbProcedure="false">Interface!$F$233</definedName>
    <definedName function="false" hidden="false" name="SIF_c_HP_nic_lo" vbProcedure="false">Interface!$D$233</definedName>
    <definedName function="false" hidden="false" name="SIF_c_HP_so_cu" vbProcedure="false">Interface!$E$232</definedName>
    <definedName function="false" hidden="false" name="SIF_c_HP_so_cu_hi" vbProcedure="false">Interface!$F$232</definedName>
    <definedName function="false" hidden="false" name="SIF_c_HP_so_cu_lo" vbProcedure="false">Interface!$D$232</definedName>
    <definedName function="false" hidden="false" name="SIF_c_HP_so_opt" vbProcedure="false">Interface!$E$231</definedName>
    <definedName function="false" hidden="false" name="SIF_c_HP_so_opt_hi" vbProcedure="false">Interface!$F$231</definedName>
    <definedName function="false" hidden="false" name="SIF_c_HP_so_opt_lo" vbProcedure="false">Interface!$D$231</definedName>
    <definedName function="false" hidden="false" name="SIF_c_HP_so_sw" vbProcedure="false">Interface!$E$230</definedName>
    <definedName function="false" hidden="false" name="SIF_c_HP_so_sw_hi" vbProcedure="false">Interface!$F$230</definedName>
    <definedName function="false" hidden="false" name="SIF_c_HP_so_sw_lo" vbProcedure="false">Interface!$D$230</definedName>
    <definedName function="false" hidden="false" name="SIF_c_HP_su_ic" vbProcedure="false">Interface!$E$229</definedName>
    <definedName function="false" hidden="false" name="SIF_c_HP_su_ic_hi" vbProcedure="false">Interface!$F$229</definedName>
    <definedName function="false" hidden="false" name="SIF_c_HP_su_ic_lo" vbProcedure="false">Interface!$D$229</definedName>
    <definedName function="false" hidden="false" name="SIF_c_HP_su_sw" vbProcedure="false">Interface!$E$228</definedName>
    <definedName function="false" hidden="false" name="SIF_c_HP_su_sw_hi" vbProcedure="false">Interface!$F$228</definedName>
    <definedName function="false" hidden="false" name="SIF_c_HP_su_sw_lo" vbProcedure="false">Interface!$D$228</definedName>
    <definedName function="false" hidden="false" name="SIF_c_RU_nic" vbProcedure="false">Interface!$E$227</definedName>
    <definedName function="false" hidden="false" name="SIF_c_RU_nic_hi" vbProcedure="false">Interface!$F$227</definedName>
    <definedName function="false" hidden="false" name="SIF_c_RU_nic_lo" vbProcedure="false">Interface!$D$227</definedName>
    <definedName function="false" hidden="false" name="SIF_c_RU_so_cu" vbProcedure="false">Interface!$E$226</definedName>
    <definedName function="false" hidden="false" name="SIF_c_RU_so_cu_hi" vbProcedure="false">Interface!$F$226</definedName>
    <definedName function="false" hidden="false" name="SIF_c_RU_so_cu_lo" vbProcedure="false">Interface!$D$226</definedName>
    <definedName function="false" hidden="false" name="SIF_c_RU_so_opt" vbProcedure="false">Interface!$E$225</definedName>
    <definedName function="false" hidden="false" name="SIF_c_RU_so_opt_hi" vbProcedure="false">Interface!$F$225</definedName>
    <definedName function="false" hidden="false" name="SIF_c_RU_so_opt_lo" vbProcedure="false">Interface!$D$225</definedName>
    <definedName function="false" hidden="false" name="SIF_c_RU_so_sw" vbProcedure="false">Interface!$E$224</definedName>
    <definedName function="false" hidden="false" name="SIF_c_RU_so_sw_hi" vbProcedure="false">Interface!$F$224</definedName>
    <definedName function="false" hidden="false" name="SIF_c_RU_so_sw_lo" vbProcedure="false">Interface!$D$224</definedName>
    <definedName function="false" hidden="false" name="SIF_c_RU_su_ic" vbProcedure="false">Interface!$E$223</definedName>
    <definedName function="false" hidden="false" name="SIF_c_RU_su_ic_hi" vbProcedure="false">Interface!$F$223</definedName>
    <definedName function="false" hidden="false" name="SIF_c_RU_su_ic_lo" vbProcedure="false">Interface!$D$223</definedName>
    <definedName function="false" hidden="false" name="SIF_c_RU_su_sw" vbProcedure="false">Interface!$E$222</definedName>
    <definedName function="false" hidden="false" name="SIF_c_RU_su_sw_hi" vbProcedure="false">Interface!$F$222</definedName>
    <definedName function="false" hidden="false" name="SIF_c_RU_su_sw_lo" vbProcedure="false">Interface!$D$222</definedName>
    <definedName function="false" hidden="false" name="SIF_c_TPU_nic" vbProcedure="false">Interface!$E$251</definedName>
    <definedName function="false" hidden="false" name="SIF_c_TPU_nic_hi" vbProcedure="false">Interface!$F$251</definedName>
    <definedName function="false" hidden="false" name="SIF_c_TPU_nic_lo" vbProcedure="false">Interface!$D$251</definedName>
    <definedName function="false" hidden="false" name="SIF_c_TPU_so_cu" vbProcedure="false">Interface!$E$250</definedName>
    <definedName function="false" hidden="false" name="SIF_c_TPU_so_cu_hi" vbProcedure="false">Interface!$F$250</definedName>
    <definedName function="false" hidden="false" name="SIF_c_TPU_so_cu_lo" vbProcedure="false">Interface!$D$250</definedName>
    <definedName function="false" hidden="false" name="SIF_c_TPU_so_opt" vbProcedure="false">Interface!$E$249</definedName>
    <definedName function="false" hidden="false" name="SIF_c_TPU_so_opt_hi" vbProcedure="false">Interface!$F$249</definedName>
    <definedName function="false" hidden="false" name="SIF_c_TPU_so_opt_lo" vbProcedure="false">Interface!$D$249</definedName>
    <definedName function="false" hidden="false" name="SIF_c_TPU_so_sw" vbProcedure="false">Interface!$E$248</definedName>
    <definedName function="false" hidden="false" name="SIF_c_TPU_so_sw_hi" vbProcedure="false">Interface!$F$248</definedName>
    <definedName function="false" hidden="false" name="SIF_c_TPU_so_sw_lo" vbProcedure="false">Interface!$D$248</definedName>
    <definedName function="false" hidden="false" name="SIF_c_TPU_su_ic" vbProcedure="false">Interface!$E$247</definedName>
    <definedName function="false" hidden="false" name="SIF_c_TPU_su_ic_hi" vbProcedure="false">Interface!$F$247</definedName>
    <definedName function="false" hidden="false" name="SIF_c_TPU_su_ic_lo" vbProcedure="false">Interface!$D$247</definedName>
    <definedName function="false" hidden="false" name="SIF_c_TPU_su_sw" vbProcedure="false">Interface!$E$246</definedName>
    <definedName function="false" hidden="false" name="SIF_c_TPU_su_sw_hi" vbProcedure="false">Interface!$F$246</definedName>
    <definedName function="false" hidden="false" name="SIF_c_TPU_su_sw_lo" vbProcedure="false">Interface!$D$246</definedName>
    <definedName function="false" hidden="false" name="SIF_c_TRN_nic" vbProcedure="false">Interface!$E$257</definedName>
    <definedName function="false" hidden="false" name="SIF_c_TRN_nic_hi" vbProcedure="false">Interface!$F$257</definedName>
    <definedName function="false" hidden="false" name="SIF_c_TRN_nic_lo" vbProcedure="false">Interface!$D$257</definedName>
    <definedName function="false" hidden="false" name="SIF_c_TRN_so_cu" vbProcedure="false">Interface!$E$256</definedName>
    <definedName function="false" hidden="false" name="SIF_c_TRN_so_cu_hi" vbProcedure="false">Interface!$F$256</definedName>
    <definedName function="false" hidden="false" name="SIF_c_TRN_so_cu_lo" vbProcedure="false">Interface!$D$256</definedName>
    <definedName function="false" hidden="false" name="SIF_c_TRN_so_opt" vbProcedure="false">Interface!$E$255</definedName>
    <definedName function="false" hidden="false" name="SIF_c_TRN_so_opt_hi" vbProcedure="false">Interface!$F$255</definedName>
    <definedName function="false" hidden="false" name="SIF_c_TRN_so_opt_lo" vbProcedure="false">Interface!$D$255</definedName>
    <definedName function="false" hidden="false" name="SIF_c_TRN_so_sw" vbProcedure="false">Interface!$E$254</definedName>
    <definedName function="false" hidden="false" name="SIF_c_TRN_so_sw_hi" vbProcedure="false">Interface!$F$254</definedName>
    <definedName function="false" hidden="false" name="SIF_c_TRN_so_sw_lo" vbProcedure="false">Interface!$D$254</definedName>
    <definedName function="false" hidden="false" name="SIF_c_TRN_su_ic" vbProcedure="false">Interface!$E$253</definedName>
    <definedName function="false" hidden="false" name="SIF_c_TRN_su_ic_hi" vbProcedure="false">Interface!$F$253</definedName>
    <definedName function="false" hidden="false" name="SIF_c_TRN_su_ic_lo" vbProcedure="false">Interface!$D$253</definedName>
    <definedName function="false" hidden="false" name="SIF_c_TRN_su_sw" vbProcedure="false">Interface!$E$252</definedName>
    <definedName function="false" hidden="false" name="SIF_c_TRN_su_sw_hi" vbProcedure="false">Interface!$F$252</definedName>
    <definedName function="false" hidden="false" name="SIF_c_TRN_su_sw_lo" vbProcedure="false">Interface!$D$252</definedName>
    <definedName function="false" hidden="false" name="SIF_c_VR_nic" vbProcedure="false">Interface!$E$221</definedName>
    <definedName function="false" hidden="false" name="SIF_c_VR_nic_hi" vbProcedure="false">Interface!$F$221</definedName>
    <definedName function="false" hidden="false" name="SIF_c_VR_nic_lo" vbProcedure="false">Interface!$D$221</definedName>
    <definedName function="false" hidden="false" name="SIF_c_VR_so_cu" vbProcedure="false">Interface!$E$220</definedName>
    <definedName function="false" hidden="false" name="SIF_c_VR_so_cu_hi" vbProcedure="false">Interface!$F$220</definedName>
    <definedName function="false" hidden="false" name="SIF_c_VR_so_cu_lo" vbProcedure="false">Interface!$D$220</definedName>
    <definedName function="false" hidden="false" name="SIF_c_VR_so_opt" vbProcedure="false">Interface!$E$219</definedName>
    <definedName function="false" hidden="false" name="SIF_c_VR_so_opt_hi" vbProcedure="false">Interface!$F$219</definedName>
    <definedName function="false" hidden="false" name="SIF_c_VR_so_opt_lo" vbProcedure="false">Interface!$D$219</definedName>
    <definedName function="false" hidden="false" name="SIF_c_VR_so_sw" vbProcedure="false">Interface!$E$218</definedName>
    <definedName function="false" hidden="false" name="SIF_c_VR_so_sw_hi" vbProcedure="false">Interface!$F$218</definedName>
    <definedName function="false" hidden="false" name="SIF_c_VR_so_sw_lo" vbProcedure="false">Interface!$D$218</definedName>
    <definedName function="false" hidden="false" name="SIF_c_VR_su_ic" vbProcedure="false">Interface!$E$217</definedName>
    <definedName function="false" hidden="false" name="SIF_c_VR_su_ic_hi" vbProcedure="false">Interface!$F$217</definedName>
    <definedName function="false" hidden="false" name="SIF_c_VR_su_ic_lo" vbProcedure="false">Interface!$D$217</definedName>
    <definedName function="false" hidden="false" name="SIF_c_VR_su_sw" vbProcedure="false">Interface!$E$216</definedName>
    <definedName function="false" hidden="false" name="SIF_c_VR_su_sw_hi" vbProcedure="false">Interface!$F$216</definedName>
    <definedName function="false" hidden="false" name="SIF_c_VR_su_sw_lo" vbProcedure="false">Interface!$D$216</definedName>
    <definedName function="false" hidden="false" name="SIF_DeployGW_A" vbProcedure="false">Interface!$E$508:$H$508</definedName>
    <definedName function="false" hidden="false" name="SIF_DeployGW_B" vbProcedure="false">Interface!$E$509:$H$509</definedName>
    <definedName function="false" hidden="false" name="SIF_DeployGW_C" vbProcedure="false">Interface!$E$510:$H$510</definedName>
    <definedName function="false" hidden="false" name="SIF_f_hbm" vbProcedure="false">Interface!$E$181</definedName>
    <definedName function="false" hidden="false" name="SIF_f_hbm_hi" vbProcedure="false">Interface!$F$181</definedName>
    <definedName function="false" hidden="false" name="SIF_f_hbm_lo" vbProcedure="false">Interface!$D$181</definedName>
    <definedName function="false" hidden="false" name="SIF_g29_amd" vbProcedure="false">Interface!$E$171</definedName>
    <definedName function="false" hidden="false" name="SIF_g29_amd_hi" vbProcedure="false">Interface!$F$171</definedName>
    <definedName function="false" hidden="false" name="SIF_g29_amd_lo" vbProcedure="false">Interface!$D$171</definedName>
    <definedName function="false" hidden="false" name="SIF_g29_bw" vbProcedure="false">Interface!$E$167</definedName>
    <definedName function="false" hidden="false" name="SIF_g29_bw_hi" vbProcedure="false">Interface!$F$167</definedName>
    <definedName function="false" hidden="false" name="SIF_g29_bw_lo" vbProcedure="false">Interface!$D$167</definedName>
    <definedName function="false" hidden="false" name="SIF_g29_hp" vbProcedure="false">Interface!$E$170</definedName>
    <definedName function="false" hidden="false" name="SIF_g29_hp_hi" vbProcedure="false">Interface!$F$170</definedName>
    <definedName function="false" hidden="false" name="SIF_g29_hp_lo" vbProcedure="false">Interface!$D$170</definedName>
    <definedName function="false" hidden="false" name="SIF_g29_oth" vbProcedure="false">Interface!$E$174</definedName>
    <definedName function="false" hidden="false" name="SIF_g29_oth_hi" vbProcedure="false">Interface!$F$174</definedName>
    <definedName function="false" hidden="false" name="SIF_g29_oth_lo" vbProcedure="false">Interface!$D$174</definedName>
    <definedName function="false" hidden="false" name="SIF_g29_rb" vbProcedure="false">Interface!$E$168</definedName>
    <definedName function="false" hidden="false" name="SIF_g29_rb_hi" vbProcedure="false">Interface!$F$168</definedName>
    <definedName function="false" hidden="false" name="SIF_g29_rb_lo" vbProcedure="false">Interface!$D$168</definedName>
    <definedName function="false" hidden="false" name="SIF_g29_ru" vbProcedure="false">Interface!$E$169</definedName>
    <definedName function="false" hidden="false" name="SIF_g29_ru_hi" vbProcedure="false">Interface!$F$169</definedName>
    <definedName function="false" hidden="false" name="SIF_g29_ru_lo" vbProcedure="false">Interface!$D$169</definedName>
    <definedName function="false" hidden="false" name="SIF_g29_tpu" vbProcedure="false">Interface!$E$172</definedName>
    <definedName function="false" hidden="false" name="SIF_g29_tpu_hi" vbProcedure="false">Interface!$F$172</definedName>
    <definedName function="false" hidden="false" name="SIF_g29_tpu_lo" vbProcedure="false">Interface!$D$172</definedName>
    <definedName function="false" hidden="false" name="SIF_g29_trn" vbProcedure="false">Interface!$E$173</definedName>
    <definedName function="false" hidden="false" name="SIF_g29_trn_hi" vbProcedure="false">Interface!$F$173</definedName>
    <definedName function="false" hidden="false" name="SIF_g29_trn_lo" vbProcedure="false">Interface!$D$173</definedName>
    <definedName function="false" hidden="false" name="SIF_GPUSysMkt_A" vbProcedure="false">Interface!$E$542:$H$542</definedName>
    <definedName function="false" hidden="false" name="SIF_GPUSysMkt_B" vbProcedure="false">Interface!$E$543:$H$543</definedName>
    <definedName function="false" hidden="false" name="SIF_GPUSysMkt_C" vbProcedure="false">Interface!$E$544:$H$544</definedName>
    <definedName function="false" hidden="false" name="SIF_g_amd_26" vbProcedure="false">Interface!$E$119</definedName>
    <definedName function="false" hidden="false" name="SIF_g_amd_26_hi" vbProcedure="false">Interface!$F$119</definedName>
    <definedName function="false" hidden="false" name="SIF_g_amd_26_lo" vbProcedure="false">Interface!$D$119</definedName>
    <definedName function="false" hidden="false" name="SIF_g_amd_27" vbProcedure="false">Interface!$E$120</definedName>
    <definedName function="false" hidden="false" name="SIF_g_amd_27_hi" vbProcedure="false">Interface!$F$120</definedName>
    <definedName function="false" hidden="false" name="SIF_g_amd_27_lo" vbProcedure="false">Interface!$D$120</definedName>
    <definedName function="false" hidden="false" name="SIF_g_amd_28" vbProcedure="false">Interface!$E$121</definedName>
    <definedName function="false" hidden="false" name="SIF_g_amd_28_hi" vbProcedure="false">Interface!$F$121</definedName>
    <definedName function="false" hidden="false" name="SIF_g_amd_28_lo" vbProcedure="false">Interface!$D$121</definedName>
    <definedName function="false" hidden="false" name="SIF_g_bw_26" vbProcedure="false">Interface!$E$95</definedName>
    <definedName function="false" hidden="false" name="SIF_g_bw_27" vbProcedure="false">Interface!$E$96</definedName>
    <definedName function="false" hidden="false" name="SIF_g_bw_28" vbProcedure="false">Interface!$E$97</definedName>
    <definedName function="false" hidden="false" name="SIF_g_hp_26" vbProcedure="false">Interface!$E$113</definedName>
    <definedName function="false" hidden="false" name="SIF_g_hp_27" vbProcedure="false">Interface!$E$114</definedName>
    <definedName function="false" hidden="false" name="SIF_g_hp_28" vbProcedure="false">Interface!$E$115</definedName>
    <definedName function="false" hidden="false" name="SIF_g_oth_26" vbProcedure="false">Interface!$E$137</definedName>
    <definedName function="false" hidden="false" name="SIF_g_oth_26_hi" vbProcedure="false">Interface!$F$137</definedName>
    <definedName function="false" hidden="false" name="SIF_g_oth_26_lo" vbProcedure="false">Interface!$D$137</definedName>
    <definedName function="false" hidden="false" name="SIF_g_oth_27" vbProcedure="false">Interface!$E$138</definedName>
    <definedName function="false" hidden="false" name="SIF_g_oth_27_hi" vbProcedure="false">Interface!$F$138</definedName>
    <definedName function="false" hidden="false" name="SIF_g_oth_27_lo" vbProcedure="false">Interface!$D$138</definedName>
    <definedName function="false" hidden="false" name="SIF_g_oth_28" vbProcedure="false">Interface!$E$139</definedName>
    <definedName function="false" hidden="false" name="SIF_g_oth_28_hi" vbProcedure="false">Interface!$F$139</definedName>
    <definedName function="false" hidden="false" name="SIF_g_oth_28_lo" vbProcedure="false">Interface!$D$139</definedName>
    <definedName function="false" hidden="false" name="SIF_g_rb_26" vbProcedure="false">Interface!$E$101</definedName>
    <definedName function="false" hidden="false" name="SIF_g_rb_27" vbProcedure="false">Interface!$E$102</definedName>
    <definedName function="false" hidden="false" name="SIF_g_rb_28" vbProcedure="false">Interface!$E$103</definedName>
    <definedName function="false" hidden="false" name="SIF_g_ru_26" vbProcedure="false">Interface!$E$107</definedName>
    <definedName function="false" hidden="false" name="SIF_g_ru_27" vbProcedure="false">Interface!$E$108</definedName>
    <definedName function="false" hidden="false" name="SIF_g_ru_28" vbProcedure="false">Interface!$E$109</definedName>
    <definedName function="false" hidden="false" name="SIF_g_tpu_26" vbProcedure="false">Interface!$E$125</definedName>
    <definedName function="false" hidden="false" name="SIF_g_tpu_27" vbProcedure="false">Interface!$E$126</definedName>
    <definedName function="false" hidden="false" name="SIF_g_tpu_28" vbProcedure="false">Interface!$E$127</definedName>
    <definedName function="false" hidden="false" name="SIF_g_trn_26" vbProcedure="false">Interface!$E$131</definedName>
    <definedName function="false" hidden="false" name="SIF_g_trn_26_hi" vbProcedure="false">Interface!$F$131</definedName>
    <definedName function="false" hidden="false" name="SIF_g_trn_26_lo" vbProcedure="false">Interface!$D$131</definedName>
    <definedName function="false" hidden="false" name="SIF_g_trn_27" vbProcedure="false">Interface!$E$132</definedName>
    <definedName function="false" hidden="false" name="SIF_g_trn_27_hi" vbProcedure="false">Interface!$F$132</definedName>
    <definedName function="false" hidden="false" name="SIF_g_trn_27_lo" vbProcedure="false">Interface!$D$132</definedName>
    <definedName function="false" hidden="false" name="SIF_g_trn_28" vbProcedure="false">Interface!$E$133</definedName>
    <definedName function="false" hidden="false" name="SIF_g_trn_28_hi" vbProcedure="false">Interface!$F$133</definedName>
    <definedName function="false" hidden="false" name="SIF_g_trn_28_lo" vbProcedure="false">Interface!$D$133</definedName>
    <definedName function="false" hidden="false" name="SIF_hbm_dem29" vbProcedure="false">Interface!$E$156</definedName>
    <definedName function="false" hidden="false" name="SIF_hbm_dem29_hi" vbProcedure="false">Interface!$F$156</definedName>
    <definedName function="false" hidden="false" name="SIF_hbm_dem29_lo" vbProcedure="false">Interface!$D$156</definedName>
    <definedName function="false" hidden="false" name="SIF_HBM_DemandEB" vbProcedure="false">Interface!$D$457:$H$457</definedName>
    <definedName function="false" hidden="false" name="SIF_HBM_DemandGrossEB" vbProcedure="false">Interface!$D$458:$H$458</definedName>
    <definedName function="false" hidden="false" name="SIF_hbm_g26" vbProcedure="false">Interface!$E$147</definedName>
    <definedName function="false" hidden="false" name="SIF_hbm_g26_hi" vbProcedure="false">Interface!$F$147</definedName>
    <definedName function="false" hidden="false" name="SIF_hbm_g26_lo" vbProcedure="false">Interface!$D$147</definedName>
    <definedName function="false" hidden="false" name="SIF_HBM_GapEB_A" vbProcedure="false">Interface!$D$464:$H$464</definedName>
    <definedName function="false" hidden="false" name="SIF_HBM_GapEB_B" vbProcedure="false">Interface!$D$469:$H$469</definedName>
    <definedName function="false" hidden="false" name="SIF_HBM_GapEB_C" vbProcedure="false">Interface!$D$474:$H$474</definedName>
    <definedName function="false" hidden="false" name="SIF_HBM_GBperUnit" vbProcedure="false">Interface!$D$460:$H$460</definedName>
    <definedName function="false" hidden="false" name="SIF_hbm_gross" vbProcedure="false">Interface!$E$148</definedName>
    <definedName function="false" hidden="false" name="SIF_hbm_gross_hi" vbProcedure="false">Interface!$F$148</definedName>
    <definedName function="false" hidden="false" name="SIF_hbm_gross_lo" vbProcedure="false">Interface!$D$148</definedName>
    <definedName function="false" hidden="false" name="SIF_hbm_mkt25" vbProcedure="false">Interface!$E$146</definedName>
    <definedName function="false" hidden="false" name="SIF_hbm_mkt25_hi" vbProcedure="false">Interface!$F$146</definedName>
    <definedName function="false" hidden="false" name="SIF_hbm_mkt25_lo" vbProcedure="false">Interface!$D$146</definedName>
    <definedName function="false" hidden="false" name="SIF_HBM_Mkt_A" vbProcedure="false">Interface!$D$466:$H$466</definedName>
    <definedName function="false" hidden="false" name="SIF_HBM_Mkt_B" vbProcedure="false">Interface!$D$471:$H$471</definedName>
    <definedName function="false" hidden="false" name="SIF_HBM_Mkt_C" vbProcedure="false">Interface!$D$476:$H$476</definedName>
    <definedName function="false" hidden="false" name="SIF_hbm_p26" vbProcedure="false">Interface!$E$151</definedName>
    <definedName function="false" hidden="false" name="SIF_hbm_p26_hi" vbProcedure="false">Interface!$F$151</definedName>
    <definedName function="false" hidden="false" name="SIF_hbm_p26_lo" vbProcedure="false">Interface!$D$151</definedName>
    <definedName function="false" hidden="false" name="SIF_hbm_p27" vbProcedure="false">Interface!$E$152</definedName>
    <definedName function="false" hidden="false" name="SIF_hbm_p27_hi" vbProcedure="false">Interface!$F$152</definedName>
    <definedName function="false" hidden="false" name="SIF_hbm_p27_lo" vbProcedure="false">Interface!$D$152</definedName>
    <definedName function="false" hidden="false" name="SIF_hbm_p28_A" vbProcedure="false">Interface!$E$153</definedName>
    <definedName function="false" hidden="false" name="SIF_hbm_p28_A_hi" vbProcedure="false">Interface!$F$153</definedName>
    <definedName function="false" hidden="false" name="SIF_hbm_p28_A_lo" vbProcedure="false">Interface!$D$153</definedName>
    <definedName function="false" hidden="false" name="SIF_hbm_p28_B" vbProcedure="false">Interface!$E$154</definedName>
    <definedName function="false" hidden="false" name="SIF_hbm_p28_B_hi" vbProcedure="false">Interface!$F$154</definedName>
    <definedName function="false" hidden="false" name="SIF_hbm_p28_B_lo" vbProcedure="false">Interface!$D$154</definedName>
    <definedName function="false" hidden="false" name="SIF_hbm_p28_C" vbProcedure="false">Interface!$E$155</definedName>
    <definedName function="false" hidden="false" name="SIF_hbm_p28_C_hi" vbProcedure="false">Interface!$F$155</definedName>
    <definedName function="false" hidden="false" name="SIF_hbm_p28_C_lo" vbProcedure="false">Interface!$D$155</definedName>
    <definedName function="false" hidden="false" name="SIF_hbm_p29_A" vbProcedure="false">Interface!$E$158</definedName>
    <definedName function="false" hidden="false" name="SIF_hbm_p29_A_hi" vbProcedure="false">Interface!$F$158</definedName>
    <definedName function="false" hidden="false" name="SIF_hbm_p29_A_lo" vbProcedure="false">Interface!$D$158</definedName>
    <definedName function="false" hidden="false" name="SIF_hbm_p29_B" vbProcedure="false">Interface!$E$159</definedName>
    <definedName function="false" hidden="false" name="SIF_hbm_p29_B_hi" vbProcedure="false">Interface!$F$159</definedName>
    <definedName function="false" hidden="false" name="SIF_hbm_p29_B_lo" vbProcedure="false">Interface!$D$159</definedName>
    <definedName function="false" hidden="false" name="SIF_hbm_p29_C" vbProcedure="false">Interface!$E$160</definedName>
    <definedName function="false" hidden="false" name="SIF_hbm_p29_C_hi" vbProcedure="false">Interface!$F$160</definedName>
    <definedName function="false" hidden="false" name="SIF_hbm_p29_C_lo" vbProcedure="false">Interface!$D$160</definedName>
    <definedName function="false" hidden="false" name="SIF_HBM_Price_A" vbProcedure="false">Interface!$D$465:$H$465</definedName>
    <definedName function="false" hidden="false" name="SIF_HBM_Price_B" vbProcedure="false">Interface!$D$470:$H$470</definedName>
    <definedName function="false" hidden="false" name="SIF_HBM_Price_C" vbProcedure="false">Interface!$D$475:$H$475</definedName>
    <definedName function="false" hidden="false" name="SIF_HBM_ShipEB_A" vbProcedure="false">Interface!$D$463:$H$463</definedName>
    <definedName function="false" hidden="false" name="SIF_HBM_ShipEB_B" vbProcedure="false">Interface!$D$468:$H$468</definedName>
    <definedName function="false" hidden="false" name="SIF_HBM_ShipEB_C" vbProcedure="false">Interface!$D$473:$H$473</definedName>
    <definedName function="false" hidden="false" name="SIF_hbm_sup27" vbProcedure="false">Interface!$E$149</definedName>
    <definedName function="false" hidden="false" name="SIF_hbm_sup27_hi" vbProcedure="false">Interface!$F$149</definedName>
    <definedName function="false" hidden="false" name="SIF_hbm_sup27_lo" vbProcedure="false">Interface!$D$149</definedName>
    <definedName function="false" hidden="false" name="SIF_hbm_sup28" vbProcedure="false">Interface!$E$150</definedName>
    <definedName function="false" hidden="false" name="SIF_hbm_sup28_hi" vbProcedure="false">Interface!$F$150</definedName>
    <definedName function="false" hidden="false" name="SIF_hbm_sup28_lo" vbProcedure="false">Interface!$D$150</definedName>
    <definedName function="false" hidden="false" name="SIF_hbm_sup29" vbProcedure="false">Interface!$E$157</definedName>
    <definedName function="false" hidden="false" name="SIF_hbm_sup29_hi" vbProcedure="false">Interface!$F$157</definedName>
    <definedName function="false" hidden="false" name="SIF_hbm_sup29_lo" vbProcedure="false">Interface!$D$157</definedName>
    <definedName function="false" hidden="false" name="SIF_HBM_SupplyEB" vbProcedure="false">Interface!$D$461:$H$461</definedName>
    <definedName function="false" hidden="false" name="SIF_ITCapexPerGW" vbProcedure="false">Interface!$E$507:$H$507</definedName>
    <definedName function="false" hidden="false" name="SIF_it_AMD8" vbProcedure="false">Interface!$E$268</definedName>
    <definedName function="false" hidden="false" name="SIF_it_AMD8_hi" vbProcedure="false">Interface!$F$268</definedName>
    <definedName function="false" hidden="false" name="SIF_it_AMD8_lo" vbProcedure="false">Interface!$D$268</definedName>
    <definedName function="false" hidden="false" name="SIF_it_AMDR" vbProcedure="false">Interface!$E$269</definedName>
    <definedName function="false" hidden="false" name="SIF_it_AMDR_hi" vbProcedure="false">Interface!$F$269</definedName>
    <definedName function="false" hidden="false" name="SIF_it_AMDR_lo" vbProcedure="false">Interface!$D$269</definedName>
    <definedName function="false" hidden="false" name="SIF_it_ASIC" vbProcedure="false">Interface!$E$272</definedName>
    <definedName function="false" hidden="false" name="SIF_it_ASIC_hi" vbProcedure="false">Interface!$F$272</definedName>
    <definedName function="false" hidden="false" name="SIF_it_ASIC_lo" vbProcedure="false">Interface!$D$272</definedName>
    <definedName function="false" hidden="false" name="SIF_it_GB" vbProcedure="false">Interface!$E$264</definedName>
    <definedName function="false" hidden="false" name="SIF_it_HP" vbProcedure="false">Interface!$E$267</definedName>
    <definedName function="false" hidden="false" name="SIF_it_RU" vbProcedure="false">Interface!$E$266</definedName>
    <definedName function="false" hidden="false" name="SIF_it_TPU" vbProcedure="false">Interface!$E$270</definedName>
    <definedName function="false" hidden="false" name="SIF_it_TPU_hi" vbProcedure="false">Interface!$F$270</definedName>
    <definedName function="false" hidden="false" name="SIF_it_TPU_lo" vbProcedure="false">Interface!$D$270</definedName>
    <definedName function="false" hidden="false" name="SIF_it_TRN" vbProcedure="false">Interface!$E$271</definedName>
    <definedName function="false" hidden="false" name="SIF_it_TRN_hi" vbProcedure="false">Interface!$F$271</definedName>
    <definedName function="false" hidden="false" name="SIF_it_TRN_lo" vbProcedure="false">Interface!$D$271</definedName>
    <definedName function="false" hidden="false" name="SIF_it_VR" vbProcedure="false">Interface!$E$265</definedName>
    <definedName function="false" hidden="false" name="SIF_lc_adj_27" vbProcedure="false">Interface!$E$437</definedName>
    <definedName function="false" hidden="false" name="SIF_lc_adj_27_hi" vbProcedure="false">Interface!$F$437</definedName>
    <definedName function="false" hidden="false" name="SIF_lc_adj_27_lo" vbProcedure="false">Interface!$D$437</definedName>
    <definedName function="false" hidden="false" name="SIF_lc_adj_28" vbProcedure="false">Interface!$E$438</definedName>
    <definedName function="false" hidden="false" name="SIF_lc_adj_28_hi" vbProcedure="false">Interface!$F$438</definedName>
    <definedName function="false" hidden="false" name="SIF_lc_adj_28_lo" vbProcedure="false">Interface!$D$438</definedName>
    <definedName function="false" hidden="false" name="SIF_lc_adj_29" vbProcedure="false">Interface!$E$439</definedName>
    <definedName function="false" hidden="false" name="SIF_lc_adj_29_hi" vbProcedure="false">Interface!$F$439</definedName>
    <definedName function="false" hidden="false" name="SIF_lc_adj_29_lo" vbProcedure="false">Interface!$D$439</definedName>
    <definedName function="false" hidden="false" name="SIF_lc_aush_26" vbProcedure="false">Interface!$E$450</definedName>
    <definedName function="false" hidden="false" name="SIF_lc_avrel_27" vbProcedure="false">Interface!$E$447</definedName>
    <definedName function="false" hidden="false" name="SIF_lc_avrel_27_hi" vbProcedure="false">Interface!$F$447</definedName>
    <definedName function="false" hidden="false" name="SIF_lc_avrel_27_lo" vbProcedure="false">Interface!$D$447</definedName>
    <definedName function="false" hidden="false" name="SIF_lc_avrel_28" vbProcedure="false">Interface!$E$448</definedName>
    <definedName function="false" hidden="false" name="SIF_lc_avrel_28_hi" vbProcedure="false">Interface!$F$448</definedName>
    <definedName function="false" hidden="false" name="SIF_lc_avrel_28_lo" vbProcedure="false">Interface!$D$448</definedName>
    <definedName function="false" hidden="false" name="SIF_lc_avrel_29" vbProcedure="false">Interface!$E$449</definedName>
    <definedName function="false" hidden="false" name="SIF_lc_avrel_29_hi" vbProcedure="false">Interface!$F$449</definedName>
    <definedName function="false" hidden="false" name="SIF_lc_avrel_29_lo" vbProcedure="false">Interface!$D$449</definedName>
    <definedName function="false" hidden="false" name="SIF_lc_avsh_26" vbProcedure="false">Interface!$E$446</definedName>
    <definedName function="false" hidden="false" name="SIF_lc_cool_gb" vbProcedure="false">Interface!$E$434</definedName>
    <definedName function="false" hidden="false" name="SIF_lc_cool_gb_hi" vbProcedure="false">Interface!$F$434</definedName>
    <definedName function="false" hidden="false" name="SIF_lc_cool_gb_lo" vbProcedure="false">Interface!$D$434</definedName>
    <definedName function="false" hidden="false" name="SIF_lc_cool_vr" vbProcedure="false">Interface!$E$435</definedName>
    <definedName function="false" hidden="false" name="SIF_lc_cool_vr_hi" vbProcedure="false">Interface!$F$435</definedName>
    <definedName function="false" hidden="false" name="SIF_lc_cool_vr_lo" vbProcedure="false">Interface!$D$435</definedName>
    <definedName function="false" hidden="false" name="SIF_lc_jtsh_27" vbProcedure="false">Interface!$E$451</definedName>
    <definedName function="false" hidden="false" name="SIF_lc_jtsh_27_hi" vbProcedure="false">Interface!$F$451</definedName>
    <definedName function="false" hidden="false" name="SIF_lc_jtsh_27_lo" vbProcedure="false">Interface!$D$451</definedName>
    <definedName function="false" hidden="false" name="SIF_lc_jtsh_28" vbProcedure="false">Interface!$E$452</definedName>
    <definedName function="false" hidden="false" name="SIF_lc_jtsh_28_hi" vbProcedure="false">Interface!$F$452</definedName>
    <definedName function="false" hidden="false" name="SIF_lc_jtsh_28_lo" vbProcedure="false">Interface!$D$452</definedName>
    <definedName function="false" hidden="false" name="SIF_lc_jtsh_29" vbProcedure="false">Interface!$E$453</definedName>
    <definedName function="false" hidden="false" name="SIF_lc_jtsh_29_hi" vbProcedure="false">Interface!$F$453</definedName>
    <definedName function="false" hidden="false" name="SIF_lc_jtsh_29_lo" vbProcedure="false">Interface!$D$453</definedName>
    <definedName function="false" hidden="false" name="SIF_lc_mani" vbProcedure="false">Interface!$E$436</definedName>
    <definedName function="false" hidden="false" name="SIF_lc_mani_hi" vbProcedure="false">Interface!$F$436</definedName>
    <definedName function="false" hidden="false" name="SIF_lc_mani_lo" vbProcedure="false">Interface!$D$436</definedName>
    <definedName function="false" hidden="false" name="SIF_lc_pen_26" vbProcedure="false">Interface!$E$440</definedName>
    <definedName function="false" hidden="false" name="SIF_lc_pen_26_hi" vbProcedure="false">Interface!$F$440</definedName>
    <definedName function="false" hidden="false" name="SIF_lc_pen_26_lo" vbProcedure="false">Interface!$D$440</definedName>
    <definedName function="false" hidden="false" name="SIF_lc_pen_27" vbProcedure="false">Interface!$E$441</definedName>
    <definedName function="false" hidden="false" name="SIF_lc_pen_27_hi" vbProcedure="false">Interface!$F$441</definedName>
    <definedName function="false" hidden="false" name="SIF_lc_pen_27_lo" vbProcedure="false">Interface!$D$441</definedName>
    <definedName function="false" hidden="false" name="SIF_lc_pen_28" vbProcedure="false">Interface!$E$442</definedName>
    <definedName function="false" hidden="false" name="SIF_lc_pen_28_hi" vbProcedure="false">Interface!$F$442</definedName>
    <definedName function="false" hidden="false" name="SIF_lc_pen_28_lo" vbProcedure="false">Interface!$D$442</definedName>
    <definedName function="false" hidden="false" name="SIF_lc_pen_29" vbProcedure="false">Interface!$E$443</definedName>
    <definedName function="false" hidden="false" name="SIF_lc_pen_29_hi" vbProcedure="false">Interface!$F$443</definedName>
    <definedName function="false" hidden="false" name="SIF_lc_pen_29_lo" vbProcedure="false">Interface!$D$443</definedName>
    <definedName function="false" hidden="false" name="SIF_lc_tf_26" vbProcedure="false">Interface!$E$444</definedName>
    <definedName function="false" hidden="false" name="SIF_lc_tf_27" vbProcedure="false">Interface!$E$445</definedName>
    <definedName function="false" hidden="false" name="SIF_LiqMkt_A" vbProcedure="false">Interface!$E$552:$H$552</definedName>
    <definedName function="false" hidden="false" name="SIF_LiqMkt_B" vbProcedure="false">Interface!$E$553:$H$553</definedName>
    <definedName function="false" hidden="false" name="SIF_LiqMkt_C" vbProcedure="false">Interface!$E$554:$H$554</definedName>
    <definedName function="false" hidden="false" name="SIF_LiqPen_A" vbProcedure="false">Interface!$E$549:$H$549</definedName>
    <definedName function="false" hidden="false" name="SIF_LiqPen_B" vbProcedure="false">Interface!$E$550:$H$550</definedName>
    <definedName function="false" hidden="false" name="SIF_LiqPen_C" vbProcedure="false">Interface!$E$551:$H$551</definedName>
    <definedName function="false" hidden="false" name="SIF_LiqPerGW" vbProcedure="false">Interface!$E$548:$H$548</definedName>
    <definedName function="false" hidden="false" name="SIF_LiqShareSum_A" vbProcedure="false">Interface!$E$557:$H$557</definedName>
    <definedName function="false" hidden="false" name="SIF_LiqShareSum_B" vbProcedure="false">Interface!$E$558:$H$558</definedName>
    <definedName function="false" hidden="false" name="SIF_LiqShareSum_C" vbProcedure="false">Interface!$E$559:$H$559</definedName>
    <definedName function="false" hidden="false" name="SIF_msh_oth_26" vbProcedure="false">Interface!$E$191</definedName>
    <definedName function="false" hidden="false" name="SIF_msh_oth_26_hi" vbProcedure="false">Interface!$F$191</definedName>
    <definedName function="false" hidden="false" name="SIF_msh_oth_26_lo" vbProcedure="false">Interface!$D$191</definedName>
    <definedName function="false" hidden="false" name="SIF_msh_oth_27" vbProcedure="false">Interface!$E$192</definedName>
    <definedName function="false" hidden="false" name="SIF_msh_oth_27_hi" vbProcedure="false">Interface!$F$192</definedName>
    <definedName function="false" hidden="false" name="SIF_msh_oth_27_lo" vbProcedure="false">Interface!$D$192</definedName>
    <definedName function="false" hidden="false" name="SIF_msh_oth_28" vbProcedure="false">Interface!$E$193</definedName>
    <definedName function="false" hidden="false" name="SIF_msh_oth_28_hi" vbProcedure="false">Interface!$F$193</definedName>
    <definedName function="false" hidden="false" name="SIF_msh_oth_28_lo" vbProcedure="false">Interface!$D$193</definedName>
    <definedName function="false" hidden="false" name="SIF_msh_tpu_26" vbProcedure="false">Interface!$E$194</definedName>
    <definedName function="false" hidden="false" name="SIF_msh_tpu_26_hi" vbProcedure="false">Interface!$F$194</definedName>
    <definedName function="false" hidden="false" name="SIF_msh_tpu_26_lo" vbProcedure="false">Interface!$D$194</definedName>
    <definedName function="false" hidden="false" name="SIF_msh_tpu_27" vbProcedure="false">Interface!$E$195</definedName>
    <definedName function="false" hidden="false" name="SIF_msh_tpu_27_hi" vbProcedure="false">Interface!$F$195</definedName>
    <definedName function="false" hidden="false" name="SIF_msh_tpu_27_lo" vbProcedure="false">Interface!$D$195</definedName>
    <definedName function="false" hidden="false" name="SIF_msh_tpu_28" vbProcedure="false">Interface!$E$196</definedName>
    <definedName function="false" hidden="false" name="SIF_msh_tpu_28_hi" vbProcedure="false">Interface!$F$196</definedName>
    <definedName function="false" hidden="false" name="SIF_msh_tpu_28_lo" vbProcedure="false">Interface!$D$196</definedName>
    <definedName function="false" hidden="false" name="SIF_msh_trn_26" vbProcedure="false">Interface!$E$188</definedName>
    <definedName function="false" hidden="false" name="SIF_msh_trn_26_hi" vbProcedure="false">Interface!$F$188</definedName>
    <definedName function="false" hidden="false" name="SIF_msh_trn_26_lo" vbProcedure="false">Interface!$D$188</definedName>
    <definedName function="false" hidden="false" name="SIF_msh_trn_27" vbProcedure="false">Interface!$E$189</definedName>
    <definedName function="false" hidden="false" name="SIF_msh_trn_27_hi" vbProcedure="false">Interface!$F$189</definedName>
    <definedName function="false" hidden="false" name="SIF_msh_trn_27_lo" vbProcedure="false">Interface!$D$189</definedName>
    <definedName function="false" hidden="false" name="SIF_msh_trn_28" vbProcedure="false">Interface!$E$190</definedName>
    <definedName function="false" hidden="false" name="SIF_msh_trn_28_hi" vbProcedure="false">Interface!$F$190</definedName>
    <definedName function="false" hidden="false" name="SIF_msh_trn_28_lo" vbProcedure="false">Interface!$D$190</definedName>
    <definedName function="false" hidden="false" name="SIF_mtk_oth_26" vbProcedure="false">Interface!$E$200</definedName>
    <definedName function="false" hidden="false" name="SIF_mtk_oth_26_hi" vbProcedure="false">Interface!$F$200</definedName>
    <definedName function="false" hidden="false" name="SIF_mtk_oth_26_lo" vbProcedure="false">Interface!$D$200</definedName>
    <definedName function="false" hidden="false" name="SIF_mtk_oth_27" vbProcedure="false">Interface!$E$201</definedName>
    <definedName function="false" hidden="false" name="SIF_mtk_oth_27_hi" vbProcedure="false">Interface!$F$201</definedName>
    <definedName function="false" hidden="false" name="SIF_mtk_oth_27_lo" vbProcedure="false">Interface!$D$201</definedName>
    <definedName function="false" hidden="false" name="SIF_mtk_oth_28" vbProcedure="false">Interface!$E$202</definedName>
    <definedName function="false" hidden="false" name="SIF_mtk_oth_28_hi" vbProcedure="false">Interface!$F$202</definedName>
    <definedName function="false" hidden="false" name="SIF_mtk_oth_28_lo" vbProcedure="false">Interface!$D$202</definedName>
    <definedName function="false" hidden="false" name="SIF_mtk_tpu_26" vbProcedure="false">Interface!$E$197</definedName>
    <definedName function="false" hidden="false" name="SIF_mtk_tpu_26_hi" vbProcedure="false">Interface!$F$197</definedName>
    <definedName function="false" hidden="false" name="SIF_mtk_tpu_26_lo" vbProcedure="false">Interface!$D$197</definedName>
    <definedName function="false" hidden="false" name="SIF_mtk_tpu_27" vbProcedure="false">Interface!$E$198</definedName>
    <definedName function="false" hidden="false" name="SIF_mtk_tpu_27_hi" vbProcedure="false">Interface!$F$198</definedName>
    <definedName function="false" hidden="false" name="SIF_mtk_tpu_27_lo" vbProcedure="false">Interface!$D$198</definedName>
    <definedName function="false" hidden="false" name="SIF_mtk_tpu_28" vbProcedure="false">Interface!$E$199</definedName>
    <definedName function="false" hidden="false" name="SIF_mtk_tpu_28_hi" vbProcedure="false">Interface!$F$199</definedName>
    <definedName function="false" hidden="false" name="SIF_mtk_tpu_28_lo" vbProcedure="false">Interface!$D$199</definedName>
    <definedName function="false" hidden="false" name="SIF_nqA_10" vbProcedure="false">Interface!$E$58</definedName>
    <definedName function="false" hidden="false" name="SIF_nqA_11" vbProcedure="false">Interface!$E$59</definedName>
    <definedName function="false" hidden="false" name="SIF_nqA_12" vbProcedure="false">Interface!$E$60</definedName>
    <definedName function="false" hidden="false" name="SIF_nqA_13" vbProcedure="false">Interface!$E$61</definedName>
    <definedName function="false" hidden="false" name="SIF_nqA_14" vbProcedure="false">Interface!$E$62</definedName>
    <definedName function="false" hidden="false" name="SIF_nqA_15" vbProcedure="false">Interface!$E$63</definedName>
    <definedName function="false" hidden="false" name="SIF_nqA_16" vbProcedure="false">Interface!$E$64</definedName>
    <definedName function="false" hidden="false" name="SIF_nqA_17" vbProcedure="false">Interface!$E$65</definedName>
    <definedName function="false" hidden="false" name="SIF_nqA_18" vbProcedure="false">Interface!$E$66</definedName>
    <definedName function="false" hidden="false" name="SIF_nqA_19" vbProcedure="false">Interface!$E$67</definedName>
    <definedName function="false" hidden="false" name="SIF_nqA_8" vbProcedure="false">Interface!$E$56</definedName>
    <definedName function="false" hidden="false" name="SIF_nqA_9" vbProcedure="false">Interface!$E$57</definedName>
    <definedName function="false" hidden="false" name="SIF_nqB_10" vbProcedure="false">Interface!$E$70</definedName>
    <definedName function="false" hidden="false" name="SIF_nqB_11" vbProcedure="false">Interface!$E$71</definedName>
    <definedName function="false" hidden="false" name="SIF_nqB_12" vbProcedure="false">Interface!$E$72</definedName>
    <definedName function="false" hidden="false" name="SIF_nqB_13" vbProcedure="false">Interface!$E$73</definedName>
    <definedName function="false" hidden="false" name="SIF_nqB_14" vbProcedure="false">Interface!$E$74</definedName>
    <definedName function="false" hidden="false" name="SIF_nqB_15" vbProcedure="false">Interface!$E$75</definedName>
    <definedName function="false" hidden="false" name="SIF_nqB_16" vbProcedure="false">Interface!$E$76</definedName>
    <definedName function="false" hidden="false" name="SIF_nqB_17" vbProcedure="false">Interface!$E$77</definedName>
    <definedName function="false" hidden="false" name="SIF_nqB_18" vbProcedure="false">Interface!$E$78</definedName>
    <definedName function="false" hidden="false" name="SIF_nqB_19" vbProcedure="false">Interface!$E$79</definedName>
    <definedName function="false" hidden="false" name="SIF_nqB_8" vbProcedure="false">Interface!$E$68</definedName>
    <definedName function="false" hidden="false" name="SIF_nqB_9" vbProcedure="false">Interface!$E$69</definedName>
    <definedName function="false" hidden="false" name="SIF_nqC_10" vbProcedure="false">Interface!$E$82</definedName>
    <definedName function="false" hidden="false" name="SIF_nqC_10_hi" vbProcedure="false">Interface!$F$82</definedName>
    <definedName function="false" hidden="false" name="SIF_nqC_10_lo" vbProcedure="false">Interface!$D$82</definedName>
    <definedName function="false" hidden="false" name="SIF_nqC_11" vbProcedure="false">Interface!$E$83</definedName>
    <definedName function="false" hidden="false" name="SIF_nqC_11_hi" vbProcedure="false">Interface!$F$83</definedName>
    <definedName function="false" hidden="false" name="SIF_nqC_11_lo" vbProcedure="false">Interface!$D$83</definedName>
    <definedName function="false" hidden="false" name="SIF_nqC_12" vbProcedure="false">Interface!$E$84</definedName>
    <definedName function="false" hidden="false" name="SIF_nqC_12_hi" vbProcedure="false">Interface!$F$84</definedName>
    <definedName function="false" hidden="false" name="SIF_nqC_12_lo" vbProcedure="false">Interface!$D$84</definedName>
    <definedName function="false" hidden="false" name="SIF_nqC_13" vbProcedure="false">Interface!$E$85</definedName>
    <definedName function="false" hidden="false" name="SIF_nqC_13_hi" vbProcedure="false">Interface!$F$85</definedName>
    <definedName function="false" hidden="false" name="SIF_nqC_13_lo" vbProcedure="false">Interface!$D$85</definedName>
    <definedName function="false" hidden="false" name="SIF_nqC_14" vbProcedure="false">Interface!$E$86</definedName>
    <definedName function="false" hidden="false" name="SIF_nqC_14_hi" vbProcedure="false">Interface!$F$86</definedName>
    <definedName function="false" hidden="false" name="SIF_nqC_14_lo" vbProcedure="false">Interface!$D$86</definedName>
    <definedName function="false" hidden="false" name="SIF_nqC_15" vbProcedure="false">Interface!$E$87</definedName>
    <definedName function="false" hidden="false" name="SIF_nqC_15_hi" vbProcedure="false">Interface!$F$87</definedName>
    <definedName function="false" hidden="false" name="SIF_nqC_15_lo" vbProcedure="false">Interface!$D$87</definedName>
    <definedName function="false" hidden="false" name="SIF_nqC_16" vbProcedure="false">Interface!$E$88</definedName>
    <definedName function="false" hidden="false" name="SIF_nqC_16_hi" vbProcedure="false">Interface!$F$88</definedName>
    <definedName function="false" hidden="false" name="SIF_nqC_16_lo" vbProcedure="false">Interface!$D$88</definedName>
    <definedName function="false" hidden="false" name="SIF_nqC_17" vbProcedure="false">Interface!$E$89</definedName>
    <definedName function="false" hidden="false" name="SIF_nqC_17_hi" vbProcedure="false">Interface!$F$89</definedName>
    <definedName function="false" hidden="false" name="SIF_nqC_17_lo" vbProcedure="false">Interface!$D$89</definedName>
    <definedName function="false" hidden="false" name="SIF_nqC_18" vbProcedure="false">Interface!$E$90</definedName>
    <definedName function="false" hidden="false" name="SIF_nqC_18_hi" vbProcedure="false">Interface!$F$90</definedName>
    <definedName function="false" hidden="false" name="SIF_nqC_18_lo" vbProcedure="false">Interface!$D$90</definedName>
    <definedName function="false" hidden="false" name="SIF_nqC_19" vbProcedure="false">Interface!$E$91</definedName>
    <definedName function="false" hidden="false" name="SIF_nqC_19_hi" vbProcedure="false">Interface!$F$91</definedName>
    <definedName function="false" hidden="false" name="SIF_nqC_19_lo" vbProcedure="false">Interface!$D$91</definedName>
    <definedName function="false" hidden="false" name="SIF_nqC_8" vbProcedure="false">Interface!$E$80</definedName>
    <definedName function="false" hidden="false" name="SIF_nqC_8_hi" vbProcedure="false">Interface!$F$80</definedName>
    <definedName function="false" hidden="false" name="SIF_nqC_8_lo" vbProcedure="false">Interface!$D$80</definedName>
    <definedName function="false" hidden="false" name="SIF_nqC_9" vbProcedure="false">Interface!$E$81</definedName>
    <definedName function="false" hidden="false" name="SIF_nqC_9_hi" vbProcedure="false">Interface!$F$81</definedName>
    <definedName function="false" hidden="false" name="SIF_nqC_9_lo" vbProcedure="false">Interface!$D$81</definedName>
    <definedName function="false" hidden="false" name="SIF_nq_1" vbProcedure="false">Interface!$E$49</definedName>
    <definedName function="false" hidden="false" name="SIF_nq_2" vbProcedure="false">Interface!$E$50</definedName>
    <definedName function="false" hidden="false" name="SIF_nq_3" vbProcedure="false">Interface!$E$51</definedName>
    <definedName function="false" hidden="false" name="SIF_nq_4" vbProcedure="false">Interface!$E$52</definedName>
    <definedName function="false" hidden="false" name="SIF_nq_5" vbProcedure="false">Interface!$E$53</definedName>
    <definedName function="false" hidden="false" name="SIF_nq_6" vbProcedure="false">Interface!$E$54</definedName>
    <definedName function="false" hidden="false" name="SIF_nq_7" vbProcedure="false">Interface!$E$55</definedName>
    <definedName function="false" hidden="false" name="SIF_nv_content" vbProcedure="false">Interface!$E$162</definedName>
    <definedName function="false" hidden="false" name="SIF_nv_content_hi" vbProcedure="false">Interface!$F$162</definedName>
    <definedName function="false" hidden="false" name="SIF_nv_content_lo" vbProcedure="false">Interface!$D$162</definedName>
    <definedName function="false" hidden="false" name="SIF_nv_dc26" vbProcedure="false">Interface!$E$161</definedName>
    <definedName function="false" hidden="false" name="SIF_nv_dc26_hi" vbProcedure="false">Interface!$F$161</definedName>
    <definedName function="false" hidden="false" name="SIF_nv_dc26_lo" vbProcedure="false">Interface!$D$161</definedName>
    <definedName function="false" hidden="false" name="SIF_nv_hbm" vbProcedure="false">Interface!$E$163</definedName>
    <definedName function="false" hidden="false" name="SIF_nv_hbm_hi" vbProcedure="false">Interface!$F$163</definedName>
    <definedName function="false" hidden="false" name="SIF_nv_hbm_lo" vbProcedure="false">Interface!$D$163</definedName>
    <definedName function="false" hidden="false" name="SIF_ODMValPerGW" vbProcedure="false">Interface!$E$534:$H$534</definedName>
    <definedName function="false" hidden="false" name="SIF_pa_amd" vbProcedure="false">Interface!$E$175</definedName>
    <definedName function="false" hidden="false" name="SIF_pa_amd_hi" vbProcedure="false">Interface!$F$175</definedName>
    <definedName function="false" hidden="false" name="SIF_pa_amd_lo" vbProcedure="false">Interface!$D$175</definedName>
    <definedName function="false" hidden="false" name="SIF_pa_oth" vbProcedure="false">Interface!$E$178</definedName>
    <definedName function="false" hidden="false" name="SIF_pa_oth_hi" vbProcedure="false">Interface!$F$178</definedName>
    <definedName function="false" hidden="false" name="SIF_pa_oth_lo" vbProcedure="false">Interface!$D$178</definedName>
    <definedName function="false" hidden="false" name="SIF_pa_tpu" vbProcedure="false">Interface!$E$176</definedName>
    <definedName function="false" hidden="false" name="SIF_pa_tpu_hi" vbProcedure="false">Interface!$F$176</definedName>
    <definedName function="false" hidden="false" name="SIF_pa_tpu_lo" vbProcedure="false">Interface!$D$176</definedName>
    <definedName function="false" hidden="false" name="SIF_pa_trn" vbProcedure="false">Interface!$E$177</definedName>
    <definedName function="false" hidden="false" name="SIF_pa_trn_hi" vbProcedure="false">Interface!$F$177</definedName>
    <definedName function="false" hidden="false" name="SIF_pa_trn_lo" vbProcedure="false">Interface!$D$177</definedName>
    <definedName function="false" hidden="false" name="SIF_PCBMkt_A" vbProcedure="false">Interface!$E$526:$H$526</definedName>
    <definedName function="false" hidden="false" name="SIF_PCBMkt_B" vbProcedure="false">Interface!$E$527:$H$527</definedName>
    <definedName function="false" hidden="false" name="SIF_PCBMkt_C" vbProcedure="false">Interface!$E$528:$H$528</definedName>
    <definedName function="false" hidden="false" name="SIF_PCBperGW" vbProcedure="false">Interface!$E$524:$H$524</definedName>
    <definedName function="false" hidden="false" name="SIF_pcb_cmpx_27" vbProcedure="false">Interface!$E$394</definedName>
    <definedName function="false" hidden="false" name="SIF_pcb_cmpx_27_hi" vbProcedure="false">Interface!$F$394</definedName>
    <definedName function="false" hidden="false" name="SIF_pcb_cmpx_27_lo" vbProcedure="false">Interface!$D$394</definedName>
    <definedName function="false" hidden="false" name="SIF_pcb_cmpx_28" vbProcedure="false">Interface!$E$395</definedName>
    <definedName function="false" hidden="false" name="SIF_pcb_cmpx_28_hi" vbProcedure="false">Interface!$F$395</definedName>
    <definedName function="false" hidden="false" name="SIF_pcb_cmpx_28_lo" vbProcedure="false">Interface!$D$395</definedName>
    <definedName function="false" hidden="false" name="SIF_pcb_cmpx_29" vbProcedure="false">Interface!$E$396</definedName>
    <definedName function="false" hidden="false" name="SIF_pcb_cmpx_29_hi" vbProcedure="false">Interface!$F$396</definedName>
    <definedName function="false" hidden="false" name="SIF_pcb_cmpx_29_lo" vbProcedure="false">Interface!$D$396</definedName>
    <definedName function="false" hidden="false" name="SIF_pcb_cmp_26" vbProcedure="false">Interface!$E$391</definedName>
    <definedName function="false" hidden="false" name="SIF_pcb_cmp_26_hi" vbProcedure="false">Interface!$F$391</definedName>
    <definedName function="false" hidden="false" name="SIF_pcb_cmp_26_lo" vbProcedure="false">Interface!$D$391</definedName>
    <definedName function="false" hidden="false" name="SIF_pcb_midx_27" vbProcedure="false">Interface!$E$400</definedName>
    <definedName function="false" hidden="false" name="SIF_pcb_midx_27_hi" vbProcedure="false">Interface!$F$400</definedName>
    <definedName function="false" hidden="false" name="SIF_pcb_midx_27_lo" vbProcedure="false">Interface!$D$400</definedName>
    <definedName function="false" hidden="false" name="SIF_pcb_midx_28" vbProcedure="false">Interface!$E$401</definedName>
    <definedName function="false" hidden="false" name="SIF_pcb_midx_28_hi" vbProcedure="false">Interface!$F$401</definedName>
    <definedName function="false" hidden="false" name="SIF_pcb_midx_28_lo" vbProcedure="false">Interface!$D$401</definedName>
    <definedName function="false" hidden="false" name="SIF_pcb_midx_29" vbProcedure="false">Interface!$E$402</definedName>
    <definedName function="false" hidden="false" name="SIF_pcb_midx_29_hi" vbProcedure="false">Interface!$F$402</definedName>
    <definedName function="false" hidden="false" name="SIF_pcb_midx_29_lo" vbProcedure="false">Interface!$D$402</definedName>
    <definedName function="false" hidden="false" name="SIF_pcb_mid_26" vbProcedure="false">Interface!$E$393</definedName>
    <definedName function="false" hidden="false" name="SIF_pcb_mid_26_hi" vbProcedure="false">Interface!$F$393</definedName>
    <definedName function="false" hidden="false" name="SIF_pcb_mid_26_lo" vbProcedure="false">Interface!$D$393</definedName>
    <definedName function="false" hidden="false" name="SIF_pcb_swx_27" vbProcedure="false">Interface!$E$397</definedName>
    <definedName function="false" hidden="false" name="SIF_pcb_swx_27_hi" vbProcedure="false">Interface!$F$397</definedName>
    <definedName function="false" hidden="false" name="SIF_pcb_swx_27_lo" vbProcedure="false">Interface!$D$397</definedName>
    <definedName function="false" hidden="false" name="SIF_pcb_swx_28" vbProcedure="false">Interface!$E$398</definedName>
    <definedName function="false" hidden="false" name="SIF_pcb_swx_28_hi" vbProcedure="false">Interface!$F$398</definedName>
    <definedName function="false" hidden="false" name="SIF_pcb_swx_28_lo" vbProcedure="false">Interface!$D$398</definedName>
    <definedName function="false" hidden="false" name="SIF_pcb_swx_29" vbProcedure="false">Interface!$E$399</definedName>
    <definedName function="false" hidden="false" name="SIF_pcb_swx_29_hi" vbProcedure="false">Interface!$F$399</definedName>
    <definedName function="false" hidden="false" name="SIF_pcb_swx_29_lo" vbProcedure="false">Interface!$D$399</definedName>
    <definedName function="false" hidden="false" name="SIF_pcb_sw_26" vbProcedure="false">Interface!$E$392</definedName>
    <definedName function="false" hidden="false" name="SIF_pcb_sw_26_hi" vbProcedure="false">Interface!$F$392</definedName>
    <definedName function="false" hidden="false" name="SIF_pcb_sw_26_lo" vbProcedure="false">Interface!$D$392</definedName>
    <definedName function="false" hidden="false" name="SIF_pub26_hi" vbProcedure="false">Interface!$E$165</definedName>
    <definedName function="false" hidden="false" name="SIF_pub26_lo" vbProcedure="false">Interface!$E$164</definedName>
    <definedName function="false" hidden="false" name="SIF_pub27" vbProcedure="false">Interface!$E$166</definedName>
    <definedName function="false" hidden="false" name="SIF_PwrMkt_A" vbProcedure="false">Interface!$E$545:$H$545</definedName>
    <definedName function="false" hidden="false" name="SIF_PwrMkt_B" vbProcedure="false">Interface!$E$546:$H$546</definedName>
    <definedName function="false" hidden="false" name="SIF_PwrMkt_C" vbProcedure="false">Interface!$E$547:$H$547</definedName>
    <definedName function="false" hidden="false" name="SIF_PwrShareSum_A" vbProcedure="false">Interface!$E$562:$H$562</definedName>
    <definedName function="false" hidden="false" name="SIF_PwrShareSum_B" vbProcedure="false">Interface!$E$563:$H$563</definedName>
    <definedName function="false" hidden="false" name="SIF_PwrShareSum_C" vbProcedure="false">Interface!$E$564:$H$564</definedName>
    <definedName function="false" hidden="false" name="SIF_pwr_drel_27" vbProcedure="false">Interface!$E$419</definedName>
    <definedName function="false" hidden="false" name="SIF_pwr_drel_27_hi" vbProcedure="false">Interface!$F$419</definedName>
    <definedName function="false" hidden="false" name="SIF_pwr_drel_27_lo" vbProcedure="false">Interface!$D$419</definedName>
    <definedName function="false" hidden="false" name="SIF_pwr_drel_28" vbProcedure="false">Interface!$E$420</definedName>
    <definedName function="false" hidden="false" name="SIF_pwr_drel_28_hi" vbProcedure="false">Interface!$F$420</definedName>
    <definedName function="false" hidden="false" name="SIF_pwr_drel_28_lo" vbProcedure="false">Interface!$D$420</definedName>
    <definedName function="false" hidden="false" name="SIF_pwr_drel_29" vbProcedure="false">Interface!$E$421</definedName>
    <definedName function="false" hidden="false" name="SIF_pwr_drel_29_hi" vbProcedure="false">Interface!$F$421</definedName>
    <definedName function="false" hidden="false" name="SIF_pwr_drel_29_lo" vbProcedure="false">Interface!$D$421</definedName>
    <definedName function="false" hidden="false" name="SIF_pwr_dsh_26" vbProcedure="false">Interface!$E$425</definedName>
    <definedName function="false" hidden="false" name="SIF_pwr_kgi_0701" vbProcedure="false">Interface!$E$427</definedName>
    <definedName function="false" hidden="false" name="SIF_pwr_kgi_0926" vbProcedure="false">Interface!$E$428</definedName>
    <definedName function="false" hidden="false" name="SIF_pwr_kgi_0926_hi" vbProcedure="false">Interface!$F$428</definedName>
    <definedName function="false" hidden="false" name="SIF_pwr_kgi_0926_lo" vbProcedure="false">Interface!$D$428</definedName>
    <definedName function="false" hidden="false" name="SIF_pwr_lrel_27" vbProcedure="false">Interface!$E$422</definedName>
    <definedName function="false" hidden="false" name="SIF_pwr_lrel_27_hi" vbProcedure="false">Interface!$F$422</definedName>
    <definedName function="false" hidden="false" name="SIF_pwr_lrel_27_lo" vbProcedure="false">Interface!$D$422</definedName>
    <definedName function="false" hidden="false" name="SIF_pwr_lrel_28" vbProcedure="false">Interface!$E$423</definedName>
    <definedName function="false" hidden="false" name="SIF_pwr_lrel_28_hi" vbProcedure="false">Interface!$F$423</definedName>
    <definedName function="false" hidden="false" name="SIF_pwr_lrel_28_lo" vbProcedure="false">Interface!$D$423</definedName>
    <definedName function="false" hidden="false" name="SIF_pwr_lrel_29" vbProcedure="false">Interface!$E$424</definedName>
    <definedName function="false" hidden="false" name="SIF_pwr_lrel_29_hi" vbProcedure="false">Interface!$F$424</definedName>
    <definedName function="false" hidden="false" name="SIF_pwr_lrel_29_lo" vbProcedure="false">Interface!$D$424</definedName>
    <definedName function="false" hidden="false" name="SIF_pwr_lsh_26" vbProcedure="false">Interface!$E$426</definedName>
    <definedName function="false" hidden="false" name="SIF_pwr_pkw_26" vbProcedure="false">Interface!$E$415</definedName>
    <definedName function="false" hidden="false" name="SIF_pwr_pkw_26_hi" vbProcedure="false">Interface!$F$415</definedName>
    <definedName function="false" hidden="false" name="SIF_pwr_pkw_26_lo" vbProcedure="false">Interface!$D$415</definedName>
    <definedName function="false" hidden="false" name="SIF_pwr_pkw_27" vbProcedure="false">Interface!$E$416</definedName>
    <definedName function="false" hidden="false" name="SIF_pwr_pkw_27_hi" vbProcedure="false">Interface!$F$416</definedName>
    <definedName function="false" hidden="false" name="SIF_pwr_pkw_27_lo" vbProcedure="false">Interface!$D$416</definedName>
    <definedName function="false" hidden="false" name="SIF_pwr_pkw_28" vbProcedure="false">Interface!$E$417</definedName>
    <definedName function="false" hidden="false" name="SIF_pwr_pkw_28_hi" vbProcedure="false">Interface!$F$417</definedName>
    <definedName function="false" hidden="false" name="SIF_pwr_pkw_28_lo" vbProcedure="false">Interface!$D$417</definedName>
    <definedName function="false" hidden="false" name="SIF_pwr_pkw_29" vbProcedure="false">Interface!$E$418</definedName>
    <definedName function="false" hidden="false" name="SIF_pwr_pkw_29_hi" vbProcedure="false">Interface!$F$418</definedName>
    <definedName function="false" hidden="false" name="SIF_pwr_pkw_29_lo" vbProcedure="false">Interface!$D$418</definedName>
    <definedName function="false" hidden="false" name="SIF_pwr_ubs_26" vbProcedure="false">Interface!$E$429</definedName>
    <definedName function="false" hidden="false" name="SIF_pwr_ubs_27" vbProcedure="false">Interface!$E$430</definedName>
    <definedName function="false" hidden="false" name="SIF_sh_oth_26" vbProcedure="false">Interface!$E$185</definedName>
    <definedName function="false" hidden="false" name="SIF_sh_oth_26_hi" vbProcedure="false">Interface!$F$185</definedName>
    <definedName function="false" hidden="false" name="SIF_sh_oth_26_lo" vbProcedure="false">Interface!$D$185</definedName>
    <definedName function="false" hidden="false" name="SIF_sh_oth_27" vbProcedure="false">Interface!$E$186</definedName>
    <definedName function="false" hidden="false" name="SIF_sh_oth_27_hi" vbProcedure="false">Interface!$F$186</definedName>
    <definedName function="false" hidden="false" name="SIF_sh_oth_27_lo" vbProcedure="false">Interface!$D$186</definedName>
    <definedName function="false" hidden="false" name="SIF_sh_oth_28" vbProcedure="false">Interface!$E$187</definedName>
    <definedName function="false" hidden="false" name="SIF_sh_oth_28_hi" vbProcedure="false">Interface!$F$187</definedName>
    <definedName function="false" hidden="false" name="SIF_sh_oth_28_lo" vbProcedure="false">Interface!$D$187</definedName>
    <definedName function="false" hidden="false" name="SIF_sh_tpu_26" vbProcedure="false">Interface!$E$182</definedName>
    <definedName function="false" hidden="false" name="SIF_sh_tpu_26_hi" vbProcedure="false">Interface!$F$182</definedName>
    <definedName function="false" hidden="false" name="SIF_sh_tpu_26_lo" vbProcedure="false">Interface!$D$182</definedName>
    <definedName function="false" hidden="false" name="SIF_sh_tpu_27" vbProcedure="false">Interface!$E$183</definedName>
    <definedName function="false" hidden="false" name="SIF_sh_tpu_27_hi" vbProcedure="false">Interface!$F$183</definedName>
    <definedName function="false" hidden="false" name="SIF_sh_tpu_27_lo" vbProcedure="false">Interface!$D$183</definedName>
    <definedName function="false" hidden="false" name="SIF_sh_tpu_28" vbProcedure="false">Interface!$E$184</definedName>
    <definedName function="false" hidden="false" name="SIF_sh_tpu_28_hi" vbProcedure="false">Interface!$F$184</definedName>
    <definedName function="false" hidden="false" name="SIF_sh_tpu_28_lo" vbProcedure="false">Interface!$D$184</definedName>
    <definedName function="false" hidden="false" name="SIF_suopt_26" vbProcedure="false">Interface!$E$273</definedName>
    <definedName function="false" hidden="false" name="SIF_suopt_26_hi" vbProcedure="false">Interface!$F$273</definedName>
    <definedName function="false" hidden="false" name="SIF_suopt_26_lo" vbProcedure="false">Interface!$D$273</definedName>
    <definedName function="false" hidden="false" name="SIF_suopt_27" vbProcedure="false">Interface!$E$274</definedName>
    <definedName function="false" hidden="false" name="SIF_suopt_27_hi" vbProcedure="false">Interface!$F$274</definedName>
    <definedName function="false" hidden="false" name="SIF_suopt_27_lo" vbProcedure="false">Interface!$D$274</definedName>
    <definedName function="false" hidden="false" name="SIF_suopt_28" vbProcedure="false">Interface!$E$275</definedName>
    <definedName function="false" hidden="false" name="SIF_suopt_28_hi" vbProcedure="false">Interface!$F$275</definedName>
    <definedName function="false" hidden="false" name="SIF_suopt_28_lo" vbProcedure="false">Interface!$D$275</definedName>
    <definedName function="false" hidden="false" name="SIF_suopt_29" vbProcedure="false">Interface!$E$276</definedName>
    <definedName function="false" hidden="false" name="SIF_suopt_29_hi" vbProcedure="false">Interface!$F$276</definedName>
    <definedName function="false" hidden="false" name="SIF_suopt_29_lo" vbProcedure="false">Interface!$D$276</definedName>
    <definedName function="false" hidden="false" name="SIF_su_cu" vbProcedure="false">Interface!$E$277</definedName>
    <definedName function="false" hidden="false" name="SIF_su_cu_hi" vbProcedure="false">Interface!$F$277</definedName>
    <definedName function="false" hidden="false" name="SIF_su_cu_lo" vbProcedure="false">Interface!$D$277</definedName>
    <definedName function="false" hidden="false" name="SIF_SysUnitsGB" vbProcedure="false">Interface!$E$540:$H$540</definedName>
    <definedName function="false" hidden="false" name="SIF_SysUnitsVR" vbProcedure="false">Interface!$E$541:$H$541</definedName>
    <definedName function="false" hidden="false" name="SIF_SysValGB" vbProcedure="false">Interface!$E$538:$H$538</definedName>
    <definedName function="false" hidden="false" name="SIF_SysValVR" vbProcedure="false">Interface!$E$539:$H$539</definedName>
    <definedName function="false" hidden="false" name="SIF_TK_CapexFacility_GB200" vbProcedure="false">Interface!$E$584</definedName>
    <definedName function="false" hidden="false" name="SIF_TK_CapexFacility_GB200_hi" vbProcedure="false">Interface!$F$584</definedName>
    <definedName function="false" hidden="false" name="SIF_TK_CapexFacility_GB200_lo" vbProcedure="false">Interface!$D$584</definedName>
    <definedName function="false" hidden="false" name="SIF_TK_CapexFacility_GB300" vbProcedure="false">Interface!$E$585</definedName>
    <definedName function="false" hidden="false" name="SIF_TK_CapexFacility_GB300_hi" vbProcedure="false">Interface!$F$585</definedName>
    <definedName function="false" hidden="false" name="SIF_TK_CapexFacility_GB300_lo" vbProcedure="false">Interface!$D$585</definedName>
    <definedName function="false" hidden="false" name="SIF_TK_CapexFacility_H100" vbProcedure="false">Interface!$E$583</definedName>
    <definedName function="false" hidden="false" name="SIF_TK_CapexFacility_H100_hi" vbProcedure="false">Interface!$F$583</definedName>
    <definedName function="false" hidden="false" name="SIF_TK_CapexFacility_H100_lo" vbProcedure="false">Interface!$D$583</definedName>
    <definedName function="false" hidden="false" name="SIF_TK_CapexFacility_RU" vbProcedure="false">Interface!$E$587</definedName>
    <definedName function="false" hidden="false" name="SIF_TK_CapexFacility_RU_hi" vbProcedure="false">Interface!$F$587</definedName>
    <definedName function="false" hidden="false" name="SIF_TK_CapexFacility_RU_lo" vbProcedure="false">Interface!$D$587</definedName>
    <definedName function="false" hidden="false" name="SIF_TK_CapexFacility_VR200" vbProcedure="false">Interface!$E$586</definedName>
    <definedName function="false" hidden="false" name="SIF_TK_CapexFacility_VR200_hi" vbProcedure="false">Interface!$F$586</definedName>
    <definedName function="false" hidden="false" name="SIF_TK_CapexFacility_VR200_lo" vbProcedure="false">Interface!$D$586</definedName>
    <definedName function="false" hidden="false" name="SIF_TK_CapexIT_GB200" vbProcedure="false">Interface!$E$579</definedName>
    <definedName function="false" hidden="false" name="SIF_TK_CapexIT_GB200_hi" vbProcedure="false">Interface!$F$579</definedName>
    <definedName function="false" hidden="false" name="SIF_TK_CapexIT_GB200_lo" vbProcedure="false">Interface!$D$579</definedName>
    <definedName function="false" hidden="false" name="SIF_TK_CapexIT_GB300" vbProcedure="false">Interface!$E$580</definedName>
    <definedName function="false" hidden="false" name="SIF_TK_CapexIT_GB300_hi" vbProcedure="false">Interface!$F$580</definedName>
    <definedName function="false" hidden="false" name="SIF_TK_CapexIT_GB300_lo" vbProcedure="false">Interface!$D$580</definedName>
    <definedName function="false" hidden="false" name="SIF_TK_CapexIT_H100" vbProcedure="false">Interface!$E$578</definedName>
    <definedName function="false" hidden="false" name="SIF_TK_CapexIT_H100_hi" vbProcedure="false">Interface!$F$578</definedName>
    <definedName function="false" hidden="false" name="SIF_TK_CapexIT_H100_lo" vbProcedure="false">Interface!$D$578</definedName>
    <definedName function="false" hidden="false" name="SIF_TK_CapexIT_RU" vbProcedure="false">Interface!$E$582</definedName>
    <definedName function="false" hidden="false" name="SIF_TK_CapexIT_RU_hi" vbProcedure="false">Interface!$F$582</definedName>
    <definedName function="false" hidden="false" name="SIF_TK_CapexIT_RU_lo" vbProcedure="false">Interface!$D$582</definedName>
    <definedName function="false" hidden="false" name="SIF_TK_CapexIT_VR200" vbProcedure="false">Interface!$E$581</definedName>
    <definedName function="false" hidden="false" name="SIF_TK_CapexIT_VR200_hi" vbProcedure="false">Interface!$F$581</definedName>
    <definedName function="false" hidden="false" name="SIF_TK_CapexIT_VR200_lo" vbProcedure="false">Interface!$D$581</definedName>
    <definedName function="false" hidden="false" name="SIF_TK_CapexTotal_GB200" vbProcedure="false">Interface!$E$589</definedName>
    <definedName function="false" hidden="false" name="SIF_TK_CapexTotal_GB200_hi" vbProcedure="false">Interface!$F$589</definedName>
    <definedName function="false" hidden="false" name="SIF_TK_CapexTotal_GB200_lo" vbProcedure="false">Interface!$D$589</definedName>
    <definedName function="false" hidden="false" name="SIF_TK_CapexTotal_GB300" vbProcedure="false">Interface!$E$590</definedName>
    <definedName function="false" hidden="false" name="SIF_TK_CapexTotal_GB300_hi" vbProcedure="false">Interface!$F$590</definedName>
    <definedName function="false" hidden="false" name="SIF_TK_CapexTotal_GB300_lo" vbProcedure="false">Interface!$D$590</definedName>
    <definedName function="false" hidden="false" name="SIF_TK_CapexTotal_H100" vbProcedure="false">Interface!$E$588</definedName>
    <definedName function="false" hidden="false" name="SIF_TK_CapexTotal_H100_hi" vbProcedure="false">Interface!$F$588</definedName>
    <definedName function="false" hidden="false" name="SIF_TK_CapexTotal_H100_lo" vbProcedure="false">Interface!$D$588</definedName>
    <definedName function="false" hidden="false" name="SIF_TK_CapexTotal_RU" vbProcedure="false">Interface!$E$592</definedName>
    <definedName function="false" hidden="false" name="SIF_TK_CapexTotal_RU_hi" vbProcedure="false">Interface!$F$592</definedName>
    <definedName function="false" hidden="false" name="SIF_TK_CapexTotal_RU_lo" vbProcedure="false">Interface!$D$592</definedName>
    <definedName function="false" hidden="false" name="SIF_TK_CapexTotal_VR200" vbProcedure="false">Interface!$E$591</definedName>
    <definedName function="false" hidden="false" name="SIF_TK_CapexTotal_VR200_hi" vbProcedure="false">Interface!$F$591</definedName>
    <definedName function="false" hidden="false" name="SIF_TK_CapexTotal_VR200_lo" vbProcedure="false">Interface!$D$591</definedName>
    <definedName function="false" hidden="false" name="SIF_TK_GPUsPerGW_GB200" vbProcedure="false">Interface!$E$574</definedName>
    <definedName function="false" hidden="false" name="SIF_TK_GPUsPerGW_GB200_hi" vbProcedure="false">Interface!$F$574</definedName>
    <definedName function="false" hidden="false" name="SIF_TK_GPUsPerGW_GB200_lo" vbProcedure="false">Interface!$D$574</definedName>
    <definedName function="false" hidden="false" name="SIF_TK_GPUsPerGW_GB300" vbProcedure="false">Interface!$E$575</definedName>
    <definedName function="false" hidden="false" name="SIF_TK_GPUsPerGW_GB300_hi" vbProcedure="false">Interface!$F$575</definedName>
    <definedName function="false" hidden="false" name="SIF_TK_GPUsPerGW_GB300_lo" vbProcedure="false">Interface!$D$575</definedName>
    <definedName function="false" hidden="false" name="SIF_TK_GPUsPerGW_H100" vbProcedure="false">Interface!$E$573</definedName>
    <definedName function="false" hidden="false" name="SIF_TK_GPUsPerGW_H100_hi" vbProcedure="false">Interface!$F$573</definedName>
    <definedName function="false" hidden="false" name="SIF_TK_GPUsPerGW_H100_lo" vbProcedure="false">Interface!$D$573</definedName>
    <definedName function="false" hidden="false" name="SIF_TK_GPUsPerGW_RU" vbProcedure="false">Interface!$E$577</definedName>
    <definedName function="false" hidden="false" name="SIF_TK_GPUsPerGW_RU_hi" vbProcedure="false">Interface!$F$577</definedName>
    <definedName function="false" hidden="false" name="SIF_TK_GPUsPerGW_RU_lo" vbProcedure="false">Interface!$D$577</definedName>
    <definedName function="false" hidden="false" name="SIF_TK_GPUsPerGW_VR200" vbProcedure="false">Interface!$E$576</definedName>
    <definedName function="false" hidden="false" name="SIF_TK_GPUsPerGW_VR200_hi" vbProcedure="false">Interface!$F$576</definedName>
    <definedName function="false" hidden="false" name="SIF_TK_GPUsPerGW_VR200_lo" vbProcedure="false">Interface!$D$576</definedName>
    <definedName function="false" hidden="false" name="SIF_TK_NonNV_Hold_AMD" vbProcedure="false">Interface!$E$615</definedName>
    <definedName function="false" hidden="false" name="SIF_TK_NonNV_Hold_AMD_hi" vbProcedure="false">Interface!$F$615</definedName>
    <definedName function="false" hidden="false" name="SIF_TK_NonNV_Hold_AMD_lo" vbProcedure="false">Interface!$D$615</definedName>
    <definedName function="false" hidden="false" name="SIF_TK_NonNV_Hold_Ascend" vbProcedure="false">Interface!$E$620</definedName>
    <definedName function="false" hidden="false" name="SIF_TK_NonNV_Hold_Ascend_hi" vbProcedure="false">Interface!$F$620</definedName>
    <definedName function="false" hidden="false" name="SIF_TK_NonNV_Hold_Ascend_lo" vbProcedure="false">Interface!$D$620</definedName>
    <definedName function="false" hidden="false" name="SIF_TK_NonNV_Hold_CS" vbProcedure="false">Interface!$E$618</definedName>
    <definedName function="false" hidden="false" name="SIF_TK_NonNV_Hold_CS_hi" vbProcedure="false">Interface!$F$618</definedName>
    <definedName function="false" hidden="false" name="SIF_TK_NonNV_Hold_CS_lo" vbProcedure="false">Interface!$D$618</definedName>
    <definedName function="false" hidden="false" name="SIF_TK_NonNV_Hold_Maia" vbProcedure="false">Interface!$E$621</definedName>
    <definedName function="false" hidden="false" name="SIF_TK_NonNV_Hold_Maia_hi" vbProcedure="false">Interface!$F$621</definedName>
    <definedName function="false" hidden="false" name="SIF_TK_NonNV_Hold_Maia_lo" vbProcedure="false">Interface!$D$621</definedName>
    <definedName function="false" hidden="false" name="SIF_TK_NonNV_Hold_OAI" vbProcedure="false">Interface!$E$619</definedName>
    <definedName function="false" hidden="false" name="SIF_TK_NonNV_Hold_OAI_hi" vbProcedure="false">Interface!$F$619</definedName>
    <definedName function="false" hidden="false" name="SIF_TK_NonNV_Hold_OAI_lo" vbProcedure="false">Interface!$D$619</definedName>
    <definedName function="false" hidden="false" name="SIF_TK_NonNV_Hold_TPU" vbProcedure="false">Interface!$E$616</definedName>
    <definedName function="false" hidden="false" name="SIF_TK_NonNV_Hold_TPU_hi" vbProcedure="false">Interface!$F$616</definedName>
    <definedName function="false" hidden="false" name="SIF_TK_NonNV_Hold_TPU_lo" vbProcedure="false">Interface!$D$616</definedName>
    <definedName function="false" hidden="false" name="SIF_TK_NonNV_Hold_Trn" vbProcedure="false">Interface!$E$617</definedName>
    <definedName function="false" hidden="false" name="SIF_TK_NonNV_Hold_Trn_hi" vbProcedure="false">Interface!$F$617</definedName>
    <definedName function="false" hidden="false" name="SIF_TK_NonNV_Hold_Trn_lo" vbProcedure="false">Interface!$D$617</definedName>
    <definedName function="false" hidden="false" name="SIF_TK_NonNV_Out_AMD" vbProcedure="false">Interface!$E$608</definedName>
    <definedName function="false" hidden="false" name="SIF_TK_NonNV_Out_AMD_hi" vbProcedure="false">Interface!$F$608</definedName>
    <definedName function="false" hidden="false" name="SIF_TK_NonNV_Out_AMD_lo" vbProcedure="false">Interface!$D$608</definedName>
    <definedName function="false" hidden="false" name="SIF_TK_NonNV_Out_Ascend" vbProcedure="false">Interface!$E$613</definedName>
    <definedName function="false" hidden="false" name="SIF_TK_NonNV_Out_Ascend_hi" vbProcedure="false">Interface!$F$613</definedName>
    <definedName function="false" hidden="false" name="SIF_TK_NonNV_Out_Ascend_lo" vbProcedure="false">Interface!$D$613</definedName>
    <definedName function="false" hidden="false" name="SIF_TK_NonNV_Out_CS" vbProcedure="false">Interface!$E$611</definedName>
    <definedName function="false" hidden="false" name="SIF_TK_NonNV_Out_CS_hi" vbProcedure="false">Interface!$F$611</definedName>
    <definedName function="false" hidden="false" name="SIF_TK_NonNV_Out_CS_lo" vbProcedure="false">Interface!$D$611</definedName>
    <definedName function="false" hidden="false" name="SIF_TK_NonNV_Out_Maia" vbProcedure="false">Interface!$E$614</definedName>
    <definedName function="false" hidden="false" name="SIF_TK_NonNV_Out_Maia_hi" vbProcedure="false">Interface!$F$614</definedName>
    <definedName function="false" hidden="false" name="SIF_TK_NonNV_Out_Maia_lo" vbProcedure="false">Interface!$D$614</definedName>
    <definedName function="false" hidden="false" name="SIF_TK_NonNV_Out_OAI" vbProcedure="false">Interface!$E$612</definedName>
    <definedName function="false" hidden="false" name="SIF_TK_NonNV_Out_OAI_hi" vbProcedure="false">Interface!$F$612</definedName>
    <definedName function="false" hidden="false" name="SIF_TK_NonNV_Out_OAI_lo" vbProcedure="false">Interface!$D$612</definedName>
    <definedName function="false" hidden="false" name="SIF_TK_NonNV_Out_TPU" vbProcedure="false">Interface!$E$609</definedName>
    <definedName function="false" hidden="false" name="SIF_TK_NonNV_Out_TPU_hi" vbProcedure="false">Interface!$F$609</definedName>
    <definedName function="false" hidden="false" name="SIF_TK_NonNV_Out_TPU_lo" vbProcedure="false">Interface!$D$609</definedName>
    <definedName function="false" hidden="false" name="SIF_TK_NonNV_Out_Trn" vbProcedure="false">Interface!$E$610</definedName>
    <definedName function="false" hidden="false" name="SIF_TK_NonNV_Out_Trn_hi" vbProcedure="false">Interface!$F$610</definedName>
    <definedName function="false" hidden="false" name="SIF_TK_NonNV_Out_Trn_lo" vbProcedure="false">Interface!$D$610</definedName>
    <definedName function="false" hidden="false" name="SIF_TK_RackPrice_GB200" vbProcedure="false">Interface!$E$594</definedName>
    <definedName function="false" hidden="false" name="SIF_TK_RackPrice_GB200_hi" vbProcedure="false">Interface!$F$594</definedName>
    <definedName function="false" hidden="false" name="SIF_TK_RackPrice_GB200_lo" vbProcedure="false">Interface!$D$594</definedName>
    <definedName function="false" hidden="false" name="SIF_TK_RackPrice_GB300" vbProcedure="false">Interface!$E$595</definedName>
    <definedName function="false" hidden="false" name="SIF_TK_RackPrice_GB300_hi" vbProcedure="false">Interface!$F$595</definedName>
    <definedName function="false" hidden="false" name="SIF_TK_RackPrice_GB300_lo" vbProcedure="false">Interface!$D$595</definedName>
    <definedName function="false" hidden="false" name="SIF_TK_RackPrice_H100" vbProcedure="false">Interface!$E$593</definedName>
    <definedName function="false" hidden="false" name="SIF_TK_RackPrice_H100_hi" vbProcedure="false">Interface!$F$593</definedName>
    <definedName function="false" hidden="false" name="SIF_TK_RackPrice_H100_lo" vbProcedure="false">Interface!$D$593</definedName>
    <definedName function="false" hidden="false" name="SIF_TK_RackPrice_RU" vbProcedure="false">Interface!$E$597</definedName>
    <definedName function="false" hidden="false" name="SIF_TK_RackPrice_RU_hi" vbProcedure="false">Interface!$F$597</definedName>
    <definedName function="false" hidden="false" name="SIF_TK_RackPrice_RU_lo" vbProcedure="false">Interface!$D$597</definedName>
    <definedName function="false" hidden="false" name="SIF_TK_RackPrice_VR200" vbProcedure="false">Interface!$E$596</definedName>
    <definedName function="false" hidden="false" name="SIF_TK_RackPrice_VR200_hi" vbProcedure="false">Interface!$F$596</definedName>
    <definedName function="false" hidden="false" name="SIF_TK_RackPrice_VR200_lo" vbProcedure="false">Interface!$D$596</definedName>
    <definedName function="false" hidden="false" name="SIF_TK_RacksPerGW_GB200" vbProcedure="false">Interface!$E$569</definedName>
    <definedName function="false" hidden="false" name="SIF_TK_RacksPerGW_GB200_hi" vbProcedure="false">Interface!$F$569</definedName>
    <definedName function="false" hidden="false" name="SIF_TK_RacksPerGW_GB200_lo" vbProcedure="false">Interface!$D$569</definedName>
    <definedName function="false" hidden="false" name="SIF_TK_RacksPerGW_GB300" vbProcedure="false">Interface!$E$570</definedName>
    <definedName function="false" hidden="false" name="SIF_TK_RacksPerGW_GB300_hi" vbProcedure="false">Interface!$F$570</definedName>
    <definedName function="false" hidden="false" name="SIF_TK_RacksPerGW_GB300_lo" vbProcedure="false">Interface!$D$570</definedName>
    <definedName function="false" hidden="false" name="SIF_TK_RacksPerGW_H100" vbProcedure="false">Interface!$E$568</definedName>
    <definedName function="false" hidden="false" name="SIF_TK_RacksPerGW_H100_hi" vbProcedure="false">Interface!$F$568</definedName>
    <definedName function="false" hidden="false" name="SIF_TK_RacksPerGW_H100_lo" vbProcedure="false">Interface!$D$568</definedName>
    <definedName function="false" hidden="false" name="SIF_TK_RacksPerGW_RU" vbProcedure="false">Interface!$E$572</definedName>
    <definedName function="false" hidden="false" name="SIF_TK_RacksPerGW_RU_hi" vbProcedure="false">Interface!$F$572</definedName>
    <definedName function="false" hidden="false" name="SIF_TK_RacksPerGW_RU_lo" vbProcedure="false">Interface!$D$572</definedName>
    <definedName function="false" hidden="false" name="SIF_TK_RacksPerGW_VR200" vbProcedure="false">Interface!$E$571</definedName>
    <definedName function="false" hidden="false" name="SIF_TK_RacksPerGW_VR200_hi" vbProcedure="false">Interface!$F$571</definedName>
    <definedName function="false" hidden="false" name="SIF_TK_RacksPerGW_VR200_lo" vbProcedure="false">Interface!$D$571</definedName>
    <definedName function="false" hidden="false" name="SIF_TK_ScaleOutShare_GB200" vbProcedure="false">Interface!$E$599</definedName>
    <definedName function="false" hidden="false" name="SIF_TK_ScaleOutShare_GB200_hi" vbProcedure="false">Interface!$F$599</definedName>
    <definedName function="false" hidden="false" name="SIF_TK_ScaleOutShare_GB200_lo" vbProcedure="false">Interface!$D$599</definedName>
    <definedName function="false" hidden="false" name="SIF_TK_ScaleOutShare_GB300" vbProcedure="false">Interface!$E$600</definedName>
    <definedName function="false" hidden="false" name="SIF_TK_ScaleOutShare_GB300_hi" vbProcedure="false">Interface!$F$600</definedName>
    <definedName function="false" hidden="false" name="SIF_TK_ScaleOutShare_GB300_lo" vbProcedure="false">Interface!$D$600</definedName>
    <definedName function="false" hidden="false" name="SIF_TK_ScaleOutShare_H100" vbProcedure="false">Interface!$E$598</definedName>
    <definedName function="false" hidden="false" name="SIF_TK_ScaleOutShare_H100_hi" vbProcedure="false">Interface!$F$598</definedName>
    <definedName function="false" hidden="false" name="SIF_TK_ScaleOutShare_H100_lo" vbProcedure="false">Interface!$D$598</definedName>
    <definedName function="false" hidden="false" name="SIF_TK_ScaleOutShare_RU" vbProcedure="false">Interface!$E$602</definedName>
    <definedName function="false" hidden="false" name="SIF_TK_ScaleOutShare_RU_hi" vbProcedure="false">Interface!$F$602</definedName>
    <definedName function="false" hidden="false" name="SIF_TK_ScaleOutShare_RU_lo" vbProcedure="false">Interface!$D$602</definedName>
    <definedName function="false" hidden="false" name="SIF_TK_ScaleOutShare_VR200" vbProcedure="false">Interface!$E$601</definedName>
    <definedName function="false" hidden="false" name="SIF_TK_ScaleOutShare_VR200_hi" vbProcedure="false">Interface!$F$601</definedName>
    <definedName function="false" hidden="false" name="SIF_TK_ScaleOutShare_VR200_lo" vbProcedure="false">Interface!$D$601</definedName>
    <definedName function="false" hidden="false" name="SIF_TK_StoragePerGPU_GB200" vbProcedure="false">Interface!$E$604</definedName>
    <definedName function="false" hidden="false" name="SIF_TK_StoragePerGPU_GB200_hi" vbProcedure="false">Interface!$F$604</definedName>
    <definedName function="false" hidden="false" name="SIF_TK_StoragePerGPU_GB200_lo" vbProcedure="false">Interface!$D$604</definedName>
    <definedName function="false" hidden="false" name="SIF_TK_StoragePerGPU_GB300" vbProcedure="false">Interface!$E$605</definedName>
    <definedName function="false" hidden="false" name="SIF_TK_StoragePerGPU_GB300_hi" vbProcedure="false">Interface!$F$605</definedName>
    <definedName function="false" hidden="false" name="SIF_TK_StoragePerGPU_GB300_lo" vbProcedure="false">Interface!$D$605</definedName>
    <definedName function="false" hidden="false" name="SIF_TK_StoragePerGPU_H100" vbProcedure="false">Interface!$E$603</definedName>
    <definedName function="false" hidden="false" name="SIF_TK_StoragePerGPU_H100_hi" vbProcedure="false">Interface!$F$603</definedName>
    <definedName function="false" hidden="false" name="SIF_TK_StoragePerGPU_H100_lo" vbProcedure="false">Interface!$D$603</definedName>
    <definedName function="false" hidden="false" name="SIF_TK_StoragePerGPU_RU" vbProcedure="false">Interface!$E$607</definedName>
    <definedName function="false" hidden="false" name="SIF_TK_StoragePerGPU_RU_hi" vbProcedure="false">Interface!$F$607</definedName>
    <definedName function="false" hidden="false" name="SIF_TK_StoragePerGPU_RU_lo" vbProcedure="false">Interface!$D$607</definedName>
    <definedName function="false" hidden="false" name="SIF_TK_StoragePerGPU_VR200" vbProcedure="false">Interface!$E$606</definedName>
    <definedName function="false" hidden="false" name="SIF_TK_StoragePerGPU_VR200_hi" vbProcedure="false">Interface!$F$606</definedName>
    <definedName function="false" hidden="false" name="SIF_TK_StoragePerGPU_VR200_lo" vbProcedure="false">Interface!$D$606</definedName>
    <definedName function="false" hidden="false" name="SIF_um28_A" vbProcedure="false">Interface!$E$140</definedName>
    <definedName function="false" hidden="false" name="SIF_um28_B" vbProcedure="false">Interface!$E$142</definedName>
    <definedName function="false" hidden="false" name="SIF_um28_B_hi" vbProcedure="false">Interface!$F$142</definedName>
    <definedName function="false" hidden="false" name="SIF_um28_B_lo" vbProcedure="false">Interface!$D$142</definedName>
    <definedName function="false" hidden="false" name="SIF_um28_C" vbProcedure="false">Interface!$E$144</definedName>
    <definedName function="false" hidden="false" name="SIF_um28_C_hi" vbProcedure="false">Interface!$F$144</definedName>
    <definedName function="false" hidden="false" name="SIF_um28_C_lo" vbProcedure="false">Interface!$D$144</definedName>
    <definedName function="false" hidden="false" name="SIF_um29_A" vbProcedure="false">Interface!$E$141</definedName>
    <definedName function="false" hidden="false" name="SIF_um29_B" vbProcedure="false">Interface!$E$143</definedName>
    <definedName function="false" hidden="false" name="SIF_um29_B_hi" vbProcedure="false">Interface!$F$143</definedName>
    <definedName function="false" hidden="false" name="SIF_um29_B_lo" vbProcedure="false">Interface!$D$143</definedName>
    <definedName function="false" hidden="false" name="SIF_um29_C" vbProcedure="false">Interface!$E$145</definedName>
    <definedName function="false" hidden="false" name="SIF_um29_C_hi" vbProcedure="false">Interface!$F$145</definedName>
    <definedName function="false" hidden="false" name="SIF_um29_C_lo" vbProcedure="false">Interface!$D$145</definedName>
    <definedName function="false" hidden="false" name="SIF_UnitsCoef_A" vbProcedure="false">Interface!$D$462:$H$462</definedName>
    <definedName function="false" hidden="false" name="SIF_UnitsCoef_B" vbProcedure="false">Interface!$D$467:$H$467</definedName>
    <definedName function="false" hidden="false" name="SIF_UnitsCoef_C" vbProcedure="false">Interface!$D$472:$H$472</definedName>
    <definedName function="false" hidden="false" name="SIF_UnitsGrowth29" vbProcedure="false">Interface!$E$491</definedName>
    <definedName function="false" hidden="false" name="SIF_UnitsPlat_amd" vbProcedure="false">Interface!$D$483:$H$483</definedName>
    <definedName function="false" hidden="false" name="SIF_UnitsPlat_bw" vbProcedure="false">Interface!$D$479:$H$479</definedName>
    <definedName function="false" hidden="false" name="SIF_UnitsPlat_hp" vbProcedure="false">Interface!$D$482:$H$482</definedName>
    <definedName function="false" hidden="false" name="SIF_UnitsPlat_oth" vbProcedure="false">Interface!$D$486:$H$486</definedName>
    <definedName function="false" hidden="false" name="SIF_UnitsPlat_rb" vbProcedure="false">Interface!$D$480:$H$480</definedName>
    <definedName function="false" hidden="false" name="SIF_UnitsPlat_ru" vbProcedure="false">Interface!$D$481:$H$481</definedName>
    <definedName function="false" hidden="false" name="SIF_UnitsPlat_Total" vbProcedure="false">Interface!$D$487:$H$487</definedName>
    <definedName function="false" hidden="false" name="SIF_UnitsPlat_Total_A" vbProcedure="false">Interface!$D$488:$H$488</definedName>
    <definedName function="false" hidden="false" name="SIF_UnitsPlat_Total_B" vbProcedure="false">Interface!$D$489:$H$489</definedName>
    <definedName function="false" hidden="false" name="SIF_UnitsPlat_Total_C" vbProcedure="false">Interface!$D$490:$H$490</definedName>
    <definedName function="false" hidden="false" name="SIF_UnitsPlat_tpu" vbProcedure="false">Interface!$D$484:$H$484</definedName>
    <definedName function="false" hidden="false" name="SIF_UnitsPlat_trn" vbProcedure="false">Interface!$D$485:$H$485</definedName>
    <definedName function="false" hidden="false" name="SIF_Units_Total" vbProcedure="false">Interface!$D$459:$H$459</definedName>
    <definedName function="false" hidden="false" name="SIF_u_amd_26" vbProcedure="false">Interface!$E$116</definedName>
    <definedName function="false" hidden="false" name="SIF_u_amd_26_hi" vbProcedure="false">Interface!$F$116</definedName>
    <definedName function="false" hidden="false" name="SIF_u_amd_26_lo" vbProcedure="false">Interface!$D$116</definedName>
    <definedName function="false" hidden="false" name="SIF_u_amd_27" vbProcedure="false">Interface!$E$117</definedName>
    <definedName function="false" hidden="false" name="SIF_u_amd_27_hi" vbProcedure="false">Interface!$F$117</definedName>
    <definedName function="false" hidden="false" name="SIF_u_amd_27_lo" vbProcedure="false">Interface!$D$117</definedName>
    <definedName function="false" hidden="false" name="SIF_u_amd_28" vbProcedure="false">Interface!$E$118</definedName>
    <definedName function="false" hidden="false" name="SIF_u_amd_28_hi" vbProcedure="false">Interface!$F$118</definedName>
    <definedName function="false" hidden="false" name="SIF_u_amd_28_lo" vbProcedure="false">Interface!$D$118</definedName>
    <definedName function="false" hidden="false" name="SIF_u_bw_26" vbProcedure="false">Interface!$E$92</definedName>
    <definedName function="false" hidden="false" name="SIF_u_bw_27" vbProcedure="false">Interface!$E$93</definedName>
    <definedName function="false" hidden="false" name="SIF_u_bw_28" vbProcedure="false">Interface!$E$94</definedName>
    <definedName function="false" hidden="false" name="SIF_u_hp_26" vbProcedure="false">Interface!$E$110</definedName>
    <definedName function="false" hidden="false" name="SIF_u_hp_27" vbProcedure="false">Interface!$E$111</definedName>
    <definedName function="false" hidden="false" name="SIF_u_hp_28" vbProcedure="false">Interface!$E$112</definedName>
    <definedName function="false" hidden="false" name="SIF_u_oth_26" vbProcedure="false">Interface!$E$134</definedName>
    <definedName function="false" hidden="false" name="SIF_u_oth_26_hi" vbProcedure="false">Interface!$F$134</definedName>
    <definedName function="false" hidden="false" name="SIF_u_oth_26_lo" vbProcedure="false">Interface!$D$134</definedName>
    <definedName function="false" hidden="false" name="SIF_u_oth_27" vbProcedure="false">Interface!$E$135</definedName>
    <definedName function="false" hidden="false" name="SIF_u_oth_27_hi" vbProcedure="false">Interface!$F$135</definedName>
    <definedName function="false" hidden="false" name="SIF_u_oth_27_lo" vbProcedure="false">Interface!$D$135</definedName>
    <definedName function="false" hidden="false" name="SIF_u_oth_28" vbProcedure="false">Interface!$E$136</definedName>
    <definedName function="false" hidden="false" name="SIF_u_oth_28_hi" vbProcedure="false">Interface!$F$136</definedName>
    <definedName function="false" hidden="false" name="SIF_u_oth_28_lo" vbProcedure="false">Interface!$D$136</definedName>
    <definedName function="false" hidden="false" name="SIF_u_rb_26" vbProcedure="false">Interface!$E$98</definedName>
    <definedName function="false" hidden="false" name="SIF_u_rb_27" vbProcedure="false">Interface!$E$99</definedName>
    <definedName function="false" hidden="false" name="SIF_u_rb_28" vbProcedure="false">Interface!$E$100</definedName>
    <definedName function="false" hidden="false" name="SIF_u_ru_26" vbProcedure="false">Interface!$E$104</definedName>
    <definedName function="false" hidden="false" name="SIF_u_ru_26_hi" vbProcedure="false">Interface!$F$104</definedName>
    <definedName function="false" hidden="false" name="SIF_u_ru_26_lo" vbProcedure="false">Interface!$D$104</definedName>
    <definedName function="false" hidden="false" name="SIF_u_ru_27" vbProcedure="false">Interface!$E$105</definedName>
    <definedName function="false" hidden="false" name="SIF_u_ru_27_hi" vbProcedure="false">Interface!$F$105</definedName>
    <definedName function="false" hidden="false" name="SIF_u_ru_27_lo" vbProcedure="false">Interface!$D$105</definedName>
    <definedName function="false" hidden="false" name="SIF_u_ru_28" vbProcedure="false">Interface!$E$106</definedName>
    <definedName function="false" hidden="false" name="SIF_u_ru_28_hi" vbProcedure="false">Interface!$F$106</definedName>
    <definedName function="false" hidden="false" name="SIF_u_ru_28_lo" vbProcedure="false">Interface!$D$106</definedName>
    <definedName function="false" hidden="false" name="SIF_u_tpu_26" vbProcedure="false">Interface!$E$122</definedName>
    <definedName function="false" hidden="false" name="SIF_u_tpu_27" vbProcedure="false">Interface!$E$123</definedName>
    <definedName function="false" hidden="false" name="SIF_u_tpu_28" vbProcedure="false">Interface!$E$124</definedName>
    <definedName function="false" hidden="false" name="SIF_u_trn_26" vbProcedure="false">Interface!$E$128</definedName>
    <definedName function="false" hidden="false" name="SIF_u_trn_26_hi" vbProcedure="false">Interface!$F$128</definedName>
    <definedName function="false" hidden="false" name="SIF_u_trn_26_lo" vbProcedure="false">Interface!$D$128</definedName>
    <definedName function="false" hidden="false" name="SIF_u_trn_27" vbProcedure="false">Interface!$E$129</definedName>
    <definedName function="false" hidden="false" name="SIF_u_trn_27_hi" vbProcedure="false">Interface!$F$129</definedName>
    <definedName function="false" hidden="false" name="SIF_u_trn_27_lo" vbProcedure="false">Interface!$D$129</definedName>
    <definedName function="false" hidden="false" name="SIF_u_trn_28" vbProcedure="false">Interface!$E$130</definedName>
    <definedName function="false" hidden="false" name="SIF_u_trn_28_hi" vbProcedure="false">Interface!$F$130</definedName>
    <definedName function="false" hidden="false" name="SIF_u_trn_28_lo" vbProcedure="false">Interface!$D$130</definedName>
    <definedName function="false" hidden="false" name="SIF_vr26" vbProcedure="false">Interface!$E$290</definedName>
    <definedName function="false" hidden="false" name="SIF_vr26_hi" vbProcedure="false">Interface!$F$290</definedName>
    <definedName function="false" hidden="false" name="SIF_vr26_lo" vbProcedure="false">Interface!$D$290</definedName>
    <definedName function="false" hidden="false" name="suopt_26" vbProcedure="false">In!$E$283</definedName>
    <definedName function="false" hidden="false" name="suopt_26_hi" vbProcedure="false">In!$F$283</definedName>
    <definedName function="false" hidden="false" name="suopt_26_lo" vbProcedure="false">In!$D$283</definedName>
    <definedName function="false" hidden="false" name="suopt_27" vbProcedure="false">In!$E$284</definedName>
    <definedName function="false" hidden="false" name="suopt_27_hi" vbProcedure="false">In!$F$284</definedName>
    <definedName function="false" hidden="false" name="suopt_27_lo" vbProcedure="false">In!$D$284</definedName>
    <definedName function="false" hidden="false" name="suopt_28" vbProcedure="false">In!$E$285</definedName>
    <definedName function="false" hidden="false" name="suopt_28_hi" vbProcedure="false">In!$F$285</definedName>
    <definedName function="false" hidden="false" name="suopt_28_lo" vbProcedure="false">In!$D$285</definedName>
    <definedName function="false" hidden="false" name="suopt_29" vbProcedure="false">In!$E$286</definedName>
    <definedName function="false" hidden="false" name="suopt_29_hi" vbProcedure="false">In!$F$286</definedName>
    <definedName function="false" hidden="false" name="suopt_29_lo" vbProcedure="false">In!$D$286</definedName>
    <definedName function="false" hidden="false" name="su_cu" vbProcedure="false">In!$E$287</definedName>
    <definedName function="false" hidden="false" name="su_cu_hi" vbProcedure="false">In!$F$287</definedName>
    <definedName function="false" hidden="false" name="su_cu_lo" vbProcedure="false">In!$D$287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um28_A" vbProcedure="false">In!$E$142</definedName>
    <definedName function="false" hidden="false" name="um28_B" vbProcedure="false">In!$E$144</definedName>
    <definedName function="false" hidden="false" name="um28_B_hi" vbProcedure="false">In!$F$144</definedName>
    <definedName function="false" hidden="false" name="um28_B_lo" vbProcedure="false">In!$D$144</definedName>
    <definedName function="false" hidden="false" name="um28_C" vbProcedure="false">In!$E$146</definedName>
    <definedName function="false" hidden="false" name="um28_C_hi" vbProcedure="false">In!$F$146</definedName>
    <definedName function="false" hidden="false" name="um28_C_lo" vbProcedure="false">In!$D$146</definedName>
    <definedName function="false" hidden="false" name="um29_A" vbProcedure="false">In!$E$143</definedName>
    <definedName function="false" hidden="false" name="um29_B" vbProcedure="false">In!$E$145</definedName>
    <definedName function="false" hidden="false" name="um29_B_hi" vbProcedure="false">In!$F$145</definedName>
    <definedName function="false" hidden="false" name="um29_B_lo" vbProcedure="false">In!$D$145</definedName>
    <definedName function="false" hidden="false" name="um29_C" vbProcedure="false">In!$E$147</definedName>
    <definedName function="false" hidden="false" name="um29_C_hi" vbProcedure="false">In!$F$147</definedName>
    <definedName function="false" hidden="false" name="um29_C_lo" vbProcedure="false">In!$D$147</definedName>
    <definedName function="false" hidden="false" name="u_amd_26" vbProcedure="false">In!$E$117</definedName>
    <definedName function="false" hidden="false" name="u_amd_26_hi" vbProcedure="false">In!$F$117</definedName>
    <definedName function="false" hidden="false" name="u_amd_26_lo" vbProcedure="false">In!$D$117</definedName>
    <definedName function="false" hidden="false" name="u_amd_27" vbProcedure="false">In!$E$118</definedName>
    <definedName function="false" hidden="false" name="u_amd_27_hi" vbProcedure="false">In!$F$118</definedName>
    <definedName function="false" hidden="false" name="u_amd_27_lo" vbProcedure="false">In!$D$118</definedName>
    <definedName function="false" hidden="false" name="u_amd_28" vbProcedure="false">In!$E$119</definedName>
    <definedName function="false" hidden="false" name="u_amd_28_hi" vbProcedure="false">In!$F$119</definedName>
    <definedName function="false" hidden="false" name="u_amd_28_lo" vbProcedure="false">In!$D$119</definedName>
    <definedName function="false" hidden="false" name="u_bw_26" vbProcedure="false">In!$E$93</definedName>
    <definedName function="false" hidden="false" name="u_bw_27" vbProcedure="false">In!$E$94</definedName>
    <definedName function="false" hidden="false" name="u_bw_28" vbProcedure="false">In!$E$95</definedName>
    <definedName function="false" hidden="false" name="u_hp_26" vbProcedure="false">In!$E$111</definedName>
    <definedName function="false" hidden="false" name="u_hp_27" vbProcedure="false">In!$E$112</definedName>
    <definedName function="false" hidden="false" name="u_hp_28" vbProcedure="false">In!$E$113</definedName>
    <definedName function="false" hidden="false" name="u_oth_26" vbProcedure="false">In!$E$135</definedName>
    <definedName function="false" hidden="false" name="u_oth_26_hi" vbProcedure="false">In!$F$135</definedName>
    <definedName function="false" hidden="false" name="u_oth_26_lo" vbProcedure="false">In!$D$135</definedName>
    <definedName function="false" hidden="false" name="u_oth_27" vbProcedure="false">In!$E$136</definedName>
    <definedName function="false" hidden="false" name="u_oth_27_hi" vbProcedure="false">In!$F$136</definedName>
    <definedName function="false" hidden="false" name="u_oth_27_lo" vbProcedure="false">In!$D$136</definedName>
    <definedName function="false" hidden="false" name="u_oth_28" vbProcedure="false">In!$E$137</definedName>
    <definedName function="false" hidden="false" name="u_oth_28_hi" vbProcedure="false">In!$F$137</definedName>
    <definedName function="false" hidden="false" name="u_oth_28_lo" vbProcedure="false">In!$D$137</definedName>
    <definedName function="false" hidden="false" name="u_rb_26" vbProcedure="false">In!$E$99</definedName>
    <definedName function="false" hidden="false" name="u_rb_27" vbProcedure="false">In!$E$100</definedName>
    <definedName function="false" hidden="false" name="u_rb_28" vbProcedure="false">In!$E$101</definedName>
    <definedName function="false" hidden="false" name="u_ru_26" vbProcedure="false">In!$E$105</definedName>
    <definedName function="false" hidden="false" name="u_ru_26_hi" vbProcedure="false">In!$F$105</definedName>
    <definedName function="false" hidden="false" name="u_ru_26_lo" vbProcedure="false">In!$D$105</definedName>
    <definedName function="false" hidden="false" name="u_ru_27" vbProcedure="false">In!$E$106</definedName>
    <definedName function="false" hidden="false" name="u_ru_27_hi" vbProcedure="false">In!$F$106</definedName>
    <definedName function="false" hidden="false" name="u_ru_27_lo" vbProcedure="false">In!$D$106</definedName>
    <definedName function="false" hidden="false" name="u_ru_28" vbProcedure="false">In!$E$107</definedName>
    <definedName function="false" hidden="false" name="u_ru_28_hi" vbProcedure="false">In!$F$107</definedName>
    <definedName function="false" hidden="false" name="u_ru_28_lo" vbProcedure="false">In!$D$107</definedName>
    <definedName function="false" hidden="false" name="u_tpu_26" vbProcedure="false">In!$E$123</definedName>
    <definedName function="false" hidden="false" name="u_tpu_27" vbProcedure="false">In!$E$124</definedName>
    <definedName function="false" hidden="false" name="u_tpu_28" vbProcedure="false">In!$E$125</definedName>
    <definedName function="false" hidden="false" name="u_trn_26" vbProcedure="false">In!$E$129</definedName>
    <definedName function="false" hidden="false" name="u_trn_26_hi" vbProcedure="false">In!$F$129</definedName>
    <definedName function="false" hidden="false" name="u_trn_26_lo" vbProcedure="false">In!$D$129</definedName>
    <definedName function="false" hidden="false" name="u_trn_27" vbProcedure="false">In!$E$130</definedName>
    <definedName function="false" hidden="false" name="u_trn_27_hi" vbProcedure="false">In!$F$130</definedName>
    <definedName function="false" hidden="false" name="u_trn_27_lo" vbProcedure="false">In!$D$130</definedName>
    <definedName function="false" hidden="false" name="u_trn_28" vbProcedure="false">In!$E$131</definedName>
    <definedName function="false" hidden="false" name="u_trn_28_hi" vbProcedure="false">In!$F$131</definedName>
    <definedName function="false" hidden="false" name="u_trn_28_lo" vbProcedure="false">In!$D$131</definedName>
    <definedName function="false" hidden="false" name="vr26" vbProcedure="false">In!$E$301</definedName>
    <definedName function="false" hidden="false" name="vr26_hi" vbProcedure="false">In!$F$301</definedName>
    <definedName function="false" hidden="false" name="vr26_lo" vbProcedure="false">In!$D$301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<sst xmlns="http://schemas.openxmlformats.org/spreadsheetml/2006/main" count="7055" uniqueCount="3574">
  <si>
    <r>
      <rPr>
        <b val="true"/>
        <sz val="13"/>
        <rFont val="Cambria"/>
        <family val="0"/>
        <charset val="1"/>
      </rPr>
      <t xml:space="preserve">Siliconomics v0.6.1 — AI </t>
    </r>
    <r>
      <rPr>
        <b val="true"/>
        <sz val="13"/>
        <rFont val="Noto Sans CJK SC"/>
        <family val="2"/>
      </rPr>
      <t xml:space="preserve">半導體產業基準庫（</t>
    </r>
    <r>
      <rPr>
        <b val="true"/>
        <sz val="13"/>
        <rFont val="Cambria"/>
        <family val="0"/>
        <charset val="1"/>
      </rPr>
      <t xml:space="preserve">20261027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</si>
  <si>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半導體各子產業的『唯一事實』——加速器顆數、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與記憶體價格、網通內容、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、載板、伺服器組裝、電源散熱、設備等行業變數只有一個值；各公司模型只讀本庫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名稱。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</si>
  <si>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的分工：每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硬體量、機架價、每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比例、產業年度部署路徑（</t>
    </r>
    <r>
      <rPr>
        <sz val="11"/>
        <color theme="1"/>
        <rFont val="Calibri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）權威在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／算力收支，本庫只在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頁鏡像（綠字、不得修改）；晶片產業資訊（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單價與容量、每顆內容、網通內容、份額、出貨顆數、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規格、晶圓與設備）權威在本庫（《情境卡產生規則》第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</si>
  <si>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(1) Tokenomics v21.7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個名稱）與下游舊快照差異；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加速器顆數層、記憶體價格路徑、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逐字搬入，數值不變）；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跨模型衝突登錄；</t>
    </r>
    <r>
      <rPr>
        <sz val="11"/>
        <color theme="1"/>
        <rFont val="Calibri"/>
        <family val="2"/>
        <charset val="1"/>
      </rPr>
      <t xml:space="preserve">(4) 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。網通、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、載板、組裝電源散熱、設備依規劃書分段併入。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</si>
  <si>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列全部補上區間、缺來源列補來源；新增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平台別顆數成長（單一來源，取代台積電、網通模型的寫死值與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模型的合計年增）與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SIF_UnitsPlat_*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</si>
  <si>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M6 </t>
    </r>
    <r>
      <rPr>
        <sz val="11"/>
        <color theme="1"/>
        <rFont val="Noto Sans CJK SC"/>
        <family val="2"/>
      </rPr>
      <t xml:space="preserve">節（加速器每顆售價、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代購比例；原在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模型）與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設計服務份額；原在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alchip </t>
    </r>
    <r>
      <rPr>
        <sz val="11"/>
        <color theme="1"/>
        <rFont val="Noto Sans CJK SC"/>
        <family val="2"/>
      </rPr>
      <t xml:space="preserve">模型）、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頁（同一平台份額加總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欄第二來源。</t>
    </r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</si>
  <si>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M19</t>
    </r>
    <r>
      <rPr>
        <sz val="11"/>
        <color theme="1"/>
        <rFont val="Noto Sans CJK SC"/>
        <family val="2"/>
      </rPr>
      <t xml:space="preserve">（液冷：機架內液冷每架內容〔原在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〕、分歧管、內容調整、滲透率、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份額快照與份額相對值、健策冷板元件份額；原在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液冷份額表（</t>
    </r>
    <r>
      <rPr>
        <sz val="11"/>
        <color theme="1"/>
        <rFont val="Calibri"/>
        <family val="2"/>
        <charset val="1"/>
      </rPr>
      <t xml:space="preserve">CF04 </t>
    </r>
    <r>
      <rPr>
        <sz val="11"/>
        <color theme="1"/>
        <rFont val="Noto Sans CJK SC"/>
        <family val="2"/>
      </rPr>
      <t xml:space="preserve">加入雙鴻；</t>
    </r>
    <r>
      <rPr>
        <sz val="11"/>
        <color theme="1"/>
        <rFont val="Calibri"/>
        <family val="2"/>
        <charset val="1"/>
      </rPr>
      <t xml:space="preserve">CF12 </t>
    </r>
    <r>
      <rPr>
        <sz val="11"/>
        <color theme="1"/>
        <rFont val="Noto Sans CJK SC"/>
        <family val="2"/>
      </rPr>
      <t xml:space="preserve">台達電機架外液冷不屬本市場）、</t>
    </r>
    <r>
      <rPr>
        <sz val="11"/>
        <color theme="1"/>
        <rFont val="Calibri"/>
        <family val="2"/>
        <charset val="1"/>
      </rPr>
      <t xml:space="preserve">Checks K6-lc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SIF_LiqPerGW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SIF_LiqPen_*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</si>
  <si>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內容、台達電與光寶份額路徑、凱基與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外部錨點；原在 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liteon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每櫃價格、緯穎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占比單一值〔</t>
    </r>
    <r>
      <rPr>
        <sz val="11"/>
        <color theme="1"/>
        <rFont val="Calibri"/>
        <family val="2"/>
        <charset val="1"/>
      </rPr>
      <t xml:space="preserve">CF09</t>
    </r>
    <r>
      <rPr>
        <sz val="11"/>
        <color theme="1"/>
        <rFont val="Noto Sans CJK SC"/>
        <family val="2"/>
      </rPr>
      <t xml:space="preserve">〕；原在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系統市場〔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2026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世代〕、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電源份額表、</t>
    </r>
    <r>
      <rPr>
        <sz val="11"/>
        <color theme="1"/>
        <rFont val="Calibri"/>
        <family val="2"/>
        <charset val="1"/>
      </rPr>
      <t xml:space="preserve">Checks K6-pwr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SIF_AsmMkt_*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SIF_GPUSysMkt_*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</si>
  <si>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金額；原在 </t>
    </r>
    <r>
      <rPr>
        <sz val="11"/>
        <color theme="1"/>
        <rFont val="Calibri"/>
        <family val="2"/>
        <charset val="1"/>
      </rPr>
      <t xml:space="preserve">victory_giant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emc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頁、</t>
    </r>
    <r>
      <rPr>
        <sz val="11"/>
        <color theme="1"/>
        <rFont val="Calibri"/>
        <family val="2"/>
        <charset val="1"/>
      </rPr>
      <t xml:space="preserve">Interface SIF_PCBperGW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SIF_PCBMkt_*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SIF_CCLMkt_*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</si>
  <si>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供需表輸入：產值、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占比、權重、各廠產能指數、味之素膜上限；欣興、南電、景碩產能與味之素膜上限原在各公司模型）與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頁（需求、供給、缺口三情境）、</t>
    </r>
    <r>
      <rPr>
        <sz val="11"/>
        <color theme="1"/>
        <rFont val="Calibri"/>
        <family val="2"/>
        <charset val="1"/>
      </rPr>
      <t xml:space="preserve">Interface SIF_ABF*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</si>
  <si>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（加速器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載板份額、每顆金額路徑、供需缺口；原在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每片封裝數、其他用途、台積電產能、委外補充；原在 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載板份額表、</t>
    </r>
    <r>
      <rPr>
        <sz val="11"/>
        <color theme="1"/>
        <rFont val="Calibri"/>
        <family val="2"/>
        <charset val="1"/>
      </rPr>
      <t xml:space="preserve">Checks K6-abf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SIF_ABFShareSum_*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</si>
  <si>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光學金額份額：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、中際旭創、新易盛、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；原在各公司模型）與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</si>
  <si>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M8–M11</t>
    </r>
    <r>
      <rPr>
        <sz val="11"/>
        <color theme="1"/>
        <rFont val="Noto Sans CJK SC"/>
        <family val="2"/>
      </rPr>
      <t xml:space="preserve">（每顆網通內容、每顆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世代改由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推導〕、網通技術轉換與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三情境、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個公司模型）與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三情境）；橋接表改讀 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</si>
  <si>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Scen</t>
    </r>
    <r>
      <rPr>
        <sz val="11"/>
        <color theme="1"/>
        <rFont val="Noto Sans CJK SC"/>
        <family val="2"/>
      </rPr>
      <t xml:space="preserve">（情境定義）→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（藍字輸入）→ 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（推導）→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（下游取數）→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SGOV_Errors </t>
    </r>
    <r>
      <rPr>
        <sz val="11"/>
        <color theme="1"/>
        <rFont val="Noto Sans CJK SC"/>
        <family val="2"/>
      </rPr>
      <t xml:space="preserve">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</si>
  <si>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顏色：藍字＝輸入（本活頁簿擁有）；黑字＝公式；綠字＝跨頁或外部連結；淡黃底＝關鍵輸出；亮黃底＝待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決定或未定。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</si>
  <si>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搬入列尚有缺區間者，見 </t>
    </r>
    <r>
      <rPr>
        <sz val="11"/>
        <color theme="1"/>
        <rFont val="Calibri"/>
        <family val="2"/>
        <charset val="1"/>
      </rPr>
      <t xml:space="preserve">Checks G3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</si>
  <si>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）。公式頁不要手改（重建時會被覆寫）。</t>
    </r>
  </si>
  <si>
    <r>
      <rPr>
        <sz val="11"/>
        <color theme="1"/>
        <rFont val="Noto Sans CJK SC"/>
        <family val="2"/>
      </rPr>
      <t xml:space="preserve">取數規則（下游）：只取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具名範圍（含 </t>
    </r>
    <r>
      <rPr>
        <sz val="11"/>
        <color theme="1"/>
        <rFont val="Calibri"/>
        <family val="2"/>
        <charset val="1"/>
      </rPr>
      <t xml:space="preserve">SIF_TK_* </t>
    </r>
    <r>
      <rPr>
        <sz val="11"/>
        <color theme="1"/>
        <rFont val="Noto Sans CJK SC"/>
        <family val="2"/>
      </rPr>
      <t xml:space="preserve">鏡像）；不得連結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等內部頁；以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匯成版本固定快照，版本號寫入公司模型。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</si>
  <si>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記錄現行檔名。只改證據或標記為修補版；輸入值或公式改變為次版；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名稱刪除或定義改變為主版（</t>
    </r>
    <r>
      <rPr>
        <sz val="11"/>
        <color theme="1"/>
        <rFont val="Calibri"/>
        <family val="2"/>
        <charset val="1"/>
      </rPr>
      <t xml:space="preserve">v1.0 </t>
    </r>
    <r>
      <rPr>
        <sz val="11"/>
        <color theme="1"/>
        <rFont val="Noto Sans CJK SC"/>
        <family val="2"/>
      </rPr>
      <t xml:space="preserve">前只新增名稱以次版處理）。</t>
    </r>
  </si>
  <si>
    <r>
      <rPr>
        <sz val="11"/>
        <color theme="1"/>
        <rFont val="Calibri"/>
        <family val="2"/>
        <charset val="1"/>
      </rPr>
      <t xml:space="preserve">Scen — </t>
    </r>
    <r>
      <rPr>
        <sz val="11"/>
        <color theme="1"/>
        <rFont val="Noto Sans CJK SC"/>
        <family val="2"/>
      </rPr>
      <t xml:space="preserve">行業情境定義（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＝不如預期）。各公司模型的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</si>
  <si>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</si>
  <si>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名稱</t>
  </si>
  <si>
    <t xml:space="preserve">定義（顆數與部署）</t>
  </si>
  <si>
    <t xml:space="preserve">記憶體價格路徑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</si>
  <si>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</si>
  <si>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</si>
  <si>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t xml:space="preserve">2030–2032</t>
  </si>
  <si>
    <t xml:space="preserve">A</t>
  </si>
  <si>
    <t xml:space="preserve">順利</t>
  </si>
  <si>
    <r>
      <rPr>
        <sz val="11"/>
        <color theme="1"/>
        <rFont val="Noto Sans CJK SC"/>
        <family val="2"/>
      </rPr>
      <t xml:space="preserve">基準顆數（市場層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預測）；部署順利、新技術導入快</t>
    </r>
  </si>
  <si>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</t>
    </r>
  </si>
  <si>
    <r>
      <rPr>
        <sz val="11"/>
        <color theme="1"/>
        <rFont val="Noto Sans CJK SC"/>
        <family val="2"/>
      </rPr>
      <t xml:space="preserve">未定：待算力收支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後）；各公司模型目前以收斂法自推</t>
    </r>
  </si>
  <si>
    <t xml:space="preserve">B</t>
  </si>
  <si>
    <t xml:space="preserve">平平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</si>
  <si>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0.85</t>
    </r>
  </si>
  <si>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</t>
    </r>
  </si>
  <si>
    <t xml:space="preserve">C</t>
  </si>
  <si>
    <t xml:space="preserve">不如預期</t>
  </si>
  <si>
    <r>
      <rPr>
        <sz val="11"/>
        <color theme="1"/>
        <rFont val="Noto Sans CJK SC"/>
        <family val="2"/>
      </rPr>
      <t xml:space="preserve">明顯下修：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</si>
  <si>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</si>
  <si>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t xml:space="preserve">說明</t>
  </si>
  <si>
    <r>
      <rPr>
        <sz val="11"/>
        <color theme="1"/>
        <rFont val="Noto Sans CJK SC"/>
        <family val="2"/>
      </rPr>
      <t xml:space="preserve">情境係數只定義 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，無外部預測可校準；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上線後，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的部署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三情境改讀算力收支（權威在算力收支，第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條），本頁的係數改為由部署路徑推導。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</si>
  <si>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產業輸入（藍字＝輸入，由本活頁簿擁有；要改值直接改本頁，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欄），另有 </t>
    </r>
    <r>
      <rPr>
        <sz val="11"/>
        <color theme="1"/>
        <rFont val="Calibri"/>
        <family val="2"/>
        <charset val="1"/>
      </rPr>
      <t xml:space="preserve">_lo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</si>
  <si>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內容由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逐字搬入（數值、標記、來源文字不變）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</si>
  <si>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</si>
  <si>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</si>
  <si>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</si>
  <si>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</si>
  <si>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</si>
  <si>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</si>
  <si>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</si>
  <si>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</si>
  <si>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名稱</t>
    </r>
  </si>
  <si>
    <t xml:space="preserve">第二來源／說明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</si>
  <si>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</si>
  <si>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</si>
  <si>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</si>
  <si>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</si>
  <si>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</si>
  <si>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</si>
  <si>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SIF_cq_1</t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</si>
  <si>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</si>
  <si>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</si>
  <si>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同上</t>
  </si>
  <si>
    <t xml:space="preserve">SIF_cq_2</t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</si>
  <si>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</si>
  <si>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</si>
  <si>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SIF_cq_3</t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</si>
  <si>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</si>
  <si>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</si>
  <si>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SIF_cq_4</t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</si>
  <si>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</si>
  <si>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</si>
  <si>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SIF_cq_5</t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</si>
  <si>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</si>
  <si>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</si>
  <si>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SIF_cq_6</t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</si>
  <si>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</si>
  <si>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</si>
  <si>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SIF_cq_7</t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</si>
  <si>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</si>
  <si>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</si>
  <si>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</si>
  <si>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SIF_cqA_8</t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</si>
  <si>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</si>
  <si>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</si>
  <si>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SIF_cqA_9</t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</si>
  <si>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</si>
  <si>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</si>
  <si>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SIF_cqA_10</t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</si>
  <si>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</si>
  <si>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</si>
  <si>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SIF_cqA_11</t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</si>
  <si>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</si>
  <si>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</si>
  <si>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SIF_cqA_12</t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</si>
  <si>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</si>
  <si>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</si>
  <si>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SIF_cqA_13</t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</si>
  <si>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</si>
  <si>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</si>
  <si>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SIF_cqA_14</t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</si>
  <si>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</si>
  <si>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</si>
  <si>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SIF_cqA_15</t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</si>
  <si>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</si>
  <si>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</si>
  <si>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SIF_cqA_16</t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</si>
  <si>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</si>
  <si>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</si>
  <si>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SIF_cqA_17</t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</si>
  <si>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</si>
  <si>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</si>
  <si>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SIF_cqA_18</t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</si>
  <si>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</si>
  <si>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</si>
  <si>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SIF_cqA_19</t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</si>
  <si>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</si>
  <si>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</si>
  <si>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</si>
  <si>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SIF_cqB_8</t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</si>
  <si>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</si>
  <si>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</si>
  <si>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SIF_cqB_9</t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</si>
  <si>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</si>
  <si>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</si>
  <si>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SIF_cqB_10</t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</si>
  <si>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</si>
  <si>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</si>
  <si>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SIF_cqB_11</t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</si>
  <si>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</si>
  <si>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</si>
  <si>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SIF_cqB_12</t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</si>
  <si>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</si>
  <si>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</si>
  <si>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SIF_cqB_13</t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</si>
  <si>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</si>
  <si>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</si>
  <si>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SIF_cqB_14</t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</si>
  <si>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</si>
  <si>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</si>
  <si>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SIF_cqB_15</t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</si>
  <si>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</si>
  <si>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</si>
  <si>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SIF_cqB_16</t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</si>
  <si>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</si>
  <si>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</si>
  <si>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SIF_cqB_17</t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</si>
  <si>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</si>
  <si>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</si>
  <si>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SIF_cqB_18</t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</si>
  <si>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</si>
  <si>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</si>
  <si>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SIF_cqB_19</t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</si>
  <si>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</si>
  <si>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</si>
  <si>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</si>
  <si>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</si>
  <si>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SIF_cqC_8</t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</si>
  <si>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</si>
  <si>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</si>
  <si>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SIF_cqC_9</t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</si>
  <si>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</si>
  <si>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</si>
  <si>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SIF_cqC_10</t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</si>
  <si>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</si>
  <si>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</si>
  <si>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SIF_cqC_11</t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</si>
  <si>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</si>
  <si>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</si>
  <si>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SIF_cqC_12</t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</si>
  <si>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</si>
  <si>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</si>
  <si>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SIF_cqC_13</t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</si>
  <si>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</si>
  <si>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</si>
  <si>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SIF_cqC_14</t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</si>
  <si>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</si>
  <si>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</si>
  <si>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SIF_cqC_15</t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</si>
  <si>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</si>
  <si>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</si>
  <si>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SIF_cqC_16</t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</si>
  <si>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</si>
  <si>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</si>
  <si>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SIF_cqC_17</t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</si>
  <si>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</si>
  <si>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</si>
  <si>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SIF_cqC_18</t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</si>
  <si>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</si>
  <si>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</si>
  <si>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SIF_cqC_19</t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</si>
  <si>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</si>
  <si>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</si>
  <si>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</si>
  <si>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SIF_nq_1</t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</si>
  <si>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</si>
  <si>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</si>
  <si>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SIF_nq_2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</si>
  <si>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</si>
  <si>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</si>
  <si>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SIF_nq_3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</si>
  <si>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</si>
  <si>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</si>
  <si>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SIF_nq_4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</si>
  <si>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</si>
  <si>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</si>
  <si>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SIF_nq_5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</si>
  <si>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</si>
  <si>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</si>
  <si>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SIF_nq_6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</si>
  <si>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</si>
  <si>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</si>
  <si>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SIF_nq_7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</si>
  <si>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</si>
  <si>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</si>
  <si>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</si>
  <si>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SIF_nqA_8</t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</si>
  <si>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</si>
  <si>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</si>
  <si>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SIF_nqA_9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</si>
  <si>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</si>
  <si>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</si>
  <si>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SIF_nqA_10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</si>
  <si>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</si>
  <si>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</si>
  <si>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SIF_nqA_11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</si>
  <si>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</si>
  <si>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</si>
  <si>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SIF_nqA_12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</si>
  <si>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</si>
  <si>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</si>
  <si>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SIF_nqA_13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</si>
  <si>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</si>
  <si>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</si>
  <si>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SIF_nqA_14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</si>
  <si>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</si>
  <si>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</si>
  <si>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SIF_nqA_15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</si>
  <si>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</si>
  <si>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</si>
  <si>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SIF_nqA_16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</si>
  <si>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</si>
  <si>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</si>
  <si>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SIF_nqA_17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</si>
  <si>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</si>
  <si>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</si>
  <si>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SIF_nqA_18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</si>
  <si>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</si>
  <si>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</si>
  <si>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SIF_nqA_19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</si>
  <si>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</si>
  <si>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</si>
  <si>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</si>
  <si>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SIF_nqB_8</t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</si>
  <si>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</si>
  <si>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</si>
  <si>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SIF_nqB_9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</si>
  <si>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</si>
  <si>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</si>
  <si>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SIF_nqB_10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</si>
  <si>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</si>
  <si>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</si>
  <si>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SIF_nqB_11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</si>
  <si>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</si>
  <si>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</si>
  <si>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SIF_nqB_12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</si>
  <si>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</si>
  <si>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</si>
  <si>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SIF_nqB_13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</si>
  <si>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</si>
  <si>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</si>
  <si>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SIF_nqB_14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</si>
  <si>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</si>
  <si>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</si>
  <si>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SIF_nqB_15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</si>
  <si>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</si>
  <si>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</si>
  <si>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SIF_nqB_16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</si>
  <si>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</si>
  <si>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</si>
  <si>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SIF_nqB_17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</si>
  <si>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</si>
  <si>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</si>
  <si>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SIF_nqB_18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</si>
  <si>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</si>
  <si>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</si>
  <si>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SIF_nqB_19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</si>
  <si>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</si>
  <si>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</si>
  <si>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</si>
  <si>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SIF_nqC_8</t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</si>
  <si>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</si>
  <si>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</si>
  <si>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SIF_nqC_9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</si>
  <si>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</si>
  <si>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</si>
  <si>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SIF_nqC_10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</si>
  <si>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</si>
  <si>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</si>
  <si>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SIF_nqC_11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</si>
  <si>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</si>
  <si>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</si>
  <si>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SIF_nqC_12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</si>
  <si>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</si>
  <si>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</si>
  <si>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SIF_nqC_13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</si>
  <si>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</si>
  <si>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</si>
  <si>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SIF_nqC_14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</si>
  <si>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</si>
  <si>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</si>
  <si>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SIF_nqC_15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</si>
  <si>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</si>
  <si>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</si>
  <si>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SIF_nqC_16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</si>
  <si>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</si>
  <si>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</si>
  <si>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SIF_nqC_17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</si>
  <si>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</si>
  <si>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</si>
  <si>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SIF_nqC_18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</si>
  <si>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</si>
  <si>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</si>
  <si>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SIF_nqC_19</t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</si>
  <si>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</si>
  <si>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</si>
  <si>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</si>
  <si>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</si>
  <si>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</si>
  <si>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SIF_u_bw_26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</si>
  <si>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</si>
  <si>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</si>
  <si>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SIF_u_bw_27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</si>
  <si>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</si>
  <si>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</si>
  <si>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SIF_u_bw_28</t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</si>
  <si>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</si>
  <si>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</si>
  <si>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</si>
  <si>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SIF_g_bw_26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</si>
  <si>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</si>
  <si>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</si>
  <si>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SIF_g_bw_27</t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</si>
  <si>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</si>
  <si>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</si>
  <si>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SIF_g_bw_28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</si>
  <si>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</si>
  <si>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</si>
  <si>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</si>
  <si>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SIF_u_rb_26</t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</si>
  <si>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</si>
  <si>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</si>
  <si>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SIF_u_rb_27</t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</si>
  <si>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</si>
  <si>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</si>
  <si>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SIF_u_rb_28</t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</si>
  <si>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</si>
  <si>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</si>
  <si>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SIF_g_rb_26</t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</si>
  <si>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</si>
  <si>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</si>
  <si>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SIF_g_rb_27</t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</si>
  <si>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</si>
  <si>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</si>
  <si>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SIF_g_rb_28</t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</si>
  <si>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</si>
  <si>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</si>
  <si>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</si>
  <si>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SIF_u_ru_26</t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</si>
  <si>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</si>
  <si>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</si>
  <si>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SIF_u_ru_27</t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</si>
  <si>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</si>
  <si>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</si>
  <si>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SIF_u_ru_28</t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</si>
  <si>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</si>
  <si>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</si>
  <si>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</si>
  <si>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SIF_g_ru_26</t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</si>
  <si>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</si>
  <si>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</si>
  <si>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SIF_g_ru_27</t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</si>
  <si>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</si>
  <si>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</si>
  <si>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SIF_g_ru_28</t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</si>
  <si>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</si>
  <si>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</si>
  <si>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</si>
  <si>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SIF_u_hp_26</t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</si>
  <si>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</si>
  <si>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</si>
  <si>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SIF_u_hp_27</t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</si>
  <si>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</si>
  <si>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</si>
  <si>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SIF_u_hp_28</t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</si>
  <si>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</si>
  <si>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</si>
  <si>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SIF_g_hp_26</t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</si>
  <si>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</si>
  <si>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</si>
  <si>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SIF_g_hp_27</t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</si>
  <si>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</si>
  <si>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</si>
  <si>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SIF_g_hp_28</t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</si>
  <si>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</si>
  <si>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</si>
  <si>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</si>
  <si>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</si>
  <si>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SIF_u_amd_26</t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</si>
  <si>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</si>
  <si>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</si>
  <si>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SIF_u_amd_27</t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</si>
  <si>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</si>
  <si>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</si>
  <si>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SIF_u_amd_28</t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</si>
  <si>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</si>
  <si>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</si>
  <si>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SIF_g_amd_26</t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</si>
  <si>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</si>
  <si>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</si>
  <si>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SIF_g_amd_27</t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</si>
  <si>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</si>
  <si>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</si>
  <si>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SIF_g_amd_28</t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</si>
  <si>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</si>
  <si>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</si>
  <si>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</si>
  <si>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SIF_u_tpu_26</t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</si>
  <si>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</si>
  <si>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</si>
  <si>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SIF_u_tpu_27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</si>
  <si>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</si>
  <si>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</si>
  <si>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SIF_u_tpu_28</t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</si>
  <si>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</si>
  <si>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</si>
  <si>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SIF_g_tpu_26</t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</si>
  <si>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</si>
  <si>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</si>
  <si>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SIF_g_tpu_27</t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</si>
  <si>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</si>
  <si>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</si>
  <si>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SIF_g_tpu_28</t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</si>
  <si>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</si>
  <si>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</si>
  <si>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</si>
  <si>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SIF_u_trn_26</t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</si>
  <si>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</si>
  <si>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</si>
  <si>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SIF_u_trn_27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</si>
  <si>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</si>
  <si>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</si>
  <si>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SIF_u_trn_28</t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</si>
  <si>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</si>
  <si>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</si>
  <si>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SIF_g_trn_26</t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</si>
  <si>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</si>
  <si>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</si>
  <si>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SIF_g_trn_27</t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</si>
  <si>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</si>
  <si>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</si>
  <si>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SIF_g_trn_28</t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</si>
  <si>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</si>
  <si>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</si>
  <si>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</si>
  <si>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</si>
  <si>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SIF_u_oth_26</t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</si>
  <si>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</si>
  <si>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</si>
  <si>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SIF_u_oth_27</t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</si>
  <si>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</si>
  <si>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</si>
  <si>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SIF_u_oth_28</t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</si>
  <si>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</si>
  <si>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</si>
  <si>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SIF_g_oth_26</t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</si>
  <si>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</si>
  <si>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</si>
  <si>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SIF_g_oth_27</t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</si>
  <si>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</si>
  <si>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</si>
  <si>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SIF_g_oth_28</t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</si>
  <si>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</si>
  <si>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</si>
  <si>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</si>
  <si>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</si>
  <si>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Derived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</si>
  <si>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</si>
  <si>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SIF_um28_A</t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</si>
  <si>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</si>
  <si>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</si>
  <si>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SIF_um29_A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</si>
  <si>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</si>
  <si>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</si>
  <si>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SIF_um28_B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</si>
  <si>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</si>
  <si>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</si>
  <si>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SIF_um29_B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</si>
  <si>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</si>
  <si>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</si>
  <si>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SIF_um28_C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</si>
  <si>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</si>
  <si>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</si>
  <si>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SIF_um29_C</t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</si>
  <si>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</si>
  <si>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</si>
  <si>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</si>
  <si>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</si>
  <si>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</si>
  <si>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</si>
  <si>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SIF_hbm_mkt25</t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</si>
  <si>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</si>
  <si>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</si>
  <si>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</si>
  <si>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SIF_hbm_g26</t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</si>
  <si>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</si>
  <si>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</si>
  <si>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</si>
  <si>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SIF_hbm_gross</t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</si>
  <si>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</si>
  <si>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</si>
  <si>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</si>
  <si>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SIF_hbm_sup27</t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</si>
  <si>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</si>
  <si>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</si>
  <si>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</si>
  <si>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SIF_hbm_sup28</t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</si>
  <si>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</si>
  <si>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</si>
  <si>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</si>
  <si>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</si>
  <si>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SIF_hbm_p26</t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</si>
  <si>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</si>
  <si>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</si>
  <si>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</si>
  <si>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SIF_hbm_p27</t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</si>
  <si>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</si>
  <si>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</si>
  <si>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</si>
  <si>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SIF_hbm_p28_A</t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</si>
  <si>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</si>
  <si>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</si>
  <si>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</si>
  <si>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SIF_hbm_p28_B</t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</si>
  <si>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</si>
  <si>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</si>
  <si>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</si>
  <si>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SIF_hbm_p28_C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</si>
  <si>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</si>
  <si>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</si>
  <si>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</si>
  <si>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SIF_hbm_dem29</t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</si>
  <si>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</si>
  <si>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</si>
  <si>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</si>
  <si>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SIF_hbm_sup29</t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</si>
  <si>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</si>
  <si>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</si>
  <si>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</si>
  <si>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SIF_hbm_p29_A</t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</si>
  <si>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</si>
  <si>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</si>
  <si>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</si>
  <si>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SIF_hbm_p29_B</t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</si>
  <si>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</si>
  <si>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</si>
  <si>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</si>
  <si>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t xml:space="preserve">SIF_hbm_p29_C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</si>
  <si>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</si>
  <si>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</si>
  <si>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</si>
  <si>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</si>
  <si>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</si>
  <si>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SIF_nv_dc26</t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</si>
  <si>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</si>
  <si>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</si>
  <si>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</si>
  <si>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</si>
  <si>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SIF_nv_content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</si>
  <si>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</si>
  <si>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</si>
  <si>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</si>
  <si>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SIF_nv_hbm</t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</si>
  <si>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</si>
  <si>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</si>
  <si>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</si>
  <si>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SIF_pub26_lo</t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</si>
  <si>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</si>
  <si>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</si>
  <si>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</si>
  <si>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SIF_pub26_hi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</si>
  <si>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</si>
  <si>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</si>
  <si>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</si>
  <si>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t xml:space="preserve">SIF_pub27</t>
  </si>
  <si>
    <r>
      <rPr>
        <b val="true"/>
        <sz val="11"/>
        <rFont val="Cambria"/>
        <family val="0"/>
        <charset val="1"/>
      </rPr>
      <t xml:space="preserve">M5. 2029 </t>
    </r>
    <r>
      <rPr>
        <b val="true"/>
        <sz val="11"/>
        <rFont val="Noto Sans CJK SC"/>
        <family val="2"/>
      </rPr>
      <t xml:space="preserve">加速器顆數成長（平台別；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起單一來源，取代台積電與網通模型各自的寫死值、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模型的合計年增）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</si>
  <si>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</si>
  <si>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</si>
  <si>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無平台別顆數預測。基準沿用台積電模型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與網通模型的原值（</t>
    </r>
    <r>
      <rPr>
        <sz val="11"/>
        <color theme="1"/>
        <rFont val="Calibri"/>
        <family val="2"/>
        <charset val="1"/>
      </rPr>
      <t xml:space="preserve">Blackwell −50% </t>
    </r>
    <r>
      <rPr>
        <sz val="11"/>
        <color theme="1"/>
        <rFont val="Noto Sans CJK SC"/>
        <family val="2"/>
      </rPr>
      <t xml:space="preserve">汰換、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 ±20pt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推導</t>
    </r>
  </si>
  <si>
    <t xml:space="preserve">SIF_g29_bw</t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</si>
  <si>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</si>
  <si>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</si>
  <si>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SIF_g29_rb</t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</si>
  <si>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</si>
  <si>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</si>
  <si>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SIF_g29_ru</t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</si>
  <si>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</si>
  <si>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</si>
  <si>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SIF_g29_hp</t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</si>
  <si>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</si>
  <si>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</si>
  <si>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SIF_g29_amd</t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</si>
  <si>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</si>
  <si>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</si>
  <si>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SIF_g29_tpu</t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</si>
  <si>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</si>
  <si>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</si>
  <si>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SIF_g29_trn</t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</si>
  <si>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</si>
  <si>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</si>
  <si>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SIF_g29_oth</t>
  </si>
  <si>
    <r>
      <rPr>
        <b val="true"/>
        <sz val="11"/>
        <rFont val="Cambria"/>
        <family val="0"/>
        <charset val="1"/>
      </rPr>
      <t xml:space="preserve">M6. </t>
    </r>
    <r>
      <rPr>
        <b val="true"/>
        <sz val="11"/>
        <rFont val="Noto Sans CJK SC"/>
        <family val="2"/>
      </rPr>
      <t xml:space="preserve">加速器每顆售價與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核心價（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avgo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頁，數值與文字逐字搬入）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</si>
  <si>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</si>
  <si>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</si>
  <si>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t xml:space="preserve">US$K</t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</si>
  <si>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</si>
  <si>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SIF_pa_amd</t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</si>
  <si>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</si>
  <si>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</si>
  <si>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</si>
  <si>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</si>
  <si>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SIF_pa_tpu</t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</si>
  <si>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</si>
  <si>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</si>
  <si>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</si>
  <si>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</si>
  <si>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SIF_pa_trn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</si>
  <si>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</si>
  <si>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</si>
  <si>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</si>
  <si>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</si>
  <si>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SIF_pa_oth</t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</si>
  <si>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</si>
  <si>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</si>
  <si>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</si>
  <si>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t xml:space="preserve">SIF_core_tpu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</si>
  <si>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</si>
  <si>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</si>
  <si>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</si>
  <si>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</si>
  <si>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t xml:space="preserve">SIF_core_oth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</si>
  <si>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</si>
  <si>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</si>
  <si>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</si>
  <si>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</si>
  <si>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t xml:space="preserve">SIF_f_hbm</t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</si>
  <si>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</si>
  <si>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r>
      <rPr>
        <b val="true"/>
        <sz val="11"/>
        <rFont val="Cambria"/>
        <family val="0"/>
        <charset val="1"/>
      </rPr>
      <t xml:space="preserve">M7. ASIC </t>
    </r>
    <r>
      <rPr>
        <b val="true"/>
        <sz val="11"/>
        <rFont val="Noto Sans CJK SC"/>
        <family val="2"/>
      </rPr>
      <t xml:space="preserve">設計服務顆數份額（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alchip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頁；加總檢查見 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頁）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</si>
  <si>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</si>
  <si>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</si>
  <si>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</si>
  <si>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SIF_sh_tpu_26</t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</si>
  <si>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</si>
  <si>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</si>
  <si>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</si>
  <si>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</si>
  <si>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t xml:space="preserve">SIF_sh_tpu_27</t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</si>
  <si>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</si>
  <si>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</si>
  <si>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</si>
  <si>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SIF_sh_tpu_28</t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</si>
  <si>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</si>
  <si>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</si>
  <si>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</si>
  <si>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</si>
  <si>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t xml:space="preserve">SIF_sh_oth_26</t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</si>
  <si>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</si>
  <si>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</si>
  <si>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</si>
  <si>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</si>
  <si>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SIF_sh_oth_27</t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</si>
  <si>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</si>
  <si>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</si>
  <si>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</si>
  <si>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SIF_sh_oth_28</t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</si>
  <si>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</si>
  <si>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</si>
  <si>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</si>
  <si>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SIF_msh_trn_26</t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</si>
  <si>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</si>
  <si>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</si>
  <si>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</si>
  <si>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SIF_msh_trn_27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</si>
  <si>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</si>
  <si>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</si>
  <si>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SIF_msh_trn_28</t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</si>
  <si>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</si>
  <si>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</si>
  <si>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</si>
  <si>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t xml:space="preserve">SIF_msh_oth_26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</si>
  <si>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</si>
  <si>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</si>
  <si>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</si>
  <si>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SIF_msh_oth_27</t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</si>
  <si>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</si>
  <si>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</si>
  <si>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SIF_msh_oth_28</t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</si>
  <si>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</si>
  <si>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</si>
  <si>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</si>
  <si>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t xml:space="preserve">SIF_msh_tpu_26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</si>
  <si>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</si>
  <si>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</si>
  <si>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</si>
  <si>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SIF_msh_tpu_27</t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</si>
  <si>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</si>
  <si>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</si>
  <si>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SIF_msh_tpu_28</t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</si>
  <si>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</si>
  <si>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</si>
  <si>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</si>
  <si>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t xml:space="preserve">SIF_mtk_tpu_26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</si>
  <si>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</si>
  <si>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</si>
  <si>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</si>
  <si>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SIF_mtk_tpu_27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</si>
  <si>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</si>
  <si>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</si>
  <si>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SIF_mtk_tpu_28</t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</si>
  <si>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</si>
  <si>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</si>
  <si>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</si>
  <si>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SIF_mtk_oth_26</t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</si>
  <si>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</si>
  <si>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</si>
  <si>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</si>
  <si>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SIF_mtk_oth_27</t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</si>
  <si>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</si>
  <si>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</si>
  <si>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SIF_mtk_oth_28</t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</si>
  <si>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</si>
  <si>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</si>
  <si>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</si>
  <si>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t xml:space="preserve">SIF_al_trn_26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</si>
  <si>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</si>
  <si>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</si>
  <si>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</si>
  <si>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SIF_al27_A</t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</si>
  <si>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</si>
  <si>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</si>
  <si>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SIF_al27_B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</si>
  <si>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</si>
  <si>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</si>
  <si>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SIF_al27_C</t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</si>
  <si>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</si>
  <si>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</si>
  <si>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SIF_al28_A</t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</si>
  <si>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</si>
  <si>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</si>
  <si>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</si>
  <si>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</si>
  <si>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</si>
  <si>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</si>
  <si>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SIF_al28_C</t>
  </si>
  <si>
    <r>
      <rPr>
        <b val="true"/>
        <sz val="11"/>
        <rFont val="Cambria"/>
        <family val="0"/>
        <charset val="1"/>
      </rPr>
      <t xml:space="preserve">M8. </t>
    </r>
    <r>
      <rPr>
        <b val="true"/>
        <sz val="11"/>
        <rFont val="Noto Sans CJK SC"/>
        <family val="2"/>
      </rPr>
      <t xml:space="preserve">每顆加速器網通內容（美元；原在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節，數值與文字逐字搬入）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</si>
  <si>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</si>
  <si>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</si>
  <si>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</si>
  <si>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 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Noto Sans CJK SC"/>
        <family val="2"/>
      </rPr>
      <t xml:space="preserve">相同：機架基準價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2.909</t>
    </r>
    <r>
      <rPr>
        <sz val="11"/>
        <color theme="1"/>
        <rFont val="Noto Sans CJK SC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Noto Sans CJK SC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Noto Sans CJK SC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Noto Sans CJK SC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Noto Sans CJK SC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$11.6K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v0.1 $13.0K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Noto Sans CJK SC"/>
        <family val="2"/>
      </rPr>
      <t xml:space="preserve">（第二來源）</t>
    </r>
  </si>
  <si>
    <t xml:space="preserve">SIF_c_GB_su_sw</t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</si>
  <si>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</si>
  <si>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</si>
  <si>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SIF_c_GB_su_ic</t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</si>
  <si>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</si>
  <si>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</si>
  <si>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SIF_c_GB_so_sw</t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</si>
  <si>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</si>
  <si>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</si>
  <si>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SIF_c_GB_so_opt</t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</si>
  <si>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</si>
  <si>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</si>
  <si>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SIF_c_GB_so_cu</t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</si>
  <si>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</si>
  <si>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</si>
  <si>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SIF_c_GB_nic</t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</si>
  <si>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</si>
  <si>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</si>
  <si>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VR200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</si>
  <si>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SIF_c_VR_su_sw</t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</si>
  <si>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</si>
  <si>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</si>
  <si>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SIF_c_VR_su_ic</t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</si>
  <si>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</si>
  <si>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</si>
  <si>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SIF_c_VR_so_sw</t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</si>
  <si>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</si>
  <si>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</si>
  <si>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SIF_c_VR_so_opt</t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</si>
  <si>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</si>
  <si>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</si>
  <si>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SIF_c_VR_so_cu</t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</si>
  <si>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</si>
  <si>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</si>
  <si>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SIF_c_VR_nic</t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</si>
  <si>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</si>
  <si>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</si>
  <si>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Noto Sans CJK SC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</si>
  <si>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SIF_c_RU_su_sw</t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</si>
  <si>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</si>
  <si>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</si>
  <si>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SIF_c_RU_su_ic</t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</si>
  <si>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</si>
  <si>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</si>
  <si>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SIF_c_RU_so_sw</t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</si>
  <si>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</si>
  <si>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</si>
  <si>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SIF_c_RU_so_opt</t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</si>
  <si>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</si>
  <si>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</si>
  <si>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SIF_c_RU_so_cu</t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</si>
  <si>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</si>
  <si>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</si>
  <si>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SIF_c_RU_nic</t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</si>
  <si>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</si>
  <si>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</si>
  <si>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Noto Sans CJK SC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Noto Sans CJK SC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</si>
  <si>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SIF_c_HP_su_sw</t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</si>
  <si>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</si>
  <si>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</si>
  <si>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SIF_c_HP_su_ic</t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</si>
  <si>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</si>
  <si>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</si>
  <si>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SIF_c_HP_so_sw</t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</si>
  <si>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</si>
  <si>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</si>
  <si>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SIF_c_HP_so_opt</t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</si>
  <si>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</si>
  <si>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</si>
  <si>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SIF_c_HP_so_cu</t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</si>
  <si>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</si>
  <si>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</si>
  <si>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SIF_c_HP_nic</t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</si>
  <si>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</si>
  <si>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</si>
  <si>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</si>
  <si>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</si>
  <si>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SIF_c_AMD8_su_sw</t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</si>
  <si>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</si>
  <si>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</si>
  <si>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SIF_c_AMD8_su_ic</t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</si>
  <si>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</si>
  <si>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</si>
  <si>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SIF_c_AMD8_so_sw</t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</si>
  <si>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</si>
  <si>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</si>
  <si>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SIF_c_AMD8_so_opt</t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</si>
  <si>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</si>
  <si>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</si>
  <si>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SIF_c_AMD8_so_cu</t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</si>
  <si>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</si>
  <si>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</si>
  <si>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SIF_c_AMD8_nic</t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</si>
  <si>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</si>
  <si>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</si>
  <si>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</si>
  <si>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SIF_c_AMDR_su_sw</t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</si>
  <si>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</si>
  <si>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</si>
  <si>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SIF_c_AMDR_su_ic</t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</si>
  <si>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</si>
  <si>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</si>
  <si>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SIF_c_AMDR_so_sw</t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</si>
  <si>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</si>
  <si>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</si>
  <si>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SIF_c_AMDR_so_opt</t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</si>
  <si>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</si>
  <si>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</si>
  <si>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SIF_c_AMDR_so_cu</t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</si>
  <si>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</si>
  <si>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</si>
  <si>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SIF_c_AMDR_nic</t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</si>
  <si>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</si>
  <si>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</si>
  <si>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Noto Sans CJK SC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</si>
  <si>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SIF_c_TPU_su_sw</t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</si>
  <si>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</si>
  <si>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</si>
  <si>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SIF_c_TPU_su_ic</t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</si>
  <si>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</si>
  <si>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</si>
  <si>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SIF_c_TPU_so_sw</t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</si>
  <si>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</si>
  <si>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</si>
  <si>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SIF_c_TPU_so_opt</t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</si>
  <si>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</si>
  <si>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</si>
  <si>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SIF_c_TPU_so_cu</t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</si>
  <si>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</si>
  <si>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</si>
  <si>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SIF_c_TPU_nic</t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</si>
  <si>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</si>
  <si>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</si>
  <si>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Noto Sans CJK SC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</si>
  <si>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SIF_c_TRN_su_sw</t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</si>
  <si>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</si>
  <si>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</si>
  <si>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SIF_c_TRN_su_ic</t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</si>
  <si>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</si>
  <si>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</si>
  <si>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SIF_c_TRN_so_sw</t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</si>
  <si>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</si>
  <si>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</si>
  <si>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SIF_c_TRN_so_opt</t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</si>
  <si>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</si>
  <si>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</si>
  <si>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SIF_c_TRN_so_cu</t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</si>
  <si>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</si>
  <si>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</si>
  <si>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SIF_c_TRN_nic</t>
  </si>
  <si>
    <t xml:space="preserve">c_ASIC_su_sw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</si>
  <si>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</si>
  <si>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</si>
  <si>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SIF_c_ASIC_su_sw</t>
  </si>
  <si>
    <t xml:space="preserve">c_ASIC_su_ic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</si>
  <si>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</si>
  <si>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SIF_c_ASIC_su_ic</t>
  </si>
  <si>
    <t xml:space="preserve">c_ASIC_so_sw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</si>
  <si>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</si>
  <si>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SIF_c_ASIC_so_sw</t>
  </si>
  <si>
    <t xml:space="preserve">c_ASIC_so_opt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</si>
  <si>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</si>
  <si>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SIF_c_ASIC_so_opt</t>
  </si>
  <si>
    <t xml:space="preserve">c_ASIC_so_cu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</si>
  <si>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</si>
  <si>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SIF_c_ASIC_so_cu</t>
  </si>
  <si>
    <t xml:space="preserve">c_ASIC_nic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</si>
  <si>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</si>
  <si>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SIF_c_ASIC_nic</t>
  </si>
  <si>
    <r>
      <rPr>
        <b val="true"/>
        <sz val="11"/>
        <rFont val="Cambria"/>
        <family val="0"/>
        <charset val="1"/>
      </rPr>
      <t xml:space="preserve">M9. </t>
    </r>
    <r>
      <rPr>
        <b val="true"/>
        <sz val="11"/>
        <rFont val="Noto Sans CJK SC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資本支出（千美元；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世代由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推導，其餘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markets/network C </t>
    </r>
    <r>
      <rPr>
        <b val="true"/>
        <sz val="11"/>
        <rFont val="Noto Sans CJK SC"/>
        <family val="2"/>
      </rPr>
      <t xml:space="preserve">節）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</si>
  <si>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</si>
  <si>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</si>
  <si>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</si>
  <si>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</si>
  <si>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SIF_it_GB</t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</si>
  <si>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</si>
  <si>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</si>
  <si>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</si>
  <si>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SIF_it_VR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</si>
  <si>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</si>
  <si>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</si>
  <si>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</si>
  <si>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SIF_it_RU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</si>
  <si>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</si>
  <si>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</si>
  <si>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</si>
  <si>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SIF_it_HP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</si>
  <si>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</si>
  <si>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</si>
  <si>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MI355 8 GPU </t>
    </r>
    <r>
      <rPr>
        <sz val="11"/>
        <color theme="1"/>
        <rFont val="Noto Sans CJK SC"/>
        <family val="2"/>
      </rPr>
      <t xml:space="preserve">伺服器每顆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無公開值；比照 </t>
    </r>
    <r>
      <rPr>
        <sz val="11"/>
        <color theme="1"/>
        <rFont val="Calibri"/>
        <family val="2"/>
        <charset val="1"/>
      </rPr>
      <t xml:space="preserve">Hopper HGX </t>
    </r>
    <r>
      <rPr>
        <sz val="11"/>
        <color theme="1"/>
        <rFont val="Noto Sans CJK SC"/>
        <family val="2"/>
      </rPr>
      <t xml:space="preserve">量級（</t>
    </r>
    <r>
      <rPr>
        <sz val="11"/>
        <color theme="1"/>
        <rFont val="Calibri"/>
        <family val="2"/>
        <charset val="1"/>
      </rPr>
      <t xml:space="preserve">Tokenomics H100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38K</t>
    </r>
    <r>
      <rPr>
        <sz val="11"/>
        <color theme="1"/>
        <rFont val="Noto Sans CJK SC"/>
        <family val="2"/>
      </rPr>
      <t xml:space="preserve">）上調；區間 </t>
    </r>
    <r>
      <rPr>
        <sz val="11"/>
        <color theme="1"/>
        <rFont val="Calibri"/>
        <family val="2"/>
        <charset val="1"/>
      </rPr>
      <t xml:space="preserve">30–50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</t>
    </r>
  </si>
  <si>
    <t xml:space="preserve">SIF_it_AMD8</t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</si>
  <si>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</si>
  <si>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</si>
  <si>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</t>
    </r>
  </si>
  <si>
    <t xml:space="preserve">SIF_it_AMDR</t>
  </si>
  <si>
    <t xml:space="preserve">it_TPU</t>
  </si>
  <si>
    <t xml:space="preserve">Google TPU IT capex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</si>
  <si>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＝伺服器與機架總價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顆數，無公開值；量級約為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0.3–0.4 </t>
    </r>
    <r>
      <rPr>
        <sz val="11"/>
        <color theme="1"/>
        <rFont val="Noto Sans CJK SC"/>
        <family val="2"/>
      </rPr>
      <t xml:space="preserve">倍；區間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</t>
    </r>
  </si>
  <si>
    <t xml:space="preserve">SIF_it_TPU</t>
  </si>
  <si>
    <t xml:space="preserve">it_TRN</t>
  </si>
  <si>
    <t xml:space="preserve">AWS Trainium IT capex</t>
  </si>
  <si>
    <t xml:space="preserve">SIF_it_TRN</t>
  </si>
  <si>
    <t xml:space="preserve">it_ASIC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</si>
  <si>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</si>
  <si>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t xml:space="preserve">SIF_it_ASIC</t>
  </si>
  <si>
    <r>
      <rPr>
        <b val="true"/>
        <sz val="11"/>
        <rFont val="Cambria"/>
        <family val="0"/>
        <charset val="1"/>
      </rPr>
      <t xml:space="preserve">M10. </t>
    </r>
    <r>
      <rPr>
        <b val="true"/>
        <sz val="11"/>
        <rFont val="Noto Sans CJK SC"/>
        <family val="2"/>
      </rPr>
      <t xml:space="preserve">網通技術轉換與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三情境（原在 </t>
    </r>
    <r>
      <rPr>
        <b val="true"/>
        <sz val="11"/>
        <rFont val="Cambria"/>
        <family val="0"/>
        <charset val="1"/>
      </rPr>
      <t xml:space="preserve">markets/network 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 </t>
    </r>
    <r>
      <rPr>
        <b val="true"/>
        <sz val="11"/>
        <rFont val="Noto Sans CJK SC"/>
        <family val="2"/>
      </rPr>
      <t xml:space="preserve">節；技術替代屬行業情境，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＝替代快）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</si>
  <si>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</si>
  <si>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</si>
  <si>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Noto Sans CJK SC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Noto Sans CJK SC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後）。區間（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</t>
    </r>
    <r>
      <rPr>
        <sz val="11"/>
        <color theme="1"/>
        <rFont val="Calibri"/>
        <family val="2"/>
        <charset val="1"/>
      </rPr>
      <t xml:space="preserve">2028 0–5%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10–30%</t>
    </r>
  </si>
  <si>
    <t xml:space="preserve">SIF_suopt_26</t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</si>
  <si>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</si>
  <si>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</si>
  <si>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SIF_suopt_27</t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</si>
  <si>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</si>
  <si>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</si>
  <si>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SIF_suopt_28</t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</si>
  <si>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</si>
  <si>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</si>
  <si>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SIF_suopt_29</t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</si>
  <si>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</si>
  <si>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互連中銅纜（背板、線纜卡匣）占比</t>
    </r>
  </si>
  <si>
    <t xml:space="preserve">其餘為交換匣電路板、電源、機構</t>
  </si>
  <si>
    <t xml:space="preserve">SIF_su_cu</t>
  </si>
  <si>
    <t xml:space="preserve">cpo_A_26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</si>
  <si>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</si>
  <si>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</si>
  <si>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部署順利 → 新世代交換器（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Quantum-X 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Bailly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Davisson</t>
    </r>
    <r>
      <rPr>
        <sz val="11"/>
        <color theme="1"/>
        <rFont val="Noto Sans CJK SC"/>
        <family val="2"/>
      </rPr>
      <t xml:space="preserve">）導入快：</t>
    </r>
    <r>
      <rPr>
        <sz val="11"/>
        <color theme="1"/>
        <rFont val="Calibri"/>
        <family val="2"/>
        <charset val="1"/>
      </rPr>
      <t xml:space="preserve">Citi 2026-03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2027 4 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，賣方），以每埠光學約 </t>
    </r>
    <r>
      <rPr>
        <sz val="11"/>
        <color theme="1"/>
        <rFont val="Calibri"/>
        <family val="2"/>
        <charset val="1"/>
      </rPr>
      <t xml:space="preserve">$300–400 </t>
    </r>
    <r>
      <rPr>
        <sz val="11"/>
        <color theme="1"/>
        <rFont val="Noto Sans CJK SC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2027 $2–3B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2028 $6–8B</t>
    </r>
    <r>
      <rPr>
        <sz val="11"/>
        <color theme="1"/>
        <rFont val="Noto Sans CJK SC"/>
        <family val="2"/>
      </rPr>
      <t xml:space="preserve">，與本列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同級；區間 </t>
    </r>
    <r>
      <rPr>
        <sz val="11"/>
        <color theme="1"/>
        <rFont val="Calibri"/>
        <family val="2"/>
        <charset val="1"/>
      </rPr>
      <t xml:space="preserve">2028 8–14%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補）：各年基準 </t>
    </r>
    <r>
      <rPr>
        <sz val="11"/>
        <color theme="1"/>
        <rFont val="Calibri"/>
        <family val="2"/>
        <charset val="1"/>
      </rPr>
      <t xml:space="preserve">×0.7–×1.4</t>
    </r>
  </si>
  <si>
    <t xml:space="preserve">SIF_cpo_A_26</t>
  </si>
  <si>
    <t xml:space="preserve">cpo_A_27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</si>
  <si>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</si>
  <si>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SIF_cpo_A_27</t>
  </si>
  <si>
    <t xml:space="preserve">cpo_A_28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</si>
  <si>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</si>
  <si>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SIF_cpo_A_28</t>
  </si>
  <si>
    <t xml:space="preserve">cpo_A_29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</si>
  <si>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</si>
  <si>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SIF_cpo_A_29</t>
  </si>
  <si>
    <t xml:space="preserve">cpo_B_26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</si>
  <si>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</si>
  <si>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單一路徑：</t>
    </r>
    <r>
      <rPr>
        <sz val="11"/>
        <color theme="1"/>
        <rFont val="Calibri"/>
        <family val="2"/>
        <charset val="1"/>
      </rPr>
      <t xml:space="preserve">LightCounting 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為可插拔、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、銅並存的過渡期，快速成長在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年之後（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交換器放量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2028 4–7%</t>
    </r>
  </si>
  <si>
    <t xml:space="preserve">SIF_cpo_B_26</t>
  </si>
  <si>
    <t xml:space="preserve">cpo_B_27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</si>
  <si>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</si>
  <si>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SIF_cpo_B_27</t>
  </si>
  <si>
    <t xml:space="preserve">cpo_B_28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</si>
  <si>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</si>
  <si>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SIF_cpo_B_28</t>
  </si>
  <si>
    <t xml:space="preserve">cpo_B_29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</si>
  <si>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</si>
  <si>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SIF_cpo_B_29</t>
  </si>
  <si>
    <t xml:space="preserve">cpo_C_26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</si>
  <si>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</si>
  <si>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部署不如預期 → 客戶延用已驗證的可插拔（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良率（</t>
    </r>
    <r>
      <rPr>
        <sz val="11"/>
        <color theme="1"/>
        <rFont val="Calibri"/>
        <family val="2"/>
        <charset val="1"/>
      </rPr>
      <t xml:space="preserve">TSMC COUPE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50–60%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轉述）與維修性問題拖延；</t>
    </r>
    <r>
      <rPr>
        <sz val="11"/>
        <color theme="1"/>
        <rFont val="Calibri"/>
        <family val="2"/>
        <charset val="1"/>
      </rPr>
      <t xml:space="preserve">Cignal AI 2026-05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對可插拔的初期影響很小、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只占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可插拔的一小部分；區間 </t>
    </r>
    <r>
      <rPr>
        <sz val="11"/>
        <color theme="1"/>
        <rFont val="Calibri"/>
        <family val="2"/>
        <charset val="1"/>
      </rPr>
      <t xml:space="preserve">2028 2–4%</t>
    </r>
  </si>
  <si>
    <t xml:space="preserve">SIF_cpo_C_26</t>
  </si>
  <si>
    <t xml:space="preserve">cpo_C_27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</si>
  <si>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</si>
  <si>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SIF_cpo_C_27</t>
  </si>
  <si>
    <t xml:space="preserve">cpo_C_28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</si>
  <si>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</si>
  <si>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SIF_cpo_C_28</t>
  </si>
  <si>
    <t xml:space="preserve">cpo_C_29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</si>
  <si>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</si>
  <si>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SIF_cpo_C_29</t>
  </si>
  <si>
    <r>
      <rPr>
        <b val="true"/>
        <sz val="11"/>
        <rFont val="Cambria"/>
        <family val="0"/>
        <charset val="1"/>
      </rPr>
      <t xml:space="preserve">M11. </t>
    </r>
    <r>
      <rPr>
        <b val="true"/>
        <sz val="11"/>
        <rFont val="Noto Sans CJK SC"/>
        <family val="2"/>
      </rPr>
      <t xml:space="preserve">部署組合（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世代占比；原分別寫在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個公司模型，值相同）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</si>
  <si>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</si>
  <si>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資本支出等用）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</si>
  <si>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）；原在台達電、廣達、奇鋐、雙鴻、健策、台光電、勝宏、光寶等模型各自寫入，值相同</t>
    </r>
  </si>
  <si>
    <t xml:space="preserve">SIF_vr26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</si>
  <si>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起單一來源</t>
    </r>
  </si>
  <si>
    <r>
      <rPr>
        <b val="true"/>
        <sz val="11"/>
        <rFont val="Cambria"/>
        <family val="0"/>
        <charset val="1"/>
      </rPr>
      <t xml:space="preserve">M12. CPO </t>
    </r>
    <r>
      <rPr>
        <b val="true"/>
        <sz val="11"/>
        <rFont val="Noto Sans CJK SC"/>
        <family val="2"/>
      </rPr>
      <t xml:space="preserve">光學金額份額（光模組與雷射廠；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為代工，與模組廠重疊、不計入合計；原在 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innolight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eoptolink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cpo_27–29</t>
    </r>
    <r>
      <rPr>
        <b val="true"/>
        <sz val="11"/>
        <rFont val="Noto Sans CJK SC"/>
        <family val="2"/>
      </rPr>
      <t xml:space="preserve">，數值與文字逐字搬入）</t>
    </r>
  </si>
  <si>
    <t xml:space="preserve">cposh_lite_27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</si>
  <si>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</si>
  <si>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</si>
  <si>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t xml:space="preserve">SIF_cposh_lite_27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</si>
  <si>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</si>
  <si>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cposh_lite_28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</si>
  <si>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</si>
  <si>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</si>
  <si>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t xml:space="preserve">SIF_cposh_lite_28</t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</si>
  <si>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</si>
  <si>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cposh_lite_29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</si>
  <si>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</si>
  <si>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SIF_cposh_lite_29</t>
  </si>
  <si>
    <t xml:space="preserve">cposh_cohr_27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</si>
  <si>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</si>
  <si>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</si>
  <si>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t xml:space="preserve">SIF_cposh_cohr_27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</si>
  <si>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</si>
  <si>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cposh_cohr_28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</si>
  <si>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</si>
  <si>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SIF_cposh_cohr_28</t>
  </si>
  <si>
    <t xml:space="preserve">cposh_cohr_29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</si>
  <si>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</si>
  <si>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SIF_cposh_cohr_29</t>
  </si>
  <si>
    <t xml:space="preserve">cposh_innolight_27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</si>
  <si>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</si>
  <si>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</si>
  <si>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t xml:space="preserve">SIF_cposh_innolight_27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</si>
  <si>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</si>
  <si>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cposh_innolight_28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</si>
  <si>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</si>
  <si>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SIF_cposh_innolight_28</t>
  </si>
  <si>
    <t xml:space="preserve">cposh_innolight_29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</si>
  <si>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</si>
  <si>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SIF_cposh_innolight_29</t>
  </si>
  <si>
    <t xml:space="preserve">cposh_eoptolink_27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</si>
  <si>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</si>
  <si>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</si>
  <si>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SIF_cposh_eoptolink_27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</si>
  <si>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</si>
  <si>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cposh_eoptolink_28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</si>
  <si>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</si>
  <si>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SIF_cposh_eoptolink_28</t>
  </si>
  <si>
    <t xml:space="preserve">cposh_eoptolink_29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</si>
  <si>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</si>
  <si>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SIF_cposh_eoptolink_29</t>
  </si>
  <si>
    <t xml:space="preserve">cposh_fabrinet_27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</si>
  <si>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</si>
  <si>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</si>
  <si>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t xml:space="preserve">SIF_cposh_fabrinet_27</t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</si>
  <si>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</si>
  <si>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cposh_fabrinet_28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</si>
  <si>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</si>
  <si>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SIF_cposh_fabrinet_28</t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</si>
  <si>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</si>
  <si>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cposh_fabrinet_29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</si>
  <si>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</si>
  <si>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SIF_cposh_fabrinet_29</t>
  </si>
  <si>
    <r>
      <rPr>
        <b val="true"/>
        <sz val="11"/>
        <rFont val="Cambria"/>
        <family val="0"/>
        <charset val="1"/>
      </rPr>
      <t xml:space="preserve">M13. </t>
    </r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載板：份額、每顆金額路徑、供需缺口（原在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unimicron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nanya_pcb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kinsus</t>
    </r>
    <r>
      <rPr>
        <b val="true"/>
        <sz val="11"/>
        <rFont val="Noto Sans CJK SC"/>
        <family val="2"/>
      </rPr>
      <t xml:space="preserve">；每顆載板金額 </t>
    </r>
    <r>
      <rPr>
        <b val="true"/>
        <sz val="11"/>
        <rFont val="Cambria"/>
        <family val="0"/>
        <charset val="1"/>
      </rPr>
      <t xml:space="preserve">v26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公司營收校準，仍在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）</t>
    </r>
  </si>
  <si>
    <t xml:space="preserve">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</si>
  <si>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</si>
  <si>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</si>
  <si>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</si>
  <si>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頁以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校準每顆載板金額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（本列為該假設的單一來源）</t>
    </r>
  </si>
  <si>
    <t xml:space="preserve">abf_ibrel_27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</si>
  <si>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</si>
  <si>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第三方研究：欣興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年拿到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載板約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）</t>
    </r>
  </si>
  <si>
    <t xml:space="preserve">SIF_abf_ibrel_27</t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</si>
  <si>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）</t>
    </r>
  </si>
  <si>
    <t xml:space="preserve">abf_ibrel_28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</si>
  <si>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</si>
  <si>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同上；競爭者擴產：欣興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NT$340 </t>
    </r>
    <r>
      <rPr>
        <sz val="11"/>
        <color theme="1"/>
        <rFont val="Noto Sans CJK SC"/>
        <family val="2"/>
      </rPr>
      <t xml:space="preserve">億、景碩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NT$235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</si>
  <si>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SIF_abf_ibrel_28</t>
  </si>
  <si>
    <t xml:space="preserve">abf_ibrel_29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</si>
  <si>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</si>
  <si>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SIF_abf_ibrel_29</t>
  </si>
  <si>
    <t xml:space="preserve">abf_wot_ib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</si>
  <si>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加速器的權重（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</si>
  <si>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公開資料只有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整體約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）</t>
    </r>
  </si>
  <si>
    <t xml:space="preserve">SIF_abf_wot_ib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</si>
  <si>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多由欣興、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等分食（第三方研究，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載板金額相對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：未找到</t>
    </r>
  </si>
  <si>
    <t xml:space="preserve">abf_vot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</si>
  <si>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</si>
  <si>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，但層數與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規格不同；量化：未找到</t>
    </r>
  </si>
  <si>
    <t xml:space="preserve">SIF_abf_vot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</si>
  <si>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 ÷ 0.8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頁合計檢查）</t>
    </r>
  </si>
  <si>
    <t xml:space="preserve">abf_gasp</t>
  </si>
  <si>
    <t xml:space="preserve">每顆載板金額年增（面積、層數）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</si>
  <si>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；每片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伺服器載板的 </t>
    </r>
    <r>
      <rPr>
        <sz val="11"/>
        <color theme="1"/>
        <rFont val="Calibri"/>
        <family val="2"/>
        <charset val="1"/>
      </rPr>
      <t xml:space="preserve">SAP </t>
    </r>
    <r>
      <rPr>
        <sz val="11"/>
        <color theme="1"/>
        <rFont val="Noto Sans CJK SC"/>
        <family val="2"/>
      </rPr>
      <t xml:space="preserve">負荷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倍（→ </t>
    </r>
    <r>
      <rPr>
        <sz val="11"/>
        <color theme="1"/>
        <rFont val="Calibri"/>
        <family val="2"/>
        <charset val="1"/>
      </rPr>
      <t xml:space="preserve">2026→2028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／年）</t>
    </r>
  </si>
  <si>
    <t xml:space="preserve">SIF_abf_gasp</t>
  </si>
  <si>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 </t>
    </r>
    <r>
      <rPr>
        <sz val="11"/>
        <color theme="1"/>
        <rFont val="Calibri"/>
        <family val="2"/>
        <charset val="1"/>
      </rPr>
      <t xml:space="preserve">2024 $65 → 2025 $82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，全品項）</t>
    </r>
  </si>
  <si>
    <t xml:space="preserve">abf_pp_27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</si>
  <si>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</si>
  <si>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40%</t>
    </r>
  </si>
  <si>
    <t xml:space="preserve">SIF_abf_pp_27</t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</si>
  <si>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：短缺延續到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）</t>
    </r>
  </si>
  <si>
    <t xml:space="preserve">abf_pp_28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</si>
  <si>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</si>
  <si>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倍（公司路線圖，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</si>
  <si>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SIF_abf_pp_28</t>
  </si>
  <si>
    <t xml:space="preserve">欣興、景碩、三星電機同時擴產（同上）</t>
  </si>
  <si>
    <t xml:space="preserve">abf_pp_29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</si>
  <si>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</si>
  <si>
    <t xml:space="preserve">同上：新產能到位後溢價回落</t>
  </si>
  <si>
    <t xml:space="preserve">SIF_abf_pp_29</t>
  </si>
  <si>
    <t xml:space="preserve">abf_un_nv_26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</si>
  <si>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</si>
  <si>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市場分析：欣興約占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載板供應鏈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，未經公司確認，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</si>
  <si>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SIF_abf_un_nv_26</t>
  </si>
  <si>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30% NVIDIA AI </t>
    </r>
    <r>
      <rPr>
        <sz val="11"/>
        <color theme="1"/>
        <rFont val="Noto Sans CJK SC"/>
        <family val="2"/>
      </rPr>
      <t xml:space="preserve">載板顆數（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Ibiden 70% </t>
    </r>
    <r>
      <rPr>
        <sz val="11"/>
        <color theme="1"/>
        <rFont val="Noto Sans CJK SC"/>
        <family val="2"/>
      </rPr>
      <t xml:space="preserve">合計不超過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</si>
  <si>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</si>
  <si>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</si>
  <si>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模型）→ 由欣興、三星電機等分食</t>
    </r>
  </si>
  <si>
    <t xml:space="preserve">SIF_abf_un_nv_27</t>
  </si>
  <si>
    <r>
      <rPr>
        <sz val="11"/>
        <color theme="1"/>
        <rFont val="Noto Sans CJK SC"/>
        <family val="2"/>
      </rPr>
      <t xml:space="preserve">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量產，客戶全額預付（三立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</si>
  <si>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abf_un_nv_28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</si>
  <si>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</si>
  <si>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SIF_abf_un_nv_28</t>
  </si>
  <si>
    <t xml:space="preserve">abf_un_nv_29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</si>
  <si>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</si>
  <si>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SIF_abf_un_nv_29</t>
  </si>
  <si>
    <t xml:space="preserve">abf_un_ot_26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</si>
  <si>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</si>
  <si>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欣興為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等）主要載板廠之一（第三方研究，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）；量化：未找到</t>
    </r>
  </si>
  <si>
    <t xml:space="preserve">SIF_abf_un_ot_26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</si>
  <si>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，其餘為三星電機、景碩、南電、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</si>
  <si>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</si>
  <si>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</si>
  <si>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SIF_abf_un_ot_27</t>
  </si>
  <si>
    <t xml:space="preserve">abf_un_ot_28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</si>
  <si>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</si>
  <si>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SIF_abf_un_ot_28</t>
  </si>
  <si>
    <t xml:space="preserve">abf_un_ot_29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</si>
  <si>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</si>
  <si>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SIF_abf_un_ot_29</t>
  </si>
  <si>
    <t xml:space="preserve">abf_np_nv_26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</si>
  <si>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</si>
  <si>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）：客戶含博通、輝達、超微、蘋果（份額未揭露）</t>
    </r>
  </si>
  <si>
    <t xml:space="preserve">SIF_abf_np_nv_26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</si>
  <si>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載板份額小（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））；量化：未找到</t>
    </r>
  </si>
  <si>
    <t xml:space="preserve">abf_np_nv_27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</si>
  <si>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</si>
  <si>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、欣興合計 </t>
    </r>
    <r>
      <rPr>
        <sz val="11"/>
        <color theme="1"/>
        <rFont val="Calibri"/>
        <family val="2"/>
        <charset val="1"/>
      </rPr>
      <t xml:space="preserve">95%→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，其餘由南電、三星電機分食（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</si>
  <si>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SIF_abf_np_nv_27</t>
  </si>
  <si>
    <t xml:space="preserve">abf_np_nv_28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</si>
  <si>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</si>
  <si>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SIF_abf_np_nv_28</t>
  </si>
  <si>
    <t xml:space="preserve">abf_np_nv_29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</si>
  <si>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</si>
  <si>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SIF_abf_np_nv_29</t>
  </si>
  <si>
    <t xml:space="preserve">abf_np_ot_26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</si>
  <si>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</si>
  <si>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（美銀報告）：調配昆山廠產能支應博通需求（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</si>
  <si>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SIF_abf_np_ot_26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</si>
  <si>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</si>
  <si>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abf_np_ot_27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</si>
  <si>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</si>
  <si>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SIF_abf_np_ot_27</t>
  </si>
  <si>
    <t xml:space="preserve">abf_np_ot_28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</si>
  <si>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</si>
  <si>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SIF_abf_np_ot_28</t>
  </si>
  <si>
    <t xml:space="preserve">abf_np_ot_29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</si>
  <si>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</si>
  <si>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SIF_abf_np_ot_29</t>
  </si>
  <si>
    <t xml:space="preserve">abf_ks_nv_26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</si>
  <si>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</si>
  <si>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法說重點）：預估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載板市占未來幾季升到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Rubin GPU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</si>
  <si>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SIF_abf_ks_nv_26</t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</si>
  <si>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初期份額約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（說法；與上游份額衝突，見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</si>
  <si>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abf_ks_nv_27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</si>
  <si>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</si>
  <si>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上游合計限制：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</t>
    </r>
    <r>
      <rPr>
        <sz val="11"/>
        <color theme="1"/>
        <rFont val="Noto Sans CJK SC"/>
        <family val="2"/>
      </rPr>
      <t xml:space="preserve">相對值）＋欣興＋南電已占 </t>
    </r>
    <r>
      <rPr>
        <sz val="11"/>
        <color theme="1"/>
        <rFont val="Calibri"/>
        <family val="2"/>
        <charset val="1"/>
      </rPr>
      <t xml:space="preserve">94–97%</t>
    </r>
    <r>
      <rPr>
        <sz val="11"/>
        <color theme="1"/>
        <rFont val="Noto Sans CJK SC"/>
        <family val="2"/>
      </rPr>
      <t xml:space="preserve">，基準取剩餘空間（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頁）；高值取券商說法下緣</t>
    </r>
  </si>
  <si>
    <t xml:space="preserve">SIF_abf_ks_nv_27</t>
  </si>
  <si>
    <t xml:space="preserve">abf_ks_nv_28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</si>
  <si>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</si>
  <si>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SIF_abf_ks_nv_28</t>
  </si>
  <si>
    <t xml:space="preserve">abf_ks_nv_29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</si>
  <si>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</si>
  <si>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SIF_abf_ks_nv_29</t>
  </si>
  <si>
    <t xml:space="preserve">abf_ks_ot_26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</si>
  <si>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</si>
  <si>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起出貨，</t>
    </r>
    <r>
      <rPr>
        <sz val="11"/>
        <color theme="1"/>
        <rFont val="Calibri"/>
        <family val="2"/>
        <charset val="1"/>
      </rPr>
      <t xml:space="preserve">AWS Trainium 2H26 </t>
    </r>
    <r>
      <rPr>
        <sz val="11"/>
        <color theme="1"/>
        <rFont val="Noto Sans CJK SC"/>
        <family val="2"/>
      </rPr>
      <t xml:space="preserve">起</t>
    </r>
  </si>
  <si>
    <t xml:space="preserve">SIF_abf_ks_ot_26</t>
  </si>
  <si>
    <t xml:space="preserve">abf_ks_ot_27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</si>
  <si>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</si>
  <si>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SIF_abf_ks_ot_27</t>
  </si>
  <si>
    <t xml:space="preserve">abf_ks_ot_28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</si>
  <si>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</si>
  <si>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SIF_abf_ks_ot_28</t>
  </si>
  <si>
    <t xml:space="preserve">abf_ks_ot_29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</si>
  <si>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</si>
  <si>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SIF_abf_ks_ot_29</t>
  </si>
  <si>
    <t xml:space="preserve">abf_gap_26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</si>
  <si>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</si>
  <si>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</si>
  <si>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SIF_abf_gap_26</t>
  </si>
  <si>
    <r>
      <rPr>
        <sz val="11"/>
        <color theme="1"/>
        <rFont val="Noto Sans CJK SC"/>
        <family val="2"/>
      </rPr>
      <t xml:space="preserve">各公司模型以自身產能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自身需求推算的滿足率不同（見 </t>
    </r>
    <r>
      <rPr>
        <sz val="11"/>
        <color theme="1"/>
        <rFont val="Calibri"/>
        <family val="2"/>
        <charset val="1"/>
      </rPr>
      <t xml:space="preserve">Conflicts CF03</t>
    </r>
    <r>
      <rPr>
        <sz val="11"/>
        <color theme="1"/>
        <rFont val="Noto Sans CJK SC"/>
        <family val="2"/>
      </rPr>
      <t xml:space="preserve">）</t>
    </r>
  </si>
  <si>
    <t xml:space="preserve">abf_gap_27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</si>
  <si>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</si>
  <si>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</si>
  <si>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</si>
  <si>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（南電模型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（味之素模型）</t>
    </r>
  </si>
  <si>
    <t xml:space="preserve">abf_gap_28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</si>
  <si>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</si>
  <si>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</si>
  <si>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SIF_abf_gap_28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</si>
  <si>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（低）；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（高）</t>
    </r>
  </si>
  <si>
    <r>
      <rPr>
        <b val="true"/>
        <sz val="11"/>
        <rFont val="Cambria"/>
        <family val="0"/>
        <charset val="1"/>
      </rPr>
      <t xml:space="preserve">M14. CoWoS </t>
    </r>
    <r>
      <rPr>
        <b val="true"/>
        <sz val="11"/>
        <rFont val="Noto Sans CJK SC"/>
        <family val="2"/>
      </rPr>
      <t xml:space="preserve">供需：每片晶圓封裝數、其他用途、台積電產能、委外補充（原在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；每顆台積電內容 </t>
    </r>
    <r>
      <rPr>
        <b val="true"/>
        <sz val="11"/>
        <rFont val="Cambria"/>
        <family val="0"/>
        <charset val="1"/>
      </rPr>
      <t xml:space="preserve">ct_* </t>
    </r>
    <r>
      <rPr>
        <b val="true"/>
        <sz val="11"/>
        <rFont val="Noto Sans CJK SC"/>
        <family val="2"/>
      </rPr>
      <t xml:space="preserve">屬公司營收變數，仍在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）</t>
    </r>
  </si>
  <si>
    <t xml:space="preserve">cw_pp_GB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</si>
  <si>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</si>
  <si>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</si>
  <si>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</si>
  <si>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SIF_cw_pp_GB</t>
  </si>
  <si>
    <t xml:space="preserve">cw_pp_VR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</si>
  <si>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</si>
  <si>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</si>
  <si>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SIF_cw_pp_VR</t>
  </si>
  <si>
    <t xml:space="preserve">cw_pp_RU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</si>
  <si>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</si>
  <si>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</si>
  <si>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SIF_cw_pp_RU</t>
  </si>
  <si>
    <t xml:space="preserve">cw_pp_HP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</si>
  <si>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</si>
  <si>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</si>
  <si>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SIF_cw_pp_HP</t>
  </si>
  <si>
    <t xml:space="preserve">cw_pp_AMD8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</si>
  <si>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</si>
  <si>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</si>
  <si>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</si>
  <si>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SIF_cw_pp_AMD8</t>
  </si>
  <si>
    <t xml:space="preserve">cw_pp_AMDR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</si>
  <si>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</si>
  <si>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</si>
  <si>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SIF_cw_pp_AMDR</t>
  </si>
  <si>
    <t xml:space="preserve">cw_pp_TPU7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</si>
  <si>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</si>
  <si>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</si>
  <si>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SIF_cw_pp_TPU7</t>
  </si>
  <si>
    <t xml:space="preserve">cw_pp_TPU8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</si>
  <si>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</si>
  <si>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</si>
  <si>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SIF_cw_pp_TPU8</t>
  </si>
  <si>
    <t xml:space="preserve">cw_pp_TRN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</si>
  <si>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</si>
  <si>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</si>
  <si>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SIF_cw_pp_TRN</t>
  </si>
  <si>
    <t xml:space="preserve">cw_pp_ASIC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</si>
  <si>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</si>
  <si>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等）每片封裝數；來源：未找到（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</si>
  <si>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SIF_cw_pp_ASIC</t>
  </si>
  <si>
    <t xml:space="preserve">cw_oth26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</si>
  <si>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</si>
  <si>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</si>
  <si>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</si>
  <si>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SIF_cw_oth26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</si>
  <si>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±1/3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</si>
  <si>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</si>
  <si>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</si>
  <si>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晶片）年增；來源：未找到</t>
    </r>
  </si>
  <si>
    <t xml:space="preserve">SIF_cw_oth_g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</si>
  <si>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</si>
  <si>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cw_capend25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</si>
  <si>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</si>
  <si>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</si>
  <si>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</si>
  <si>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SIF_cw_capend25</t>
  </si>
  <si>
    <t xml:space="preserve">cw_capend26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</si>
  <si>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</si>
  <si>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</si>
  <si>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SIF_cw_capend26</t>
  </si>
  <si>
    <t xml:space="preserve">cw_capend27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</si>
  <si>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</si>
  <si>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</si>
  <si>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SIF_cw_capend27</t>
  </si>
  <si>
    <t xml:space="preserve">cw_capend28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</si>
  <si>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</si>
  <si>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</si>
  <si>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SIF_cw_capend28</t>
  </si>
  <si>
    <t xml:space="preserve">cw_capend29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</si>
  <si>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</si>
  <si>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萬之後無外部預測：未找到（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</si>
  <si>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SIF_cw_capend29</t>
  </si>
  <si>
    <r>
      <rPr>
        <sz val="11"/>
        <color theme="1"/>
        <rFont val="Noto Sans CJK SC"/>
        <family val="2"/>
      </rPr>
      <t xml:space="preserve">區間（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補；基準不變）：</t>
    </r>
    <r>
      <rPr>
        <sz val="11"/>
        <color theme="1"/>
        <rFont val="Calibri"/>
        <family val="2"/>
        <charset val="1"/>
      </rPr>
      <t xml:space="preserve">MS 2028 26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8–46%</t>
    </r>
  </si>
  <si>
    <t xml:space="preserve">cw_osat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</si>
  <si>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</si>
  <si>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</si>
  <si>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SIF_cw_osat</t>
  </si>
  <si>
    <t xml:space="preserve">cw_msdem26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</si>
  <si>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</si>
  <si>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</si>
  <si>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SIF_cw_msdem26</t>
  </si>
  <si>
    <t xml:space="preserve">cw_msdem27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</si>
  <si>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</si>
  <si>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</si>
  <si>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SIF_cw_msdem27</t>
  </si>
  <si>
    <r>
      <rPr>
        <b val="true"/>
        <sz val="11"/>
        <rFont val="Cambria"/>
        <family val="0"/>
        <charset val="1"/>
      </rPr>
      <t xml:space="preserve">M15. ABF </t>
    </r>
    <r>
      <rPr>
        <b val="true"/>
        <sz val="11"/>
        <rFont val="Noto Sans CJK SC"/>
        <family val="2"/>
      </rPr>
      <t xml:space="preserve">供需表（需求＝加速器顆數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每顆面積層數＋其他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；供給＝各載板廠產能指數加權，並受味之素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膜出貨上限限制；欣興、南電、景碩產能與味之素膜上限原在各公司模型）</t>
    </r>
  </si>
  <si>
    <t xml:space="preserve">abfm_25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</si>
  <si>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 </t>
    </r>
    <r>
      <rPr>
        <sz val="11"/>
        <color theme="1"/>
        <rFont val="Calibri"/>
        <family val="2"/>
        <charset val="1"/>
      </rPr>
      <t xml:space="preserve">2025</t>
    </r>
  </si>
  <si>
    <t xml:space="preserve">US$B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</si>
  <si>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77.2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；台灣業者（總部口徑）市占 </t>
    </r>
    <r>
      <rPr>
        <sz val="11"/>
        <color theme="1"/>
        <rFont val="Calibri"/>
        <family val="2"/>
        <charset val="1"/>
      </rPr>
      <t xml:space="preserve">41.3%</t>
    </r>
  </si>
  <si>
    <t xml:space="preserve">SIF_abfm_25</t>
  </si>
  <si>
    <r>
      <rPr>
        <sz val="11"/>
        <color theme="1"/>
        <rFont val="Calibri"/>
        <family val="2"/>
        <charset val="1"/>
      </rPr>
      <t xml:space="preserve">TPCA </t>
    </r>
    <r>
      <rPr>
        <sz val="11"/>
        <color theme="1"/>
        <rFont val="Noto Sans CJK SC"/>
        <family val="2"/>
      </rPr>
      <t xml:space="preserve">為產業公會（有唱旺誘因）；第二來源：未找到</t>
    </r>
  </si>
  <si>
    <t xml:space="preserve">abfm_g26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</si>
  <si>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</si>
  <si>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）：全球載板（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195.1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32.3%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單獨：未找到）</t>
    </r>
  </si>
  <si>
    <t xml:space="preserve">SIF_abfm_g26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</si>
  <si>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以載板整體成長率替代；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漲價（味之素膜約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、載板現貨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）可能使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高於整體</t>
    </r>
  </si>
  <si>
    <t xml:space="preserve">abf_ai26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</si>
  <si>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</si>
  <si>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FY2024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FY2025E 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FY2026E 45%</t>
    </r>
    <r>
      <rPr>
        <sz val="11"/>
        <color theme="1"/>
        <rFont val="Noto Sans CJK SC"/>
        <family val="2"/>
      </rPr>
      <t xml:space="preserve">（味之素模型 </t>
    </r>
    <r>
      <rPr>
        <sz val="11"/>
        <color theme="1"/>
        <rFont val="Calibri"/>
        <family val="2"/>
        <charset val="1"/>
      </rPr>
      <t xml:space="preserve">ai_sh </t>
    </r>
    <r>
      <rPr>
        <sz val="11"/>
        <color theme="1"/>
        <rFont val="Noto Sans CJK SC"/>
        <family val="2"/>
      </rPr>
      <t xml:space="preserve">列）</t>
    </r>
  </si>
  <si>
    <t xml:space="preserve">SIF_abf_ai26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</si>
  <si>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、景碩約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（各公司模型 </t>
    </r>
    <r>
      <rPr>
        <sz val="11"/>
        <color theme="1"/>
        <rFont val="Calibri"/>
        <family val="2"/>
        <charset val="1"/>
      </rPr>
      <t xml:space="preserve">ai_abf</t>
    </r>
    <r>
      <rPr>
        <sz val="11"/>
        <color theme="1"/>
        <rFont val="Noto Sans CJK SC"/>
        <family val="2"/>
      </rPr>
      <t xml:space="preserve">；公司口徑高於全產業）</t>
    </r>
  </si>
  <si>
    <t xml:space="preserve">abf_accsh26</t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</si>
  <si>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</si>
  <si>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 </t>
    </r>
    <r>
      <rPr>
        <sz val="11"/>
        <color theme="1"/>
        <rFont val="Calibri"/>
        <family val="2"/>
        <charset val="1"/>
      </rPr>
      <t xml:space="preserve">US$215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 0.8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29.5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（產值 </t>
    </r>
    <r>
      <rPr>
        <sz val="11"/>
        <color theme="1"/>
        <rFont val="Calibri"/>
        <family val="2"/>
        <charset val="1"/>
      </rPr>
      <t xml:space="preserve">2026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</si>
  <si>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t xml:space="preserve">SIF_abf_accsh26</t>
  </si>
  <si>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用為交換器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、網通；區間反映 </t>
    </r>
    <r>
      <rPr>
        <sz val="11"/>
        <color theme="1"/>
        <rFont val="Calibri"/>
        <family val="2"/>
        <charset val="1"/>
      </rPr>
      <t xml:space="preserve">v26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占比的不確定</t>
    </r>
  </si>
  <si>
    <t xml:space="preserve">abf_oai_el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</si>
  <si>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需求對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資本支出的彈性</t>
    </r>
  </si>
  <si>
    <r>
      <rPr>
        <sz val="11"/>
        <color theme="1"/>
        <rFont val="Noto Sans CJK SC"/>
        <family val="2"/>
      </rPr>
      <t xml:space="preserve">欣興、南電、景碩模型：其他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× 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</si>
  <si>
    <t xml:space="preserve">SIF_abf_oai_el</t>
  </si>
  <si>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顆數隨叢集規模成長但慢於加速器；量化：未找到</t>
    </r>
  </si>
  <si>
    <t xml:space="preserve">abf_gnai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</si>
  <si>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需求年增（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、一般伺服器、車用、網通）</t>
    </r>
  </si>
  <si>
    <r>
      <rPr>
        <sz val="11"/>
        <color theme="1"/>
        <rFont val="Noto Sans CJK SC"/>
        <family val="2"/>
      </rPr>
      <t xml:space="preserve">欣興、南電、味之素模型 </t>
    </r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與一般伺服器緩步成長）</t>
    </r>
  </si>
  <si>
    <t xml:space="preserve">SIF_abf_gnai</t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</si>
  <si>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延伸需求）</t>
    </r>
  </si>
  <si>
    <t xml:space="preserve">abfrev_ib26</t>
  </si>
  <si>
    <r>
      <rPr>
        <sz val="11"/>
        <color theme="1"/>
        <rFont val="Calibri"/>
        <family val="2"/>
        <charset val="1"/>
      </rPr>
      <t xml:space="preserve">Ibiden 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</si>
  <si>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電子事業營收預測 </t>
    </r>
    <r>
      <rPr>
        <sz val="11"/>
        <color theme="1"/>
        <rFont val="Calibri"/>
        <family val="2"/>
        <charset val="1"/>
      </rPr>
      <t xml:space="preserve">¥375B</t>
    </r>
    <r>
      <rPr>
        <sz val="11"/>
        <color theme="1"/>
        <rFont val="Noto Sans CJK SC"/>
        <family val="2"/>
      </rPr>
      <t xml:space="preserve">（公司）</t>
    </r>
    <r>
      <rPr>
        <sz val="11"/>
        <color theme="1"/>
        <rFont val="Calibri"/>
        <family val="2"/>
        <charset val="1"/>
      </rPr>
      <t xml:space="preserve">× ABF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0.75–0.95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¥152</t>
    </r>
  </si>
  <si>
    <t xml:space="preserve">SIF_abfrev_ib26</t>
  </si>
  <si>
    <r>
      <rPr>
        <sz val="11"/>
        <color theme="1"/>
        <rFont val="Noto Sans CJK SC"/>
        <family val="2"/>
      </rPr>
      <t xml:space="preserve">電子事業含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占比公司未揭露：未找到</t>
    </r>
  </si>
  <si>
    <t xml:space="preserve">abfrev_un26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</si>
  <si>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</si>
  <si>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欣興模型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NT$99.8B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</si>
  <si>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SIF_abfrev_un26</t>
  </si>
  <si>
    <t xml:space="preserve">公司模型更新時需重抄（只作權重）</t>
  </si>
  <si>
    <t xml:space="preserve">abfrev_np26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</si>
  <si>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</si>
  <si>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南電模型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NT$34.3B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</si>
  <si>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SIF_abfrev_np26</t>
  </si>
  <si>
    <t xml:space="preserve">abfrev_ks26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</si>
  <si>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</si>
  <si>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Q!G22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NT$22.9B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</si>
  <si>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SIF_abfrev_ks26</t>
  </si>
  <si>
    <t xml:space="preserve">abfcap_ib_27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</si>
  <si>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</si>
  <si>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</si>
  <si>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年相對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年的倍數：未找到；基準假設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 </t>
    </r>
    <r>
      <rPr>
        <sz val="11"/>
        <color theme="1"/>
        <rFont val="Noto Sans CJK SC"/>
        <family val="2"/>
      </rPr>
      <t xml:space="preserve">倍，使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1.55 × 1.7 ≈ 2.6 </t>
    </r>
    <r>
      <rPr>
        <sz val="11"/>
        <color theme="1"/>
        <rFont val="Noto Sans CJK SC"/>
        <family val="2"/>
      </rPr>
      <t xml:space="preserve">倍（落在公司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倍）</t>
    </r>
  </si>
  <si>
    <t xml:space="preserve">abfcap_ib_28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</si>
  <si>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</si>
  <si>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SIF_abfcap_ib_28</t>
  </si>
  <si>
    <t xml:space="preserve">abfcap_ib_29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</si>
  <si>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</si>
  <si>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SIF_abfcap_ib_29</t>
  </si>
  <si>
    <t xml:space="preserve">abfcap_un_27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</si>
  <si>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</si>
  <si>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；光復一廠三期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、楊梅三廠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</si>
  <si>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SIF_abfcap_un_27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</si>
  <si>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；資本支出主要為光復二廠與楊梅二廠</t>
    </r>
  </si>
  <si>
    <t xml:space="preserve">abfcap_un_28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</si>
  <si>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</si>
  <si>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SIF_abfcap_un_28</t>
  </si>
  <si>
    <r>
      <rPr>
        <sz val="11"/>
        <color theme="1"/>
        <rFont val="Noto Sans CJK SC"/>
        <family val="2"/>
      </rPr>
      <t xml:space="preserve">楊梅五廠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、新竹新廠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年後（三立）</t>
    </r>
  </si>
  <si>
    <t xml:space="preserve">abfcap_un_29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</si>
  <si>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</si>
  <si>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SIF_abfcap_un_29</t>
  </si>
  <si>
    <t xml:space="preserve">abfcap_np_27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</si>
  <si>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）：新產能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年到位，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年主要靠產能升級；</t>
    </r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</si>
  <si>
    <t xml:space="preserve">SIF_abfcap_np_27</t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</si>
  <si>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營收、法人預估、產能）：錦興、樹林滿載，昆山稼動率約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，以去瓶頸擴產</t>
    </r>
  </si>
  <si>
    <t xml:space="preserve">abfcap_np_28</t>
  </si>
  <si>
    <t xml:space="preserve">SIF_abfcap_np_28</t>
  </si>
  <si>
    <r>
      <rPr>
        <sz val="11"/>
        <color theme="1"/>
        <rFont val="Noto Sans CJK SC"/>
        <family val="2"/>
      </rPr>
      <t xml:space="preserve">公司：持續擴充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，含新建廠，時程待董事會（富果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</si>
  <si>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abfcap_np_29</t>
  </si>
  <si>
    <t xml:space="preserve">SIF_abfcap_np_29</t>
  </si>
  <si>
    <t xml:space="preserve">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</si>
  <si>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獲利、產能規劃）：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月產能約 </t>
    </r>
    <r>
      <rPr>
        <sz val="11"/>
        <color theme="1"/>
        <rFont val="Calibri"/>
        <family val="2"/>
        <charset val="1"/>
      </rPr>
      <t xml:space="preserve">4,000 </t>
    </r>
    <r>
      <rPr>
        <sz val="11"/>
        <color theme="1"/>
        <rFont val="Noto Sans CJK SC"/>
        <family val="2"/>
      </rPr>
      <t xml:space="preserve">萬顆，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6,500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8,000 </t>
    </r>
    <r>
      <rPr>
        <sz val="11"/>
        <color theme="1"/>
        <rFont val="Noto Sans CJK SC"/>
        <family val="2"/>
      </rPr>
      <t xml:space="preserve">萬（公司規劃）</t>
    </r>
  </si>
  <si>
    <t xml:space="preserve">SIF_abfcap_ks_27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</si>
  <si>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稼動率由 </t>
    </r>
    <r>
      <rPr>
        <sz val="11"/>
        <color theme="1"/>
        <rFont val="Calibri"/>
        <family val="2"/>
        <charset val="1"/>
      </rPr>
      <t xml:space="preserve">86%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85–90%</t>
    </r>
  </si>
  <si>
    <t xml:space="preserve">abfcap_ks_28</t>
  </si>
  <si>
    <t xml:space="preserve">同上（年底值；年平均約為前後年底的中點）</t>
  </si>
  <si>
    <t xml:space="preserve">SIF_abfcap_ks_28</t>
  </si>
  <si>
    <r>
      <rPr>
        <sz val="11"/>
        <color theme="1"/>
        <rFont val="Calibri"/>
        <family val="2"/>
        <charset val="1"/>
      </rPr>
      <t xml:space="preserve">T-glass </t>
    </r>
    <r>
      <rPr>
        <sz val="11"/>
        <color theme="1"/>
        <rFont val="Noto Sans CJK SC"/>
        <family val="2"/>
      </rPr>
      <t xml:space="preserve">供給（日東紡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擴產）可能限制實際產出（旺得富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預估））</t>
    </r>
  </si>
  <si>
    <t xml:space="preserve">abfcap_ks_29</t>
  </si>
  <si>
    <t xml:space="preserve">SIF_abfcap_ks_29</t>
  </si>
  <si>
    <t xml:space="preserve">abfcap_oth_27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</si>
  <si>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</si>
  <si>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模型）；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居林廠量產</t>
    </r>
  </si>
  <si>
    <t xml:space="preserve">SIF_abfcap_oth_27</t>
  </si>
  <si>
    <t xml:space="preserve">各廠產能路線圖：未找到</t>
  </si>
  <si>
    <t xml:space="preserve">abfcap_oth_28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</si>
  <si>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</si>
  <si>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SIF_abfcap_oth_28</t>
  </si>
  <si>
    <t xml:space="preserve">abfcap_oth_29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</si>
  <si>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</si>
  <si>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SIF_abfcap_oth_29</t>
  </si>
  <si>
    <t xml:space="preserve">abffilm_27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</si>
  <si>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</si>
  <si>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（引日經）：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年前投資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億日圓、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）；岐阜新廠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年投產（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（引日經、朝日電視））</t>
    </r>
  </si>
  <si>
    <t xml:space="preserve">SIF_abffilm_27</t>
  </si>
  <si>
    <r>
      <rPr>
        <sz val="11"/>
        <color theme="1"/>
        <rFont val="Noto Sans CJK SC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／年：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電子材料營收 </t>
    </r>
    <r>
      <rPr>
        <sz val="11"/>
        <color theme="1"/>
        <rFont val="Calibri"/>
        <family val="2"/>
        <charset val="1"/>
      </rPr>
      <t xml:space="preserve">+31%</t>
    </r>
    <r>
      <rPr>
        <sz val="11"/>
        <color theme="1"/>
        <rFont val="Noto Sans CJK SC"/>
        <family val="2"/>
      </rPr>
      <t xml:space="preserve">（漲價前）、</t>
    </r>
    <r>
      <rPr>
        <sz val="11"/>
        <color theme="1"/>
        <rFont val="Calibri"/>
        <family val="2"/>
        <charset val="1"/>
      </rPr>
      <t xml:space="preserve">1Q FY26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+54%</t>
    </r>
    <r>
      <rPr>
        <sz val="11"/>
        <color theme="1"/>
        <rFont val="Noto Sans CJK SC"/>
        <family val="2"/>
      </rPr>
      <t xml:space="preserve">（含部分漲價與匯率），實際出貨成長快於公司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／五年的說法；低值＝公司說法的速度、高值＝不設限</t>
    </r>
  </si>
  <si>
    <t xml:space="preserve">abffilm_28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</si>
  <si>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</si>
  <si>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SIF_abffilm_28</t>
  </si>
  <si>
    <t xml:space="preserve">abffilm_29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</si>
  <si>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</si>
  <si>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SIF_abffilm_29</t>
  </si>
  <si>
    <r>
      <rPr>
        <b val="true"/>
        <sz val="11"/>
        <rFont val="Cambria"/>
        <family val="0"/>
        <charset val="1"/>
      </rPr>
      <t xml:space="preserve">M16.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元件金額 </t>
    </r>
    <r>
      <rPr>
        <b val="true"/>
        <sz val="11"/>
        <rFont val="Cambria"/>
        <family val="0"/>
        <charset val="1"/>
      </rPr>
      <t xml:space="preserve">× 2027–29 </t>
    </r>
    <r>
      <rPr>
        <b val="true"/>
        <sz val="11"/>
        <rFont val="Noto Sans CJK SC"/>
        <family val="2"/>
      </rPr>
      <t xml:space="preserve">指數；原在 </t>
    </r>
    <r>
      <rPr>
        <b val="true"/>
        <sz val="11"/>
        <rFont val="Cambria"/>
        <family val="0"/>
        <charset val="1"/>
      </rPr>
      <t xml:space="preserve">victory_giant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emc</t>
    </r>
    <r>
      <rPr>
        <b val="true"/>
        <sz val="11"/>
        <rFont val="Noto Sans CJK SC"/>
        <family val="2"/>
      </rPr>
      <t xml:space="preserve">；價格指數與各公司份額留在公司模型）</t>
    </r>
  </si>
  <si>
    <t xml:space="preserve">pcb_cmp_26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</si>
  <si>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、運算匣主板）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</si>
  <si>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</si>
  <si>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US$450M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；量級檢查：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GB300 US$35.1K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US$116.7K</t>
    </r>
    <r>
      <rPr>
        <sz val="11"/>
        <color theme="1"/>
        <rFont val="Noto Sans CJK SC"/>
        <family val="2"/>
      </rPr>
      <t xml:space="preserve">（國金證券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237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473 </t>
    </r>
    <r>
      <rPr>
        <sz val="11"/>
        <color theme="1"/>
        <rFont val="Noto Sans CJK SC"/>
        <family val="2"/>
      </rPr>
      <t xml:space="preserve">百萬美元（只含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機架內，不含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伺服器）；</t>
    </r>
    <r>
      <rPr>
        <sz val="11"/>
        <color theme="1"/>
        <rFont val="Calibri"/>
        <family val="2"/>
        <charset val="1"/>
      </rPr>
      <t xml:space="preserve">Prismark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US$6B</t>
    </r>
    <r>
      <rPr>
        <sz val="11"/>
        <color theme="1"/>
        <rFont val="Noto Sans CJK SC"/>
        <family val="2"/>
      </rPr>
      <t xml:space="preserve">（摩根大通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轉引）</t>
    </r>
  </si>
  <si>
    <t xml:space="preserve">SIF_pcb_cmp_26</t>
  </si>
  <si>
    <r>
      <rPr>
        <sz val="11"/>
        <color theme="1"/>
        <rFont val="Noto Sans CJK SC"/>
        <family val="2"/>
      </rPr>
      <t xml:space="preserve">國金證券：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運算匣約 </t>
    </r>
    <r>
      <rPr>
        <sz val="11"/>
        <color theme="1"/>
        <rFont val="Calibri"/>
        <family val="2"/>
        <charset val="1"/>
      </rPr>
      <t xml:space="preserve">US$3,000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），較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增加近 </t>
    </r>
    <r>
      <rPr>
        <sz val="11"/>
        <color theme="1"/>
        <rFont val="Calibri"/>
        <family val="2"/>
        <charset val="1"/>
      </rPr>
      <t xml:space="preserve">300%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</si>
  <si>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</si>
  <si>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交換器、光模組板）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</si>
  <si>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GB300 → VR200</t>
    </r>
    <r>
      <rPr>
        <sz val="11"/>
        <color theme="1"/>
        <rFont val="Noto Sans CJK SC"/>
        <family val="2"/>
      </rPr>
      <t xml:space="preserve">，國金證券轉引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</si>
  <si>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t xml:space="preserve">SIF_pcb_sw_26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</si>
  <si>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已量產（公司業績交流會，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</si>
  <si>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pcb_mid_26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</si>
  <si>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與其他（電源板等）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</si>
  <si>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）中板、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片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CPX </t>
    </r>
    <r>
      <rPr>
        <sz val="11"/>
        <color theme="1"/>
        <rFont val="Noto Sans CJK SC"/>
        <family val="2"/>
      </rPr>
      <t xml:space="preserve">板、</t>
    </r>
    <r>
      <rPr>
        <sz val="11"/>
        <color theme="1"/>
        <rFont val="Calibri"/>
        <family val="2"/>
        <charset val="1"/>
      </rPr>
      <t xml:space="preserve">ConnectX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 </t>
    </r>
    <r>
      <rPr>
        <sz val="11"/>
        <color theme="1"/>
        <rFont val="Noto Sans CJK SC"/>
        <family val="2"/>
      </rPr>
      <t xml:space="preserve">子卡；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正交背板（國金證券）</t>
    </r>
  </si>
  <si>
    <t xml:space="preserve">SIF_pcb_mid_26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</si>
  <si>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為主（無中板）；中板與 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</si>
  <si>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pcb_cmpx_27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</si>
  <si>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</si>
  <si>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（國金證券轉引）：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3.3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4,052 ÷ 6,764</t>
    </r>
    <r>
      <rPr>
        <sz val="11"/>
        <color theme="1"/>
        <rFont val="Noto Sans CJK SC"/>
        <family val="2"/>
      </rPr>
      <t xml:space="preserve">）＝每 </t>
    </r>
    <r>
      <rPr>
        <sz val="11"/>
        <color theme="1"/>
        <rFont val="Calibri"/>
        <family val="2"/>
        <charset val="1"/>
      </rPr>
      <t xml:space="preserve">GW 2.0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 → 2027 ÷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1.64 </t>
    </r>
    <r>
      <rPr>
        <sz val="11"/>
        <color theme="1"/>
        <rFont val="Noto Sans CJK SC"/>
        <family val="2"/>
      </rPr>
      <t xml:space="preserve">倍（含交換匣，本列取 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）</t>
    </r>
  </si>
  <si>
    <t xml:space="preserve">SIF_pcb_cmpx_27</t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</si>
  <si>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含量較前一代約倍增（國金證券轉引，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</si>
  <si>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</si>
  <si>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</si>
  <si>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SIF_pcb_cmpx_28</t>
  </si>
  <si>
    <t xml:space="preserve">pcb_cmpx_29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</si>
  <si>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</si>
  <si>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SIF_pcb_cmpx_29</t>
  </si>
  <si>
    <t xml:space="preserve">pcb_swx_27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</si>
  <si>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</si>
  <si>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層、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年放量（國金證券、公司）</t>
    </r>
  </si>
  <si>
    <t xml:space="preserve">SIF_pcb_swx_27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</si>
  <si>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持平；本列的上升來自層數與材料等級</t>
    </r>
  </si>
  <si>
    <t xml:space="preserve">pcb_swx_28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</si>
  <si>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</si>
  <si>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SIF_pcb_swx_28</t>
  </si>
  <si>
    <t xml:space="preserve">pcb_swx_29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</si>
  <si>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</si>
  <si>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SIF_pcb_swx_29</t>
  </si>
  <si>
    <t xml:space="preserve">pcb_midx_27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</si>
  <si>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</si>
  <si>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Kyber 78 </t>
    </r>
    <r>
      <rPr>
        <sz val="11"/>
        <color theme="1"/>
        <rFont val="Noto Sans CJK SC"/>
        <family val="2"/>
      </rPr>
      <t xml:space="preserve">層正交背板（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起）；國金證券：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「十萬美元級」以上</t>
    </r>
  </si>
  <si>
    <t xml:space="preserve">SIF_pcb_midx_27</t>
  </si>
  <si>
    <r>
      <rPr>
        <sz val="11"/>
        <color theme="1"/>
        <rFont val="Noto Sans CJK SC"/>
        <family val="2"/>
      </rPr>
      <t xml:space="preserve">台光電模型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</si>
  <si>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t xml:space="preserve">pcb_midx_28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</si>
  <si>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</si>
  <si>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SIF_pcb_midx_28</t>
  </si>
  <si>
    <t xml:space="preserve">pcb_midx_29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</si>
  <si>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</si>
  <si>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SIF_pcb_midx_29</t>
  </si>
  <si>
    <t xml:space="preserve">ccl_cmp_26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</si>
  <si>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：加速器／運算板（運算匣、加速器模組板）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</si>
  <si>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US$350M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高階（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以上）市場約 </t>
    </r>
    <r>
      <rPr>
        <sz val="11"/>
        <color theme="1"/>
        <rFont val="Calibri"/>
        <family val="2"/>
        <charset val="1"/>
      </rPr>
      <t xml:space="preserve">US$8B ÷ </t>
    </r>
    <r>
      <rPr>
        <sz val="11"/>
        <color theme="1"/>
        <rFont val="Noto Sans CJK SC"/>
        <family val="2"/>
      </rPr>
      <t xml:space="preserve">部署約 </t>
    </r>
    <r>
      <rPr>
        <sz val="11"/>
        <color theme="1"/>
        <rFont val="Calibri"/>
        <family val="2"/>
        <charset val="1"/>
      </rPr>
      <t xml:space="preserve">23 GW</t>
    </r>
    <r>
      <rPr>
        <sz val="11"/>
        <color theme="1"/>
        <rFont val="Noto Sans CJK SC"/>
        <family val="2"/>
      </rPr>
      <t xml:space="preserve">；市場量級取自 </t>
    </r>
    <r>
      <rPr>
        <sz val="11"/>
        <color theme="1"/>
        <rFont val="Calibri"/>
        <family val="2"/>
        <charset val="1"/>
      </rPr>
      <t xml:space="preserve">Prismark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US$57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，源達證券轉引，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</si>
  <si>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SIF_ccl_cmp_26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</si>
  <si>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）：每架 </t>
    </r>
    <r>
      <rPr>
        <sz val="11"/>
        <color theme="1"/>
        <rFont val="Calibri"/>
        <family val="2"/>
        <charset val="1"/>
      </rPr>
      <t xml:space="preserve">CCL GB300 US$6,695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US$18,750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76 </t>
    </r>
    <r>
      <rPr>
        <sz val="11"/>
        <color theme="1"/>
        <rFont val="Noto Sans CJK SC"/>
        <family val="2"/>
      </rPr>
      <t xml:space="preserve">百萬美元，口徑窄於本列，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</si>
  <si>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</si>
  <si>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</si>
  <si>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同上；公司：交換器占基礎設施營收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，凱基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轉述）→ 交換器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0.3</t>
    </r>
  </si>
  <si>
    <t xml:space="preserve">SIF_ccl_sw_26</t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</si>
  <si>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主用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M8+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1.6T 2026 Q1 </t>
    </r>
    <r>
      <rPr>
        <sz val="11"/>
        <color theme="1"/>
        <rFont val="Noto Sans CJK SC"/>
        <family val="2"/>
      </rPr>
      <t xml:space="preserve">開始出貨（富果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</si>
  <si>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ccl_ubb_26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</si>
  <si>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／中板／正交背板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</si>
  <si>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同上；中板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2×22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 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（台光電 </t>
    </r>
    <r>
      <rPr>
        <sz val="11"/>
        <color theme="1"/>
        <rFont val="Calibri"/>
        <family val="2"/>
        <charset val="1"/>
      </rPr>
      <t xml:space="preserve">EM-896K3</t>
    </r>
    <r>
      <rPr>
        <sz val="11"/>
        <color theme="1"/>
        <rFont val="Noto Sans CJK SC"/>
        <family val="2"/>
      </rPr>
      <t xml:space="preserve">）（源達證券轉引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）</t>
    </r>
  </si>
  <si>
    <t xml:space="preserve">SIF_ccl_ubb_26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</si>
  <si>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</si>
  <si>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ccl_cmpx_27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</si>
  <si>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</si>
  <si>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張、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張（源達證券）→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每架金額 → 每 </t>
    </r>
    <r>
      <rPr>
        <sz val="11"/>
        <color theme="1"/>
        <rFont val="Calibri"/>
        <family val="2"/>
        <charset val="1"/>
      </rPr>
      <t xml:space="preserve">GW 1.68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</si>
  <si>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SIF_ccl_cmpx_27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</si>
  <si>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</t>
    </r>
    <r>
      <rPr>
        <sz val="11"/>
        <color theme="1"/>
        <rFont val="Noto Sans CJK SC"/>
        <family val="2"/>
      </rPr>
      <t xml:space="preserve">，所以 </t>
    </r>
    <r>
      <rPr>
        <sz val="11"/>
        <color theme="1"/>
        <rFont val="Calibri"/>
        <family val="2"/>
        <charset val="1"/>
      </rPr>
      <t xml:space="preserve">2027 ÷ 2026 </t>
    </r>
    <r>
      <rPr>
        <sz val="11"/>
        <color theme="1"/>
        <rFont val="Noto Sans CJK SC"/>
        <family val="2"/>
      </rPr>
      <t xml:space="preserve">小於世代倍數；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V6 → V8 </t>
    </r>
    <r>
      <rPr>
        <sz val="11"/>
        <color theme="1"/>
        <rFont val="Noto Sans CJK SC"/>
        <family val="2"/>
      </rPr>
      <t xml:space="preserve">每台 </t>
    </r>
    <r>
      <rPr>
        <sz val="11"/>
        <color theme="1"/>
        <rFont val="Calibri"/>
        <family val="2"/>
        <charset val="1"/>
      </rPr>
      <t xml:space="preserve">144 → 200 </t>
    </r>
    <r>
      <rPr>
        <sz val="11"/>
        <color theme="1"/>
        <rFont val="Noto Sans CJK SC"/>
        <family val="2"/>
      </rPr>
      <t xml:space="preserve">張，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）</t>
    </r>
  </si>
  <si>
    <t xml:space="preserve">ccl_cmpx_28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</si>
  <si>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</si>
  <si>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SIF_ccl_cmpx_28</t>
  </si>
  <si>
    <t xml:space="preserve">ccl_cmpx_29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</si>
  <si>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</si>
  <si>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SIF_ccl_cmpx_29</t>
  </si>
  <si>
    <t xml:space="preserve">ccl_swx_27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</si>
  <si>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</si>
  <si>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層以上、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布（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；源達證券）；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放量（本土投顧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</si>
  <si>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SIF_ccl_swx_27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</si>
  <si>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持平（約 </t>
    </r>
    <r>
      <rPr>
        <sz val="11"/>
        <color theme="1"/>
        <rFont val="Calibri"/>
        <family val="2"/>
        <charset val="1"/>
      </rPr>
      <t xml:space="preserve">6.4%</t>
    </r>
    <r>
      <rPr>
        <sz val="11"/>
        <color theme="1"/>
        <rFont val="Noto Sans CJK SC"/>
        <family val="2"/>
      </rPr>
      <t xml:space="preserve">）；本列的上升來自材料等級</t>
    </r>
  </si>
  <si>
    <t xml:space="preserve">ccl_swx_28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</si>
  <si>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</si>
  <si>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SIF_ccl_swx_28</t>
  </si>
  <si>
    <t xml:space="preserve">ccl_swx_29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</si>
  <si>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</si>
  <si>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SIF_ccl_swx_29</t>
  </si>
  <si>
    <t xml:space="preserve">ccl_ubbx_27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</si>
  <si>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</si>
  <si>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78 </t>
    </r>
    <r>
      <rPr>
        <sz val="11"/>
        <color theme="1"/>
        <rFont val="Noto Sans CJK SC"/>
        <family val="2"/>
      </rPr>
      <t xml:space="preserve">層正交背板、</t>
    </r>
    <r>
      <rPr>
        <sz val="11"/>
        <color theme="1"/>
        <rFont val="Calibri"/>
        <family val="2"/>
        <charset val="1"/>
      </rPr>
      <t xml:space="preserve">Feynman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層（源達證券）</t>
    </r>
  </si>
  <si>
    <t xml:space="preserve">SIF_ccl_ubbx_27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</si>
  <si>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以上單價為基準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</si>
  <si>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ccl_ubbx_28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</si>
  <si>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</si>
  <si>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SIF_ccl_ubbx_28</t>
  </si>
  <si>
    <t xml:space="preserve">ccl_ubbx_29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</si>
  <si>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</si>
  <si>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SIF_ccl_ubbx_29</t>
  </si>
  <si>
    <r>
      <rPr>
        <b val="true"/>
        <sz val="11"/>
        <rFont val="Cambria"/>
        <family val="0"/>
        <charset val="1"/>
      </rPr>
      <t xml:space="preserve">M17. AI </t>
    </r>
    <r>
      <rPr>
        <b val="true"/>
        <sz val="11"/>
        <rFont val="Noto Sans CJK SC"/>
        <family val="2"/>
      </rPr>
      <t xml:space="preserve">電源（每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內容、台達電與光寶份額路徑、外部份額錨點；原在 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有效份額為公司模型校準值的快照，公司錨點留在公司模型）</t>
    </r>
  </si>
  <si>
    <t xml:space="preserve">pwr_pkw_26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</si>
  <si>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電源櫃）</t>
    </r>
    <r>
      <rPr>
        <sz val="11"/>
        <color theme="1"/>
        <rFont val="Calibri"/>
        <family val="2"/>
        <charset val="1"/>
      </rPr>
      <t xml:space="preserve">2026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</si>
  <si>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</si>
  <si>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US$60–70K ÷ 136kW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440–515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35–40K ÷ 120kW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290–330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</si>
  <si>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</si>
  <si>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為主（公司：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遠大於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</t>
    </r>
  </si>
  <si>
    <t xml:space="preserve">pwr_pkw_27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</si>
  <si>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</si>
  <si>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US$150K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以上</t>
    </r>
  </si>
  <si>
    <t xml:space="preserve">SIF_pwr_pkw_27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</si>
  <si>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4,052 </t>
    </r>
    <r>
      <rPr>
        <sz val="11"/>
        <color theme="1"/>
        <rFont val="Noto Sans CJK SC"/>
        <family val="2"/>
      </rPr>
      <t xml:space="preserve">架（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247kW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250kW </t>
    </r>
    <r>
      <rPr>
        <sz val="11"/>
        <color theme="1"/>
        <rFont val="Noto Sans CJK SC"/>
        <family val="2"/>
      </rPr>
      <t xml:space="preserve">相符</t>
    </r>
  </si>
  <si>
    <t xml:space="preserve">pwr_pkw_28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</si>
  <si>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</si>
  <si>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3Q26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才有量；券商估 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</si>
  <si>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SIF_pwr_pkw_28</t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</si>
  <si>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把交流轉直流移到機架外電源櫃與 </t>
    </r>
    <r>
      <rPr>
        <sz val="11"/>
        <color theme="1"/>
        <rFont val="Calibri"/>
        <family val="2"/>
        <charset val="1"/>
      </rPr>
      <t xml:space="preserve">SST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</si>
  <si>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pwr_pkw_29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</si>
  <si>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</si>
  <si>
    <t xml:space="preserve">SIF_pwr_pkw_29</t>
  </si>
  <si>
    <t xml:space="preserve">pwr_drel_27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</si>
  <si>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</si>
  <si>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；光寶、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追趕（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</si>
  <si>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SIF_pwr_drel_27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</si>
  <si>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Rubin 110kW PSU</t>
    </r>
    <r>
      <rPr>
        <sz val="11"/>
        <color theme="1"/>
        <rFont val="Noto Sans CJK SC"/>
        <family val="2"/>
      </rPr>
      <t xml:space="preserve">「領先」；對手：麥格米特、歐陸通（中國）、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摘要）</t>
    </r>
  </si>
  <si>
    <t xml:space="preserve">pwr_drel_28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</si>
  <si>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</si>
  <si>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SIF_pwr_drel_28</t>
  </si>
  <si>
    <t xml:space="preserve">pwr_drel_29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</si>
  <si>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</si>
  <si>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SIF_pwr_drel_29</t>
  </si>
  <si>
    <t xml:space="preserve">pwr_lrel_27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</si>
  <si>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</si>
  <si>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、長期略降；光寶為第二梯隊，新增美系雲端客戶，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BBU 4Q25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</si>
  <si>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SIF_pwr_lrel_27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</si>
  <si>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800V HVDC Power Rack 2026-11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放量；</t>
    </r>
    <r>
      <rPr>
        <sz val="11"/>
        <color theme="1"/>
        <rFont val="Calibri"/>
        <family val="2"/>
        <charset val="1"/>
      </rPr>
      <t xml:space="preserve">110kW 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驗證量產；新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客戶長期目標每家每年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</si>
  <si>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pwr_lrel_28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</si>
  <si>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</si>
  <si>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SIF_pwr_lrel_28</t>
  </si>
  <si>
    <t xml:space="preserve">pwr_lrel_29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</si>
  <si>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</si>
  <si>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SIF_pwr_lrel_29</t>
  </si>
  <si>
    <t xml:space="preserve">pwr_dsh_26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</si>
  <si>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</si>
  <si>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頁「台達電有效份額」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內容））；台達電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</si>
  <si>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SIF_pwr_dsh_26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</si>
  <si>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Blackwell PSU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）只作對照：本值分母含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</si>
  <si>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t xml:space="preserve">pwr_lsh_26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</si>
  <si>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（光寶模型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</si>
  <si>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liteon/dist Units </t>
    </r>
    <r>
      <rPr>
        <sz val="11"/>
        <color theme="1"/>
        <rFont val="Noto Sans CJK SC"/>
        <family val="2"/>
      </rPr>
      <t xml:space="preserve">頁「光寶有效份額」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；光寶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</si>
  <si>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SIF_pwr_lsh_26</t>
  </si>
  <si>
    <r>
      <rPr>
        <sz val="11"/>
        <color theme="1"/>
        <rFont val="Noto Sans CJK SC"/>
        <family val="2"/>
      </rPr>
      <t xml:space="preserve">光寶為第二梯隊（凱基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，份額數字未找到）</t>
    </r>
  </si>
  <si>
    <t xml:space="preserve">pwr_kgi_0701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</si>
  <si>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</si>
  <si>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Power supply sector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2025-07-01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</si>
  <si>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SIF_pwr_kgi_0701</t>
  </si>
  <si>
    <t xml:space="preserve">第二個量化來源：未找到</t>
  </si>
  <si>
    <t xml:space="preserve">pwr_kgi_0926</t>
  </si>
  <si>
    <r>
      <rPr>
        <sz val="11"/>
        <color theme="1"/>
        <rFont val="Noto Sans CJK SC"/>
        <family val="2"/>
      </rPr>
      <t xml:space="preserve">凱基：台達電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伺服器電源市占（中點）</t>
    </r>
  </si>
  <si>
    <r>
      <rPr>
        <sz val="11"/>
        <color theme="1"/>
        <rFont val="Calibri"/>
        <family val="2"/>
        <charset val="1"/>
      </rPr>
      <t xml:space="preserve">https://www.kgi.com.hk/zh-hk/-/media/files/kgishk/research-reports/tw-reports/power-supply-sector_20250926e.pdf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，長期略降</t>
    </r>
  </si>
  <si>
    <t xml:space="preserve">SIF_pwr_kgi_0926</t>
  </si>
  <si>
    <r>
      <rPr>
        <sz val="11"/>
        <color theme="1"/>
        <rFont val="Noto Sans CJK SC"/>
        <family val="2"/>
      </rPr>
      <t xml:space="preserve">光寶與 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為第二梯隊（份額數字：未找到）</t>
    </r>
  </si>
  <si>
    <t xml:space="preserve">pwr_ubs_26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</si>
  <si>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</si>
  <si>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（引述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2027 38.2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2025–2030 </t>
    </r>
    <r>
      <rPr>
        <sz val="11"/>
        <color theme="1"/>
        <rFont val="Noto Sans CJK SC"/>
        <family val="2"/>
      </rPr>
      <t xml:space="preserve">年複合成長約 </t>
    </r>
    <r>
      <rPr>
        <sz val="11"/>
        <color theme="1"/>
        <rFont val="Calibri"/>
        <family val="2"/>
        <charset val="1"/>
      </rPr>
      <t xml:space="preserve">69%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</si>
  <si>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SIF_pwr_ubs_26</t>
  </si>
  <si>
    <r>
      <rPr>
        <sz val="11"/>
        <color theme="1"/>
        <rFont val="Noto Sans CJK SC"/>
        <family val="2"/>
      </rPr>
      <t xml:space="preserve">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）：未找到</t>
    </r>
  </si>
  <si>
    <t xml:space="preserve">pwr_ubs_27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</si>
  <si>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2027</t>
    </r>
  </si>
  <si>
    <t xml:space="preserve">SIF_pwr_ubs_27</t>
  </si>
  <si>
    <r>
      <rPr>
        <b val="true"/>
        <sz val="11"/>
        <rFont val="Cambria"/>
        <family val="0"/>
        <charset val="1"/>
      </rPr>
      <t xml:space="preserve">M18. AI </t>
    </r>
    <r>
      <rPr>
        <b val="true"/>
        <sz val="11"/>
        <rFont val="Noto Sans CJK SC"/>
        <family val="2"/>
      </rPr>
      <t xml:space="preserve">伺服器組裝（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每櫃價格、緯穎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占比；原在 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。商用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系統市場由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機架價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每架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數推導，見 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頁）</t>
    </r>
  </si>
  <si>
    <t xml:space="preserve">asm_odm_gb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</si>
  <si>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</si>
  <si>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</si>
  <si>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ASP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US$4M</t>
    </r>
    <r>
      <rPr>
        <sz val="11"/>
        <color theme="1"/>
        <rFont val="Noto Sans CJK SC"/>
        <family val="2"/>
      </rPr>
      <t xml:space="preserve">（法人，未具名）</t>
    </r>
  </si>
  <si>
    <t xml:space="preserve">SIF_asm_odm_gb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</si>
  <si>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同值；上限＝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4.3</t>
    </r>
  </si>
  <si>
    <t xml:space="preserve">asm_odm_vr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</si>
  <si>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</si>
  <si>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 ASP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US$6.5–7M</t>
    </r>
    <r>
      <rPr>
        <sz val="11"/>
        <color theme="1"/>
        <rFont val="Noto Sans CJK SC"/>
        <family val="2"/>
      </rPr>
      <t xml:space="preserve">（法人）</t>
    </r>
  </si>
  <si>
    <t xml:space="preserve">SIF_asm_odm_vr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</si>
  <si>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8.4</t>
    </r>
  </si>
  <si>
    <t xml:space="preserve">asm_wyai_26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</si>
  <si>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緯穎營收（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單一值；緯穎、緯創模型同讀）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</si>
  <si>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</t>
    </r>
    <r>
      <rPr>
        <sz val="11"/>
        <color theme="1"/>
        <rFont val="Calibri"/>
        <family val="2"/>
        <charset val="1"/>
      </rPr>
      <t xml:space="preserve">3Q26 ASIC </t>
    </r>
    <r>
      <rPr>
        <sz val="11"/>
        <color theme="1"/>
        <rFont val="Noto Sans CJK SC"/>
        <family val="2"/>
      </rPr>
      <t xml:space="preserve">與通用伺服器出貨各半、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超越（公司）；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」（公司，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</t>
    </r>
  </si>
  <si>
    <t xml:space="preserve">SIF_asm_wyai_26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</si>
  <si>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2026F 46%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營收實績前）</t>
    </r>
  </si>
  <si>
    <r>
      <rPr>
        <b val="true"/>
        <sz val="11"/>
        <rFont val="Cambria"/>
        <family val="0"/>
        <charset val="1"/>
      </rPr>
      <t xml:space="preserve">M19. </t>
    </r>
    <r>
      <rPr>
        <b val="true"/>
        <sz val="11"/>
        <rFont val="Noto Sans CJK SC"/>
        <family val="2"/>
      </rPr>
      <t xml:space="preserve">液冷（機架內液冷＋分歧管：每架內容、內容調整、滲透率；奇鋐、雙鴻、健策份額。原在 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。台達電液冷多在機架外〔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</t>
    </r>
    <r>
      <rPr>
        <b val="true"/>
        <sz val="11"/>
        <rFont val="Noto Sans CJK SC"/>
        <family val="2"/>
      </rPr>
      <t xml:space="preserve">〕，不屬本市場）</t>
    </r>
  </si>
  <si>
    <t xml:space="preserve">lc_cool_gb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</si>
  <si>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每架機架內液冷（運算匣＋交換匣冷板等；不含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</si>
  <si>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$49,860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$56K</t>
    </r>
  </si>
  <si>
    <t xml:space="preserve">SIF_lc_cool_gb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</si>
  <si>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欄）；橋接表改讀本庫</t>
    </r>
  </si>
  <si>
    <t xml:space="preserve">lc_cool_vr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</si>
  <si>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</si>
  <si>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t xml:space="preserve">SIF_lc_cool_vr</t>
  </si>
  <si>
    <r>
      <rPr>
        <sz val="11"/>
        <color theme="1"/>
        <rFont val="Calibri"/>
        <family val="2"/>
        <charset val="1"/>
      </rPr>
      <t xml:space="preserve">VR NVL144 US$55.7K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欄）</t>
    </r>
  </si>
  <si>
    <t xml:space="preserve">lc_mani</t>
  </si>
  <si>
    <t xml:space="preserve">每架分歧管與快接頭（橋接表未含）</t>
  </si>
  <si>
    <r>
      <rPr>
        <sz val="11"/>
        <color theme="1"/>
        <rFont val="Noto Sans CJK SC"/>
        <family val="2"/>
      </rPr>
      <t xml:space="preserve">公司：分歧管月產能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支，約供 </t>
    </r>
    <r>
      <rPr>
        <sz val="11"/>
        <color theme="1"/>
        <rFont val="Calibri"/>
        <family val="2"/>
        <charset val="1"/>
      </rPr>
      <t xml:space="preserve">3,000–4,000 </t>
    </r>
    <r>
      <rPr>
        <sz val="11"/>
        <color theme="1"/>
        <rFont val="Noto Sans CJK SC"/>
        <family val="2"/>
      </rPr>
      <t xml:space="preserve">架（優分析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支</t>
    </r>
  </si>
  <si>
    <t xml:space="preserve">SIF_lc_mani</t>
  </si>
  <si>
    <t xml:space="preserve">分歧管單價：未找到</t>
  </si>
  <si>
    <t xml:space="preserve">lc_adj_27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</si>
  <si>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</si>
  <si>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無風扇全液冷，液冷延伸到網卡、電源板、光模組，單架散熱價值提升（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</si>
  <si>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SIF_lc_adj_27</t>
  </si>
  <si>
    <r>
      <rPr>
        <sz val="11"/>
        <color theme="1"/>
        <rFont val="Calibri"/>
        <family val="2"/>
        <charset val="1"/>
      </rPr>
      <t xml:space="preserve">Morgan Stanley BOM </t>
    </r>
    <r>
      <rPr>
        <sz val="11"/>
        <color theme="1"/>
        <rFont val="Noto Sans CJK SC"/>
        <family val="2"/>
      </rPr>
      <t xml:space="preserve">只計運算匣與交換匣；大和：</t>
    </r>
    <r>
      <rPr>
        <sz val="11"/>
        <color theme="1"/>
        <rFont val="Calibri"/>
        <family val="2"/>
        <charset val="1"/>
      </rPr>
      <t xml:space="preserve">2027 ASIC </t>
    </r>
    <r>
      <rPr>
        <sz val="11"/>
        <color theme="1"/>
        <rFont val="Noto Sans CJK SC"/>
        <family val="2"/>
      </rPr>
      <t xml:space="preserve">營收超過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</si>
  <si>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lc_adj_28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</si>
  <si>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</si>
  <si>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SIF_lc_adj_28</t>
  </si>
  <si>
    <t xml:space="preserve">lc_adj_29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</si>
  <si>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</si>
  <si>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SIF_lc_adj_29</t>
  </si>
  <si>
    <t xml:space="preserve">lc_pen_26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</si>
  <si>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</si>
  <si>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（以顆數計，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</si>
  <si>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SIF_lc_pen_26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</si>
  <si>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先氣冷後液冷（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）。行業情境：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＝低值（奇鋐、雙鴻模型與本庫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頁相同）</t>
    </r>
  </si>
  <si>
    <t xml:space="preserve">lc_pen_27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</si>
  <si>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</si>
  <si>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SIF_lc_pen_27</t>
  </si>
  <si>
    <t xml:space="preserve">lc_pen_28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</si>
  <si>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</si>
  <si>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SIF_lc_pen_28</t>
  </si>
  <si>
    <t xml:space="preserve">lc_pen_29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</si>
  <si>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</si>
  <si>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SIF_lc_pen_29</t>
  </si>
  <si>
    <t xml:space="preserve">lc_tf_26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</si>
  <si>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（顆數）</t>
    </r>
  </si>
  <si>
    <t xml:space="preserve">https://finance.ettoday.net/news/3220835</t>
  </si>
  <si>
    <t xml:space="preserve">SIF_lc_tf_26</t>
  </si>
  <si>
    <t xml:space="preserve">lc_tf_27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</si>
  <si>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（顆數）</t>
    </r>
  </si>
  <si>
    <t xml:space="preserve">SIF_lc_tf_27</t>
  </si>
  <si>
    <r>
      <rPr>
        <sz val="11"/>
        <color theme="1"/>
        <rFont val="Noto Sans CJK SC"/>
        <family val="2"/>
      </rPr>
      <t xml:space="preserve">「近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</si>
  <si>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t xml:space="preserve">lc_avsh_26</t>
  </si>
  <si>
    <r>
      <rPr>
        <sz val="11"/>
        <color theme="1"/>
        <rFont val="Noto Sans CJK SC"/>
        <family val="2"/>
      </rPr>
      <t xml:space="preserve">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校準值：券商液冷占比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本庫液冷市場）</t>
    </r>
  </si>
  <si>
    <r>
      <rPr>
        <sz val="11"/>
        <color theme="1"/>
        <rFont val="Calibri"/>
        <family val="2"/>
        <charset val="1"/>
      </rPr>
      <t xml:space="preserve">avc/dist Units </t>
    </r>
    <r>
      <rPr>
        <sz val="11"/>
        <color theme="1"/>
        <rFont val="Noto Sans CJK SC"/>
        <family val="2"/>
      </rPr>
      <t xml:space="preserve">頁「奇鋐有效份額」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；奇鋐錨點更新時同步更新</t>
    </r>
  </si>
  <si>
    <t xml:space="preserve">SIF_lc_avsh_26</t>
  </si>
  <si>
    <r>
      <rPr>
        <sz val="11"/>
        <color theme="1"/>
        <rFont val="Noto Sans CJK SC"/>
        <family val="2"/>
      </rPr>
      <t xml:space="preserve">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（公司未拆），份額可能高估</t>
    </r>
  </si>
  <si>
    <t xml:space="preserve">lc_avrel_27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</si>
  <si>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</si>
  <si>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）：奇鋐為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與企業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伺服器氣冷與液冷領導廠（未給份額，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</si>
  <si>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SIF_lc_avrel_27</t>
  </si>
  <si>
    <r>
      <rPr>
        <sz val="11"/>
        <color theme="1"/>
        <rFont val="Noto Sans CJK SC"/>
        <family val="2"/>
      </rPr>
      <t xml:space="preserve">對手：雙鴻、酷碼、台達電、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液冷產能再擴約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）；份額數字：未找到。雙鴻模型的份額相對值取同一組值（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</si>
  <si>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t xml:space="preserve">lc_avrel_28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</si>
  <si>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</si>
  <si>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SIF_lc_avrel_28</t>
  </si>
  <si>
    <t xml:space="preserve">lc_avrel_29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</si>
  <si>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</si>
  <si>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SIF_lc_avrel_29</t>
  </si>
  <si>
    <t xml:space="preserve">lc_aush_26</t>
  </si>
  <si>
    <r>
      <rPr>
        <sz val="11"/>
        <color theme="1"/>
        <rFont val="Noto Sans CJK SC"/>
        <family val="2"/>
      </rPr>
      <t xml:space="preserve">雙鴻液冷有效份額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（雙鴻模型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校準值）</t>
    </r>
  </si>
  <si>
    <r>
      <rPr>
        <sz val="11"/>
        <color theme="1"/>
        <rFont val="Calibri"/>
        <family val="2"/>
        <charset val="1"/>
      </rPr>
      <t xml:space="preserve">auras/dist Units </t>
    </r>
    <r>
      <rPr>
        <sz val="11"/>
        <color theme="1"/>
        <rFont val="Noto Sans CJK SC"/>
        <family val="2"/>
      </rPr>
      <t xml:space="preserve">頁「雙鴻有效份額」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；雙鴻錨點更新時同步更新</t>
    </r>
  </si>
  <si>
    <t xml:space="preserve">SIF_lc_aush_26</t>
  </si>
  <si>
    <t xml:space="preserve">lc_jtsh_27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</si>
  <si>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</si>
  <si>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：微通道上蓋（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）已通過主要客戶驗證；市場傳 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認證（傳言，理財周刊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</si>
  <si>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SIF_lc_jtsh_27</t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</si>
  <si>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：已出貨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水冷模組，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年更多型號量產（口袋學堂，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）；液冷營收：未找到</t>
    </r>
  </si>
  <si>
    <t xml:space="preserve">lc_jtsh_28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</si>
  <si>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</si>
  <si>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SIF_lc_jtsh_28</t>
  </si>
  <si>
    <t xml:space="preserve">lc_jtsh_29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</si>
  <si>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</si>
  <si>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SIF_lc_jtsh_29</t>
  </si>
  <si>
    <r>
      <rPr>
        <b val="true"/>
        <sz val="11"/>
        <rFont val="Cambria"/>
        <family val="0"/>
        <charset val="1"/>
      </rPr>
      <t xml:space="preserve">M2 </t>
    </r>
    <r>
      <rPr>
        <b val="true"/>
        <sz val="11"/>
        <rFont val="Noto Sans CJK SC"/>
        <family val="2"/>
      </rPr>
      <t xml:space="preserve">分組：加速器平台（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頁各列與 </t>
    </r>
    <r>
      <rPr>
        <b val="true"/>
        <sz val="11"/>
        <rFont val="Cambria"/>
        <family val="0"/>
        <charset val="1"/>
      </rPr>
      <t xml:space="preserve">market.py UNITS </t>
    </r>
    <r>
      <rPr>
        <b val="true"/>
        <sz val="11"/>
        <rFont val="Noto Sans CJK SC"/>
        <family val="2"/>
      </rPr>
      <t xml:space="preserve">的名稱、標記、來源）</t>
    </r>
  </si>
  <si>
    <t xml:space="preserve">分組鍵</t>
  </si>
  <si>
    <t xml:space="preserve">平台名稱</t>
  </si>
  <si>
    <t xml:space="preserve">grp_bw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</si>
  <si>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</si>
  <si>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grp_rb</t>
  </si>
  <si>
    <t xml:space="preserve">NVIDIA Rubin</t>
  </si>
  <si>
    <t xml:space="preserve">grp_ru</t>
  </si>
  <si>
    <t xml:space="preserve">NVIDIA Rubin Ultra</t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</si>
  <si>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</si>
  <si>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grp_hp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</si>
  <si>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</si>
  <si>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grp_amd</t>
  </si>
  <si>
    <t xml:space="preserve">AMD Instinct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</si>
  <si>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</si>
  <si>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grp_tpu</t>
  </si>
  <si>
    <t xml:space="preserve">Google TPU</t>
  </si>
  <si>
    <t xml:space="preserve">grp_trn</t>
  </si>
  <si>
    <t xml:space="preserve">AWS Trainium</t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</si>
  <si>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</si>
  <si>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grp_oth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</si>
  <si>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</si>
  <si>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</si>
  <si>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加速器平台別顆數（百萬顆；情境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基準）。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平台別成長率）。情境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Scen </t>
    </r>
    <r>
      <rPr>
        <sz val="11"/>
        <color theme="1"/>
        <rFont val="Noto Sans CJK SC"/>
        <family val="2"/>
      </rPr>
      <t xml:space="preserve">頁係數（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</t>
    </r>
  </si>
  <si>
    <t xml:space="preserve">平台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</si>
  <si>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</si>
  <si>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</si>
  <si>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</si>
  <si>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</si>
  <si>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成長</t>
    </r>
  </si>
  <si>
    <t xml:space="preserve">bw</t>
  </si>
  <si>
    <t xml:space="preserve">rb</t>
  </si>
  <si>
    <t xml:space="preserve">ru</t>
  </si>
  <si>
    <t xml:space="preserve">hp</t>
  </si>
  <si>
    <t xml:space="preserve">amd</t>
  </si>
  <si>
    <t xml:space="preserve">tpu</t>
  </si>
  <si>
    <t xml:space="preserve">trn</t>
  </si>
  <si>
    <t xml:space="preserve">oth</t>
  </si>
  <si>
    <r>
      <rPr>
        <b val="true"/>
        <sz val="11"/>
        <rFont val="Noto Sans CJK SC"/>
        <family val="2"/>
      </rPr>
      <t xml:space="preserve">合計（基準＝情境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，未乘係數）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</si>
  <si>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</si>
  <si>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</si>
  <si>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</si>
  <si>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ShareTbl — ASIC </t>
    </r>
    <r>
      <rPr>
        <sz val="11"/>
        <color theme="1"/>
        <rFont val="Noto Sans CJK SC"/>
        <family val="2"/>
      </rPr>
      <t xml:space="preserve">設計服務顆數份額表（基準值；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）。同一平台各設計夥伴份額加總須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，餘額＝客戶自行設計或未建模的夥伴。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的世芯份額隨情境（公司特有：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最不利），三情境各列一次</t>
    </r>
  </si>
  <si>
    <t xml:space="preserve">夥伴</t>
  </si>
  <si>
    <r>
      <rPr>
        <b val="true"/>
        <sz val="11"/>
        <rFont val="Noto Sans CJK SC"/>
        <family val="2"/>
      </rPr>
      <t xml:space="preserve">鍵（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）</t>
    </r>
  </si>
  <si>
    <t xml:space="preserve">Broadcom</t>
  </si>
  <si>
    <r>
      <rPr>
        <sz val="11"/>
        <color theme="1"/>
        <rFont val="Calibri"/>
        <family val="2"/>
        <charset val="1"/>
      </rPr>
      <t xml:space="preserve">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sh_tpu_28</t>
    </r>
  </si>
  <si>
    <t xml:space="preserve">Marvell</t>
  </si>
  <si>
    <r>
      <rPr>
        <sz val="11"/>
        <color theme="1"/>
        <rFont val="Calibri"/>
        <family val="2"/>
        <charset val="1"/>
      </rPr>
      <t xml:space="preserve">msh_tpu_26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msh_tpu_28</t>
    </r>
  </si>
  <si>
    <t xml:space="preserve">聯發科</t>
  </si>
  <si>
    <r>
      <rPr>
        <sz val="11"/>
        <color theme="1"/>
        <rFont val="Calibri"/>
        <family val="2"/>
        <charset val="1"/>
      </rPr>
      <t xml:space="preserve">mtk_tpu_26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mtk_tpu_28</t>
    </r>
  </si>
  <si>
    <t xml:space="preserve">合計</t>
  </si>
  <si>
    <t xml:space="preserve">餘額（客戶自行設計或未建模）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</si>
  <si>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</si>
  <si>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sh_oth_28</t>
    </r>
  </si>
  <si>
    <r>
      <rPr>
        <sz val="11"/>
        <color theme="1"/>
        <rFont val="Calibri"/>
        <family val="2"/>
        <charset val="1"/>
      </rPr>
      <t xml:space="preserve">msh_oth_26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msh_oth_28</t>
    </r>
  </si>
  <si>
    <r>
      <rPr>
        <sz val="11"/>
        <color theme="1"/>
        <rFont val="Calibri"/>
        <family val="2"/>
        <charset val="1"/>
      </rPr>
      <t xml:space="preserve">mtk_oth_26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mtk_oth_28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</si>
  <si>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</si>
  <si>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msh_trn_26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msh_trn_28</t>
    </r>
  </si>
  <si>
    <t xml:space="preserve">世芯</t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</si>
  <si>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al28_A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</si>
  <si>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</si>
  <si>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al28_B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</si>
  <si>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</si>
  <si>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al28_C</t>
    </r>
  </si>
  <si>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光學金額份額（欄 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為代工，與模組廠重疊，不計入合計）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</si>
  <si>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</si>
  <si>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t xml:space="preserve">Lumentum</t>
  </si>
  <si>
    <r>
      <rPr>
        <sz val="11"/>
        <color theme="1"/>
        <rFont val="Calibri"/>
        <family val="2"/>
        <charset val="1"/>
      </rPr>
      <t xml:space="preserve">cposh_lite_27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</si>
  <si>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Coherent</t>
  </si>
  <si>
    <r>
      <rPr>
        <sz val="11"/>
        <color theme="1"/>
        <rFont val="Calibri"/>
        <family val="2"/>
        <charset val="1"/>
      </rPr>
      <t xml:space="preserve">cposh_cohr_27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</si>
  <si>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中際旭創</t>
  </si>
  <si>
    <r>
      <rPr>
        <sz val="11"/>
        <color theme="1"/>
        <rFont val="Calibri"/>
        <family val="2"/>
        <charset val="1"/>
      </rPr>
      <t xml:space="preserve">cposh_innolight_27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</si>
  <si>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新易盛</t>
  </si>
  <si>
    <r>
      <rPr>
        <sz val="11"/>
        <color theme="1"/>
        <rFont val="Calibri"/>
        <family val="2"/>
        <charset val="1"/>
      </rPr>
      <t xml:space="preserve">cposh_eoptolink_27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</si>
  <si>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合計（模組與雷射廠）</t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</si>
  <si>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交換器端自製光引擎與其他，未建模）</t>
    </r>
  </si>
  <si>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（代工；參考，不計入）</t>
    </r>
  </si>
  <si>
    <r>
      <rPr>
        <sz val="11"/>
        <color theme="1"/>
        <rFont val="Calibri"/>
        <family val="2"/>
        <charset val="1"/>
      </rPr>
      <t xml:space="preserve">cposh_fabrinet_27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</si>
  <si>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為顆數份額，非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為金額份額）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</si>
  <si>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</si>
  <si>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Ibiden</t>
  </si>
  <si>
    <t xml:space="preserve">abf_ibsh26 × abf_ibrel</t>
  </si>
  <si>
    <t xml:space="preserve">欣興</t>
  </si>
  <si>
    <r>
      <rPr>
        <sz val="11"/>
        <color theme="1"/>
        <rFont val="Calibri"/>
        <family val="2"/>
        <charset val="1"/>
      </rPr>
      <t xml:space="preserve">abf_un_nv_26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</si>
  <si>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南電</t>
  </si>
  <si>
    <r>
      <rPr>
        <sz val="11"/>
        <color theme="1"/>
        <rFont val="Calibri"/>
        <family val="2"/>
        <charset val="1"/>
      </rPr>
      <t xml:space="preserve">abf_np_nv_26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</si>
  <si>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景碩</t>
  </si>
  <si>
    <r>
      <rPr>
        <sz val="11"/>
        <color theme="1"/>
        <rFont val="Calibri"/>
        <family val="2"/>
        <charset val="1"/>
      </rPr>
      <t xml:space="preserve">abf_ks_nv_26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</si>
  <si>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餘額（三星電機、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</si>
  <si>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</si>
  <si>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abf_wot_ib × abf_ibrel ÷ abf_vot</t>
  </si>
  <si>
    <r>
      <rPr>
        <sz val="11"/>
        <color theme="1"/>
        <rFont val="Calibri"/>
        <family val="2"/>
        <charset val="1"/>
      </rPr>
      <t xml:space="preserve">abf_un_ot_26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</si>
  <si>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abf_np_ot_26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</si>
  <si>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abf_ks_ot_26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</si>
  <si>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＝公司模型校準值，之後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份額相對值；光寶相對值隨情境：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</si>
  <si>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</si>
  <si>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台達電</t>
  </si>
  <si>
    <r>
      <rPr>
        <sz val="11"/>
        <color theme="1"/>
        <rFont val="Calibri"/>
        <family val="2"/>
        <charset val="1"/>
      </rPr>
      <t xml:space="preserve">pwr_dsh_26 × pwr_drel_27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</si>
  <si>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光寶</t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</si>
  <si>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</si>
  <si>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、群電、康舒、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、麥格米特等，未建模）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</si>
  <si>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</si>
  <si>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</si>
  <si>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</si>
  <si>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</si>
  <si>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液冷市場〔機架內＋分歧管〕；奇鋐相對值不隨情境，雙鴻與健策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</si>
  <si>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</si>
  <si>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奇鋐</t>
  </si>
  <si>
    <r>
      <rPr>
        <sz val="11"/>
        <color theme="1"/>
        <rFont val="Calibri"/>
        <family val="2"/>
        <charset val="1"/>
      </rPr>
      <t xml:space="preserve">lc_avsh_26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</si>
  <si>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雙鴻</t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</si>
  <si>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</si>
  <si>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健策（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冷板元件）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</si>
  <si>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</si>
  <si>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餘額（酷碼、富世達、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</si>
  <si>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</si>
  <si>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</si>
  <si>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</si>
  <si>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</si>
  <si>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</si>
  <si>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</si>
  <si>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註：台達電液冷營收多在機架外（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），不屬本市場，不入表（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）；奇鋐、雙鴻分子含部分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，份額可能高估</t>
    </r>
  </si>
  <si>
    <r>
      <rPr>
        <sz val="11"/>
        <color theme="1"/>
        <rFont val="Noto Sans CJK SC"/>
        <family val="2"/>
      </rPr>
      <t xml:space="preserve">對照：凱基台達電份額（只作對照，不入表；</t>
    </r>
    <r>
      <rPr>
        <sz val="11"/>
        <color theme="1"/>
        <rFont val="Calibri"/>
        <family val="2"/>
        <charset val="1"/>
      </rPr>
      <t xml:space="preserve">CF11 </t>
    </r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</si>
  <si>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2025-07 Blackwell PSU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2025-09 AI </t>
    </r>
    <r>
      <rPr>
        <sz val="11"/>
        <color theme="1"/>
        <rFont val="Noto Sans CJK SC"/>
        <family val="2"/>
      </rPr>
      <t xml:space="preserve">伺服器電源</t>
    </r>
  </si>
  <si>
    <r>
      <rPr>
        <sz val="11"/>
        <color theme="1"/>
        <rFont val="Calibri"/>
        <family val="2"/>
        <charset val="1"/>
      </rPr>
      <t xml:space="preserve">Deploy — AI IT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平台顆數（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情境顆數係數；部署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）。公式與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、各公司模型相同；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產業部署路徑上線後改讀算力收支</t>
    </r>
  </si>
  <si>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資本支出（基準，未乘係數）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</si>
  <si>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</si>
  <si>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</si>
  <si>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</si>
  <si>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ABF — </t>
    </r>
    <r>
      <rPr>
        <sz val="11"/>
        <color theme="1"/>
        <rFont val="Noto Sans CJK SC"/>
        <family val="2"/>
      </rPr>
      <t xml:space="preserve">載板供需表。需求（面積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層數口徑，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）＝加速器（顆數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）、其他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g_nai</t>
    </r>
    <r>
      <rPr>
        <sz val="11"/>
        <color theme="1"/>
        <rFont val="Noto Sans CJK SC"/>
        <family val="2"/>
      </rPr>
      <t xml:space="preserve">），以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金額權重加總；供給＝各載板廠產能指數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營收權重，再與味之素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膜可出貨量上限取小；缺口＝（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有效供給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。價格溢價不計入（只量）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</si>
  <si>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需求</t>
    </r>
  </si>
  <si>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載板產值（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</si>
  <si>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TPCA 2025 × 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</si>
  <si>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權重：加速器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</si>
  <si>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</si>
  <si>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</si>
  <si>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加速器有效顆數（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非 </t>
    </r>
    <r>
      <rPr>
        <sz val="11"/>
        <color theme="1"/>
        <rFont val="Calibri"/>
        <family val="2"/>
        <charset val="1"/>
      </rPr>
      <t xml:space="preserve">NVIDIA × v_ot</t>
    </r>
    <r>
      <rPr>
        <sz val="11"/>
        <color theme="1"/>
        <rFont val="Noto Sans CJK SC"/>
        <family val="2"/>
      </rPr>
      <t xml:space="preserve">；百萬顆）</t>
    </r>
  </si>
  <si>
    <r>
      <rPr>
        <sz val="11"/>
        <color theme="1"/>
        <rFont val="Noto Sans CJK SC"/>
        <family val="2"/>
      </rPr>
      <t xml:space="preserve">需求指數：加速器（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面積層數）</t>
    </r>
  </si>
  <si>
    <r>
      <rPr>
        <sz val="11"/>
        <color theme="1"/>
        <rFont val="Noto Sans CJK SC"/>
        <family val="2"/>
      </rPr>
      <t xml:space="preserve">需求指數：其他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</t>
    </r>
  </si>
  <si>
    <r>
      <rPr>
        <sz val="11"/>
        <color theme="1"/>
        <rFont val="Noto Sans CJK SC"/>
        <family val="2"/>
      </rPr>
      <t xml:space="preserve">需求指數：非 </t>
    </r>
    <r>
      <rPr>
        <sz val="11"/>
        <color theme="1"/>
        <rFont val="Calibri"/>
        <family val="2"/>
        <charset val="1"/>
      </rPr>
      <t xml:space="preserve">AI</t>
    </r>
  </si>
  <si>
    <r>
      <rPr>
        <b val="true"/>
        <sz val="11"/>
        <rFont val="Noto Sans CJK SC"/>
        <family val="2"/>
      </rPr>
      <t xml:space="preserve">需求指數合計（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</si>
  <si>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供給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</si>
  <si>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</t>
    </r>
    <r>
      <rPr>
        <sz val="11"/>
        <color theme="1"/>
        <rFont val="Calibri"/>
        <family val="2"/>
        <charset val="1"/>
      </rPr>
      <t xml:space="preserve">Ibiden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</si>
  <si>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供給權重：欣興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</si>
  <si>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供給權重：南電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</si>
  <si>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供給權重：景碩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</si>
  <si>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供給權重：其他（三星電機、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、臻鼎等）</t>
    </r>
  </si>
  <si>
    <r>
      <rPr>
        <sz val="11"/>
        <color theme="1"/>
        <rFont val="Noto Sans CJK SC"/>
        <family val="2"/>
      </rPr>
      <t xml:space="preserve">產能指數：</t>
    </r>
    <r>
      <rPr>
        <sz val="11"/>
        <color theme="1"/>
        <rFont val="Calibri"/>
        <family val="2"/>
        <charset val="1"/>
      </rPr>
      <t xml:space="preserve">Ibiden</t>
    </r>
  </si>
  <si>
    <t xml:space="preserve">產能指數：欣興</t>
  </si>
  <si>
    <t xml:space="preserve">產能指數：南電</t>
  </si>
  <si>
    <t xml:space="preserve">產能指數：景碩</t>
  </si>
  <si>
    <t xml:space="preserve">產能指數：其他</t>
  </si>
  <si>
    <t xml:space="preserve">載板產能指數（加權）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</si>
  <si>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</si>
  <si>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有效供給指數（取小）</t>
  </si>
  <si>
    <t xml:space="preserve">膜上限低於載板產能時，膜為瓶頸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</si>
  <si>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缺口（缺口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供給；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以外部缺口校準）</t>
    </r>
  </si>
  <si>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供需缺口</t>
    </r>
  </si>
  <si>
    <r>
      <rPr>
        <sz val="11"/>
        <color theme="1"/>
        <rFont val="Noto Sans CJK SC"/>
        <family val="2"/>
      </rPr>
      <t xml:space="preserve">對照：外部缺口（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abf_gap_*</t>
    </r>
    <r>
      <rPr>
        <sz val="11"/>
        <color theme="1"/>
        <rFont val="Noto Sans CJK SC"/>
        <family val="2"/>
      </rPr>
      <t xml:space="preserve">；兩來源中點）</t>
    </r>
  </si>
  <si>
    <t xml:space="preserve">對照：外部缺口低／高</t>
  </si>
  <si>
    <r>
      <rPr>
        <sz val="11"/>
        <color theme="1"/>
        <rFont val="Calibri"/>
        <family val="2"/>
        <charset val="1"/>
      </rPr>
      <t xml:space="preserve">PGW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，不含價格指數）＝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元件金額 </t>
    </r>
    <r>
      <rPr>
        <sz val="11"/>
        <color theme="1"/>
        <rFont val="Calibri"/>
        <family val="2"/>
        <charset val="1"/>
      </rPr>
      <t xml:space="preserve">× 2027–29 </t>
    </r>
    <r>
      <rPr>
        <sz val="11"/>
        <color theme="1"/>
        <rFont val="Noto Sans CJK SC"/>
        <family val="2"/>
      </rPr>
      <t xml:space="preserve">指數；市場＝每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口徑權威原在勝宏模型、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口徑原在台光電模型；兩者口徑不同，不可相加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</si>
  <si>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</si>
  <si>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</si>
  <si>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</si>
  <si>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</si>
  <si>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</si>
  <si>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</si>
  <si>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</si>
  <si>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</si>
  <si>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</si>
  <si>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</si>
  <si>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</si>
  <si>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</si>
  <si>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</si>
  <si>
    <r>
      <rPr>
        <sz val="11"/>
        <color theme="1"/>
        <rFont val="Calibri"/>
        <family val="2"/>
        <charset val="1"/>
      </rPr>
      <t xml:space="preserve">Rack — </t>
    </r>
    <r>
      <rPr>
        <sz val="11"/>
        <color theme="1"/>
        <rFont val="Noto Sans CJK SC"/>
        <family val="2"/>
      </rPr>
      <t xml:space="preserve">機架層市場（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／整櫃售價，含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）＝商用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數）；</t>
    </r>
    <r>
      <rPr>
        <sz val="11"/>
        <color theme="1"/>
        <rFont val="Calibri"/>
        <family val="2"/>
        <charset val="1"/>
      </rPr>
      <t xml:space="preserve">(3) AI </t>
    </r>
    <r>
      <rPr>
        <sz val="11"/>
        <color theme="1"/>
        <rFont val="Noto Sans CJK SC"/>
        <family val="2"/>
      </rPr>
      <t xml:space="preserve">電源市場＝部署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電源內容。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</si>
  <si>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價；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foxconn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</si>
  <si>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</si>
  <si>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</si>
  <si>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</si>
  <si>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OEM</t>
    </r>
    <r>
      <rPr>
        <b val="true"/>
        <sz val="11"/>
        <rFont val="Noto Sans CJK SC"/>
        <family val="2"/>
      </rPr>
      <t xml:space="preserve">／整櫃售價；</t>
    </r>
    <r>
      <rPr>
        <b val="true"/>
        <sz val="11"/>
        <rFont val="Cambria"/>
        <family val="0"/>
        <charset val="1"/>
      </rPr>
      <t xml:space="preserve">dell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smci </t>
    </r>
    <r>
      <rPr>
        <b val="true"/>
        <sz val="11"/>
        <rFont val="Noto Sans CJK SC"/>
        <family val="2"/>
      </rPr>
      <t xml:space="preserve">同讀；</t>
    </r>
    <r>
      <rPr>
        <b val="true"/>
        <sz val="11"/>
        <rFont val="Cambria"/>
        <family val="0"/>
        <charset val="1"/>
      </rPr>
      <t xml:space="preserve">CF10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</si>
  <si>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</si>
  <si>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數；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八卡與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以同值近似（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</si>
  <si>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</si>
  <si>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MI450 </t>
    </r>
    <r>
      <rPr>
        <sz val="11"/>
        <color theme="1"/>
        <rFont val="Noto Sans CJK SC"/>
        <family val="2"/>
      </rPr>
      <t xml:space="preserve">整櫃以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</si>
  <si>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</si>
  <si>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世代分組依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實際產品：</t>
    </r>
    <r>
      <rPr>
        <sz val="11"/>
        <color theme="1"/>
        <rFont val="Calibri"/>
        <family val="2"/>
        <charset val="1"/>
      </rPr>
      <t xml:space="preserve">2026 MI355</t>
    </r>
    <r>
      <rPr>
        <sz val="11"/>
        <color theme="1"/>
        <rFont val="Noto Sans CJK SC"/>
        <family val="2"/>
      </rPr>
      <t xml:space="preserve">（八卡，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Helios </t>
    </r>
    <r>
      <rPr>
        <sz val="11"/>
        <color theme="1"/>
        <rFont val="Noto Sans CJK SC"/>
        <family val="2"/>
      </rPr>
      <t xml:space="preserve">整櫃（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</si>
  <si>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起另含 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</si>
  <si>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</si>
  <si>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</si>
  <si>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US$/kW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</si>
  <si>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</si>
  <si>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</si>
  <si>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；口徑未找到）</t>
    </r>
  </si>
  <si>
    <r>
      <rPr>
        <sz val="11"/>
        <color theme="1"/>
        <rFont val="Noto Sans CJK SC"/>
        <family val="2"/>
      </rPr>
      <t xml:space="preserve">本庫情境 </t>
    </r>
    <r>
      <rPr>
        <sz val="11"/>
        <color theme="1"/>
        <rFont val="Calibri"/>
        <family val="2"/>
        <charset val="1"/>
      </rPr>
      <t xml:space="preserve">A ÷ UBS</t>
    </r>
  </si>
  <si>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高出約五到七成：口徑（是否含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）未找到，只作對照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</si>
  <si>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液冷市場（機架內液冷＋分歧管；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同讀；不含 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 </t>
    </r>
    <r>
      <rPr>
        <b val="true"/>
        <sz val="11"/>
        <rFont val="Noto Sans CJK SC"/>
        <family val="2"/>
      </rPr>
      <t xml:space="preserve">等機架外冷卻）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</si>
  <si>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</si>
  <si>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每架機架內液冷（</t>
    </r>
    <r>
      <rPr>
        <sz val="11"/>
        <color theme="1"/>
        <rFont val="Calibri"/>
        <family val="2"/>
        <charset val="1"/>
      </rPr>
      <t xml:space="preserve">Morgan Stanley BOM</t>
    </r>
    <r>
      <rPr>
        <sz val="11"/>
        <color theme="1"/>
        <rFont val="Noto Sans CJK SC"/>
        <family val="2"/>
      </rPr>
      <t xml:space="preserve">）＋分歧管，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</si>
  <si>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</si>
  <si>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</si>
  <si>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晶片液冷滲透率（顆數口徑）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</si>
  <si>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</si>
  <si>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</si>
  <si>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</si>
  <si>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</si>
  <si>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</si>
  <si>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</si>
  <si>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</si>
  <si>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</si>
  <si>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</si>
  <si>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</si>
  <si>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</si>
  <si>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</si>
  <si>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</si>
  <si>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</si>
  <si>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</si>
  <si>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</si>
  <si>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</si>
  <si>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</si>
  <si>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</si>
  <si>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</si>
  <si>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</si>
  <si>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</si>
  <si>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</si>
  <si>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</si>
  <si>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NAND</t>
  </si>
  <si>
    <t xml:space="preserve">年均指數</t>
  </si>
  <si>
    <t xml:space="preserve">2025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</si>
  <si>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</si>
  <si>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</si>
  <si>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</si>
  <si>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</si>
  <si>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</si>
  <si>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sz val="11"/>
        <color theme="1"/>
        <rFont val="Noto Sans CJK SC"/>
        <family val="2"/>
      </rPr>
      <t xml:space="preserve">公式由 </t>
    </r>
    <r>
      <rPr>
        <sz val="11"/>
        <color theme="1"/>
        <rFont val="Calibri"/>
        <family val="2"/>
        <charset val="1"/>
      </rPr>
      <t xml:space="preserve">markets/memory/market.py write() </t>
    </r>
    <r>
      <rPr>
        <sz val="11"/>
        <color theme="1"/>
        <rFont val="Noto Sans CJK SC"/>
        <family val="2"/>
      </rPr>
      <t xml:space="preserve">產生（與各記憶體公司模型的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頁同一份）；輸入讀本活頁簿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</si>
  <si>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</si>
  <si>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</si>
  <si>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</si>
  <si>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</si>
  <si>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</si>
  <si>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</si>
  <si>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</si>
  <si>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</si>
  <si>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</si>
  <si>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</si>
  <si>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</si>
  <si>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</si>
  <si>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</si>
  <si>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</si>
  <si>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</si>
  <si>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</si>
  <si>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</si>
  <si>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</si>
  <si>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</si>
  <si>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</si>
  <si>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</si>
  <si>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</si>
  <si>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</si>
  <si>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</si>
  <si>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</si>
  <si>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</si>
  <si>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</si>
  <si>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</si>
  <si>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</si>
  <si>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</si>
  <si>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</si>
  <si>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</si>
  <si>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</si>
  <si>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</si>
  <si>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</si>
  <si>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</si>
  <si>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</si>
  <si>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</si>
  <si>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</si>
  <si>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</si>
  <si>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</si>
  <si>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</si>
  <si>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</si>
  <si>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</si>
  <si>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</si>
  <si>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</si>
  <si>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</si>
  <si>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取數（只讀鏡像；權威在算力收支）：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）。綠字＝外部連結值，不得在本頁修改；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升版時以 </t>
    </r>
    <r>
      <rPr>
        <sz val="11"/>
        <color theme="1"/>
        <rFont val="Calibri"/>
        <family val="2"/>
        <charset val="1"/>
      </rPr>
      <t xml:space="preserve">tools/tokenomics/import_tokenomics.py </t>
    </r>
    <r>
      <rPr>
        <sz val="11"/>
        <color theme="1"/>
        <rFont val="Noto Sans CJK SC"/>
        <family val="2"/>
      </rPr>
      <t xml:space="preserve">重抽快照再重建</t>
    </r>
  </si>
  <si>
    <r>
      <rPr>
        <sz val="11"/>
        <color theme="1"/>
        <rFont val="Noto Sans CJK SC"/>
        <family val="2"/>
      </rPr>
      <t xml:space="preserve">右側 </t>
    </r>
    <r>
      <rPr>
        <sz val="11"/>
        <color theme="1"/>
        <rFont val="Calibri"/>
        <family val="2"/>
        <charset val="1"/>
      </rPr>
      <t xml:space="preserve">J–L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下游目前讀的舊版快照（</t>
    </r>
    <r>
      <rPr>
        <sz val="11"/>
        <color theme="1"/>
        <rFont val="Calibri"/>
        <family val="2"/>
        <charset val="1"/>
      </rPr>
      <t xml:space="preserve">markets/chip_bridge v20.1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不同的格數（</t>
    </r>
    <r>
      <rPr>
        <sz val="11"/>
        <color theme="1"/>
        <rFont val="Calibri"/>
        <family val="2"/>
        <charset val="1"/>
      </rPr>
      <t xml:space="preserve">&gt;0 </t>
    </r>
    <r>
      <rPr>
        <sz val="11"/>
        <color theme="1"/>
        <rFont val="Noto Sans CJK SC"/>
        <family val="2"/>
      </rPr>
      <t xml:space="preserve">表示下游用的值已過時）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</si>
  <si>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</si>
  <si>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</si>
  <si>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</si>
  <si>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</si>
  <si>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取用者</t>
  </si>
  <si>
    <t xml:space="preserve">舊快照 低</t>
  </si>
  <si>
    <t xml:space="preserve">舊快照 基準</t>
  </si>
  <si>
    <t xml:space="preserve">舊快照 高</t>
  </si>
  <si>
    <t xml:space="preserve">差異格數</t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</si>
  <si>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</si>
  <si>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</si>
  <si>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</si>
  <si>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</si>
  <si>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</si>
  <si>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（經橋接表）</t>
    </r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</si>
  <si>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</si>
  <si>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</si>
  <si>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</si>
  <si>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</si>
  <si>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</si>
  <si>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</si>
  <si>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</si>
  <si>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</si>
  <si>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</si>
  <si>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</si>
  <si>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</si>
  <si>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</si>
  <si>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chip_bridge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</si>
  <si>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</si>
  <si>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</si>
  <si>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</si>
  <si>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</si>
  <si>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</si>
  <si>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</si>
  <si>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</si>
  <si>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換算）</t>
    </r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</si>
  <si>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</si>
  <si>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</si>
  <si>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</si>
  <si>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</si>
  <si>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</si>
  <si>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</si>
  <si>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</si>
  <si>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</si>
  <si>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</si>
  <si>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</si>
  <si>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</si>
  <si>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</si>
  <si>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</si>
  <si>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</si>
  <si>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</si>
  <si>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</si>
  <si>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</si>
  <si>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</si>
  <si>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</si>
  <si>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</si>
  <si>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</si>
  <si>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</si>
  <si>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（目前抄錄值，改接排入中）</t>
    </r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</si>
  <si>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</si>
  <si>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</si>
  <si>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</si>
  <si>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</si>
  <si>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</si>
  <si>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</si>
  <si>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</si>
  <si>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</si>
  <si>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（目前抄錄值）</t>
    </r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</si>
  <si>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</si>
  <si>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</si>
  <si>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</si>
  <si>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</si>
  <si>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</si>
  <si>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</si>
  <si>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</si>
  <si>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</si>
  <si>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</si>
  <si>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</si>
  <si>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</si>
  <si>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</si>
  <si>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</si>
  <si>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</si>
  <si>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</si>
  <si>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</si>
  <si>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</si>
  <si>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等（目前各自假設，待改接）</t>
    </r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</si>
  <si>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</si>
  <si>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</si>
  <si>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</si>
  <si>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</si>
  <si>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</si>
  <si>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</si>
  <si>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</si>
  <si>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</si>
  <si>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</si>
  <si>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</si>
  <si>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</si>
  <si>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</si>
  <si>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</si>
  <si>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</si>
  <si>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</si>
  <si>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</si>
  <si>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</si>
  <si>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</si>
  <si>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</si>
  <si>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</si>
  <si>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</si>
  <si>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</si>
  <si>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</si>
  <si>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</si>
  <si>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</si>
  <si>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</si>
  <si>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</si>
  <si>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</si>
  <si>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</si>
  <si>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</si>
  <si>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</si>
  <si>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</si>
  <si>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</si>
  <si>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</si>
  <si>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</si>
  <si>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</si>
  <si>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</si>
  <si>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</si>
  <si>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</si>
  <si>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</si>
  <si>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</si>
  <si>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</si>
  <si>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</si>
  <si>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</si>
  <si>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</si>
  <si>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</si>
  <si>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</si>
  <si>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</si>
  <si>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</si>
  <si>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</si>
  <si>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</si>
  <si>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</si>
  <si>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r>
      <rPr>
        <b val="true"/>
        <sz val="11"/>
        <rFont val="Noto Sans CJK SC"/>
        <family val="2"/>
      </rPr>
      <t xml:space="preserve">下游舊快照與現行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不同的格數</t>
    </r>
  </si>
  <si>
    <r>
      <rPr>
        <sz val="11"/>
        <color theme="1"/>
        <rFont val="Calibri"/>
        <family val="2"/>
        <charset val="1"/>
      </rPr>
      <t xml:space="preserve">Conflicts — </t>
    </r>
    <r>
      <rPr>
        <sz val="11"/>
        <color theme="1"/>
        <rFont val="Noto Sans CJK SC"/>
        <family val="2"/>
      </rPr>
      <t xml:space="preserve">跨模型衝突登錄：同一個行業變數在兩個以上公司模型有不同值。本庫的任務是讓每個變數只有一個值；建議值為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預設（判斷類，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可改），在對應子產業併入本庫的版本生效，生效前各公司模型維持現值</t>
    </r>
  </si>
  <si>
    <t xml:space="preserve">ID</t>
  </si>
  <si>
    <t xml:space="preserve">子產業</t>
  </si>
  <si>
    <t xml:space="preserve">變數</t>
  </si>
  <si>
    <t xml:space="preserve">模型甲（位置）</t>
  </si>
  <si>
    <t xml:space="preserve">甲值</t>
  </si>
  <si>
    <t xml:space="preserve">模型乙（位置）</t>
  </si>
  <si>
    <t xml:space="preserve">乙值</t>
  </si>
  <si>
    <t xml:space="preserve">性質</t>
  </si>
  <si>
    <t xml:space="preserve">建議單一值與理由</t>
  </si>
  <si>
    <t xml:space="preserve">生效版本</t>
  </si>
  <si>
    <t xml:space="preserve">狀態</t>
  </si>
  <si>
    <t xml:space="preserve">來源</t>
  </si>
  <si>
    <t xml:space="preserve">CF01</t>
  </si>
  <si>
    <t xml:space="preserve">載板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</si>
  <si>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資本支出（新廠是否已核准）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</si>
  <si>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</si>
  <si>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nanya_pcb In!I104</t>
    </r>
    <r>
      <rPr>
        <sz val="11"/>
        <color theme="1"/>
        <rFont val="Noto Sans CJK SC"/>
        <family val="2"/>
      </rPr>
      <t xml:space="preserve">（待董事會決議）</t>
    </r>
  </si>
  <si>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</si>
  <si>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：董事會已通過高階載板新廠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</si>
  <si>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468</t>
    </r>
  </si>
  <si>
    <t xml:space="preserve">過時（公司變數）</t>
  </si>
  <si>
    <t xml:space="preserve">屬公司變數，不入本庫；南電模型下次改版更新為已核准，資本支出依新廠時程重排</t>
  </si>
  <si>
    <t xml:space="preserve">南電下版</t>
  </si>
  <si>
    <t xml:space="preserve">待併入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</si>
  <si>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A1</t>
    </r>
  </si>
  <si>
    <t xml:space="preserve">CF02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</si>
  <si>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</t>
    </r>
  </si>
  <si>
    <t xml:space="preserve">unimicron In!E99</t>
  </si>
  <si>
    <t xml:space="preserve">537</t>
  </si>
  <si>
    <r>
      <rPr>
        <sz val="11"/>
        <color theme="1"/>
        <rFont val="Calibri"/>
        <family val="2"/>
        <charset val="1"/>
      </rPr>
      <t xml:space="preserve">ibiden In!H52</t>
    </r>
    <r>
      <rPr>
        <sz val="11"/>
        <color theme="1"/>
        <rFont val="Noto Sans CJK SC"/>
        <family val="2"/>
      </rPr>
      <t xml:space="preserve">（同業對照）</t>
    </r>
  </si>
  <si>
    <t xml:space="preserve">340</t>
  </si>
  <si>
    <t xml:space="preserve">過時</t>
  </si>
  <si>
    <r>
      <rPr>
        <sz val="11"/>
        <color theme="1"/>
        <rFont val="Noto Sans CJK SC"/>
        <family val="2"/>
      </rPr>
      <t xml:space="preserve">以欣興模型 </t>
    </r>
    <r>
      <rPr>
        <sz val="11"/>
        <color theme="1"/>
        <rFont val="Calibri"/>
        <family val="2"/>
        <charset val="1"/>
      </rPr>
      <t xml:space="preserve">537</t>
    </r>
    <r>
      <rPr>
        <sz val="11"/>
        <color theme="1"/>
        <rFont val="Noto Sans CJK SC"/>
        <family val="2"/>
      </rPr>
      <t xml:space="preserve">（較新）為準；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對照列下版改讀欣興成品</t>
    </r>
  </si>
  <si>
    <t xml:space="preserve">v0.4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</si>
  <si>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A2</t>
    </r>
  </si>
  <si>
    <t xml:space="preserve">CF03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</si>
  <si>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</si>
  <si>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Calibri"/>
        <family val="2"/>
        <charset val="1"/>
      </rPr>
      <t xml:space="preserve">unimicron In!E131</t>
    </r>
    <r>
      <rPr>
        <sz val="11"/>
        <color theme="1"/>
        <rFont val="Noto Sans CJK SC"/>
        <family val="2"/>
      </rPr>
      <t xml:space="preserve">（永豐）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</si>
  <si>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</si>
  <si>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模型與比對 </t>
    </r>
    <r>
      <rPr>
        <sz val="11"/>
        <color theme="1"/>
        <rFont val="Calibri"/>
        <family val="2"/>
        <charset val="1"/>
      </rPr>
      <t xml:space="preserve">I9</t>
    </r>
  </si>
  <si>
    <r>
      <rPr>
        <sz val="11"/>
        <color theme="1"/>
        <rFont val="Noto Sans CJK SC"/>
        <family val="2"/>
      </rPr>
      <t xml:space="preserve">—／約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／逾 </t>
    </r>
    <r>
      <rPr>
        <sz val="11"/>
        <color theme="1"/>
        <rFont val="Calibri"/>
        <family val="2"/>
        <charset val="1"/>
      </rPr>
      <t xml:space="preserve">40</t>
    </r>
  </si>
  <si>
    <t xml:space="preserve">行業變數（兩來源）</t>
  </si>
  <si>
    <r>
      <rPr>
        <sz val="11"/>
        <color theme="1"/>
        <rFont val="Noto Sans CJK SC"/>
        <family val="2"/>
      </rPr>
      <t xml:space="preserve">本庫設單一路徑：基準取兩來源中點（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），低／高為兩來源；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、欣興、南電、景碩、味之素改讀</t>
    </r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</si>
  <si>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供需表已建（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頁）：本庫推導缺口情境 </t>
    </r>
    <r>
      <rPr>
        <sz val="11"/>
        <color theme="1"/>
        <rFont val="Calibri"/>
        <family val="2"/>
        <charset val="1"/>
      </rPr>
      <t xml:space="preserve">A 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12.3%</t>
    </r>
    <r>
      <rPr>
        <sz val="11"/>
        <color theme="1"/>
        <rFont val="Noto Sans CJK SC"/>
        <family val="2"/>
      </rPr>
      <t xml:space="preserve">（外部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、各公司自算 </t>
    </r>
    <r>
      <rPr>
        <sz val="11"/>
        <color theme="1"/>
        <rFont val="Calibri"/>
        <family val="2"/>
        <charset val="1"/>
      </rPr>
      <t xml:space="preserve">1.6–14.1%</t>
    </r>
    <r>
      <rPr>
        <sz val="11"/>
        <color theme="1"/>
        <rFont val="Noto Sans CJK SC"/>
        <family val="2"/>
      </rPr>
      <t xml:space="preserve">）；味之素膜上限取低值時為 </t>
    </r>
    <r>
      <rPr>
        <sz val="11"/>
        <color theme="1"/>
        <rFont val="Calibri"/>
        <family val="2"/>
        <charset val="1"/>
      </rPr>
      <t xml:space="preserve">24.6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34.1%</t>
    </r>
    <r>
      <rPr>
        <sz val="11"/>
        <color theme="1"/>
        <rFont val="Noto Sans CJK SC"/>
        <family val="2"/>
      </rPr>
      <t xml:space="preserve">。待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：各載板與膜模型是否改讀本庫缺口（會改變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）；未改前各公司仍用自身滿足率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</si>
  <si>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A3</t>
    </r>
  </si>
  <si>
    <t xml:space="preserve">CF04</t>
  </si>
  <si>
    <t xml:space="preserve">散熱</t>
  </si>
  <si>
    <t xml:space="preserve">液冷份額合計（健策是否已納入雙鴻）</t>
  </si>
  <si>
    <r>
      <rPr>
        <sz val="11"/>
        <color theme="1"/>
        <rFont val="Calibri"/>
        <family val="2"/>
        <charset val="1"/>
      </rPr>
      <t xml:space="preserve">jentech README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Units!G18</t>
    </r>
  </si>
  <si>
    <t xml:space="preserve">未含雙鴻</t>
  </si>
  <si>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）</t>
    </r>
  </si>
  <si>
    <t xml:space="preserve">15.9</t>
  </si>
  <si>
    <t xml:space="preserve">份額表不完整</t>
  </si>
  <si>
    <r>
      <rPr>
        <sz val="11"/>
        <color theme="1"/>
        <rFont val="Noto Sans CJK SC"/>
        <family val="2"/>
      </rPr>
      <t xml:space="preserve">本庫建液冷份額表（奇鋐、雙鴻、台達電、其他），合計＝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；各公司讀自己的列</t>
    </r>
  </si>
  <si>
    <t xml:space="preserve">v0.5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</si>
  <si>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液冷份額表：奇鋐、雙鴻、健策三情境，</t>
    </r>
    <r>
      <rPr>
        <sz val="11"/>
        <color theme="1"/>
        <rFont val="Calibri"/>
        <family val="2"/>
        <charset val="1"/>
      </rPr>
      <t xml:space="preserve">K6-lc </t>
    </r>
    <r>
      <rPr>
        <sz val="11"/>
        <color theme="1"/>
        <rFont val="Noto Sans CJK SC"/>
        <family val="2"/>
      </rPr>
      <t xml:space="preserve">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；雙鴻份額相對值與奇鋐同一組，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</si>
  <si>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A4</t>
    </r>
  </si>
  <si>
    <t xml:space="preserve">CF05</t>
  </si>
  <si>
    <t xml:space="preserve">運算</t>
  </si>
  <si>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結果表過時</t>
    </r>
  </si>
  <si>
    <r>
      <rPr>
        <sz val="11"/>
        <color theme="1"/>
        <rFont val="Calibri"/>
        <family val="2"/>
        <charset val="1"/>
      </rPr>
      <t xml:space="preserve">amd/README.md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</t>
    </r>
  </si>
  <si>
    <t xml:space="preserve">FY2028 EPS A 10.44</t>
  </si>
  <si>
    <t xml:space="preserve">amd xlsx v0.2.1 PL!F17</t>
  </si>
  <si>
    <t xml:space="preserve">11.39</t>
  </si>
  <si>
    <t xml:space="preserve">文件過時（非數值）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</si>
  <si>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重產（工程類，下次改版）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</si>
  <si>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</si>
  <si>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B5</t>
    </r>
  </si>
  <si>
    <t xml:space="preserve">CF06</t>
  </si>
  <si>
    <t xml:space="preserve">設備</t>
  </si>
  <si>
    <r>
      <rPr>
        <sz val="11"/>
        <color theme="1"/>
        <rFont val="Calibri"/>
        <family val="2"/>
        <charset val="1"/>
      </rPr>
      <t xml:space="preserve">Hanmi README </t>
    </r>
    <r>
      <rPr>
        <sz val="11"/>
        <color theme="1"/>
        <rFont val="Noto Sans CJK SC"/>
        <family val="2"/>
      </rPr>
      <t xml:space="preserve">與敏感度頁情境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</t>
    </r>
  </si>
  <si>
    <r>
      <rPr>
        <sz val="11"/>
        <color theme="1"/>
        <rFont val="Calibri"/>
        <family val="2"/>
        <charset val="1"/>
      </rPr>
      <t xml:space="preserve">hanmi README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Sens!B33</t>
    </r>
  </si>
  <si>
    <r>
      <rPr>
        <sz val="11"/>
        <color theme="1"/>
        <rFont val="Calibri"/>
        <family val="2"/>
        <charset val="1"/>
      </rPr>
      <t xml:space="preserve">3,380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2,835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＝高值</t>
    </r>
  </si>
  <si>
    <t xml:space="preserve">hanmi xlsx v0.2.1</t>
  </si>
  <si>
    <r>
      <rPr>
        <sz val="11"/>
        <color theme="1"/>
        <rFont val="Calibri"/>
        <family val="2"/>
        <charset val="1"/>
      </rPr>
      <t xml:space="preserve">3,098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</t>
    </r>
  </si>
  <si>
    <t xml:space="preserve">文件過時、標籤相反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</si>
  <si>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重產、</t>
    </r>
    <r>
      <rPr>
        <sz val="11"/>
        <color theme="1"/>
        <rFont val="Calibri"/>
        <family val="2"/>
        <charset val="1"/>
      </rPr>
      <t xml:space="preserve">Sens!B33 </t>
    </r>
    <r>
      <rPr>
        <sz val="11"/>
        <color theme="1"/>
        <rFont val="Noto Sans CJK SC"/>
        <family val="2"/>
      </rPr>
      <t xml:space="preserve">標籤更正（工程類）；混合鍵合滲透率移入本庫 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</si>
  <si>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下版／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</si>
  <si>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B6</t>
    </r>
  </si>
  <si>
    <t xml:space="preserve">CF07</t>
  </si>
  <si>
    <r>
      <rPr>
        <sz val="11"/>
        <color theme="1"/>
        <rFont val="Calibri"/>
        <family val="2"/>
        <charset val="1"/>
      </rPr>
      <t xml:space="preserve">BESI README</t>
    </r>
    <r>
      <rPr>
        <sz val="11"/>
        <color theme="1"/>
        <rFont val="Noto Sans CJK SC"/>
        <family val="2"/>
      </rPr>
      <t xml:space="preserve">『跨模型注意』過時</t>
    </r>
  </si>
  <si>
    <t xml:space="preserve">besi README</t>
  </si>
  <si>
    <r>
      <rPr>
        <sz val="11"/>
        <color theme="1"/>
        <rFont val="Calibri"/>
        <family val="2"/>
        <charset val="1"/>
      </rPr>
      <t xml:space="preserve">Hanmi A </t>
    </r>
    <r>
      <rPr>
        <sz val="11"/>
        <color theme="1"/>
        <rFont val="Noto Sans CJK SC"/>
        <family val="2"/>
      </rPr>
      <t xml:space="preserve">不含混合鍵合</t>
    </r>
  </si>
  <si>
    <r>
      <rPr>
        <sz val="11"/>
        <color theme="1"/>
        <rFont val="Calibri"/>
        <family val="2"/>
        <charset val="1"/>
      </rPr>
      <t xml:space="preserve">hanmi v0.2.1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In!I35</t>
    </r>
  </si>
  <si>
    <r>
      <rPr>
        <sz val="11"/>
        <color theme="1"/>
        <rFont val="Noto Sans CJK SC"/>
        <family val="2"/>
      </rPr>
      <t xml:space="preserve">已同向（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＝高值）</t>
    </r>
  </si>
  <si>
    <t xml:space="preserve">文件過時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</si>
  <si>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更正（工程類）</t>
    </r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</si>
  <si>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</si>
  <si>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B7</t>
    </r>
  </si>
  <si>
    <t xml:space="preserve">CF08</t>
  </si>
  <si>
    <r>
      <rPr>
        <sz val="11"/>
        <color theme="1"/>
        <rFont val="Calibri"/>
        <family val="2"/>
        <charset val="1"/>
      </rPr>
      <t xml:space="preserve">Lam Research </t>
    </r>
    <r>
      <rPr>
        <sz val="11"/>
        <color theme="1"/>
        <rFont val="Noto Sans CJK SC"/>
        <family val="2"/>
      </rPr>
      <t xml:space="preserve">遠期本益比文字</t>
    </r>
  </si>
  <si>
    <t xml:space="preserve">lrcx/README.md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</si>
  <si>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</t>
    </r>
  </si>
  <si>
    <t xml:space="preserve">lrcx xlsx README!A2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</si>
  <si>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</si>
  <si>
    <t xml:space="preserve">文件不一致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</si>
  <si>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為準（工程類）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</si>
  <si>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</si>
  <si>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B8</t>
    </r>
  </si>
  <si>
    <t xml:space="preserve">CF09</t>
  </si>
  <si>
    <t xml:space="preserve">伺服器組裝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</si>
  <si>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</si>
  <si>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US$B</t>
    </r>
  </si>
  <si>
    <t xml:space="preserve">wistron In!E52</t>
  </si>
  <si>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3.92%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24.85</t>
    </r>
  </si>
  <si>
    <t xml:space="preserve">wiwynn In!E44</t>
  </si>
  <si>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21.88</t>
    </r>
  </si>
  <si>
    <t xml:space="preserve">行業變數（組裝份額表）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</si>
  <si>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伺服器組裝份額表（鴻海、廣達、緯穎、緯創、美超微、戴爾、其他），以緯穎模型（公司自身錨點，較直接）為準；緯創改讀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</si>
  <si>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M18 asm_wyai_26</t>
    </r>
    <r>
      <rPr>
        <sz val="11"/>
        <color theme="1"/>
        <rFont val="Noto Sans CJK SC"/>
        <family val="2"/>
      </rPr>
      <t xml:space="preserve">＝緯穎模型值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45–52%</t>
    </r>
    <r>
      <rPr>
        <sz val="11"/>
        <color theme="1"/>
        <rFont val="Noto Sans CJK SC"/>
        <family val="2"/>
      </rPr>
      <t xml:space="preserve">〕；緯創改讀，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；組裝市場由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頁單一推導）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</si>
  <si>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C9</t>
    </r>
  </si>
  <si>
    <t xml:space="preserve">CF10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</si>
  <si>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</si>
  <si>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dell Units!C8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計價）</t>
    </r>
  </si>
  <si>
    <t xml:space="preserve">638.2</t>
  </si>
  <si>
    <r>
      <rPr>
        <sz val="11"/>
        <color theme="1"/>
        <rFont val="Calibri"/>
        <family val="2"/>
        <charset val="1"/>
      </rPr>
      <t xml:space="preserve">smci Units!C8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</si>
  <si>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595.5</t>
  </si>
  <si>
    <t xml:space="preserve">口徑（每顆計價世代）</t>
  </si>
  <si>
    <r>
      <rPr>
        <sz val="11"/>
        <color theme="1"/>
        <rFont val="Noto Sans CJK SC"/>
        <family val="2"/>
      </rPr>
      <t xml:space="preserve">本庫只留一個系統市場（每顆計價依各平台實際世代，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持有比換算），戴爾、美超微、廣達、鴻海同讀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</si>
  <si>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系統市場：</t>
    </r>
    <r>
      <rPr>
        <sz val="11"/>
        <color theme="1"/>
        <rFont val="Calibri"/>
        <family val="2"/>
        <charset val="1"/>
      </rPr>
      <t xml:space="preserve">AMD 2026 MI355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595.5</t>
    </r>
    <r>
      <rPr>
        <sz val="11"/>
        <color theme="1"/>
        <rFont val="Noto Sans CJK SC"/>
        <family val="2"/>
      </rPr>
      <t xml:space="preserve">，戴爾由 </t>
    </r>
    <r>
      <rPr>
        <sz val="11"/>
        <color theme="1"/>
        <rFont val="Calibri"/>
        <family val="2"/>
        <charset val="1"/>
      </rPr>
      <t xml:space="preserve">638.2 </t>
    </r>
    <r>
      <rPr>
        <sz val="11"/>
        <color theme="1"/>
        <rFont val="Noto Sans CJK SC"/>
        <family val="2"/>
      </rPr>
      <t xml:space="preserve">改為同值，美超微不變。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持有比換算的細化未採用，列為後續選項）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</si>
  <si>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C10</t>
    </r>
  </si>
  <si>
    <t xml:space="preserve">CF11</t>
  </si>
  <si>
    <t xml:space="preserve">電源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</si>
  <si>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</t>
    </r>
  </si>
  <si>
    <r>
      <rPr>
        <sz val="11"/>
        <color theme="1"/>
        <rFont val="Calibri"/>
        <family val="2"/>
        <charset val="1"/>
      </rPr>
      <t xml:space="preserve">delta In!E67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</si>
  <si>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</si>
  <si>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liteon In!E75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</t>
    </r>
  </si>
  <si>
    <t xml:space="preserve">60–65</t>
  </si>
  <si>
    <t xml:space="preserve">行業變數（份額表）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</si>
  <si>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電源份額表（台達電、光寶、其他），基準採較新的凱基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60–65</t>
    </r>
    <r>
      <rPr>
        <sz val="11"/>
        <color theme="1"/>
        <rFont val="Noto Sans CJK SC"/>
        <family val="2"/>
      </rPr>
      <t xml:space="preserve">），兩家改讀；台達電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會下修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</si>
  <si>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；預設：凱基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62.5% </t>
    </r>
    <r>
      <rPr>
        <sz val="11"/>
        <color theme="1"/>
        <rFont val="Noto Sans CJK SC"/>
        <family val="2"/>
      </rPr>
      <t xml:space="preserve">只作對照，有效份額維持公司營收校準，下游不變。若改為下修台達電份額路徑 </t>
    </r>
    <r>
      <rPr>
        <sz val="11"/>
        <color theme="1"/>
        <rFont val="Calibri"/>
        <family val="2"/>
        <charset val="1"/>
      </rPr>
      <t xml:space="preserve">×0.893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FY2027 EPS −5.6%</t>
    </r>
    <r>
      <rPr>
        <sz val="11"/>
        <color theme="1"/>
        <rFont val="Noto Sans CJK SC"/>
        <family val="2"/>
      </rPr>
      <t xml:space="preserve">、目標價 −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、評等中立→放空；見報告 </t>
    </r>
    <r>
      <rPr>
        <sz val="11"/>
        <color theme="1"/>
        <rFont val="Calibri"/>
        <family val="2"/>
        <charset val="1"/>
      </rPr>
      <t xml:space="preserve">20261027_v0.6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</si>
  <si>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C11</t>
    </r>
  </si>
  <si>
    <t xml:space="preserve">CF12</t>
  </si>
  <si>
    <t xml:space="preserve">每櫃液冷內容的權威位置</t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</si>
  <si>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</si>
  <si>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台達電：權威在 </t>
    </r>
    <r>
      <rPr>
        <sz val="11"/>
        <color theme="1"/>
        <rFont val="Calibri"/>
        <family val="2"/>
        <charset val="1"/>
      </rPr>
      <t xml:space="preserve">delta/</t>
    </r>
  </si>
  <si>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</si>
  <si>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avc </t>
    </r>
    <r>
      <rPr>
        <sz val="11"/>
        <color theme="1"/>
        <rFont val="Noto Sans CJK SC"/>
        <family val="2"/>
      </rPr>
      <t xml:space="preserve">實際讀 </t>
    </r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台達電＋奇鋐＝市場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</si>
  <si>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列</t>
    </r>
  </si>
  <si>
    <t xml:space="preserve">權威重疊</t>
  </si>
  <si>
    <r>
      <rPr>
        <sz val="11"/>
        <color theme="1"/>
        <rFont val="Noto Sans CJK SC"/>
        <family val="2"/>
      </rPr>
      <t xml:space="preserve">權威移入本庫（每櫃液冷內容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滲透率），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都讀本庫；份額表合計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消除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</si>
  <si>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（每架液冷內容、分歧管、內容調整、滲透率權威移入本庫 </t>
    </r>
    <r>
      <rPr>
        <sz val="11"/>
        <color theme="1"/>
        <rFont val="Calibri"/>
        <family val="2"/>
        <charset val="1"/>
      </rPr>
      <t xml:space="preserve">M19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節；市場定義為機架內液冷＋分歧管，台達電液冷多在機架外〔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〕，不屬本市場，不入份額表，</t>
    </r>
    <r>
      <rPr>
        <sz val="11"/>
        <color theme="1"/>
        <rFont val="Calibri"/>
        <family val="2"/>
        <charset val="1"/>
      </rPr>
      <t xml:space="preserve">115% </t>
    </r>
    <r>
      <rPr>
        <sz val="11"/>
        <color theme="1"/>
        <rFont val="Noto Sans CJK SC"/>
        <family val="2"/>
      </rPr>
      <t xml:space="preserve">為兩個市場相加；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／機架外冷卻市場尚未建）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</si>
  <si>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C12</t>
    </r>
  </si>
  <si>
    <t xml:space="preserve">CF13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</si>
  <si>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加速器金額份額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</si>
  <si>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amd Recon!C27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Units!D33</t>
    </r>
  </si>
  <si>
    <t xml:space="preserve">6.7</t>
  </si>
  <si>
    <r>
      <rPr>
        <sz val="11"/>
        <color theme="1"/>
        <rFont val="Calibri"/>
        <family val="2"/>
        <charset val="1"/>
      </rPr>
      <t xml:space="preserve">avgo Units</t>
    </r>
    <r>
      <rPr>
        <sz val="11"/>
        <color theme="1"/>
        <rFont val="Noto Sans CJK SC"/>
        <family val="2"/>
      </rPr>
      <t xml:space="preserve">（另用一組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每顆價）；候選母體、先驗比對 </t>
    </r>
    <r>
      <rPr>
        <sz val="11"/>
        <color theme="1"/>
        <rFont val="Calibri"/>
        <family val="2"/>
        <charset val="1"/>
      </rPr>
      <t xml:space="preserve">NVDA N5c</t>
    </r>
  </si>
  <si>
    <r>
      <rPr>
        <sz val="11"/>
        <color theme="1"/>
        <rFont val="Calibri"/>
        <family val="2"/>
        <charset val="1"/>
      </rPr>
      <t xml:space="preserve">6.36</t>
    </r>
    <r>
      <rPr>
        <sz val="11"/>
        <color theme="1"/>
        <rFont val="Noto Sans CJK SC"/>
        <family val="2"/>
      </rPr>
      <t xml:space="preserve">；文件 </t>
    </r>
    <r>
      <rPr>
        <sz val="11"/>
        <color theme="1"/>
        <rFont val="Calibri"/>
        <family val="2"/>
        <charset val="1"/>
      </rPr>
      <t xml:space="preserve">3–6</t>
    </r>
  </si>
  <si>
    <r>
      <rPr>
        <sz val="11"/>
        <color theme="1"/>
        <rFont val="Noto Sans CJK SC"/>
        <family val="2"/>
      </rPr>
      <t xml:space="preserve">推導值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文件區間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</si>
  <si>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已把兩組價格放在同一處（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的整顆售價 </t>
    </r>
    <r>
      <rPr>
        <sz val="11"/>
        <color theme="1"/>
        <rFont val="Calibri"/>
        <family val="2"/>
        <charset val="1"/>
      </rPr>
      <t xml:space="preserve">pa_*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的核心價 </t>
    </r>
    <r>
      <rPr>
        <sz val="11"/>
        <color theme="1"/>
        <rFont val="Calibri"/>
        <family val="2"/>
        <charset val="1"/>
      </rPr>
      <t xml:space="preserve">core_*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）。仍待選定市場金額口徑：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整顆售價 </t>
    </r>
    <r>
      <rPr>
        <sz val="11"/>
        <color theme="1"/>
        <rFont val="Calibri"/>
        <family val="2"/>
        <charset val="1"/>
      </rPr>
      <t xml:space="preserve">pa_*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6.70%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核心 </t>
    </r>
    <r>
      <rPr>
        <sz val="11"/>
        <color theme="1"/>
        <rFont val="Calibri"/>
        <family val="2"/>
        <charset val="1"/>
      </rPr>
      <t xml:space="preserve">× k_x</t>
    </r>
    <r>
      <rPr>
        <sz val="11"/>
        <color theme="1"/>
        <rFont val="Noto Sans CJK SC"/>
        <family val="2"/>
      </rPr>
      <t xml:space="preserve">＋全部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）。預設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的份額展示改讀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；影響只在份額與市場總額的展示，不影響各公司營收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</si>
  <si>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（位置）／待定（口徑）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</si>
  <si>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</si>
  <si>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C13</t>
    </r>
  </si>
  <si>
    <t xml:space="preserve">CF14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</si>
  <si>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每顆內容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</si>
  <si>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</si>
  <si>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mrvl Units!C8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轉手）</t>
    </r>
  </si>
  <si>
    <t xml:space="preserve">5.9</t>
  </si>
  <si>
    <r>
      <rPr>
        <sz val="11"/>
        <color theme="1"/>
        <rFont val="Calibri"/>
        <family val="2"/>
        <charset val="1"/>
      </rPr>
      <t xml:space="preserve">alchip Units!C9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</si>
  <si>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2.5</t>
  </si>
  <si>
    <r>
      <rPr>
        <sz val="11"/>
        <color theme="1"/>
        <rFont val="Noto Sans CJK SC"/>
        <family val="2"/>
      </rPr>
      <t xml:space="preserve">口徑（含／不含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</si>
  <si>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兩家都由同一組 </t>
    </r>
    <r>
      <rPr>
        <sz val="11"/>
        <color theme="1"/>
        <rFont val="Calibri"/>
        <family val="2"/>
        <charset val="1"/>
      </rPr>
      <t xml:space="preserve">pa_trn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價推得核心價 </t>
    </r>
    <r>
      <rPr>
        <sz val="11"/>
        <color theme="1"/>
        <rFont val="Calibri"/>
        <family val="2"/>
        <charset val="1"/>
      </rPr>
      <t xml:space="preserve">6.394K</t>
    </r>
    <r>
      <rPr>
        <sz val="11"/>
        <color theme="1"/>
        <rFont val="Noto Sans CJK SC"/>
        <family val="2"/>
      </rPr>
      <t xml:space="preserve">；差異來自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代購營收、世芯只計設計與量產服務——是公司營收口徑，不是行業變數衝突。保留兩家各自口徑</t>
    </r>
  </si>
  <si>
    <t xml:space="preserve">v0.2</t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</si>
  <si>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</si>
  <si>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C14</t>
    </r>
  </si>
  <si>
    <t xml:space="preserve">CF15</t>
  </si>
  <si>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 CY2027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</si>
  <si>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測試市場（</t>
    </r>
    <r>
      <rPr>
        <sz val="11"/>
        <color theme="1"/>
        <rFont val="Calibri"/>
        <family val="2"/>
        <charset val="1"/>
      </rPr>
      <t xml:space="preserve">ter 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</si>
  <si>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t xml:space="preserve">10.1</t>
  </si>
  <si>
    <t xml:space="preserve">泰瑞達公司長期說法</t>
  </si>
  <si>
    <t xml:space="preserve">7–9</t>
  </si>
  <si>
    <t xml:space="preserve">行業變數（測試市場）</t>
  </si>
  <si>
    <r>
      <rPr>
        <sz val="11"/>
        <color theme="1"/>
        <rFont val="Noto Sans CJK SC"/>
        <family val="2"/>
      </rPr>
      <t xml:space="preserve">本庫設測試市場路徑並以測試 </t>
    </r>
    <r>
      <rPr>
        <sz val="11"/>
        <color theme="1"/>
        <rFont val="Calibri"/>
        <family val="2"/>
        <charset val="1"/>
      </rPr>
      <t xml:space="preserve">÷ WFE 7–10% </t>
    </r>
    <r>
      <rPr>
        <sz val="11"/>
        <color theme="1"/>
        <rFont val="Noto Sans CJK SC"/>
        <family val="2"/>
      </rPr>
      <t xml:space="preserve">為檢查區間；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、泰瑞達同讀</t>
    </r>
  </si>
  <si>
    <t xml:space="preserve">v0.6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</si>
  <si>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C15</t>
    </r>
  </si>
  <si>
    <t xml:space="preserve">CF16</t>
  </si>
  <si>
    <t xml:space="preserve">選股資料</t>
  </si>
  <si>
    <t xml:space="preserve">候選母體『本專案狀態』</t>
  </si>
  <si>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</si>
  <si>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家標待建</t>
    </r>
  </si>
  <si>
    <t xml:space="preserve">repo</t>
  </si>
  <si>
    <t xml:space="preserve">已建模</t>
  </si>
  <si>
    <t xml:space="preserve">候選母體下版更新狀態欄（工程類）</t>
  </si>
  <si>
    <t xml:space="preserve">母體下版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</si>
  <si>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D16</t>
    </r>
  </si>
  <si>
    <t xml:space="preserve">CF17</t>
  </si>
  <si>
    <t xml:space="preserve">Tokenomics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</si>
  <si>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資本支出（下游舊快照）</t>
    </r>
  </si>
  <si>
    <t xml:space="preserve">$B/GW</t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</si>
  <si>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v20.1</t>
    </r>
  </si>
  <si>
    <t xml:space="preserve">33.27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</si>
  <si>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（機架價低端 </t>
    </r>
    <r>
      <rPr>
        <sz val="11"/>
        <color theme="1"/>
        <rFont val="Calibri"/>
        <family val="2"/>
        <charset val="1"/>
      </rPr>
      <t xml:space="preserve">7.8→7.5</t>
    </r>
    <r>
      <rPr>
        <sz val="11"/>
        <color theme="1"/>
        <rFont val="Noto Sans CJK SC"/>
        <family val="2"/>
      </rPr>
      <t xml:space="preserve">）</t>
    </r>
  </si>
  <si>
    <t xml:space="preserve">32.00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</si>
  <si>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版本落差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</si>
  <si>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改讀本庫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快照與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三個契約名稱；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低成本欄機架價 </t>
    </r>
    <r>
      <rPr>
        <sz val="11"/>
        <color theme="1"/>
        <rFont val="Calibri"/>
        <family val="2"/>
        <charset val="1"/>
      </rPr>
      <t xml:space="preserve">7.5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／總資本支出 </t>
    </r>
    <r>
      <rPr>
        <sz val="11"/>
        <color theme="1"/>
        <rFont val="Calibri"/>
        <family val="2"/>
        <charset val="1"/>
      </rPr>
      <t xml:space="preserve">32.00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42.21</t>
    </r>
    <r>
      <rPr>
        <sz val="11"/>
        <color theme="1"/>
        <rFont val="Noto Sans CJK SC"/>
        <family val="2"/>
      </rPr>
      <t xml:space="preserve">（基準不變）</t>
    </r>
  </si>
  <si>
    <t xml:space="preserve">v0.3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</si>
  <si>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</t>
    </r>
  </si>
  <si>
    <t xml:space="preserve">Siliconomics Checks K3</t>
  </si>
  <si>
    <t xml:space="preserve">CF18</t>
  </si>
  <si>
    <t xml:space="preserve">運算（顆數層）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</si>
  <si>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</si>
  <si>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tsmc In g29_*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同值複製）：</t>
    </r>
    <r>
      <rPr>
        <sz val="11"/>
        <color theme="1"/>
        <rFont val="Calibri"/>
        <family val="2"/>
        <charset val="1"/>
      </rPr>
      <t xml:space="preserve">Blackwell −50%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</si>
  <si>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</si>
  <si>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 In g_u29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 hbm_dem29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</si>
  <si>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29.15M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g_u29 +10%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</t>
    </r>
  </si>
  <si>
    <t xml:space="preserve">行業變數（三處各自外推）</t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</si>
  <si>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成長率為單一來源（合計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）；台積電、網通改讀；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10% → 13.8%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為位元口徑，維持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</si>
  <si>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v0.2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</si>
  <si>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</t>
    </r>
  </si>
  <si>
    <t xml:space="preserve">CF19</t>
  </si>
  <si>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</si>
  <si>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顆數份額：</t>
    </r>
    <r>
      <rPr>
        <sz val="11"/>
        <color theme="1"/>
        <rFont val="Calibri"/>
        <family val="2"/>
        <charset val="1"/>
      </rPr>
      <t xml:space="preserve">Broadcom vs </t>
    </r>
    <r>
      <rPr>
        <sz val="11"/>
        <color theme="1"/>
        <rFont val="Noto Sans CJK SC"/>
        <family val="2"/>
      </rPr>
      <t xml:space="preserve">聯發科</t>
    </r>
  </si>
  <si>
    <r>
      <rPr>
        <sz val="11"/>
        <color theme="1"/>
        <rFont val="Calibri"/>
        <family val="2"/>
        <charset val="1"/>
      </rPr>
      <t xml:space="preserve">avgo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</si>
  <si>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</si>
  <si>
    <r>
      <rPr>
        <sz val="11"/>
        <color theme="1"/>
        <rFont val="Noto Sans CJK SC"/>
        <family val="2"/>
      </rPr>
      <t xml:space="preserve">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</si>
  <si>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需聯發科 </t>
    </r>
    <r>
      <rPr>
        <sz val="11"/>
        <color theme="1"/>
        <rFont val="Calibri"/>
        <family val="2"/>
        <charset val="1"/>
      </rPr>
      <t xml:space="preserve">51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</si>
  <si>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賣方（模型間一致）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</si>
  <si>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（三情境）份額表與加總檢查（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 K6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  <r>
      <rPr>
        <sz val="11"/>
        <color theme="1"/>
        <rFont val="Noto Sans CJK SC"/>
        <family val="2"/>
      </rPr>
      <t xml:space="preserve">）。數值維持模型路徑（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需降至約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）列為聯發科高情境證據。</t>
    </r>
    <r>
      <rPr>
        <sz val="11"/>
        <color theme="1"/>
        <rFont val="Calibri"/>
        <family val="2"/>
        <charset val="1"/>
      </rPr>
      <t xml:space="preserve">Andy 2026-10-27 15:09</t>
    </r>
    <r>
      <rPr>
        <sz val="11"/>
        <color theme="1"/>
        <rFont val="Noto Sans CJK SC"/>
        <family val="2"/>
      </rPr>
      <t xml:space="preserve">：「先這樣，我也沒有更好的數字」</t>
    </r>
  </si>
  <si>
    <r>
      <rPr>
        <sz val="11"/>
        <color theme="1"/>
        <rFont val="Noto Sans CJK SC"/>
        <family val="2"/>
      </rPr>
      <t xml:space="preserve">已定（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</si>
  <si>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(1)</t>
    </r>
  </si>
  <si>
    <t xml:space="preserve">CF20</t>
  </si>
  <si>
    <r>
      <rPr>
        <sz val="11"/>
        <color theme="1"/>
        <rFont val="Calibri"/>
        <family val="2"/>
        <charset val="1"/>
      </rPr>
      <t xml:space="preserve">NVIDIA GPU ABF </t>
    </r>
    <r>
      <rPr>
        <sz val="11"/>
        <color theme="1"/>
        <rFont val="Noto Sans CJK SC"/>
        <family val="2"/>
      </rPr>
      <t xml:space="preserve">載板份額合計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</si>
  <si>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份額合計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</si>
  <si>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 </t>
    </r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99.0–99.6%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70→59.5</t>
    </r>
    <r>
      <rPr>
        <sz val="11"/>
        <color theme="1"/>
        <rFont val="Noto Sans CJK SC"/>
        <family val="2"/>
      </rPr>
      <t xml:space="preserve">、欣興 </t>
    </r>
    <r>
      <rPr>
        <sz val="11"/>
        <color theme="1"/>
        <rFont val="Calibri"/>
        <family val="2"/>
        <charset val="1"/>
      </rPr>
      <t xml:space="preserve">25→30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2→4</t>
    </r>
    <r>
      <rPr>
        <sz val="11"/>
        <color theme="1"/>
        <rFont val="Noto Sans CJK SC"/>
        <family val="2"/>
      </rPr>
      <t xml:space="preserve">、景碩 </t>
    </r>
    <r>
      <rPr>
        <sz val="11"/>
        <color theme="1"/>
        <rFont val="Calibri"/>
        <family val="2"/>
        <charset val="1"/>
      </rPr>
      <t xml:space="preserve">2→6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</si>
  <si>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（券商：</t>
    </r>
    <r>
      <rPr>
        <sz val="11"/>
        <color theme="1"/>
        <rFont val="Calibri"/>
        <family val="2"/>
        <charset val="1"/>
      </rPr>
      <t xml:space="preserve">Rubin GPU 15–20%</t>
    </r>
    <r>
      <rPr>
        <sz val="11"/>
        <color theme="1"/>
        <rFont val="Noto Sans CJK SC"/>
        <family val="2"/>
      </rPr>
      <t xml:space="preserve">）；本版景碩取剩餘 </t>
    </r>
    <r>
      <rPr>
        <sz val="11"/>
        <color theme="1"/>
        <rFont val="Calibri"/>
        <family val="2"/>
        <charset val="1"/>
      </rPr>
      <t xml:space="preserve">2→6%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</si>
  <si>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15–20</t>
    </r>
  </si>
  <si>
    <t xml:space="preserve">份額表（合計受限）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</si>
  <si>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載板份額表合計＝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（含三星電機等）：預設依各公司現值、景碩取剩餘；券商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列為景碩高情境證據。非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側合計 </t>
    </r>
    <r>
      <rPr>
        <sz val="11"/>
        <color theme="1"/>
        <rFont val="Calibri"/>
        <family val="2"/>
        <charset val="1"/>
      </rPr>
      <t xml:space="preserve">88–89.5% </t>
    </r>
    <r>
      <rPr>
        <sz val="11"/>
        <color theme="1"/>
        <rFont val="Noto Sans CJK SC"/>
        <family val="2"/>
      </rPr>
      <t xml:space="preserve">一併列表</t>
    </r>
  </si>
  <si>
    <r>
      <rPr>
        <sz val="11"/>
        <color theme="1"/>
        <rFont val="Noto Sans CJK SC"/>
        <family val="2"/>
      </rPr>
      <t xml:space="preserve">份額表已建 </t>
    </r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K6-abf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CJK SC"/>
        <family val="2"/>
      </rPr>
      <t xml:space="preserve">）；數值沿用各公司模型、景碩取剩餘，券商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為景碩高值證據。</t>
    </r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：待 </t>
    </r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供需表建好後再確認緊縮下的份額，目前照預設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</si>
  <si>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(14)</t>
    </r>
  </si>
  <si>
    <t xml:space="preserve">CF21</t>
  </si>
  <si>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</si>
  <si>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金額份額合計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</si>
  <si>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lite 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cohr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eoptolink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</si>
  <si>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</si>
  <si>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markets/network CPO </t>
    </r>
    <r>
      <rPr>
        <sz val="11"/>
        <color theme="1"/>
        <rFont val="Noto Sans CJK SC"/>
        <family val="2"/>
      </rPr>
      <t xml:space="preserve">三情境（無份額表）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</si>
  <si>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CPO </t>
    </r>
    <r>
      <rPr>
        <sz val="11"/>
        <color theme="1"/>
        <rFont val="Noto Sans CJK SC"/>
        <family val="2"/>
      </rPr>
      <t xml:space="preserve">份額未建模</t>
    </r>
  </si>
  <si>
    <t xml:space="preserve">份額表（無加總檢查）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</si>
  <si>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交換器端；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代工另列不加總），合計＝</t>
    </r>
    <r>
      <rPr>
        <sz val="11"/>
        <color theme="1"/>
        <rFont val="Calibri"/>
        <family val="2"/>
        <charset val="1"/>
      </rPr>
      <t xml:space="preserve">100%</t>
    </r>
  </si>
  <si>
    <t xml:space="preserve">v0.4.1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</si>
  <si>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；數值維持各公司模型，四家模組與雷射廠合計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），餘額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為交換器端自製與其他，未建模）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</si>
  <si>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 (i)</t>
    </r>
  </si>
  <si>
    <t xml:space="preserve">CF22</t>
  </si>
  <si>
    <t xml:space="preserve">部署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</si>
  <si>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</si>
  <si>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</si>
  <si>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  <r>
      <rPr>
        <sz val="11"/>
        <color theme="1"/>
        <rFont val="Noto Sans CJK SC"/>
        <family val="2"/>
      </rPr>
      <t xml:space="preserve">）</t>
    </r>
  </si>
  <si>
    <t xml:space="preserve">23.40</t>
  </si>
  <si>
    <t xml:space="preserve">amkr</t>
  </si>
  <si>
    <t xml:space="preserve">24.25</t>
  </si>
  <si>
    <t xml:space="preserve">行業變數（兩算法）</t>
  </si>
  <si>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個模型改讀；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改用同一混合口徑（</t>
    </r>
    <r>
      <rPr>
        <sz val="11"/>
        <color theme="1"/>
        <rFont val="Calibri"/>
        <family val="2"/>
        <charset val="1"/>
      </rPr>
      <t xml:space="preserve">2026 24.25 → 23.40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對照）；本庫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頁發布 </t>
    </r>
    <r>
      <rPr>
        <sz val="11"/>
        <color theme="1"/>
        <rFont val="Calibri"/>
        <family val="2"/>
        <charset val="1"/>
      </rPr>
      <t xml:space="preserve">SIF_DeployGW_A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</si>
  <si>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下游唯一連結點（各公司模型與市場層只讀本頁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具名範圍，經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節＝輸入（純量，含低／高）；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節＝推導（年度）；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，值＝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</si>
  <si>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Siliconomics v0.6.1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</si>
  <si>
    <t xml:space="preserve">來源位置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</si>
  <si>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輸入（純量）</t>
    </r>
  </si>
  <si>
    <t xml:space="preserve">In!E6</t>
  </si>
  <si>
    <t xml:space="preserve">In!E7</t>
  </si>
  <si>
    <t xml:space="preserve">In!E8</t>
  </si>
  <si>
    <t xml:space="preserve">In!E9</t>
  </si>
  <si>
    <t xml:space="preserve">In!E10</t>
  </si>
  <si>
    <t xml:space="preserve">In!E11</t>
  </si>
  <si>
    <t xml:space="preserve">In!E12</t>
  </si>
  <si>
    <t xml:space="preserve">In!E13</t>
  </si>
  <si>
    <t xml:space="preserve">In!E14</t>
  </si>
  <si>
    <t xml:space="preserve">In!E15</t>
  </si>
  <si>
    <t xml:space="preserve">In!E16</t>
  </si>
  <si>
    <t xml:space="preserve">In!E17</t>
  </si>
  <si>
    <t xml:space="preserve">In!E18</t>
  </si>
  <si>
    <t xml:space="preserve">In!E19</t>
  </si>
  <si>
    <t xml:space="preserve">In!E20</t>
  </si>
  <si>
    <t xml:space="preserve">In!E21</t>
  </si>
  <si>
    <t xml:space="preserve">In!E22</t>
  </si>
  <si>
    <t xml:space="preserve">In!E23</t>
  </si>
  <si>
    <t xml:space="preserve">In!E24</t>
  </si>
  <si>
    <t xml:space="preserve">In!E25</t>
  </si>
  <si>
    <t xml:space="preserve">In!E26</t>
  </si>
  <si>
    <t xml:space="preserve">In!E27</t>
  </si>
  <si>
    <t xml:space="preserve">In!E28</t>
  </si>
  <si>
    <t xml:space="preserve">In!E29</t>
  </si>
  <si>
    <t xml:space="preserve">In!E30</t>
  </si>
  <si>
    <t xml:space="preserve">In!E31</t>
  </si>
  <si>
    <t xml:space="preserve">In!E32</t>
  </si>
  <si>
    <t xml:space="preserve">In!E33</t>
  </si>
  <si>
    <t xml:space="preserve">In!E34</t>
  </si>
  <si>
    <t xml:space="preserve">In!E35</t>
  </si>
  <si>
    <t xml:space="preserve">In!E36</t>
  </si>
  <si>
    <t xml:space="preserve">In!E37</t>
  </si>
  <si>
    <t xml:space="preserve">In!E38</t>
  </si>
  <si>
    <t xml:space="preserve">In!E39</t>
  </si>
  <si>
    <t xml:space="preserve">In!E40</t>
  </si>
  <si>
    <t xml:space="preserve">In!E41</t>
  </si>
  <si>
    <t xml:space="preserve">In!E42</t>
  </si>
  <si>
    <t xml:space="preserve">In!E43</t>
  </si>
  <si>
    <t xml:space="preserve">In!E44</t>
  </si>
  <si>
    <t xml:space="preserve">In!E45</t>
  </si>
  <si>
    <t xml:space="preserve">In!E46</t>
  </si>
  <si>
    <t xml:space="preserve">In!E47</t>
  </si>
  <si>
    <t xml:space="preserve">In!E48</t>
  </si>
  <si>
    <t xml:space="preserve">In!E49</t>
  </si>
  <si>
    <t xml:space="preserve">In!E50</t>
  </si>
  <si>
    <t xml:space="preserve">In!E51</t>
  </si>
  <si>
    <t xml:space="preserve">In!E52</t>
  </si>
  <si>
    <t xml:space="preserve">In!E53</t>
  </si>
  <si>
    <t xml:space="preserve">In!E54</t>
  </si>
  <si>
    <t xml:space="preserve">In!E55</t>
  </si>
  <si>
    <t xml:space="preserve">In!E56</t>
  </si>
  <si>
    <t xml:space="preserve">In!E57</t>
  </si>
  <si>
    <t xml:space="preserve">In!E58</t>
  </si>
  <si>
    <t xml:space="preserve">In!E59</t>
  </si>
  <si>
    <t xml:space="preserve">In!E60</t>
  </si>
  <si>
    <t xml:space="preserve">In!E61</t>
  </si>
  <si>
    <t xml:space="preserve">In!E62</t>
  </si>
  <si>
    <t xml:space="preserve">In!E63</t>
  </si>
  <si>
    <t xml:space="preserve">In!E64</t>
  </si>
  <si>
    <t xml:space="preserve">In!E65</t>
  </si>
  <si>
    <t xml:space="preserve">In!E66</t>
  </si>
  <si>
    <t xml:space="preserve">In!E67</t>
  </si>
  <si>
    <t xml:space="preserve">In!E68</t>
  </si>
  <si>
    <t xml:space="preserve">In!E69</t>
  </si>
  <si>
    <t xml:space="preserve">In!E70</t>
  </si>
  <si>
    <t xml:space="preserve">In!E71</t>
  </si>
  <si>
    <t xml:space="preserve">In!E72</t>
  </si>
  <si>
    <t xml:space="preserve">In!E73</t>
  </si>
  <si>
    <t xml:space="preserve">In!E74</t>
  </si>
  <si>
    <t xml:space="preserve">In!E75</t>
  </si>
  <si>
    <t xml:space="preserve">In!E76</t>
  </si>
  <si>
    <t xml:space="preserve">In!E77</t>
  </si>
  <si>
    <t xml:space="preserve">In!E78</t>
  </si>
  <si>
    <t xml:space="preserve">In!E79</t>
  </si>
  <si>
    <t xml:space="preserve">In!E80</t>
  </si>
  <si>
    <t xml:space="preserve">In!E81</t>
  </si>
  <si>
    <t xml:space="preserve">In!E82</t>
  </si>
  <si>
    <t xml:space="preserve">In!E83</t>
  </si>
  <si>
    <t xml:space="preserve">In!E84</t>
  </si>
  <si>
    <t xml:space="preserve">In!E85</t>
  </si>
  <si>
    <t xml:space="preserve">In!E86</t>
  </si>
  <si>
    <t xml:space="preserve">In!E87</t>
  </si>
  <si>
    <t xml:space="preserve">In!E88</t>
  </si>
  <si>
    <t xml:space="preserve">In!E89</t>
  </si>
  <si>
    <t xml:space="preserve">In!E90</t>
  </si>
  <si>
    <t xml:space="preserve">In!E91</t>
  </si>
  <si>
    <t xml:space="preserve">In!E93</t>
  </si>
  <si>
    <t xml:space="preserve">In!E94</t>
  </si>
  <si>
    <t xml:space="preserve">In!E95</t>
  </si>
  <si>
    <t xml:space="preserve">In!E96</t>
  </si>
  <si>
    <t xml:space="preserve">In!E97</t>
  </si>
  <si>
    <t xml:space="preserve">In!E98</t>
  </si>
  <si>
    <t xml:space="preserve">In!E99</t>
  </si>
  <si>
    <t xml:space="preserve">In!E100</t>
  </si>
  <si>
    <t xml:space="preserve">In!E101</t>
  </si>
  <si>
    <t xml:space="preserve">In!E102</t>
  </si>
  <si>
    <t xml:space="preserve">In!E103</t>
  </si>
  <si>
    <t xml:space="preserve">In!E104</t>
  </si>
  <si>
    <t xml:space="preserve">In!E105</t>
  </si>
  <si>
    <t xml:space="preserve">In!E106</t>
  </si>
  <si>
    <t xml:space="preserve">In!E107</t>
  </si>
  <si>
    <t xml:space="preserve">In!E108</t>
  </si>
  <si>
    <t xml:space="preserve">In!E109</t>
  </si>
  <si>
    <t xml:space="preserve">In!E110</t>
  </si>
  <si>
    <t xml:space="preserve">In!E111</t>
  </si>
  <si>
    <t xml:space="preserve">In!E112</t>
  </si>
  <si>
    <t xml:space="preserve">In!E113</t>
  </si>
  <si>
    <t xml:space="preserve">In!E114</t>
  </si>
  <si>
    <t xml:space="preserve">In!E115</t>
  </si>
  <si>
    <t xml:space="preserve">In!E116</t>
  </si>
  <si>
    <t xml:space="preserve">In!E117</t>
  </si>
  <si>
    <t xml:space="preserve">In!E118</t>
  </si>
  <si>
    <t xml:space="preserve">In!E119</t>
  </si>
  <si>
    <t xml:space="preserve">In!E120</t>
  </si>
  <si>
    <t xml:space="preserve">In!E121</t>
  </si>
  <si>
    <t xml:space="preserve">In!E122</t>
  </si>
  <si>
    <t xml:space="preserve">In!E123</t>
  </si>
  <si>
    <t xml:space="preserve">In!E124</t>
  </si>
  <si>
    <t xml:space="preserve">In!E125</t>
  </si>
  <si>
    <t xml:space="preserve">In!E126</t>
  </si>
  <si>
    <t xml:space="preserve">In!E127</t>
  </si>
  <si>
    <t xml:space="preserve">In!E128</t>
  </si>
  <si>
    <t xml:space="preserve">In!E129</t>
  </si>
  <si>
    <t xml:space="preserve">In!E130</t>
  </si>
  <si>
    <t xml:space="preserve">In!E131</t>
  </si>
  <si>
    <t xml:space="preserve">In!E132</t>
  </si>
  <si>
    <t xml:space="preserve">In!E133</t>
  </si>
  <si>
    <t xml:space="preserve">In!E134</t>
  </si>
  <si>
    <t xml:space="preserve">In!E135</t>
  </si>
  <si>
    <t xml:space="preserve">In!E136</t>
  </si>
  <si>
    <t xml:space="preserve">In!E137</t>
  </si>
  <si>
    <t xml:space="preserve">In!E138</t>
  </si>
  <si>
    <t xml:space="preserve">In!E139</t>
  </si>
  <si>
    <t xml:space="preserve">In!E140</t>
  </si>
  <si>
    <t xml:space="preserve">In!E142</t>
  </si>
  <si>
    <t xml:space="preserve">In!E143</t>
  </si>
  <si>
    <t xml:space="preserve">In!E144</t>
  </si>
  <si>
    <t xml:space="preserve">In!E145</t>
  </si>
  <si>
    <t xml:space="preserve">In!E146</t>
  </si>
  <si>
    <t xml:space="preserve">In!E147</t>
  </si>
  <si>
    <t xml:space="preserve">In!E149</t>
  </si>
  <si>
    <t xml:space="preserve">In!E150</t>
  </si>
  <si>
    <t xml:space="preserve">In!E151</t>
  </si>
  <si>
    <t xml:space="preserve">In!E152</t>
  </si>
  <si>
    <t xml:space="preserve">In!E153</t>
  </si>
  <si>
    <t xml:space="preserve">In!E154</t>
  </si>
  <si>
    <t xml:space="preserve">In!E155</t>
  </si>
  <si>
    <t xml:space="preserve">In!E156</t>
  </si>
  <si>
    <t xml:space="preserve">In!E157</t>
  </si>
  <si>
    <t xml:space="preserve">In!E158</t>
  </si>
  <si>
    <t xml:space="preserve">In!E159</t>
  </si>
  <si>
    <t xml:space="preserve">In!E160</t>
  </si>
  <si>
    <t xml:space="preserve">In!E161</t>
  </si>
  <si>
    <t xml:space="preserve">In!E162</t>
  </si>
  <si>
    <t xml:space="preserve">In!E163</t>
  </si>
  <si>
    <t xml:space="preserve">In!E165</t>
  </si>
  <si>
    <t xml:space="preserve">In!E166</t>
  </si>
  <si>
    <t xml:space="preserve">In!E167</t>
  </si>
  <si>
    <t xml:space="preserve">In!E168</t>
  </si>
  <si>
    <t xml:space="preserve">In!E169</t>
  </si>
  <si>
    <t xml:space="preserve">In!E170</t>
  </si>
  <si>
    <t xml:space="preserve">In!E172</t>
  </si>
  <si>
    <t xml:space="preserve">In!E173</t>
  </si>
  <si>
    <t xml:space="preserve">In!E174</t>
  </si>
  <si>
    <t xml:space="preserve">In!E175</t>
  </si>
  <si>
    <t xml:space="preserve">In!E176</t>
  </si>
  <si>
    <t xml:space="preserve">In!E177</t>
  </si>
  <si>
    <t xml:space="preserve">In!E178</t>
  </si>
  <si>
    <t xml:space="preserve">In!E179</t>
  </si>
  <si>
    <t xml:space="preserve">In!E181</t>
  </si>
  <si>
    <t xml:space="preserve">In!E182</t>
  </si>
  <si>
    <t xml:space="preserve">In!E183</t>
  </si>
  <si>
    <t xml:space="preserve">In!E184</t>
  </si>
  <si>
    <t xml:space="preserve">In!E185</t>
  </si>
  <si>
    <t xml:space="preserve">In!E186</t>
  </si>
  <si>
    <t xml:space="preserve">In!E187</t>
  </si>
  <si>
    <t xml:space="preserve">In!E189</t>
  </si>
  <si>
    <t xml:space="preserve">In!E190</t>
  </si>
  <si>
    <t xml:space="preserve">In!E191</t>
  </si>
  <si>
    <t xml:space="preserve">In!E192</t>
  </si>
  <si>
    <t xml:space="preserve">In!E193</t>
  </si>
  <si>
    <t xml:space="preserve">In!E194</t>
  </si>
  <si>
    <t xml:space="preserve">In!E195</t>
  </si>
  <si>
    <t xml:space="preserve">In!E196</t>
  </si>
  <si>
    <t xml:space="preserve">In!E197</t>
  </si>
  <si>
    <t xml:space="preserve">In!E198</t>
  </si>
  <si>
    <t xml:space="preserve">In!E199</t>
  </si>
  <si>
    <t xml:space="preserve">In!E200</t>
  </si>
  <si>
    <t xml:space="preserve">In!E201</t>
  </si>
  <si>
    <t xml:space="preserve">In!E202</t>
  </si>
  <si>
    <t xml:space="preserve">In!E203</t>
  </si>
  <si>
    <t xml:space="preserve">In!E204</t>
  </si>
  <si>
    <t xml:space="preserve">In!E205</t>
  </si>
  <si>
    <t xml:space="preserve">In!E206</t>
  </si>
  <si>
    <t xml:space="preserve">In!E207</t>
  </si>
  <si>
    <t xml:space="preserve">In!E208</t>
  </si>
  <si>
    <t xml:space="preserve">In!E209</t>
  </si>
  <si>
    <t xml:space="preserve">In!E210</t>
  </si>
  <si>
    <t xml:space="preserve">In!E211</t>
  </si>
  <si>
    <t xml:space="preserve">In!E212</t>
  </si>
  <si>
    <t xml:space="preserve">In!E213</t>
  </si>
  <si>
    <t xml:space="preserve">In!E214</t>
  </si>
  <si>
    <t xml:space="preserve">In!E215</t>
  </si>
  <si>
    <t xml:space="preserve">In!E216</t>
  </si>
  <si>
    <t xml:space="preserve">In!E218</t>
  </si>
  <si>
    <t xml:space="preserve">In!E219</t>
  </si>
  <si>
    <t xml:space="preserve">In!E220</t>
  </si>
  <si>
    <t xml:space="preserve">In!E221</t>
  </si>
  <si>
    <t xml:space="preserve">In!E222</t>
  </si>
  <si>
    <t xml:space="preserve">In!E223</t>
  </si>
  <si>
    <t xml:space="preserve">In!E224</t>
  </si>
  <si>
    <t xml:space="preserve">In!E225</t>
  </si>
  <si>
    <t xml:space="preserve">In!E226</t>
  </si>
  <si>
    <t xml:space="preserve">In!E227</t>
  </si>
  <si>
    <t xml:space="preserve">In!E228</t>
  </si>
  <si>
    <t xml:space="preserve">In!E229</t>
  </si>
  <si>
    <t xml:space="preserve">In!E230</t>
  </si>
  <si>
    <t xml:space="preserve">In!E231</t>
  </si>
  <si>
    <t xml:space="preserve">In!E232</t>
  </si>
  <si>
    <t xml:space="preserve">In!E233</t>
  </si>
  <si>
    <t xml:space="preserve">In!E234</t>
  </si>
  <si>
    <t xml:space="preserve">In!E235</t>
  </si>
  <si>
    <t xml:space="preserve">In!E236</t>
  </si>
  <si>
    <t xml:space="preserve">In!E237</t>
  </si>
  <si>
    <t xml:space="preserve">In!E238</t>
  </si>
  <si>
    <t xml:space="preserve">In!E239</t>
  </si>
  <si>
    <t xml:space="preserve">In!E240</t>
  </si>
  <si>
    <t xml:space="preserve">In!E241</t>
  </si>
  <si>
    <t xml:space="preserve">In!E242</t>
  </si>
  <si>
    <t xml:space="preserve">In!E243</t>
  </si>
  <si>
    <t xml:space="preserve">In!E244</t>
  </si>
  <si>
    <t xml:space="preserve">In!E245</t>
  </si>
  <si>
    <t xml:space="preserve">In!E246</t>
  </si>
  <si>
    <t xml:space="preserve">In!E247</t>
  </si>
  <si>
    <t xml:space="preserve">In!E248</t>
  </si>
  <si>
    <t xml:space="preserve">In!E249</t>
  </si>
  <si>
    <t xml:space="preserve">In!E250</t>
  </si>
  <si>
    <t xml:space="preserve">In!E251</t>
  </si>
  <si>
    <t xml:space="preserve">In!E252</t>
  </si>
  <si>
    <t xml:space="preserve">In!E253</t>
  </si>
  <si>
    <t xml:space="preserve">In!E254</t>
  </si>
  <si>
    <t xml:space="preserve">In!E255</t>
  </si>
  <si>
    <t xml:space="preserve">In!E256</t>
  </si>
  <si>
    <t xml:space="preserve">In!E257</t>
  </si>
  <si>
    <t xml:space="preserve">In!E258</t>
  </si>
  <si>
    <t xml:space="preserve">In!E259</t>
  </si>
  <si>
    <t xml:space="preserve">In!E260</t>
  </si>
  <si>
    <t xml:space="preserve">In!E261</t>
  </si>
  <si>
    <t xml:space="preserve">In!E262</t>
  </si>
  <si>
    <t xml:space="preserve">In!E263</t>
  </si>
  <si>
    <t xml:space="preserve">In!E264</t>
  </si>
  <si>
    <t xml:space="preserve">In!E265</t>
  </si>
  <si>
    <t xml:space="preserve">In!E266</t>
  </si>
  <si>
    <t xml:space="preserve">In!E267</t>
  </si>
  <si>
    <t xml:space="preserve">In!E268</t>
  </si>
  <si>
    <t xml:space="preserve">In!E269</t>
  </si>
  <si>
    <t xml:space="preserve">In!E270</t>
  </si>
  <si>
    <t xml:space="preserve">In!E271</t>
  </si>
  <si>
    <t xml:space="preserve">In!E273</t>
  </si>
  <si>
    <t xml:space="preserve">In!E274</t>
  </si>
  <si>
    <t xml:space="preserve">In!E275</t>
  </si>
  <si>
    <t xml:space="preserve">In!E276</t>
  </si>
  <si>
    <t xml:space="preserve">In!E277</t>
  </si>
  <si>
    <t xml:space="preserve">In!E278</t>
  </si>
  <si>
    <t xml:space="preserve">In!E279</t>
  </si>
  <si>
    <t xml:space="preserve">In!E280</t>
  </si>
  <si>
    <t xml:space="preserve">In!E281</t>
  </si>
  <si>
    <t xml:space="preserve">In!E283</t>
  </si>
  <si>
    <t xml:space="preserve">In!E284</t>
  </si>
  <si>
    <t xml:space="preserve">In!E285</t>
  </si>
  <si>
    <t xml:space="preserve">In!E286</t>
  </si>
  <si>
    <t xml:space="preserve">In!E287</t>
  </si>
  <si>
    <t xml:space="preserve">In!E288</t>
  </si>
  <si>
    <t xml:space="preserve">In!E289</t>
  </si>
  <si>
    <t xml:space="preserve">In!E290</t>
  </si>
  <si>
    <t xml:space="preserve">In!E291</t>
  </si>
  <si>
    <t xml:space="preserve">In!E292</t>
  </si>
  <si>
    <t xml:space="preserve">In!E293</t>
  </si>
  <si>
    <t xml:space="preserve">In!E294</t>
  </si>
  <si>
    <t xml:space="preserve">In!E295</t>
  </si>
  <si>
    <t xml:space="preserve">In!E296</t>
  </si>
  <si>
    <t xml:space="preserve">In!E297</t>
  </si>
  <si>
    <t xml:space="preserve">In!E298</t>
  </si>
  <si>
    <t xml:space="preserve">In!E299</t>
  </si>
  <si>
    <t xml:space="preserve">In!E301</t>
  </si>
  <si>
    <t xml:space="preserve">In!E303</t>
  </si>
  <si>
    <t xml:space="preserve">In!E304</t>
  </si>
  <si>
    <t xml:space="preserve">In!E305</t>
  </si>
  <si>
    <t xml:space="preserve">In!E306</t>
  </si>
  <si>
    <t xml:space="preserve">In!E307</t>
  </si>
  <si>
    <t xml:space="preserve">In!E308</t>
  </si>
  <si>
    <t xml:space="preserve">In!E309</t>
  </si>
  <si>
    <t xml:space="preserve">In!E310</t>
  </si>
  <si>
    <t xml:space="preserve">In!E311</t>
  </si>
  <si>
    <t xml:space="preserve">In!E312</t>
  </si>
  <si>
    <t xml:space="preserve">In!E313</t>
  </si>
  <si>
    <t xml:space="preserve">In!E314</t>
  </si>
  <si>
    <t xml:space="preserve">In!E315</t>
  </si>
  <si>
    <t xml:space="preserve">In!E316</t>
  </si>
  <si>
    <t xml:space="preserve">In!E317</t>
  </si>
  <si>
    <t xml:space="preserve">In!E319</t>
  </si>
  <si>
    <t xml:space="preserve">In!E320</t>
  </si>
  <si>
    <t xml:space="preserve">In!E321</t>
  </si>
  <si>
    <t xml:space="preserve">In!E322</t>
  </si>
  <si>
    <t xml:space="preserve">In!E323</t>
  </si>
  <si>
    <t xml:space="preserve">In!E324</t>
  </si>
  <si>
    <t xml:space="preserve">In!E325</t>
  </si>
  <si>
    <t xml:space="preserve">In!E326</t>
  </si>
  <si>
    <t xml:space="preserve">In!E327</t>
  </si>
  <si>
    <t xml:space="preserve">In!E328</t>
  </si>
  <si>
    <t xml:space="preserve">In!E329</t>
  </si>
  <si>
    <t xml:space="preserve">In!E330</t>
  </si>
  <si>
    <t xml:space="preserve">In!E331</t>
  </si>
  <si>
    <t xml:space="preserve">In!E332</t>
  </si>
  <si>
    <t xml:space="preserve">In!E333</t>
  </si>
  <si>
    <t xml:space="preserve">In!E334</t>
  </si>
  <si>
    <t xml:space="preserve">In!E335</t>
  </si>
  <si>
    <t xml:space="preserve">In!E336</t>
  </si>
  <si>
    <t xml:space="preserve">In!E337</t>
  </si>
  <si>
    <t xml:space="preserve">In!E338</t>
  </si>
  <si>
    <t xml:space="preserve">In!E339</t>
  </si>
  <si>
    <t xml:space="preserve">In!E340</t>
  </si>
  <si>
    <t xml:space="preserve">In!E341</t>
  </si>
  <si>
    <t xml:space="preserve">In!E342</t>
  </si>
  <si>
    <t xml:space="preserve">In!E343</t>
  </si>
  <si>
    <t xml:space="preserve">In!E344</t>
  </si>
  <si>
    <t xml:space="preserve">In!E345</t>
  </si>
  <si>
    <t xml:space="preserve">In!E346</t>
  </si>
  <si>
    <t xml:space="preserve">In!E347</t>
  </si>
  <si>
    <t xml:space="preserve">In!E348</t>
  </si>
  <si>
    <t xml:space="preserve">In!E349</t>
  </si>
  <si>
    <t xml:space="preserve">In!E350</t>
  </si>
  <si>
    <t xml:space="preserve">In!E351</t>
  </si>
  <si>
    <t xml:space="preserve">In!E352</t>
  </si>
  <si>
    <t xml:space="preserve">In!E353</t>
  </si>
  <si>
    <t xml:space="preserve">In!E354</t>
  </si>
  <si>
    <t xml:space="preserve">In!E355</t>
  </si>
  <si>
    <t xml:space="preserve">In!E357</t>
  </si>
  <si>
    <t xml:space="preserve">In!E358</t>
  </si>
  <si>
    <t xml:space="preserve">In!E359</t>
  </si>
  <si>
    <t xml:space="preserve">In!E360</t>
  </si>
  <si>
    <t xml:space="preserve">In!E361</t>
  </si>
  <si>
    <t xml:space="preserve">In!E362</t>
  </si>
  <si>
    <t xml:space="preserve">In!E363</t>
  </si>
  <si>
    <t xml:space="preserve">In!E364</t>
  </si>
  <si>
    <t xml:space="preserve">In!E365</t>
  </si>
  <si>
    <t xml:space="preserve">In!E366</t>
  </si>
  <si>
    <t xml:space="preserve">In!E367</t>
  </si>
  <si>
    <t xml:space="preserve">In!E368</t>
  </si>
  <si>
    <t xml:space="preserve">In!E369</t>
  </si>
  <si>
    <t xml:space="preserve">In!E370</t>
  </si>
  <si>
    <t xml:space="preserve">In!E371</t>
  </si>
  <si>
    <t xml:space="preserve">In!E372</t>
  </si>
  <si>
    <t xml:space="preserve">In!E373</t>
  </si>
  <si>
    <t xml:space="preserve">In!E374</t>
  </si>
  <si>
    <t xml:space="preserve">In!E375</t>
  </si>
  <si>
    <t xml:space="preserve">In!E376</t>
  </si>
  <si>
    <t xml:space="preserve">In!E378</t>
  </si>
  <si>
    <t xml:space="preserve">In!E379</t>
  </si>
  <si>
    <t xml:space="preserve">In!E380</t>
  </si>
  <si>
    <t xml:space="preserve">In!E381</t>
  </si>
  <si>
    <t xml:space="preserve">In!E382</t>
  </si>
  <si>
    <t xml:space="preserve">In!E383</t>
  </si>
  <si>
    <t xml:space="preserve">In!E384</t>
  </si>
  <si>
    <t xml:space="preserve">In!E385</t>
  </si>
  <si>
    <t xml:space="preserve">In!E386</t>
  </si>
  <si>
    <t xml:space="preserve">In!E387</t>
  </si>
  <si>
    <t xml:space="preserve">In!E388</t>
  </si>
  <si>
    <t xml:space="preserve">In!E389</t>
  </si>
  <si>
    <t xml:space="preserve">In!E390</t>
  </si>
  <si>
    <t xml:space="preserve">In!E391</t>
  </si>
  <si>
    <t xml:space="preserve">In!E392</t>
  </si>
  <si>
    <t xml:space="preserve">In!E393</t>
  </si>
  <si>
    <t xml:space="preserve">In!E394</t>
  </si>
  <si>
    <t xml:space="preserve">In!E395</t>
  </si>
  <si>
    <t xml:space="preserve">In!E396</t>
  </si>
  <si>
    <t xml:space="preserve">In!E397</t>
  </si>
  <si>
    <t xml:space="preserve">In!E398</t>
  </si>
  <si>
    <t xml:space="preserve">In!E399</t>
  </si>
  <si>
    <t xml:space="preserve">In!E400</t>
  </si>
  <si>
    <t xml:space="preserve">In!E401</t>
  </si>
  <si>
    <t xml:space="preserve">In!E402</t>
  </si>
  <si>
    <t xml:space="preserve">In!E403</t>
  </si>
  <si>
    <t xml:space="preserve">In!E404</t>
  </si>
  <si>
    <t xml:space="preserve">In!E405</t>
  </si>
  <si>
    <t xml:space="preserve">In!E407</t>
  </si>
  <si>
    <t xml:space="preserve">In!E408</t>
  </si>
  <si>
    <t xml:space="preserve">In!E409</t>
  </si>
  <si>
    <t xml:space="preserve">In!E410</t>
  </si>
  <si>
    <t xml:space="preserve">In!E411</t>
  </si>
  <si>
    <t xml:space="preserve">In!E412</t>
  </si>
  <si>
    <t xml:space="preserve">In!E413</t>
  </si>
  <si>
    <t xml:space="preserve">In!E414</t>
  </si>
  <si>
    <t xml:space="preserve">In!E415</t>
  </si>
  <si>
    <t xml:space="preserve">In!E416</t>
  </si>
  <si>
    <t xml:space="preserve">In!E417</t>
  </si>
  <si>
    <t xml:space="preserve">In!E418</t>
  </si>
  <si>
    <t xml:space="preserve">In!E419</t>
  </si>
  <si>
    <t xml:space="preserve">In!E420</t>
  </si>
  <si>
    <t xml:space="preserve">In!E421</t>
  </si>
  <si>
    <t xml:space="preserve">In!E422</t>
  </si>
  <si>
    <t xml:space="preserve">In!E423</t>
  </si>
  <si>
    <t xml:space="preserve">In!E424</t>
  </si>
  <si>
    <t xml:space="preserve">In!E425</t>
  </si>
  <si>
    <t xml:space="preserve">In!E426</t>
  </si>
  <si>
    <t xml:space="preserve">In!E427</t>
  </si>
  <si>
    <t xml:space="preserve">In!E428</t>
  </si>
  <si>
    <t xml:space="preserve">In!E429</t>
  </si>
  <si>
    <t xml:space="preserve">In!E430</t>
  </si>
  <si>
    <t xml:space="preserve">In!E432</t>
  </si>
  <si>
    <t xml:space="preserve">In!E433</t>
  </si>
  <si>
    <t xml:space="preserve">In!E434</t>
  </si>
  <si>
    <t xml:space="preserve">In!E435</t>
  </si>
  <si>
    <t xml:space="preserve">In!E436</t>
  </si>
  <si>
    <t xml:space="preserve">In!E437</t>
  </si>
  <si>
    <t xml:space="preserve">In!E438</t>
  </si>
  <si>
    <t xml:space="preserve">In!E439</t>
  </si>
  <si>
    <t xml:space="preserve">In!E440</t>
  </si>
  <si>
    <t xml:space="preserve">In!E441</t>
  </si>
  <si>
    <t xml:space="preserve">In!E442</t>
  </si>
  <si>
    <t xml:space="preserve">In!E443</t>
  </si>
  <si>
    <t xml:space="preserve">In!E444</t>
  </si>
  <si>
    <t xml:space="preserve">In!E445</t>
  </si>
  <si>
    <t xml:space="preserve">In!E446</t>
  </si>
  <si>
    <t xml:space="preserve">In!E447</t>
  </si>
  <si>
    <t xml:space="preserve">In!E449</t>
  </si>
  <si>
    <t xml:space="preserve">In!E450</t>
  </si>
  <si>
    <t xml:space="preserve">In!E451</t>
  </si>
  <si>
    <t xml:space="preserve">In!E453</t>
  </si>
  <si>
    <t xml:space="preserve">In!E454</t>
  </si>
  <si>
    <t xml:space="preserve">In!E455</t>
  </si>
  <si>
    <t xml:space="preserve">In!E456</t>
  </si>
  <si>
    <t xml:space="preserve">In!E457</t>
  </si>
  <si>
    <t xml:space="preserve">In!E458</t>
  </si>
  <si>
    <t xml:space="preserve">In!E459</t>
  </si>
  <si>
    <t xml:space="preserve">In!E460</t>
  </si>
  <si>
    <t xml:space="preserve">In!E461</t>
  </si>
  <si>
    <t xml:space="preserve">In!E462</t>
  </si>
  <si>
    <t xml:space="preserve">In!E463</t>
  </si>
  <si>
    <t xml:space="preserve">In!E464</t>
  </si>
  <si>
    <t xml:space="preserve">In!E465</t>
  </si>
  <si>
    <t xml:space="preserve">In!E466</t>
  </si>
  <si>
    <t xml:space="preserve">In!E467</t>
  </si>
  <si>
    <t xml:space="preserve">In!E468</t>
  </si>
  <si>
    <t xml:space="preserve">In!E469</t>
  </si>
  <si>
    <t xml:space="preserve">In!E470</t>
  </si>
  <si>
    <t xml:space="preserve">In!E471</t>
  </si>
  <si>
    <t xml:space="preserve">In!E472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</si>
  <si>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推導（日曆年；欄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</si>
  <si>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SIF_HBM_DemandEB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</si>
  <si>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需求（加速器裝載，情境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</si>
  <si>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Mkt!C13:G13</t>
  </si>
  <si>
    <t xml:space="preserve">SIF_HBM_DemandGrossEB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</si>
  <si>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</si>
  <si>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Mkt!C14:G14</t>
  </si>
  <si>
    <t xml:space="preserve">SIF_Units_Total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</si>
  <si>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</si>
  <si>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Mkt!C15:G15</t>
  </si>
  <si>
    <t xml:space="preserve">SIF_HBM_GBperUnit</t>
  </si>
  <si>
    <t xml:space="preserve">Mkt!C16:G16</t>
  </si>
  <si>
    <t xml:space="preserve">SIF_HBM_SupplyEB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</si>
  <si>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位元供給（三情境相同）</t>
    </r>
  </si>
  <si>
    <t xml:space="preserve">Mkt!C17:G17</t>
  </si>
  <si>
    <t xml:space="preserve">SIF_UnitsCoef_A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</si>
  <si>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</si>
  <si>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Mkt!C18:G18</t>
  </si>
  <si>
    <t xml:space="preserve">SIF_HBM_ShipEB_A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</si>
  <si>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</si>
  <si>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Mkt!C24:G24</t>
  </si>
  <si>
    <t xml:space="preserve">SIF_HBM_GapEB_A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</si>
  <si>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</si>
  <si>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Mkt!C27:G27</t>
  </si>
  <si>
    <t xml:space="preserve">SIF_HBM_Price_A</t>
  </si>
  <si>
    <t xml:space="preserve">Mkt!C30:G30</t>
  </si>
  <si>
    <t xml:space="preserve">SIF_HBM_Mkt_A</t>
  </si>
  <si>
    <t xml:space="preserve">Mkt!C33:G33</t>
  </si>
  <si>
    <t xml:space="preserve">SIF_UnitsCoef_B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</si>
  <si>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</si>
  <si>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Mkt!C19:G19</t>
  </si>
  <si>
    <t xml:space="preserve">SIF_HBM_ShipEB_B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</si>
  <si>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</si>
  <si>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Mkt!C25:G25</t>
  </si>
  <si>
    <t xml:space="preserve">SIF_HBM_GapEB_B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</si>
  <si>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</si>
  <si>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Mkt!C28:G28</t>
  </si>
  <si>
    <t xml:space="preserve">SIF_HBM_Price_B</t>
  </si>
  <si>
    <t xml:space="preserve">Mkt!C31:G31</t>
  </si>
  <si>
    <t xml:space="preserve">SIF_HBM_Mkt_B</t>
  </si>
  <si>
    <t xml:space="preserve">Mkt!C34:G34</t>
  </si>
  <si>
    <t xml:space="preserve">SIF_UnitsCoef_C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</si>
  <si>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</si>
  <si>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Mkt!C20:G20</t>
  </si>
  <si>
    <t xml:space="preserve">SIF_HBM_ShipEB_C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</si>
  <si>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</si>
  <si>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Mkt!C26:G26</t>
  </si>
  <si>
    <t xml:space="preserve">SIF_HBM_GapEB_C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</si>
  <si>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</si>
  <si>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Mkt!C29:G29</t>
  </si>
  <si>
    <t xml:space="preserve">SIF_HBM_Price_C</t>
  </si>
  <si>
    <t xml:space="preserve">Mkt!C32:G32</t>
  </si>
  <si>
    <t xml:space="preserve">SIF_HBM_Mkt_C</t>
  </si>
  <si>
    <t xml:space="preserve">Mkt!C35:G35</t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</si>
  <si>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平台別顆數（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空白）</t>
    </r>
  </si>
  <si>
    <t xml:space="preserve">SIF_UnitsPlat_bw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</si>
  <si>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</si>
  <si>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Units!C4:F4</t>
  </si>
  <si>
    <t xml:space="preserve">SIF_UnitsPlat_rb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</si>
  <si>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</si>
  <si>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Units!C5:F5</t>
  </si>
  <si>
    <t xml:space="preserve">SIF_UnitsPlat_ru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</si>
  <si>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</si>
  <si>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Units!C6:F6</t>
  </si>
  <si>
    <t xml:space="preserve">SIF_UnitsPlat_hp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</si>
  <si>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</si>
  <si>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Units!C7:F7</t>
  </si>
  <si>
    <t xml:space="preserve">SIF_UnitsPlat_amd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</si>
  <si>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</si>
  <si>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Units!C8:F8</t>
  </si>
  <si>
    <t xml:space="preserve">SIF_UnitsPlat_tpu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</si>
  <si>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</si>
  <si>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Units!C9:F9</t>
  </si>
  <si>
    <t xml:space="preserve">SIF_UnitsPlat_trn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</si>
  <si>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</si>
  <si>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Units!C10:F10</t>
  </si>
  <si>
    <t xml:space="preserve">SIF_UnitsPlat_oth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</si>
  <si>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</si>
  <si>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Units!C11:F11</t>
  </si>
  <si>
    <t xml:space="preserve">SIF_UnitsPlat_Total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</si>
  <si>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</si>
  <si>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Units!C12:F12</t>
  </si>
  <si>
    <t xml:space="preserve">SIF_UnitsPlat_Total_A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</si>
  <si>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</si>
  <si>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Units!C13:F13</t>
  </si>
  <si>
    <t xml:space="preserve">SIF_UnitsPlat_Total_B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</si>
  <si>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</si>
  <si>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Units!C14:F14</t>
  </si>
  <si>
    <t xml:space="preserve">SIF_UnitsPlat_Total_C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</si>
  <si>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</si>
  <si>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Units!C15:F15</t>
  </si>
  <si>
    <t xml:space="preserve">SIF_UnitsGrowth29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</si>
  <si>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；平台別成長率加權）</t>
    </r>
  </si>
  <si>
    <t xml:space="preserve">Units!G12</t>
  </si>
  <si>
    <r>
      <rPr>
        <b val="true"/>
        <sz val="11"/>
        <rFont val="Cambria"/>
        <family val="0"/>
        <charset val="1"/>
      </rPr>
      <t xml:space="preserve">B3. </t>
    </r>
    <r>
      <rPr>
        <b val="true"/>
        <sz val="11"/>
        <rFont val="Noto Sans CJK SC"/>
        <family val="2"/>
      </rPr>
      <t xml:space="preserve">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ASIC 2026–2028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 2027–2029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</si>
  <si>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SIF_ASICShareSum_tpu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</si>
  <si>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</si>
  <si>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ShareTbl!D7:F7</t>
  </si>
  <si>
    <t xml:space="preserve">SIF_ASICShareSum_oth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</si>
  <si>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</si>
  <si>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ShareTbl!D13:F13</t>
  </si>
  <si>
    <t xml:space="preserve">SIF_ASICShareSum_trnA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</si>
  <si>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</si>
  <si>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ShareTbl!D18:F18</t>
  </si>
  <si>
    <t xml:space="preserve">SIF_ASICShareSum_trnB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</si>
  <si>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</si>
  <si>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ShareTbl!D23:F23</t>
  </si>
  <si>
    <t xml:space="preserve">SIF_ASICShareSum_trnC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</si>
  <si>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</si>
  <si>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ShareTbl!D28:F28</t>
  </si>
  <si>
    <t xml:space="preserve">SIF_CPOShareSum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</si>
  <si>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 光學金額份額合計</t>
    </r>
  </si>
  <si>
    <t xml:space="preserve">ShareTbl!D36:F36</t>
  </si>
  <si>
    <t xml:space="preserve">SIF_ABFShareSum_nv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</si>
  <si>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</si>
  <si>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ShareTbl!D45:G45</t>
  </si>
  <si>
    <t xml:space="preserve">SIF_ABFShareSum_ot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</si>
  <si>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</si>
  <si>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ShareTbl!D52:G52</t>
  </si>
  <si>
    <r>
      <rPr>
        <b val="true"/>
        <sz val="11"/>
        <rFont val="Cambria"/>
        <family val="0"/>
        <charset val="1"/>
      </rPr>
      <t xml:space="preserve">B4. AI IT </t>
    </r>
    <r>
      <rPr>
        <b val="true"/>
        <sz val="11"/>
        <rFont val="Noto Sans CJK SC"/>
        <family val="2"/>
      </rPr>
      <t xml:space="preserve">資本支出與部署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Deploy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</si>
  <si>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SIF_AIITCapex_A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</si>
  <si>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</si>
  <si>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Deploy!C5:F5</t>
  </si>
  <si>
    <t xml:space="preserve">SIF_AIITCapex_B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</si>
  <si>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</si>
  <si>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Deploy!C6:F6</t>
  </si>
  <si>
    <t xml:space="preserve">SIF_AIITCapex_C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</si>
  <si>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</si>
  <si>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Deploy!C7:F7</t>
  </si>
  <si>
    <t xml:space="preserve">SIF_ITCapexPerGW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</si>
  <si>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混合）</t>
    </r>
  </si>
  <si>
    <t xml:space="preserve">Deploy!C8:F8</t>
  </si>
  <si>
    <t xml:space="preserve">SIF_DeployGW_A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</si>
  <si>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</si>
  <si>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Deploy!C9:F9</t>
  </si>
  <si>
    <t xml:space="preserve">SIF_DeployGW_B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</si>
  <si>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</si>
  <si>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Deploy!C10:F10</t>
  </si>
  <si>
    <t xml:space="preserve">SIF_DeployGW_C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</si>
  <si>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</si>
  <si>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Deploy!C11:F11</t>
  </si>
  <si>
    <r>
      <rPr>
        <b val="true"/>
        <sz val="11"/>
        <rFont val="Cambria"/>
        <family val="0"/>
        <charset val="1"/>
      </rPr>
      <t xml:space="preserve">B5. ABF </t>
    </r>
    <r>
      <rPr>
        <b val="true"/>
        <sz val="11"/>
        <rFont val="Noto Sans CJK SC"/>
        <family val="2"/>
      </rPr>
      <t xml:space="preserve">供需（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</si>
  <si>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SIF_ABFDemIdx_A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</si>
  <si>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</si>
  <si>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ABF!C19:F19</t>
  </si>
  <si>
    <t xml:space="preserve">SIF_ABFDemIdx_B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</si>
  <si>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</si>
  <si>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ABF!C20:F20</t>
  </si>
  <si>
    <t xml:space="preserve">SIF_ABFDemIdx_C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</si>
  <si>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</si>
  <si>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ABF!C21:F21</t>
  </si>
  <si>
    <t xml:space="preserve">SIF_ABFSubCapIdx</t>
  </si>
  <si>
    <r>
      <rPr>
        <sz val="11"/>
        <color theme="1"/>
        <rFont val="Noto Sans CJK SC"/>
        <family val="2"/>
      </rPr>
      <t xml:space="preserve">載板產能指數（加權；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</si>
  <si>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ABF!C34:F34</t>
  </si>
  <si>
    <t xml:space="preserve">SIF_ABFFilmIdx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</si>
  <si>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</si>
  <si>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ABF!C35:F35</t>
  </si>
  <si>
    <t xml:space="preserve">SIF_ABFSupIdx</t>
  </si>
  <si>
    <t xml:space="preserve">有效供給指數</t>
  </si>
  <si>
    <t xml:space="preserve">ABF!C36:F36</t>
  </si>
  <si>
    <t xml:space="preserve">SIF_ABFGap_A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</si>
  <si>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</si>
  <si>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ABF!C39:F39</t>
  </si>
  <si>
    <t xml:space="preserve">SIF_ABFGap_B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</si>
  <si>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</si>
  <si>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ABF!C40:F40</t>
  </si>
  <si>
    <t xml:space="preserve">SIF_ABFGap_C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</si>
  <si>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</si>
  <si>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ABF!C41:F41</t>
  </si>
  <si>
    <r>
      <rPr>
        <b val="true"/>
        <sz val="11"/>
        <rFont val="Cambria"/>
        <family val="0"/>
        <charset val="1"/>
      </rPr>
      <t xml:space="preserve">B6.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PGW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</si>
  <si>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SIF_PCBperGW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</si>
  <si>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</si>
  <si>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PGW!C8:F8</t>
  </si>
  <si>
    <t xml:space="preserve">SIF_CCLperGW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</si>
  <si>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</si>
  <si>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PGW!C17:F17</t>
  </si>
  <si>
    <t xml:space="preserve">SIF_PCBMkt_A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</si>
  <si>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</si>
  <si>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PGW!C9:F9</t>
  </si>
  <si>
    <t xml:space="preserve">SIF_PCBMkt_B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</si>
  <si>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</si>
  <si>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PGW!C10:F10</t>
  </si>
  <si>
    <t xml:space="preserve">SIF_PCBMkt_C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</si>
  <si>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</si>
  <si>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PGW!C11:F11</t>
  </si>
  <si>
    <t xml:space="preserve">SIF_CCLMkt_A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</si>
  <si>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</si>
  <si>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PGW!C18:F18</t>
  </si>
  <si>
    <t xml:space="preserve">SIF_CCLMkt_B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</si>
  <si>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</si>
  <si>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PGW!C19:F19</t>
  </si>
  <si>
    <t xml:space="preserve">SIF_CCLMkt_C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</si>
  <si>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</si>
  <si>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PGW!C20:F20</t>
  </si>
  <si>
    <r>
      <rPr>
        <b val="true"/>
        <sz val="11"/>
        <rFont val="Cambria"/>
        <family val="0"/>
        <charset val="1"/>
      </rPr>
      <t xml:space="preserve">B7. </t>
    </r>
    <r>
      <rPr>
        <b val="true"/>
        <sz val="11"/>
        <rFont val="Noto Sans CJK SC"/>
        <family val="2"/>
      </rPr>
      <t xml:space="preserve">機架層市場（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</si>
  <si>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SIF_ODMValPerGW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</si>
  <si>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</si>
  <si>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</si>
  <si>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t xml:space="preserve">Rack!C5:F5</t>
  </si>
  <si>
    <t xml:space="preserve">SIF_AsmMkt_A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</si>
  <si>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</si>
  <si>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Rack!C6:F6</t>
  </si>
  <si>
    <t xml:space="preserve">SIF_AsmMkt_B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</si>
  <si>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</si>
  <si>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Rack!C7:F7</t>
  </si>
  <si>
    <t xml:space="preserve">SIF_AsmMkt_C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</si>
  <si>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</si>
  <si>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Rack!C8:F8</t>
  </si>
  <si>
    <t xml:space="preserve">SIF_SysValGB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</si>
  <si>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</t>
    </r>
  </si>
  <si>
    <t xml:space="preserve">Rack!C11:F11</t>
  </si>
  <si>
    <t xml:space="preserve">SIF_SysValVR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</si>
  <si>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</si>
  <si>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Rack!C12:F12</t>
  </si>
  <si>
    <t xml:space="preserve">SIF_SysUnitsGB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</si>
  <si>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</si>
  <si>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Rack!C13:F13</t>
  </si>
  <si>
    <t xml:space="preserve">SIF_SysUnitsVR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</si>
  <si>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</si>
  <si>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Rack!C14:F14</t>
  </si>
  <si>
    <t xml:space="preserve">SIF_GPUSysMkt_A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</si>
  <si>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</si>
  <si>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Rack!C15:F15</t>
  </si>
  <si>
    <t xml:space="preserve">SIF_GPUSysMkt_B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</si>
  <si>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</si>
  <si>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Rack!C16:F16</t>
  </si>
  <si>
    <t xml:space="preserve">SIF_GPUSysMkt_C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</si>
  <si>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</si>
  <si>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Rack!C17:F17</t>
  </si>
  <si>
    <t xml:space="preserve">SIF_PwrMkt_A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</si>
  <si>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</si>
  <si>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Rack!C21:F21</t>
  </si>
  <si>
    <t xml:space="preserve">SIF_PwrMkt_B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</si>
  <si>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</si>
  <si>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Rack!C22:F22</t>
  </si>
  <si>
    <t xml:space="preserve">SIF_PwrMkt_C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</si>
  <si>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</si>
  <si>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Rack!C23:F23</t>
  </si>
  <si>
    <t xml:space="preserve">SIF_LiqPerGW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</si>
  <si>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液冷內容（機架內＋分歧管）</t>
    </r>
  </si>
  <si>
    <t xml:space="preserve">Rack!C28:F28</t>
  </si>
  <si>
    <t xml:space="preserve">SIF_LiqPen_A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</si>
  <si>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</si>
  <si>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Rack!C29:F29</t>
  </si>
  <si>
    <t xml:space="preserve">SIF_LiqPen_B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</si>
  <si>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</si>
  <si>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Rack!C30:F30</t>
  </si>
  <si>
    <t xml:space="preserve">SIF_LiqPen_C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</si>
  <si>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</si>
  <si>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Rack!C31:F31</t>
  </si>
  <si>
    <t xml:space="preserve">SIF_LiqMkt_A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</si>
  <si>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</si>
  <si>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Rack!C32:F32</t>
  </si>
  <si>
    <t xml:space="preserve">SIF_LiqMkt_B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</si>
  <si>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</si>
  <si>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Rack!C33:F33</t>
  </si>
  <si>
    <t xml:space="preserve">SIF_LiqMkt_C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</si>
  <si>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</si>
  <si>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Rack!C34:F34</t>
  </si>
  <si>
    <r>
      <rPr>
        <b val="true"/>
        <sz val="11"/>
        <rFont val="Cambria"/>
        <family val="0"/>
        <charset val="1"/>
      </rPr>
      <t xml:space="preserve">B9. AI </t>
    </r>
    <r>
      <rPr>
        <b val="true"/>
        <sz val="11"/>
        <rFont val="Noto Sans CJK SC"/>
        <family val="2"/>
      </rPr>
      <t xml:space="preserve">液冷份額合計（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</si>
  <si>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SIF_LiqShareSum_A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</si>
  <si>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</si>
  <si>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ShareTbl!D75:G75</t>
  </si>
  <si>
    <t xml:space="preserve">SIF_LiqShareSum_B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</si>
  <si>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</si>
  <si>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ShareTbl!D81:G81</t>
  </si>
  <si>
    <t xml:space="preserve">SIF_LiqShareSum_C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</si>
  <si>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</si>
  <si>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ShareTbl!D87:G87</t>
  </si>
  <si>
    <r>
      <rPr>
        <b val="true"/>
        <sz val="11"/>
        <rFont val="Cambria"/>
        <family val="0"/>
        <charset val="1"/>
      </rPr>
      <t xml:space="preserve">B8. AI </t>
    </r>
    <r>
      <rPr>
        <b val="true"/>
        <sz val="11"/>
        <rFont val="Noto Sans CJK SC"/>
        <family val="2"/>
      </rPr>
      <t xml:space="preserve">電源份額合計（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</si>
  <si>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SIF_PwrShareSum_A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</si>
  <si>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</si>
  <si>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ShareTbl!D58:G58</t>
  </si>
  <si>
    <t xml:space="preserve">SIF_PwrShareSum_B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</si>
  <si>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</si>
  <si>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ShareTbl!D63:G63</t>
  </si>
  <si>
    <t xml:space="preserve">SIF_PwrShareSum_C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</si>
  <si>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</si>
  <si>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ShareTbl!D68:G68</t>
  </si>
  <si>
    <r>
      <rPr>
        <b val="true"/>
        <sz val="11"/>
        <rFont val="Cambria"/>
        <family val="0"/>
        <charset val="1"/>
      </rPr>
      <t xml:space="preserve">C. Tokenomics </t>
    </r>
    <r>
      <rPr>
        <b val="true"/>
        <sz val="11"/>
        <rFont val="Noto Sans CJK SC"/>
        <family val="2"/>
      </rPr>
      <t xml:space="preserve">鏡像（只讀；權威在算力收支；本庫與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一致由 </t>
    </r>
    <r>
      <rPr>
        <b val="true"/>
        <sz val="11"/>
        <rFont val="Cambria"/>
        <family val="0"/>
        <charset val="1"/>
      </rPr>
      <t xml:space="preserve">Checks K3 </t>
    </r>
    <r>
      <rPr>
        <b val="true"/>
        <sz val="11"/>
        <rFont val="Noto Sans CJK SC"/>
        <family val="2"/>
      </rPr>
      <t xml:space="preserve">檢查）</t>
    </r>
  </si>
  <si>
    <t xml:space="preserve">SIF_TK_RacksPerGW_H100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</si>
  <si>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</si>
  <si>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TK_In!E5</t>
  </si>
  <si>
    <t xml:space="preserve">SIF_TK_RacksPerGW_GB200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</si>
  <si>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</si>
  <si>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TK_In!E6</t>
  </si>
  <si>
    <t xml:space="preserve">SIF_TK_RacksPerGW_GB300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</si>
  <si>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</si>
  <si>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TK_In!E7</t>
  </si>
  <si>
    <t xml:space="preserve">SIF_TK_RacksPerGW_VR200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</si>
  <si>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</si>
  <si>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TK_In!E8</t>
  </si>
  <si>
    <t xml:space="preserve">SIF_TK_RacksPerGW_RU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</si>
  <si>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</si>
  <si>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TK_In!E9</t>
  </si>
  <si>
    <t xml:space="preserve">SIF_TK_GPUsPerGW_H100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</si>
  <si>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</si>
  <si>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TK_In!E10</t>
  </si>
  <si>
    <t xml:space="preserve">SIF_TK_GPUsPerGW_GB200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</si>
  <si>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</si>
  <si>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TK_In!E11</t>
  </si>
  <si>
    <t xml:space="preserve">SIF_TK_GPUsPerGW_GB300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</si>
  <si>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</si>
  <si>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TK_In!E12</t>
  </si>
  <si>
    <t xml:space="preserve">SIF_TK_GPUsPerGW_VR200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</si>
  <si>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</si>
  <si>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TK_In!E13</t>
  </si>
  <si>
    <t xml:space="preserve">SIF_TK_GPUsPerGW_RU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</si>
  <si>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</si>
  <si>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TK_In!E14</t>
  </si>
  <si>
    <t xml:space="preserve">SIF_TK_CapexIT_H100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</si>
  <si>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</si>
  <si>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TK_In!E15</t>
  </si>
  <si>
    <t xml:space="preserve">SIF_TK_CapexIT_GB200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</si>
  <si>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</si>
  <si>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TK_In!E16</t>
  </si>
  <si>
    <t xml:space="preserve">SIF_TK_CapexIT_GB300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</si>
  <si>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</si>
  <si>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TK_In!E17</t>
  </si>
  <si>
    <t xml:space="preserve">SIF_TK_CapexIT_VR200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</si>
  <si>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</si>
  <si>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TK_In!E18</t>
  </si>
  <si>
    <t xml:space="preserve">SIF_TK_CapexIT_RU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</si>
  <si>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</si>
  <si>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TK_In!E19</t>
  </si>
  <si>
    <t xml:space="preserve">SIF_TK_CapexFacility_H100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</si>
  <si>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</si>
  <si>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TK_In!E20</t>
  </si>
  <si>
    <t xml:space="preserve">SIF_TK_CapexFacility_GB200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</si>
  <si>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</si>
  <si>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TK_In!E21</t>
  </si>
  <si>
    <t xml:space="preserve">SIF_TK_CapexFacility_GB300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</si>
  <si>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</si>
  <si>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TK_In!E22</t>
  </si>
  <si>
    <t xml:space="preserve">SIF_TK_CapexFacility_VR200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</si>
  <si>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</si>
  <si>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TK_In!E23</t>
  </si>
  <si>
    <t xml:space="preserve">SIF_TK_CapexFacility_RU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</si>
  <si>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</si>
  <si>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TK_In!E24</t>
  </si>
  <si>
    <t xml:space="preserve">SIF_TK_CapexTotal_H100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</si>
  <si>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</si>
  <si>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TK_In!E25</t>
  </si>
  <si>
    <t xml:space="preserve">SIF_TK_CapexTotal_GB200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</si>
  <si>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</si>
  <si>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TK_In!E26</t>
  </si>
  <si>
    <t xml:space="preserve">SIF_TK_CapexTotal_GB300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</si>
  <si>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</si>
  <si>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TK_In!E27</t>
  </si>
  <si>
    <t xml:space="preserve">SIF_TK_CapexTotal_VR200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</si>
  <si>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</si>
  <si>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TK_In!E28</t>
  </si>
  <si>
    <t xml:space="preserve">SIF_TK_CapexTotal_RU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</si>
  <si>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</si>
  <si>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TK_In!E29</t>
  </si>
  <si>
    <t xml:space="preserve">SIF_TK_RackPrice_H100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</si>
  <si>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</si>
  <si>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TK_In!E30</t>
  </si>
  <si>
    <t xml:space="preserve">SIF_TK_RackPrice_GB200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</si>
  <si>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</si>
  <si>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TK_In!E31</t>
  </si>
  <si>
    <t xml:space="preserve">SIF_TK_RackPrice_GB300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</si>
  <si>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</si>
  <si>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TK_In!E32</t>
  </si>
  <si>
    <t xml:space="preserve">SIF_TK_RackPrice_VR200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</si>
  <si>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</si>
  <si>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TK_In!E33</t>
  </si>
  <si>
    <t xml:space="preserve">SIF_TK_RackPrice_RU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</si>
  <si>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</si>
  <si>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TK_In!E34</t>
  </si>
  <si>
    <t xml:space="preserve">SIF_TK_ScaleOutShare_H100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</si>
  <si>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</si>
  <si>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TK_In!E35</t>
  </si>
  <si>
    <t xml:space="preserve">SIF_TK_ScaleOutShare_GB200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</si>
  <si>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</si>
  <si>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TK_In!E36</t>
  </si>
  <si>
    <t xml:space="preserve">SIF_TK_ScaleOutShare_GB300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</si>
  <si>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</si>
  <si>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TK_In!E37</t>
  </si>
  <si>
    <t xml:space="preserve">SIF_TK_ScaleOutShare_VR200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</si>
  <si>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</si>
  <si>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TK_In!E38</t>
  </si>
  <si>
    <t xml:space="preserve">SIF_TK_ScaleOutShare_RU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</si>
  <si>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</si>
  <si>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TK_In!E39</t>
  </si>
  <si>
    <t xml:space="preserve">SIF_TK_StoragePerGPU_H100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</si>
  <si>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</si>
  <si>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TK_In!E40</t>
  </si>
  <si>
    <t xml:space="preserve">SIF_TK_StoragePerGPU_GB200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</si>
  <si>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</si>
  <si>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TK_In!E41</t>
  </si>
  <si>
    <t xml:space="preserve">SIF_TK_StoragePerGPU_GB300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</si>
  <si>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</si>
  <si>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TK_In!E42</t>
  </si>
  <si>
    <t xml:space="preserve">SIF_TK_StoragePerGPU_VR200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</si>
  <si>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</si>
  <si>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TK_In!E43</t>
  </si>
  <si>
    <t xml:space="preserve">SIF_TK_StoragePerGPU_RU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</si>
  <si>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</si>
  <si>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TK_In!E44</t>
  </si>
  <si>
    <t xml:space="preserve">SIF_TK_NonNV_Out_AMD</t>
  </si>
  <si>
    <t xml:space="preserve">TK_In!E45</t>
  </si>
  <si>
    <t xml:space="preserve">SIF_TK_NonNV_Out_TPU</t>
  </si>
  <si>
    <t xml:space="preserve">TK_In!E46</t>
  </si>
  <si>
    <t xml:space="preserve">SIF_TK_NonNV_Out_Trn</t>
  </si>
  <si>
    <t xml:space="preserve">TK_In!E47</t>
  </si>
  <si>
    <t xml:space="preserve">SIF_TK_NonNV_Out_CS</t>
  </si>
  <si>
    <t xml:space="preserve">TK_In!E48</t>
  </si>
  <si>
    <t xml:space="preserve">SIF_TK_NonNV_Out_OAI</t>
  </si>
  <si>
    <t xml:space="preserve">TK_In!E49</t>
  </si>
  <si>
    <t xml:space="preserve">SIF_TK_NonNV_Out_Ascend</t>
  </si>
  <si>
    <t xml:space="preserve">TK_In!E50</t>
  </si>
  <si>
    <t xml:space="preserve">SIF_TK_NonNV_Out_Maia</t>
  </si>
  <si>
    <t xml:space="preserve">TK_In!E51</t>
  </si>
  <si>
    <t xml:space="preserve">SIF_TK_NonNV_Hold_AMD</t>
  </si>
  <si>
    <t xml:space="preserve">TK_In!E52</t>
  </si>
  <si>
    <t xml:space="preserve">SIF_TK_NonNV_Hold_TPU</t>
  </si>
  <si>
    <t xml:space="preserve">TK_In!E53</t>
  </si>
  <si>
    <t xml:space="preserve">SIF_TK_NonNV_Hold_Trn</t>
  </si>
  <si>
    <t xml:space="preserve">TK_In!E54</t>
  </si>
  <si>
    <t xml:space="preserve">SIF_TK_NonNV_Hold_CS</t>
  </si>
  <si>
    <t xml:space="preserve">TK_In!E55</t>
  </si>
  <si>
    <t xml:space="preserve">SIF_TK_NonNV_Hold_OAI</t>
  </si>
  <si>
    <t xml:space="preserve">TK_In!E56</t>
  </si>
  <si>
    <t xml:space="preserve">SIF_TK_NonNV_Hold_Ascend</t>
  </si>
  <si>
    <t xml:space="preserve">TK_In!E57</t>
  </si>
  <si>
    <t xml:space="preserve">SIF_TK_NonNV_Hold_Maia</t>
  </si>
  <si>
    <t xml:space="preserve">TK_In!E58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</si>
  <si>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交叉檢查與治理（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</si>
  <si>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</si>
  <si>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</si>
  <si>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差</t>
  </si>
  <si>
    <t xml:space="preserve">判讀</t>
  </si>
  <si>
    <t xml:space="preserve">K1-A2025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</si>
  <si>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</si>
  <si>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驗證（搬移忠實度）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</si>
  <si>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</si>
  <si>
    <t xml:space="preserve">K1-A2026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</si>
  <si>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</si>
  <si>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</si>
  <si>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</si>
  <si>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</si>
  <si>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</si>
  <si>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</si>
  <si>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</si>
  <si>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</si>
  <si>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</si>
  <si>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</si>
  <si>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</si>
  <si>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</si>
  <si>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</si>
  <si>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</si>
  <si>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</si>
  <si>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</si>
  <si>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</si>
  <si>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</si>
  <si>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</si>
  <si>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</si>
  <si>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</si>
  <si>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</si>
  <si>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</si>
  <si>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</si>
  <si>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</si>
  <si>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</si>
  <si>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</si>
  <si>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K2-A28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</si>
  <si>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</si>
  <si>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驗證</t>
  </si>
  <si>
    <t xml:space="preserve">K2-A29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</si>
  <si>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</si>
  <si>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</si>
  <si>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</si>
  <si>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</si>
  <si>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</si>
  <si>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</si>
  <si>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</si>
  <si>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</si>
  <si>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</si>
  <si>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K2-ord28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</si>
  <si>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</si>
  <si>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K2-ord29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</si>
  <si>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</si>
  <si>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K3</t>
  </si>
  <si>
    <r>
      <rPr>
        <sz val="11"/>
        <color theme="1"/>
        <rFont val="Noto Sans CJK SC"/>
        <family val="2"/>
      </rPr>
      <t xml:space="preserve">下游（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等）讀的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</si>
  <si>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</si>
  <si>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＝下游仍用舊版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；本庫已用現行版；差異明細見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</si>
  <si>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</si>
  <si>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</si>
  <si>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恆等式（結構）</t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</si>
  <si>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</si>
  <si>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</si>
  <si>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</si>
  <si>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</si>
  <si>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K5-bw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</si>
  <si>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</si>
  <si>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K5-rb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</si>
  <si>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</t>
    </r>
  </si>
  <si>
    <t xml:space="preserve">K5-ru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</si>
  <si>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 Ultra</t>
    </r>
  </si>
  <si>
    <t xml:space="preserve">K5-hp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</si>
  <si>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</si>
  <si>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K5-amd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</si>
  <si>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AMD Instinct</t>
    </r>
  </si>
  <si>
    <t xml:space="preserve">K5-tpu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</si>
  <si>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</si>
  <si>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K5-trn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</si>
  <si>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AWS Trainium</t>
    </r>
  </si>
  <si>
    <t xml:space="preserve">K5-oth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</si>
  <si>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</si>
  <si>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K6-tpu2026</t>
  </si>
  <si>
    <r>
      <rPr>
        <sz val="11"/>
        <color theme="1"/>
        <rFont val="Calibri"/>
        <family val="2"/>
        <charset val="1"/>
      </rPr>
      <t xml:space="preserve">Google TPU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</si>
  <si>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驗證（加總受限）</t>
  </si>
  <si>
    <t xml:space="preserve">K6-tpu2027</t>
  </si>
  <si>
    <r>
      <rPr>
        <sz val="11"/>
        <color theme="1"/>
        <rFont val="Calibri"/>
        <family val="2"/>
        <charset val="1"/>
      </rPr>
      <t xml:space="preserve">Google TPU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</si>
  <si>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K6-tpu2028</t>
  </si>
  <si>
    <r>
      <rPr>
        <sz val="11"/>
        <color theme="1"/>
        <rFont val="Calibri"/>
        <family val="2"/>
        <charset val="1"/>
      </rPr>
      <t xml:space="preserve">Google TPU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</si>
  <si>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</si>
  <si>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</si>
  <si>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</si>
  <si>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</si>
  <si>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</si>
  <si>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</si>
  <si>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</si>
  <si>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</si>
  <si>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</si>
  <si>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</si>
  <si>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</si>
  <si>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</si>
  <si>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</si>
  <si>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</si>
  <si>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</si>
  <si>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</si>
  <si>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</si>
  <si>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</si>
  <si>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</si>
  <si>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</si>
  <si>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</si>
  <si>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</si>
  <si>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</si>
  <si>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</si>
  <si>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</si>
  <si>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</si>
  <si>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</si>
  <si>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</si>
  <si>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</si>
  <si>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</si>
  <si>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</si>
  <si>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</si>
  <si>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</si>
  <si>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</si>
  <si>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</si>
  <si>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</si>
  <si>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</si>
  <si>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</si>
  <si>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</si>
  <si>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</si>
  <si>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</si>
  <si>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</si>
  <si>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</si>
  <si>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</si>
  <si>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</si>
  <si>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</si>
  <si>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K6-pwrA2026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</si>
  <si>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</si>
  <si>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</si>
  <si>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</si>
  <si>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</si>
  <si>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</si>
  <si>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</si>
  <si>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</si>
  <si>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</si>
  <si>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</si>
  <si>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</si>
  <si>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</si>
  <si>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</si>
  <si>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</si>
  <si>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</si>
  <si>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</si>
  <si>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</si>
  <si>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</si>
  <si>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</si>
  <si>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</si>
  <si>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</si>
  <si>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</si>
  <si>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</si>
  <si>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</si>
  <si>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</si>
  <si>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</si>
  <si>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</si>
  <si>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</si>
  <si>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</si>
  <si>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</si>
  <si>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</si>
  <si>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</si>
  <si>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</si>
  <si>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</si>
  <si>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</si>
  <si>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</si>
  <si>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</si>
  <si>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</si>
  <si>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</si>
  <si>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</si>
  <si>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</si>
  <si>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</si>
  <si>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</si>
  <si>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</si>
  <si>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</si>
  <si>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</si>
  <si>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</si>
  <si>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</si>
  <si>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K7</t>
  </si>
  <si>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 </t>
    </r>
    <r>
      <rPr>
        <sz val="11"/>
        <color theme="1"/>
        <rFont val="Calibri"/>
        <family val="2"/>
        <charset val="1"/>
      </rPr>
      <t xml:space="preserve">2026 ≤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（系統售價不應超過全部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資本支出）</t>
    </r>
  </si>
  <si>
    <t xml:space="preserve">驗證（量級）</t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</si>
  <si>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</si>
  <si>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</si>
  <si>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</si>
  <si>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</si>
  <si>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</si>
  <si>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</si>
  <si>
    <t xml:space="preserve">G3</t>
  </si>
  <si>
    <r>
      <rPr>
        <sz val="11"/>
        <color theme="1"/>
        <rFont val="Noto Sans CJK SC"/>
        <family val="2"/>
      </rPr>
      <t xml:space="preserve">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但未給低／高區間的輸入列（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規則：一律給區間）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</si>
  <si>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（建置時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</si>
  <si>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</si>
  <si>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</si>
  <si>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</si>
  <si>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r>
      <rPr>
        <sz val="11"/>
        <color theme="1"/>
        <rFont val="Noto Sans CJK SC"/>
        <family val="2"/>
      </rPr>
      <t xml:space="preserve">衝突登錄中『待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』或『待併入』的項目數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</si>
  <si>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＝仍有同一變數兩個值；各子產業併入本庫後歸零</t>
    </r>
  </si>
  <si>
    <t xml:space="preserve">SGOV_Errors</t>
  </si>
  <si>
    <t xml:space="preserve">SGOV_Warn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</si>
  <si>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</si>
  <si>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</si>
  <si>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類別</t>
  </si>
  <si>
    <t xml:space="preserve">決議</t>
  </si>
  <si>
    <t xml:space="preserve">日期</t>
  </si>
  <si>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原話／依據</t>
    </r>
  </si>
  <si>
    <t xml:space="preserve">S1</t>
  </si>
  <si>
    <t xml:space="preserve">範圍</t>
  </si>
  <si>
    <t xml:space="preserve">建立產業基準庫</t>
  </si>
  <si>
    <r>
      <rPr>
        <sz val="11"/>
        <color theme="1"/>
        <rFont val="Noto Sans CJK SC"/>
        <family val="2"/>
      </rPr>
      <t xml:space="preserve">本專案建立自己的產業事實庫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，規格比照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唯一事實來源、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只產生公式頁、輸入由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擁有、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具名範圍為下游唯一連結點、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、證據登錄、版本固定快照）；與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相關數據與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一致；為各公司模型的基準事實來源</t>
    </r>
  </si>
  <si>
    <r>
      <rPr>
        <sz val="11"/>
        <color theme="1"/>
        <rFont val="Calibri"/>
        <family val="2"/>
        <charset val="1"/>
      </rPr>
      <t xml:space="preserve">2026-10-25 13:26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2026-10-27 07:59</t>
    </r>
  </si>
  <si>
    <r>
      <rPr>
        <sz val="11"/>
        <color theme="1"/>
        <rFont val="Noto Sans CJK SC"/>
        <family val="2"/>
      </rPr>
      <t xml:space="preserve">請開始規畫並建置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半導體的次產業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唯一事實</t>
    </r>
    <r>
      <rPr>
        <sz val="11"/>
        <color theme="1"/>
        <rFont val="Calibri"/>
        <family val="2"/>
        <charset val="1"/>
      </rPr>
      <t xml:space="preserve">)excel(</t>
    </r>
    <r>
      <rPr>
        <sz val="11"/>
        <color theme="1"/>
        <rFont val="Noto Sans CJK SC"/>
        <family val="2"/>
      </rPr>
      <t xml:space="preserve">名稱另取較貼切的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，他的規格如同算力收支專案中的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相關數據要與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一致，只是負責領域不同，是相關個股模型的基準事實來源。</t>
    </r>
  </si>
  <si>
    <t xml:space="preserve">生效</t>
  </si>
  <si>
    <t xml:space="preserve">S2</t>
  </si>
  <si>
    <t xml:space="preserve">命名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</si>
  <si>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（中文：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半導體產業基準庫），與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對稱：一個管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的經濟，一個管矽的經濟。檔名 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；下游名稱前綴 </t>
    </r>
    <r>
      <rPr>
        <sz val="11"/>
        <color theme="1"/>
        <rFont val="Calibri"/>
        <family val="2"/>
        <charset val="1"/>
      </rPr>
      <t xml:space="preserve">SIF_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SGOV_</t>
    </r>
    <r>
      <rPr>
        <sz val="11"/>
        <color theme="1"/>
        <rFont val="Noto Sans CJK SC"/>
        <family val="2"/>
      </rPr>
      <t xml:space="preserve">（治理計數）；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鏡像為 </t>
    </r>
    <r>
      <rPr>
        <sz val="11"/>
        <color theme="1"/>
        <rFont val="Calibri"/>
        <family val="2"/>
        <charset val="1"/>
      </rPr>
      <t xml:space="preserve">TK_&lt;</t>
    </r>
    <r>
      <rPr>
        <sz val="11"/>
        <color theme="1"/>
        <rFont val="Noto Sans CJK SC"/>
        <family val="2"/>
      </rPr>
      <t xml:space="preserve">名稱</t>
    </r>
    <r>
      <rPr>
        <sz val="11"/>
        <color theme="1"/>
        <rFont val="Calibri"/>
        <family val="2"/>
        <charset val="1"/>
      </rPr>
      <t xml:space="preserve">&gt;_&lt;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SIF_TK_*</t>
    </r>
  </si>
  <si>
    <t xml:space="preserve">2026-10-27</t>
  </si>
  <si>
    <t xml:space="preserve">名稱另取較貼切的</t>
  </si>
  <si>
    <t xml:space="preserve">預設、可撤回</t>
  </si>
  <si>
    <t xml:space="preserve">S3</t>
  </si>
  <si>
    <t xml:space="preserve">工程</t>
  </si>
  <si>
    <t xml:space="preserve">位置</t>
  </si>
  <si>
    <r>
      <rPr>
        <sz val="11"/>
        <color theme="1"/>
        <rFont val="Calibri"/>
        <family val="2"/>
        <charset val="1"/>
      </rPr>
      <t xml:space="preserve">repo 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siliconomics/ </t>
    </r>
    <r>
      <rPr>
        <sz val="11"/>
        <color theme="1"/>
        <rFont val="Noto Sans CJK SC"/>
        <family val="2"/>
      </rPr>
      <t xml:space="preserve">資料夾（</t>
    </r>
    <r>
      <rPr>
        <sz val="11"/>
        <color theme="1"/>
        <rFont val="Calibri"/>
        <family val="2"/>
        <charset val="1"/>
      </rPr>
      <t xml:space="preserve">model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tools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</t>
    </r>
    <r>
      <rPr>
        <sz val="11"/>
        <color theme="1"/>
        <rFont val="Noto Sans CJK SC"/>
        <family val="2"/>
      </rPr>
      <t xml:space="preserve">），不另開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：下游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個建檔程式在同一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，可直接讀快照、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同一條；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是另一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是因為服務跨專案</t>
    </r>
  </si>
  <si>
    <r>
      <rPr>
        <sz val="11"/>
        <color theme="1"/>
        <rFont val="Noto Sans CJK SC"/>
        <family val="2"/>
      </rPr>
      <t xml:space="preserve">（工程類，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決定）</t>
    </r>
  </si>
  <si>
    <t xml:space="preserve">S4</t>
  </si>
  <si>
    <t xml:space="preserve">行業變數與公司變數的界線</t>
  </si>
  <si>
    <r>
      <rPr>
        <sz val="11"/>
        <color theme="1"/>
        <rFont val="Noto Sans CJK SC"/>
        <family val="2"/>
      </rPr>
      <t xml:space="preserve">行業變數（本庫）＝跨公司共用或加總受限的量：加速器顆數與每顆內容、各市場規模與價格路徑、技術替代滲透率（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、銅轉光、液冷、混合鍵合）、同一市場各供應商份額表（合計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）、供需缺口、情境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定義。公司變數（各公司模型）＝會計年度錨點、毛利率與費用、資本支出、股數、估值參數、公司特有的份額相對值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</si>
  <si>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：個股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一律讀同字母行業情境（技術替代屬行業變數）</t>
    </r>
  </si>
  <si>
    <t xml:space="preserve">S5</t>
  </si>
  <si>
    <t xml:space="preserve">下游改接方式</t>
  </si>
  <si>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改為只讀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快照（保留原 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CJK SC"/>
        <family val="2"/>
      </rPr>
      <t xml:space="preserve">名稱），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個下游建檔程式不需修改；驗收＝全部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目標重建後與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逐格相同。其他市場層與公司模型依子產業分段改接</t>
    </r>
  </si>
  <si>
    <t xml:space="preserve">S6</t>
  </si>
  <si>
    <t xml:space="preserve">預測期間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</si>
  <si>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維持現有市場層的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的行業路徑不在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自訂（目前各公司以收斂法自推），待算力收支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三情境部署路徑（</t>
    </r>
    <r>
      <rPr>
        <sz val="11"/>
        <color theme="1"/>
        <rFont val="Calibri"/>
        <family val="2"/>
        <charset val="1"/>
      </rPr>
      <t xml:space="preserve">CY2026–2030</t>
    </r>
    <r>
      <rPr>
        <sz val="11"/>
        <color theme="1"/>
        <rFont val="Noto Sans CJK SC"/>
        <family val="2"/>
      </rPr>
      <t xml:space="preserve">）上線後由部署路徑推導並延伸到 </t>
    </r>
    <r>
      <rPr>
        <sz val="11"/>
        <color theme="1"/>
        <rFont val="Calibri"/>
        <family val="2"/>
        <charset val="1"/>
      </rPr>
      <t xml:space="preserve">2032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</si>
  <si>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：預估延長到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回執：預計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後動工</t>
    </r>
  </si>
  <si>
    <t xml:space="preserve">S7</t>
  </si>
  <si>
    <t xml:space="preserve">衝突處理</t>
  </si>
  <si>
    <r>
      <rPr>
        <sz val="11"/>
        <color theme="1"/>
        <rFont val="Noto Sans CJK SC"/>
        <family val="2"/>
      </rPr>
      <t xml:space="preserve">跨模型同一變數不同值者登錄於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頁；每項給建議單一值（判斷類標待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），在該子產業併入本庫的版本生效；生效前各公司模型維持現值，不另做局部修補</t>
    </r>
  </si>
  <si>
    <t xml:space="preserve">（工程類流程；個別建議值屬判斷類）</t>
  </si>
  <si>
    <t xml:space="preserve">S8</t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</si>
  <si>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</si>
  <si>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只做：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列全部補區間、缺來源列補來源（區間為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預設，標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情境季價區間 </t>
    </r>
    <r>
      <rPr>
        <sz val="11"/>
        <color theme="1"/>
        <rFont val="Calibri"/>
        <family val="2"/>
        <charset val="1"/>
      </rPr>
      <t xml:space="preserve">2027 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±10pt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2029 </t>
    </r>
    <r>
      <rPr>
        <sz val="11"/>
        <color theme="1"/>
        <rFont val="Noto Sans CJK SC"/>
        <family val="2"/>
      </rPr>
      <t xml:space="preserve">平台別顆數成長改為本庫單一來源（</t>
    </r>
    <r>
      <rPr>
        <sz val="11"/>
        <color theme="1"/>
        <rFont val="Calibri"/>
        <family val="2"/>
        <charset val="1"/>
      </rPr>
      <t xml:space="preserve">CF18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每顆規格、部署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（運算層一起做），網通與橋接表順延為 </t>
    </r>
    <r>
      <rPr>
        <sz val="11"/>
        <color theme="1"/>
        <rFont val="Calibri"/>
        <family val="2"/>
        <charset val="1"/>
      </rPr>
      <t xml:space="preserve">v0.4</t>
    </r>
  </si>
  <si>
    <t xml:space="preserve">（工程類分段；區間值屬判斷類預設）</t>
  </si>
  <si>
    <t xml:space="preserve">S9</t>
  </si>
  <si>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升為 </t>
    </r>
    <r>
      <rPr>
        <sz val="11"/>
        <color theme="1"/>
        <rFont val="Calibri"/>
        <family val="2"/>
        <charset val="1"/>
      </rPr>
      <t xml:space="preserve">ERROR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</si>
  <si>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頁缺來源、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缺區間計入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一律給區間）</t>
    </r>
  </si>
  <si>
    <t xml:space="preserve">（工程類）</t>
  </si>
  <si>
    <t xml:space="preserve">S10</t>
  </si>
  <si>
    <r>
      <rPr>
        <sz val="11"/>
        <color theme="1"/>
        <rFont val="Noto Sans CJK SC"/>
        <family val="2"/>
      </rPr>
      <t xml:space="preserve">記憶體公司模型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頁不加新節</t>
    </r>
  </si>
  <si>
    <r>
      <rPr>
        <sz val="11"/>
        <color theme="1"/>
        <rFont val="Calibri"/>
        <family val="2"/>
        <charset val="1"/>
      </rPr>
      <t xml:space="preserve">market.py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M1–M3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ref_inputs()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起的新節（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平台別成長）不寫進記憶體公司模型，由需要的模型經 </t>
    </r>
    <r>
      <rPr>
        <sz val="11"/>
        <color theme="1"/>
        <rFont val="Calibri"/>
        <family val="2"/>
        <charset val="1"/>
      </rPr>
      <t xml:space="preserve">market.G29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取用，避免既有儲存格位移</t>
    </r>
  </si>
  <si>
    <t xml:space="preserve">S11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</si>
  <si>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</si>
  <si>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（運算層第一段）：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加速器每顆售價（</t>
    </r>
    <r>
      <rPr>
        <sz val="11"/>
        <color theme="1"/>
        <rFont val="Calibri"/>
        <family val="2"/>
        <charset val="1"/>
      </rPr>
      <t xml:space="preserve">nvidia pa_*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代購比例（</t>
    </r>
    <r>
      <rPr>
        <sz val="11"/>
        <color theme="1"/>
        <rFont val="Calibri"/>
        <family val="2"/>
        <charset val="1"/>
      </rPr>
      <t xml:space="preserve">avgo core_*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ASIC </t>
    </r>
    <r>
      <rPr>
        <sz val="11"/>
        <color theme="1"/>
        <rFont val="Noto Sans CJK SC"/>
        <family val="2"/>
      </rPr>
      <t xml:space="preserve">設計服務份額（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、聯發科、世芯）移入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頁與加總檢查 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。原模型改讀本庫，數值與文字逐字搬入（下游應不變）。部署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單一路徑（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）依賴網通市場層，與網通一起在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做</t>
    </r>
  </si>
  <si>
    <t xml:space="preserve">S12</t>
  </si>
  <si>
    <t xml:space="preserve">共用讀取模組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</si>
  <si>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siliconomics/reader.py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row8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row9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NAMES</t>
    </r>
    <r>
      <rPr>
        <sz val="11"/>
        <color theme="1"/>
        <rFont val="Noto Sans CJK SC"/>
        <family val="2"/>
      </rPr>
      <t xml:space="preserve">），各公司建檔程式以 </t>
    </r>
    <r>
      <rPr>
        <sz val="11"/>
        <color theme="1"/>
        <rFont val="Calibri"/>
        <family val="2"/>
        <charset val="1"/>
      </rPr>
      <t xml:space="preserve">inp(*SIL.row9(</t>
    </r>
    <r>
      <rPr>
        <sz val="11"/>
        <color theme="1"/>
        <rFont val="Noto Sans CJK SC"/>
        <family val="2"/>
      </rPr>
      <t xml:space="preserve">鍵</t>
    </r>
    <r>
      <rPr>
        <sz val="11"/>
        <color theme="1"/>
        <rFont val="Calibri"/>
        <family val="2"/>
        <charset val="1"/>
      </rPr>
      <t xml:space="preserve">)) </t>
    </r>
    <r>
      <rPr>
        <sz val="11"/>
        <color theme="1"/>
        <rFont val="Noto Sans CJK SC"/>
        <family val="2"/>
      </rPr>
      <t xml:space="preserve">讀本庫輸入；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欄「第二來源／說明」以容納公司模型的第二來源欄</t>
    </r>
  </si>
  <si>
    <t xml:space="preserve">S13</t>
  </si>
  <si>
    <t xml:space="preserve">數值</t>
  </si>
  <si>
    <r>
      <rPr>
        <sz val="11"/>
        <color theme="1"/>
        <rFont val="Calibri"/>
        <family val="2"/>
        <charset val="1"/>
      </rPr>
      <t xml:space="preserve">CF19 TPU </t>
    </r>
    <r>
      <rPr>
        <sz val="11"/>
        <color theme="1"/>
        <rFont val="Noto Sans CJK SC"/>
        <family val="2"/>
      </rPr>
      <t xml:space="preserve">設計服務份額</t>
    </r>
  </si>
  <si>
    <r>
      <rPr>
        <sz val="11"/>
        <color theme="1"/>
        <rFont val="Noto Sans CJK SC"/>
        <family val="2"/>
      </rPr>
      <t xml:space="preserve">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）；賣方路徑列為聯發科高情境證據</t>
    </r>
  </si>
  <si>
    <t xml:space="preserve">2026-10-27 15:09</t>
  </si>
  <si>
    <t xml:space="preserve">先這樣，我也沒有更好的數字</t>
  </si>
  <si>
    <t xml:space="preserve">S14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</si>
  <si>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</si>
  <si>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(1) markets/network </t>
    </r>
    <r>
      <rPr>
        <sz val="11"/>
        <color theme="1"/>
        <rFont val="Noto Sans CJK SC"/>
        <family val="2"/>
      </rPr>
      <t xml:space="preserve">的每顆網通內容、每顆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、技術轉換、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三情境移入 </t>
    </r>
    <r>
      <rPr>
        <sz val="11"/>
        <color theme="1"/>
        <rFont val="Calibri"/>
        <family val="2"/>
        <charset val="1"/>
      </rPr>
      <t xml:space="preserve">M8–M10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公式）；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列補區間（每顆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光學占比、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×0.7–×1.4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vr26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Deploy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橋接表改讀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契約名稱（</t>
    </r>
    <r>
      <rPr>
        <sz val="11"/>
        <color theme="1"/>
        <rFont val="Calibri"/>
        <family val="2"/>
        <charset val="1"/>
      </rPr>
      <t xml:space="preserve">CF17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(5) 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改用混合口徑（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v0.4.1</t>
    </r>
  </si>
  <si>
    <t xml:space="preserve">S15</t>
  </si>
  <si>
    <r>
      <rPr>
        <sz val="11"/>
        <color theme="1"/>
        <rFont val="Calibri"/>
        <family val="2"/>
        <charset val="1"/>
      </rPr>
      <t xml:space="preserve">v0.4.1 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</si>
  <si>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五家光學廠的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光學金額份額（</t>
    </r>
    <r>
      <rPr>
        <sz val="11"/>
        <color theme="1"/>
        <rFont val="Calibri"/>
        <family val="2"/>
        <charset val="1"/>
      </rPr>
      <t xml:space="preserve">cposh_*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份額表（四家模組與雷射廠加總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為代工、與模組廠重疊，列示不加總），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交換器端份額不自訂，以餘額列示（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</si>
  <si>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t xml:space="preserve">（工程類分段；份額值沿用公司模型，未重估）</t>
  </si>
  <si>
    <t xml:space="preserve">S16</t>
  </si>
  <si>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CoWoS</t>
    </r>
  </si>
  <si>
    <r>
      <rPr>
        <sz val="11"/>
        <color theme="1"/>
        <rFont val="Calibri"/>
        <family val="2"/>
        <charset val="1"/>
      </rPr>
      <t xml:space="preserve">(1) Ibiden 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相對值、非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權重、</t>
    </r>
    <r>
      <rPr>
        <sz val="11"/>
        <color theme="1"/>
        <rFont val="Calibri"/>
        <family val="2"/>
        <charset val="1"/>
      </rPr>
      <t xml:space="preserve">v_ot</t>
    </r>
    <r>
      <rPr>
        <sz val="11"/>
        <color theme="1"/>
        <rFont val="Noto Sans CJK SC"/>
        <family val="2"/>
      </rPr>
      <t xml:space="preserve">、每顆載板金額年增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、價格溢價指數 </t>
    </r>
    <r>
      <rPr>
        <sz val="11"/>
        <color theme="1"/>
        <rFont val="Calibri"/>
        <family val="2"/>
        <charset val="1"/>
      </rPr>
      <t xml:space="preserve">pp_*</t>
    </r>
    <r>
      <rPr>
        <sz val="11"/>
        <color theme="1"/>
        <rFont val="Noto Sans CJK SC"/>
        <family val="2"/>
      </rPr>
      <t xml:space="preserve">、欣興／南電／景碩的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份額移入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新增兩張載板份額表與 </t>
    </r>
    <r>
      <rPr>
        <sz val="11"/>
        <color theme="1"/>
        <rFont val="Calibri"/>
        <family val="2"/>
        <charset val="1"/>
      </rPr>
      <t xml:space="preserve">K6-abf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新增單一外部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缺口路徑 </t>
    </r>
    <r>
      <rPr>
        <sz val="11"/>
        <color theme="1"/>
        <rFont val="Calibri"/>
        <family val="2"/>
        <charset val="1"/>
      </rPr>
      <t xml:space="preserve">abf_gap_26–28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CF03 </t>
    </r>
    <r>
      <rPr>
        <sz val="11"/>
        <color theme="1"/>
        <rFont val="Noto Sans CJK SC"/>
        <family val="2"/>
      </rPr>
      <t xml:space="preserve">部分）；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每片封裝數、其他用途、年底月產能、委外補充、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需求移入 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列補區間。每顆載板金額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70% </t>
    </r>
    <r>
      <rPr>
        <sz val="11"/>
        <color theme="1"/>
        <rFont val="Noto Sans CJK SC"/>
        <family val="2"/>
      </rPr>
      <t xml:space="preserve">校準）與每顆台積電內容 </t>
    </r>
    <r>
      <rPr>
        <sz val="11"/>
        <color theme="1"/>
        <rFont val="Calibri"/>
        <family val="2"/>
        <charset val="1"/>
      </rPr>
      <t xml:space="preserve">ct_* </t>
    </r>
    <r>
      <rPr>
        <sz val="11"/>
        <color theme="1"/>
        <rFont val="Noto Sans CJK SC"/>
        <family val="2"/>
      </rPr>
      <t xml:space="preserve">屬公司營收變數，留在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</si>
  <si>
    <t xml:space="preserve">（工程類分段；新增區間屬判斷類預設，基準不變）</t>
  </si>
  <si>
    <t xml:space="preserve">S17</t>
  </si>
  <si>
    <t xml:space="preserve">判斷</t>
  </si>
  <si>
    <r>
      <rPr>
        <sz val="11"/>
        <color theme="1"/>
        <rFont val="Calibri"/>
        <family val="2"/>
        <charset val="1"/>
      </rPr>
      <t xml:space="preserve">CF20 </t>
    </r>
    <r>
      <rPr>
        <sz val="11"/>
        <color theme="1"/>
        <rFont val="Noto Sans CJK SC"/>
        <family val="2"/>
      </rPr>
      <t xml:space="preserve">景碩份額</t>
    </r>
  </si>
  <si>
    <r>
      <rPr>
        <sz val="11"/>
        <color theme="1"/>
        <rFont val="Noto Sans CJK SC"/>
        <family val="2"/>
      </rPr>
      <t xml:space="preserve">維持預設（各公司模型現值，景碩取剩餘）；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供需表（</t>
    </r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）建好後，依供給緊縮情形再確認各廠份額</t>
    </r>
  </si>
  <si>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「这边等到我们下一段把这个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供需表建起来之后，再来确认紧缩的份额。目前就用預設的方式做就可以了」</t>
    </r>
  </si>
  <si>
    <r>
      <rPr>
        <sz val="11"/>
        <color theme="1"/>
        <rFont val="Noto Sans CJK SC"/>
        <family val="2"/>
      </rPr>
      <t xml:space="preserve">定案（暫定，</t>
    </r>
    <r>
      <rPr>
        <sz val="11"/>
        <color theme="1"/>
        <rFont val="Calibri"/>
        <family val="2"/>
        <charset val="1"/>
      </rPr>
      <t xml:space="preserve">v0.5.1 </t>
    </r>
    <r>
      <rPr>
        <sz val="11"/>
        <color theme="1"/>
        <rFont val="Noto Sans CJK SC"/>
        <family val="2"/>
      </rPr>
      <t xml:space="preserve">後複核）</t>
    </r>
  </si>
  <si>
    <t xml:space="preserve">S18</t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</si>
  <si>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</si>
  <si>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頁：需求＝加速器有效顆數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金額權重（加速器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 16.2%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55%</t>
    </r>
    <r>
      <rPr>
        <sz val="11"/>
        <color theme="1"/>
        <rFont val="Noto Sans CJK SC"/>
        <family val="2"/>
      </rPr>
      <t xml:space="preserve">）加總；供給＝五類載板廠產能指數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營收權重，與味之素膜上限取小；缺口以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 </t>
    </r>
    <r>
      <rPr>
        <sz val="11"/>
        <color theme="1"/>
        <rFont val="Calibri"/>
        <family val="2"/>
        <charset val="1"/>
      </rPr>
      <t xml:space="preserve">9% </t>
    </r>
    <r>
      <rPr>
        <sz val="11"/>
        <color theme="1"/>
        <rFont val="Noto Sans CJK SC"/>
        <family val="2"/>
      </rPr>
      <t xml:space="preserve">校準。欣興、南電、景碩產能指數與味之素膜上限移入本庫（數值不變）。各公司模型的滿足率暫不改讀本庫缺口（會改變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，屬判斷類，待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</si>
  <si>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t xml:space="preserve">（工程類分段；新增輸入值屬判斷類預設，均附區間）</t>
  </si>
  <si>
    <t xml:space="preserve">S19</t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</si>
  <si>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滿足率試算</t>
    </r>
  </si>
  <si>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勝宏模型的每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元件金額與指數、台光電模型的每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元件金額與指數移入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，數值與文字逐字搬入；新增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合計、三情境市場、</t>
    </r>
    <r>
      <rPr>
        <sz val="11"/>
        <color theme="1"/>
        <rFont val="Calibri"/>
        <family val="2"/>
        <charset val="1"/>
      </rPr>
      <t xml:space="preserve">PCB ÷ CCL</t>
    </r>
    <r>
      <rPr>
        <sz val="11"/>
        <color theme="1"/>
        <rFont val="Noto Sans CJK SC"/>
        <family val="2"/>
      </rPr>
      <t xml:space="preserve">）。價格指數與公司份額留在公司模型。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「公司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滿足率改讀本庫缺口」只做試算（報告 </t>
    </r>
    <r>
      <rPr>
        <sz val="11"/>
        <color theme="1"/>
        <rFont val="Calibri"/>
        <family val="2"/>
        <charset val="1"/>
      </rPr>
      <t xml:space="preserve">20261027_v0.5.2</t>
    </r>
    <r>
      <rPr>
        <sz val="11"/>
        <color theme="1"/>
        <rFont val="Noto Sans CJK SC"/>
        <family val="2"/>
      </rPr>
      <t xml:space="preserve">），模型不改，待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</si>
  <si>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Calibri"/>
        <family val="2"/>
        <charset val="1"/>
      </rPr>
      <t xml:space="preserve">Andy 18:25</t>
    </r>
    <r>
      <rPr>
        <sz val="11"/>
        <color theme="1"/>
        <rFont val="Noto Sans CJK SC"/>
        <family val="2"/>
      </rPr>
      <t xml:space="preserve">「请继续。」</t>
    </r>
  </si>
  <si>
    <t xml:space="preserve">S20</t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</si>
  <si>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</si>
  <si>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(1) M17</t>
    </r>
    <r>
      <rPr>
        <sz val="11"/>
        <color theme="1"/>
        <rFont val="Noto Sans CJK SC"/>
        <family val="2"/>
      </rPr>
      <t xml:space="preserve">：台達電模型的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pkw</t>
    </r>
    <r>
      <rPr>
        <sz val="11"/>
        <color theme="1"/>
        <rFont val="Noto Sans CJK SC"/>
        <family val="2"/>
      </rPr>
      <t xml:space="preserve">、台達電份額相對值、凱基與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錨點，光寶模型的份額相對值、凱基錨點移入本庫，兩家改讀（數值與文字逐字搬入）；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有效份額為兩家模型校準值的快照（光寶建檔時核對台達電值）。新增 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（三情境合計 </t>
    </r>
    <r>
      <rPr>
        <sz val="11"/>
        <color theme="1"/>
        <rFont val="Calibri"/>
        <family val="2"/>
        <charset val="1"/>
      </rPr>
      <t xml:space="preserve">63–76%</t>
    </r>
    <r>
      <rPr>
        <sz val="11"/>
        <color theme="1"/>
        <rFont val="Noto Sans CJK SC"/>
        <family val="2"/>
      </rPr>
      <t xml:space="preserve">，全部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(2) M18</t>
    </r>
    <r>
      <rPr>
        <sz val="11"/>
        <color theme="1"/>
        <rFont val="Noto Sans CJK SC"/>
        <family val="2"/>
      </rPr>
      <t xml:space="preserve">：廣達模型的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每櫃價格移入，廣達改讀；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占比以緯穎模型 </t>
    </r>
    <r>
      <rPr>
        <sz val="11"/>
        <color theme="1"/>
        <rFont val="Calibri"/>
        <family val="2"/>
        <charset val="1"/>
      </rPr>
      <t xml:space="preserve">48% </t>
    </r>
    <r>
      <rPr>
        <sz val="11"/>
        <color theme="1"/>
        <rFont val="Noto Sans CJK SC"/>
        <family val="2"/>
      </rPr>
      <t xml:space="preserve">為單一值，緯創由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改讀。</t>
    </r>
    <r>
      <rPr>
        <sz val="11"/>
        <color theme="1"/>
        <rFont val="Calibri"/>
        <family val="2"/>
        <charset val="1"/>
      </rPr>
      <t xml:space="preserve">(3) Rack </t>
    </r>
    <r>
      <rPr>
        <sz val="11"/>
        <color theme="1"/>
        <rFont val="Noto Sans CJK SC"/>
        <family val="2"/>
      </rPr>
      <t xml:space="preserve">頁：組裝市場、商用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依實際產品分世代）、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電源市場；戴爾改用同一分組。</t>
    </r>
    <r>
      <rPr>
        <sz val="11"/>
        <color theme="1"/>
        <rFont val="Calibri"/>
        <family val="2"/>
        <charset val="1"/>
      </rPr>
      <t xml:space="preserve">(4) CF11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Andy 19:11 </t>
    </r>
    <r>
      <rPr>
        <sz val="11"/>
        <color theme="1"/>
        <rFont val="Noto Sans CJK SC"/>
        <family val="2"/>
      </rPr>
      <t xml:space="preserve">指示先試算、不改值。液冷（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lpen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lcadj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mani </t>
    </r>
    <r>
      <rPr>
        <sz val="11"/>
        <color theme="1"/>
        <rFont val="Noto Sans CJK SC"/>
        <family val="2"/>
      </rPr>
      <t xml:space="preserve">移到 </t>
    </r>
    <r>
      <rPr>
        <sz val="11"/>
        <color theme="1"/>
        <rFont val="Calibri"/>
        <family val="2"/>
        <charset val="1"/>
      </rPr>
      <t xml:space="preserve">v0.6.1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</si>
  <si>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「照交接檔第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節繼續做 </t>
    </r>
    <r>
      <rPr>
        <sz val="11"/>
        <color theme="1"/>
        <rFont val="Calibri"/>
        <family val="2"/>
        <charset val="1"/>
      </rPr>
      <t xml:space="preserve">v0.6……CF11 </t>
    </r>
    <r>
      <rPr>
        <sz val="11"/>
        <color theme="1"/>
        <rFont val="Noto Sans CJK SC"/>
        <family val="2"/>
      </rPr>
      <t xml:space="preserve">台達電電源份額改值前，先試算台達電與光寶的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影響給我看。其餘照批次模式自動進行」</t>
    </r>
  </si>
  <si>
    <t xml:space="preserve">S21</t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</si>
  <si>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：液冷</t>
    </r>
  </si>
  <si>
    <r>
      <rPr>
        <sz val="11"/>
        <color theme="1"/>
        <rFont val="Calibri"/>
        <family val="2"/>
        <charset val="1"/>
      </rPr>
      <t xml:space="preserve">(1) M19</t>
    </r>
    <r>
      <rPr>
        <sz val="11"/>
        <color theme="1"/>
        <rFont val="Noto Sans CJK SC"/>
        <family val="2"/>
      </rPr>
      <t xml:space="preserve">：機架內液冷每架內容（原在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）、分歧管、內容調整、滲透率、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對照（原在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）、奇鋐與雙鴻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份額快照、奇鋐份額相對值（雙鴻原本即讀同一組）、健策冷板元件份額（原在 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）移入本庫；橋接表、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改讀，數值不變。</t>
    </r>
    <r>
      <rPr>
        <sz val="11"/>
        <color theme="1"/>
        <rFont val="Calibri"/>
        <family val="2"/>
        <charset val="1"/>
      </rPr>
      <t xml:space="preserve">(2) 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液冷市場三情境；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液冷份額表與 </t>
    </r>
    <r>
      <rPr>
        <sz val="11"/>
        <color theme="1"/>
        <rFont val="Calibri"/>
        <family val="2"/>
        <charset val="1"/>
      </rPr>
      <t xml:space="preserve">K6-lc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CF12</t>
    </r>
    <r>
      <rPr>
        <sz val="11"/>
        <color theme="1"/>
        <rFont val="Noto Sans CJK SC"/>
        <family val="2"/>
      </rPr>
      <t xml:space="preserve">：市場定義為機架內液冷＋分歧管，台達電液冷屬機架外，不入表；機架外冷卻（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L2A</t>
    </r>
    <r>
      <rPr>
        <sz val="11"/>
        <color theme="1"/>
        <rFont val="Noto Sans CJK SC"/>
        <family val="2"/>
      </rPr>
      <t xml:space="preserve">）市場未建，列為後續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</si>
  <si>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「其餘照批次模式自動進行」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</si>
  <si>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證據登錄（所有比對過的新資訊，含不採納者）；先與本庫現值比對，再判定採納／部分採納／不採納／待查</t>
    </r>
  </si>
  <si>
    <t xml:space="preserve">主張（摘要）</t>
  </si>
  <si>
    <t xml:space="preserve">對應鍵</t>
  </si>
  <si>
    <t xml:space="preserve">本庫當時值</t>
  </si>
  <si>
    <t xml:space="preserve">新資訊值</t>
  </si>
  <si>
    <t xml:space="preserve">判定</t>
  </si>
  <si>
    <t xml:space="preserve">處理版本</t>
  </si>
  <si>
    <t xml:space="preserve">立場</t>
  </si>
  <si>
    <t xml:space="preserve">備註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</si>
  <si>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尚無；跨模型衝突先登錄於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頁，判定後再轉入本頁）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</si>
</sst>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"/>
    <numFmt numFmtId="166" formatCode="0.0%"/>
    <numFmt numFmtId="167" formatCode="0%"/>
    <numFmt numFmtId="168" formatCode="0.0"/>
    <numFmt numFmtId="169" formatCode="0.000"/>
    <numFmt numFmtId="170" formatCode="@"/>
    <numFmt numFmtId="171" formatCode="#,##0"/>
    <numFmt numFmtId="172" formatCode="#,##0.00"/>
    <numFmt numFmtId="173" formatCode="#,##0.0"/>
    <numFmt numFmtId="174" formatCode="0"/>
    <numFmt numFmtId="175" formatCode="General"/>
    <numFmt numFmtId="176" formatCode="#,##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3" t="s">
        <v>3</v>
      </c>
    </row>
    <row r="5" customFormat="false" ht="32.8" hidden="false" customHeight="false" outlineLevel="0" collapsed="false">
      <c r="A5" s="3" t="s">
        <v>4</v>
      </c>
    </row>
    <row r="6" customFormat="false" ht="32.8" hidden="false" customHeight="false" outlineLevel="0" collapsed="false">
      <c r="A6" s="3" t="s">
        <v>5</v>
      </c>
    </row>
    <row r="7" customFormat="false" ht="48.5" hidden="false" customHeight="false" outlineLevel="0" collapsed="false">
      <c r="A7" s="3" t="s">
        <v>6</v>
      </c>
    </row>
    <row r="8" customFormat="false" ht="48.5" hidden="false" customHeight="false" outlineLevel="0" collapsed="false">
      <c r="A8" s="3" t="s">
        <v>7</v>
      </c>
    </row>
    <row r="9" customFormat="false" ht="17.15" hidden="false" customHeight="false" outlineLevel="0" collapsed="false">
      <c r="A9" s="3" t="s">
        <v>8</v>
      </c>
    </row>
    <row r="10" customFormat="false" ht="32.8" hidden="false" customHeight="false" outlineLevel="0" collapsed="false">
      <c r="A10" s="3" t="s">
        <v>9</v>
      </c>
    </row>
    <row r="11" customFormat="false" ht="32.8" hidden="false" customHeight="false" outlineLevel="0" collapsed="false">
      <c r="A11" s="3" t="s">
        <v>10</v>
      </c>
    </row>
    <row r="12" customFormat="false" ht="32.8" hidden="false" customHeight="false" outlineLevel="0" collapsed="false">
      <c r="A12" s="3" t="s">
        <v>11</v>
      </c>
    </row>
    <row r="13" customFormat="false" ht="32.8" hidden="false" customHeight="false" outlineLevel="0" collapsed="false">
      <c r="A13" s="3" t="s">
        <v>12</v>
      </c>
    </row>
    <row r="14" customFormat="false" ht="17.15" hidden="false" customHeight="false" outlineLevel="0" collapsed="false">
      <c r="A14" s="2" t="s">
        <v>13</v>
      </c>
    </row>
    <row r="15" customFormat="false" ht="17.15" hidden="false" customHeight="false" outlineLevel="0" collapsed="false">
      <c r="A15" s="2" t="s">
        <v>14</v>
      </c>
    </row>
    <row r="16" customFormat="false" ht="17.15" hidden="false" customHeight="false" outlineLevel="0" collapsed="false">
      <c r="A16" s="2" t="s">
        <v>15</v>
      </c>
    </row>
    <row r="17" customFormat="false" ht="17.15" hidden="false" customHeight="false" outlineLevel="0" collapsed="false">
      <c r="A17" s="3" t="s">
        <v>16</v>
      </c>
    </row>
    <row r="18" customFormat="false" ht="17.15" hidden="false" customHeight="false" outlineLevel="0" collapsed="false">
      <c r="A18" s="2" t="s">
        <v>17</v>
      </c>
    </row>
    <row r="19" customFormat="false" ht="32.8" hidden="false" customHeight="false" outlineLevel="0" collapsed="false">
      <c r="A19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19</v>
      </c>
    </row>
    <row r="3" customFormat="false" ht="17.15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23</v>
      </c>
      <c r="E3" s="5" t="s">
        <v>24</v>
      </c>
      <c r="F3" s="5" t="s">
        <v>25</v>
      </c>
      <c r="G3" s="5" t="s">
        <v>26</v>
      </c>
    </row>
    <row r="4" customFormat="false" ht="17.15" hidden="false" customHeight="false" outlineLevel="0" collapsed="false">
      <c r="A4" s="0" t="s">
        <v>27</v>
      </c>
      <c r="B4" s="6" t="s">
        <v>28</v>
      </c>
      <c r="C4" s="6" t="s">
        <v>29</v>
      </c>
      <c r="D4" s="0" t="s">
        <v>30</v>
      </c>
      <c r="E4" s="7" t="n">
        <f aca="false">um28_A</f>
        <v>1</v>
      </c>
      <c r="F4" s="7" t="n">
        <f aca="false">um29_A</f>
        <v>1</v>
      </c>
      <c r="G4" s="8" t="s">
        <v>31</v>
      </c>
    </row>
    <row r="5" customFormat="false" ht="17.15" hidden="false" customHeight="false" outlineLevel="0" collapsed="false">
      <c r="A5" s="0" t="s">
        <v>32</v>
      </c>
      <c r="B5" s="6" t="s">
        <v>33</v>
      </c>
      <c r="C5" s="0" t="s">
        <v>34</v>
      </c>
      <c r="D5" s="0" t="s">
        <v>35</v>
      </c>
      <c r="E5" s="7" t="n">
        <f aca="false">um28_B</f>
        <v>0.8</v>
      </c>
      <c r="F5" s="7" t="n">
        <f aca="false">um29_B</f>
        <v>0.85</v>
      </c>
      <c r="G5" s="8" t="s">
        <v>31</v>
      </c>
    </row>
    <row r="6" customFormat="false" ht="17.15" hidden="false" customHeight="false" outlineLevel="0" collapsed="false">
      <c r="A6" s="0" t="s">
        <v>36</v>
      </c>
      <c r="B6" s="6" t="s">
        <v>37</v>
      </c>
      <c r="C6" s="6" t="s">
        <v>38</v>
      </c>
      <c r="D6" s="0" t="s">
        <v>39</v>
      </c>
      <c r="E6" s="7" t="n">
        <f aca="false">um28_C</f>
        <v>0.6</v>
      </c>
      <c r="F6" s="7" t="n">
        <f aca="false">um29_C</f>
        <v>0.6</v>
      </c>
      <c r="G6" s="8" t="s">
        <v>31</v>
      </c>
    </row>
    <row r="9" customFormat="false" ht="15" hidden="false" customHeight="false" outlineLevel="0" collapsed="false">
      <c r="A9" s="9" t="s">
        <v>40</v>
      </c>
    </row>
    <row r="10" customFormat="false" ht="17.15" hidden="false" customHeight="false" outlineLevel="0" collapsed="false">
      <c r="A10" s="6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42</v>
      </c>
    </row>
    <row r="2" customFormat="false" ht="17.15" hidden="false" customHeight="false" outlineLevel="0" collapsed="false">
      <c r="A2" s="6" t="s">
        <v>43</v>
      </c>
    </row>
    <row r="4" customFormat="false" ht="17.15" hidden="false" customHeight="false" outlineLevel="0" collapsed="false">
      <c r="A4" s="4" t="s">
        <v>44</v>
      </c>
      <c r="B4" s="4" t="s">
        <v>45</v>
      </c>
      <c r="C4" s="4" t="s">
        <v>46</v>
      </c>
      <c r="D4" s="4" t="s">
        <v>47</v>
      </c>
      <c r="E4" s="4" t="s">
        <v>48</v>
      </c>
      <c r="F4" s="4" t="s">
        <v>49</v>
      </c>
      <c r="G4" s="4" t="s">
        <v>50</v>
      </c>
      <c r="H4" s="4" t="s">
        <v>51</v>
      </c>
      <c r="I4" s="5" t="s">
        <v>52</v>
      </c>
      <c r="J4" s="4" t="s">
        <v>53</v>
      </c>
    </row>
    <row r="5" customFormat="false" ht="17.15" hidden="false" customHeight="false" outlineLevel="0" collapsed="false">
      <c r="A5" s="10" t="s">
        <v>54</v>
      </c>
    </row>
    <row r="6" customFormat="false" ht="17.15" hidden="false" customHeight="false" outlineLevel="0" collapsed="false">
      <c r="A6" s="0" t="s">
        <v>55</v>
      </c>
      <c r="B6" s="6" t="s">
        <v>56</v>
      </c>
      <c r="C6" s="0" t="s">
        <v>57</v>
      </c>
      <c r="E6" s="11" t="n">
        <v>-0.025</v>
      </c>
      <c r="G6" s="12" t="s">
        <v>58</v>
      </c>
      <c r="H6" s="12" t="s">
        <v>59</v>
      </c>
      <c r="I6" s="12" t="s">
        <v>60</v>
      </c>
    </row>
    <row r="7" customFormat="false" ht="17.15" hidden="false" customHeight="false" outlineLevel="0" collapsed="false">
      <c r="A7" s="0" t="s">
        <v>61</v>
      </c>
      <c r="B7" s="6" t="s">
        <v>62</v>
      </c>
      <c r="C7" s="0" t="s">
        <v>57</v>
      </c>
      <c r="E7" s="11" t="n">
        <v>0.125</v>
      </c>
      <c r="G7" s="12" t="s">
        <v>58</v>
      </c>
      <c r="H7" s="6" t="s">
        <v>63</v>
      </c>
      <c r="I7" s="12" t="s">
        <v>64</v>
      </c>
    </row>
    <row r="8" customFormat="false" ht="17.15" hidden="false" customHeight="false" outlineLevel="0" collapsed="false">
      <c r="A8" s="0" t="s">
        <v>65</v>
      </c>
      <c r="B8" s="6" t="s">
        <v>66</v>
      </c>
      <c r="C8" s="0" t="s">
        <v>57</v>
      </c>
      <c r="E8" s="11" t="n">
        <v>0.475</v>
      </c>
      <c r="G8" s="12" t="s">
        <v>58</v>
      </c>
      <c r="H8" s="6" t="s">
        <v>63</v>
      </c>
      <c r="I8" s="12" t="s">
        <v>67</v>
      </c>
    </row>
    <row r="9" customFormat="false" ht="17.15" hidden="false" customHeight="false" outlineLevel="0" collapsed="false">
      <c r="A9" s="0" t="s">
        <v>68</v>
      </c>
      <c r="B9" s="6" t="s">
        <v>69</v>
      </c>
      <c r="C9" s="0" t="s">
        <v>57</v>
      </c>
      <c r="E9" s="11" t="n">
        <v>0.95</v>
      </c>
      <c r="G9" s="12" t="s">
        <v>58</v>
      </c>
      <c r="H9" s="6" t="s">
        <v>63</v>
      </c>
      <c r="I9" s="12" t="s">
        <v>70</v>
      </c>
    </row>
    <row r="10" customFormat="false" ht="17.15" hidden="false" customHeight="false" outlineLevel="0" collapsed="false">
      <c r="A10" s="0" t="s">
        <v>71</v>
      </c>
      <c r="B10" s="6" t="s">
        <v>72</v>
      </c>
      <c r="C10" s="0" t="s">
        <v>57</v>
      </c>
      <c r="E10" s="11" t="n">
        <v>0.605</v>
      </c>
      <c r="G10" s="12" t="s">
        <v>58</v>
      </c>
      <c r="H10" s="6" t="s">
        <v>63</v>
      </c>
      <c r="I10" s="12" t="s">
        <v>73</v>
      </c>
    </row>
    <row r="11" customFormat="false" ht="17.15" hidden="false" customHeight="false" outlineLevel="0" collapsed="false">
      <c r="A11" s="0" t="s">
        <v>74</v>
      </c>
      <c r="B11" s="6" t="s">
        <v>75</v>
      </c>
      <c r="C11" s="0" t="s">
        <v>57</v>
      </c>
      <c r="E11" s="11" t="n">
        <v>0.155</v>
      </c>
      <c r="G11" s="12" t="s">
        <v>58</v>
      </c>
      <c r="H11" s="6" t="s">
        <v>63</v>
      </c>
      <c r="I11" s="12" t="s">
        <v>76</v>
      </c>
    </row>
    <row r="12" customFormat="false" ht="17.15" hidden="false" customHeight="false" outlineLevel="0" collapsed="false">
      <c r="A12" s="0" t="s">
        <v>77</v>
      </c>
      <c r="B12" s="6" t="s">
        <v>78</v>
      </c>
      <c r="C12" s="0" t="s">
        <v>57</v>
      </c>
      <c r="E12" s="11" t="n">
        <v>0.125</v>
      </c>
      <c r="G12" s="12" t="s">
        <v>58</v>
      </c>
      <c r="H12" s="6" t="s">
        <v>63</v>
      </c>
      <c r="I12" s="12" t="s">
        <v>79</v>
      </c>
    </row>
    <row r="13" customFormat="false" ht="17.15" hidden="false" customHeight="false" outlineLevel="0" collapsed="false">
      <c r="A13" s="0" t="s">
        <v>80</v>
      </c>
      <c r="B13" s="6" t="s">
        <v>81</v>
      </c>
      <c r="C13" s="0" t="s">
        <v>57</v>
      </c>
      <c r="E13" s="11" t="n">
        <v>0.03</v>
      </c>
      <c r="G13" s="12" t="s">
        <v>58</v>
      </c>
      <c r="H13" s="12" t="s">
        <v>82</v>
      </c>
      <c r="I13" s="12" t="s">
        <v>83</v>
      </c>
    </row>
    <row r="14" customFormat="false" ht="17.15" hidden="false" customHeight="false" outlineLevel="0" collapsed="false">
      <c r="A14" s="0" t="s">
        <v>84</v>
      </c>
      <c r="B14" s="6" t="s">
        <v>85</v>
      </c>
      <c r="C14" s="0" t="s">
        <v>57</v>
      </c>
      <c r="E14" s="11" t="n">
        <v>0</v>
      </c>
      <c r="G14" s="12" t="s">
        <v>58</v>
      </c>
      <c r="H14" s="6" t="s">
        <v>63</v>
      </c>
      <c r="I14" s="12" t="s">
        <v>86</v>
      </c>
    </row>
    <row r="15" customFormat="false" ht="17.15" hidden="false" customHeight="false" outlineLevel="0" collapsed="false">
      <c r="A15" s="0" t="s">
        <v>87</v>
      </c>
      <c r="B15" s="6" t="s">
        <v>88</v>
      </c>
      <c r="C15" s="0" t="s">
        <v>57</v>
      </c>
      <c r="E15" s="11" t="n">
        <v>-0.02</v>
      </c>
      <c r="G15" s="12" t="s">
        <v>58</v>
      </c>
      <c r="H15" s="6" t="s">
        <v>63</v>
      </c>
      <c r="I15" s="12" t="s">
        <v>89</v>
      </c>
    </row>
    <row r="16" customFormat="false" ht="17.15" hidden="false" customHeight="false" outlineLevel="0" collapsed="false">
      <c r="A16" s="0" t="s">
        <v>90</v>
      </c>
      <c r="B16" s="6" t="s">
        <v>91</v>
      </c>
      <c r="C16" s="0" t="s">
        <v>57</v>
      </c>
      <c r="E16" s="11" t="n">
        <v>-0.03</v>
      </c>
      <c r="G16" s="12" t="s">
        <v>58</v>
      </c>
      <c r="H16" s="6" t="s">
        <v>63</v>
      </c>
      <c r="I16" s="12" t="s">
        <v>92</v>
      </c>
    </row>
    <row r="17" customFormat="false" ht="17.15" hidden="false" customHeight="false" outlineLevel="0" collapsed="false">
      <c r="A17" s="0" t="s">
        <v>93</v>
      </c>
      <c r="B17" s="6" t="s">
        <v>94</v>
      </c>
      <c r="C17" s="0" t="s">
        <v>57</v>
      </c>
      <c r="E17" s="11" t="n">
        <v>-0.03</v>
      </c>
      <c r="G17" s="12" t="s">
        <v>58</v>
      </c>
      <c r="H17" s="6" t="s">
        <v>63</v>
      </c>
      <c r="I17" s="12" t="s">
        <v>95</v>
      </c>
    </row>
    <row r="18" customFormat="false" ht="17.15" hidden="false" customHeight="false" outlineLevel="0" collapsed="false">
      <c r="A18" s="0" t="s">
        <v>96</v>
      </c>
      <c r="B18" s="6" t="s">
        <v>97</v>
      </c>
      <c r="C18" s="0" t="s">
        <v>57</v>
      </c>
      <c r="E18" s="11" t="n">
        <v>-0.03</v>
      </c>
      <c r="G18" s="12" t="s">
        <v>58</v>
      </c>
      <c r="H18" s="6" t="s">
        <v>63</v>
      </c>
      <c r="I18" s="12" t="s">
        <v>98</v>
      </c>
    </row>
    <row r="19" customFormat="false" ht="17.15" hidden="false" customHeight="false" outlineLevel="0" collapsed="false">
      <c r="A19" s="0" t="s">
        <v>99</v>
      </c>
      <c r="B19" s="6" t="s">
        <v>100</v>
      </c>
      <c r="C19" s="0" t="s">
        <v>57</v>
      </c>
      <c r="E19" s="11" t="n">
        <v>-0.02</v>
      </c>
      <c r="G19" s="12" t="s">
        <v>58</v>
      </c>
      <c r="H19" s="6" t="s">
        <v>63</v>
      </c>
      <c r="I19" s="12" t="s">
        <v>101</v>
      </c>
    </row>
    <row r="20" customFormat="false" ht="17.15" hidden="false" customHeight="false" outlineLevel="0" collapsed="false">
      <c r="A20" s="0" t="s">
        <v>102</v>
      </c>
      <c r="B20" s="6" t="s">
        <v>103</v>
      </c>
      <c r="C20" s="0" t="s">
        <v>57</v>
      </c>
      <c r="E20" s="11" t="n">
        <v>-0.02</v>
      </c>
      <c r="G20" s="12" t="s">
        <v>58</v>
      </c>
      <c r="H20" s="6" t="s">
        <v>63</v>
      </c>
      <c r="I20" s="12" t="s">
        <v>104</v>
      </c>
    </row>
    <row r="21" customFormat="false" ht="17.15" hidden="false" customHeight="false" outlineLevel="0" collapsed="false">
      <c r="A21" s="0" t="s">
        <v>105</v>
      </c>
      <c r="B21" s="6" t="s">
        <v>106</v>
      </c>
      <c r="C21" s="0" t="s">
        <v>57</v>
      </c>
      <c r="E21" s="11" t="n">
        <v>-0.03</v>
      </c>
      <c r="G21" s="12" t="s">
        <v>58</v>
      </c>
      <c r="H21" s="6" t="s">
        <v>63</v>
      </c>
      <c r="I21" s="12" t="s">
        <v>107</v>
      </c>
    </row>
    <row r="22" customFormat="false" ht="17.15" hidden="false" customHeight="false" outlineLevel="0" collapsed="false">
      <c r="A22" s="0" t="s">
        <v>108</v>
      </c>
      <c r="B22" s="6" t="s">
        <v>109</v>
      </c>
      <c r="C22" s="0" t="s">
        <v>57</v>
      </c>
      <c r="E22" s="11" t="n">
        <v>-0.03</v>
      </c>
      <c r="G22" s="12" t="s">
        <v>58</v>
      </c>
      <c r="H22" s="6" t="s">
        <v>63</v>
      </c>
      <c r="I22" s="12" t="s">
        <v>110</v>
      </c>
    </row>
    <row r="23" customFormat="false" ht="17.15" hidden="false" customHeight="false" outlineLevel="0" collapsed="false">
      <c r="A23" s="0" t="s">
        <v>111</v>
      </c>
      <c r="B23" s="6" t="s">
        <v>112</v>
      </c>
      <c r="C23" s="0" t="s">
        <v>57</v>
      </c>
      <c r="E23" s="11" t="n">
        <v>-0.02</v>
      </c>
      <c r="G23" s="12" t="s">
        <v>58</v>
      </c>
      <c r="H23" s="6" t="s">
        <v>63</v>
      </c>
      <c r="I23" s="12" t="s">
        <v>113</v>
      </c>
    </row>
    <row r="24" customFormat="false" ht="17.15" hidden="false" customHeight="false" outlineLevel="0" collapsed="false">
      <c r="A24" s="0" t="s">
        <v>114</v>
      </c>
      <c r="B24" s="6" t="s">
        <v>115</v>
      </c>
      <c r="C24" s="0" t="s">
        <v>57</v>
      </c>
      <c r="E24" s="11" t="n">
        <v>-0.02</v>
      </c>
      <c r="G24" s="12" t="s">
        <v>58</v>
      </c>
      <c r="H24" s="6" t="s">
        <v>63</v>
      </c>
      <c r="I24" s="12" t="s">
        <v>116</v>
      </c>
    </row>
    <row r="25" customFormat="false" ht="17.15" hidden="false" customHeight="false" outlineLevel="0" collapsed="false">
      <c r="A25" s="0" t="s">
        <v>117</v>
      </c>
      <c r="B25" s="6" t="s">
        <v>118</v>
      </c>
      <c r="C25" s="0" t="s">
        <v>57</v>
      </c>
      <c r="E25" s="11" t="n">
        <v>0.05</v>
      </c>
      <c r="G25" s="12" t="s">
        <v>58</v>
      </c>
      <c r="H25" s="12" t="s">
        <v>119</v>
      </c>
      <c r="I25" s="12" t="s">
        <v>120</v>
      </c>
    </row>
    <row r="26" customFormat="false" ht="17.15" hidden="false" customHeight="false" outlineLevel="0" collapsed="false">
      <c r="A26" s="0" t="s">
        <v>121</v>
      </c>
      <c r="B26" s="6" t="s">
        <v>122</v>
      </c>
      <c r="C26" s="0" t="s">
        <v>57</v>
      </c>
      <c r="E26" s="11" t="n">
        <v>0.02</v>
      </c>
      <c r="G26" s="12" t="s">
        <v>58</v>
      </c>
      <c r="H26" s="6" t="s">
        <v>63</v>
      </c>
      <c r="I26" s="12" t="s">
        <v>123</v>
      </c>
    </row>
    <row r="27" customFormat="false" ht="17.15" hidden="false" customHeight="false" outlineLevel="0" collapsed="false">
      <c r="A27" s="0" t="s">
        <v>124</v>
      </c>
      <c r="B27" s="6" t="s">
        <v>125</v>
      </c>
      <c r="C27" s="0" t="s">
        <v>57</v>
      </c>
      <c r="E27" s="11" t="n">
        <v>-0.08</v>
      </c>
      <c r="G27" s="12" t="s">
        <v>58</v>
      </c>
      <c r="H27" s="6" t="s">
        <v>63</v>
      </c>
      <c r="I27" s="12" t="s">
        <v>126</v>
      </c>
    </row>
    <row r="28" customFormat="false" ht="17.15" hidden="false" customHeight="false" outlineLevel="0" collapsed="false">
      <c r="A28" s="0" t="s">
        <v>127</v>
      </c>
      <c r="B28" s="6" t="s">
        <v>128</v>
      </c>
      <c r="C28" s="0" t="s">
        <v>57</v>
      </c>
      <c r="E28" s="11" t="n">
        <v>-0.15</v>
      </c>
      <c r="G28" s="12" t="s">
        <v>58</v>
      </c>
      <c r="H28" s="6" t="s">
        <v>63</v>
      </c>
      <c r="I28" s="12" t="s">
        <v>129</v>
      </c>
    </row>
    <row r="29" customFormat="false" ht="17.15" hidden="false" customHeight="false" outlineLevel="0" collapsed="false">
      <c r="A29" s="0" t="s">
        <v>130</v>
      </c>
      <c r="B29" s="6" t="s">
        <v>131</v>
      </c>
      <c r="C29" s="0" t="s">
        <v>57</v>
      </c>
      <c r="E29" s="11" t="n">
        <v>-0.25</v>
      </c>
      <c r="G29" s="12" t="s">
        <v>58</v>
      </c>
      <c r="H29" s="6" t="s">
        <v>63</v>
      </c>
      <c r="I29" s="12" t="s">
        <v>132</v>
      </c>
    </row>
    <row r="30" customFormat="false" ht="17.15" hidden="false" customHeight="false" outlineLevel="0" collapsed="false">
      <c r="A30" s="0" t="s">
        <v>133</v>
      </c>
      <c r="B30" s="6" t="s">
        <v>134</v>
      </c>
      <c r="C30" s="0" t="s">
        <v>57</v>
      </c>
      <c r="E30" s="11" t="n">
        <v>-0.15</v>
      </c>
      <c r="G30" s="12" t="s">
        <v>58</v>
      </c>
      <c r="H30" s="6" t="s">
        <v>63</v>
      </c>
      <c r="I30" s="12" t="s">
        <v>135</v>
      </c>
    </row>
    <row r="31" customFormat="false" ht="17.15" hidden="false" customHeight="false" outlineLevel="0" collapsed="false">
      <c r="A31" s="0" t="s">
        <v>136</v>
      </c>
      <c r="B31" s="6" t="s">
        <v>137</v>
      </c>
      <c r="C31" s="0" t="s">
        <v>57</v>
      </c>
      <c r="E31" s="11" t="n">
        <v>-0.1</v>
      </c>
      <c r="G31" s="12" t="s">
        <v>58</v>
      </c>
      <c r="H31" s="6" t="s">
        <v>63</v>
      </c>
      <c r="I31" s="12" t="s">
        <v>138</v>
      </c>
    </row>
    <row r="32" customFormat="false" ht="17.15" hidden="false" customHeight="false" outlineLevel="0" collapsed="false">
      <c r="A32" s="0" t="s">
        <v>139</v>
      </c>
      <c r="B32" s="6" t="s">
        <v>140</v>
      </c>
      <c r="C32" s="0" t="s">
        <v>57</v>
      </c>
      <c r="E32" s="11" t="n">
        <v>-0.05</v>
      </c>
      <c r="G32" s="12" t="s">
        <v>58</v>
      </c>
      <c r="H32" s="6" t="s">
        <v>63</v>
      </c>
      <c r="I32" s="12" t="s">
        <v>141</v>
      </c>
    </row>
    <row r="33" customFormat="false" ht="17.15" hidden="false" customHeight="false" outlineLevel="0" collapsed="false">
      <c r="A33" s="0" t="s">
        <v>142</v>
      </c>
      <c r="B33" s="6" t="s">
        <v>143</v>
      </c>
      <c r="C33" s="0" t="s">
        <v>57</v>
      </c>
      <c r="E33" s="11" t="n">
        <v>0.05</v>
      </c>
      <c r="G33" s="12" t="s">
        <v>58</v>
      </c>
      <c r="H33" s="6" t="s">
        <v>63</v>
      </c>
      <c r="I33" s="12" t="s">
        <v>144</v>
      </c>
    </row>
    <row r="34" customFormat="false" ht="17.15" hidden="false" customHeight="false" outlineLevel="0" collapsed="false">
      <c r="A34" s="0" t="s">
        <v>145</v>
      </c>
      <c r="B34" s="6" t="s">
        <v>146</v>
      </c>
      <c r="C34" s="0" t="s">
        <v>57</v>
      </c>
      <c r="E34" s="11" t="n">
        <v>0.05</v>
      </c>
      <c r="G34" s="12" t="s">
        <v>58</v>
      </c>
      <c r="H34" s="6" t="s">
        <v>63</v>
      </c>
      <c r="I34" s="12" t="s">
        <v>147</v>
      </c>
    </row>
    <row r="35" customFormat="false" ht="17.15" hidden="false" customHeight="false" outlineLevel="0" collapsed="false">
      <c r="A35" s="0" t="s">
        <v>148</v>
      </c>
      <c r="B35" s="6" t="s">
        <v>149</v>
      </c>
      <c r="C35" s="0" t="s">
        <v>57</v>
      </c>
      <c r="E35" s="11" t="n">
        <v>0.03</v>
      </c>
      <c r="G35" s="12" t="s">
        <v>58</v>
      </c>
      <c r="H35" s="6" t="s">
        <v>63</v>
      </c>
      <c r="I35" s="12" t="s">
        <v>150</v>
      </c>
    </row>
    <row r="36" customFormat="false" ht="17.15" hidden="false" customHeight="false" outlineLevel="0" collapsed="false">
      <c r="A36" s="0" t="s">
        <v>151</v>
      </c>
      <c r="B36" s="6" t="s">
        <v>152</v>
      </c>
      <c r="C36" s="0" t="s">
        <v>57</v>
      </c>
      <c r="E36" s="11" t="n">
        <v>0.03</v>
      </c>
      <c r="G36" s="12" t="s">
        <v>58</v>
      </c>
      <c r="H36" s="6" t="s">
        <v>63</v>
      </c>
      <c r="I36" s="12" t="s">
        <v>153</v>
      </c>
    </row>
    <row r="37" customFormat="false" ht="17.15" hidden="false" customHeight="false" outlineLevel="0" collapsed="false">
      <c r="A37" s="0" t="s">
        <v>154</v>
      </c>
      <c r="B37" s="6" t="s">
        <v>155</v>
      </c>
      <c r="C37" s="0" t="s">
        <v>57</v>
      </c>
      <c r="D37" s="11" t="n">
        <v>0</v>
      </c>
      <c r="E37" s="11" t="n">
        <v>0.05</v>
      </c>
      <c r="F37" s="11" t="n">
        <v>0.1</v>
      </c>
      <c r="G37" s="12" t="s">
        <v>156</v>
      </c>
      <c r="H37" s="12" t="s">
        <v>157</v>
      </c>
      <c r="I37" s="12" t="s">
        <v>158</v>
      </c>
    </row>
    <row r="38" customFormat="false" ht="17.15" hidden="false" customHeight="false" outlineLevel="0" collapsed="false">
      <c r="A38" s="0" t="s">
        <v>159</v>
      </c>
      <c r="B38" s="6" t="s">
        <v>160</v>
      </c>
      <c r="C38" s="0" t="s">
        <v>57</v>
      </c>
      <c r="D38" s="11" t="n">
        <v>-0.03</v>
      </c>
      <c r="E38" s="11" t="n">
        <v>0.02</v>
      </c>
      <c r="F38" s="11" t="n">
        <v>0.07</v>
      </c>
      <c r="G38" s="12" t="s">
        <v>156</v>
      </c>
      <c r="H38" s="6" t="s">
        <v>63</v>
      </c>
      <c r="I38" s="12" t="s">
        <v>161</v>
      </c>
    </row>
    <row r="39" customFormat="false" ht="17.15" hidden="false" customHeight="false" outlineLevel="0" collapsed="false">
      <c r="A39" s="0" t="s">
        <v>162</v>
      </c>
      <c r="B39" s="6" t="s">
        <v>163</v>
      </c>
      <c r="C39" s="0" t="s">
        <v>57</v>
      </c>
      <c r="D39" s="11" t="n">
        <v>-0.13</v>
      </c>
      <c r="E39" s="11" t="n">
        <v>-0.08</v>
      </c>
      <c r="F39" s="11" t="n">
        <v>-0.03</v>
      </c>
      <c r="G39" s="12" t="s">
        <v>156</v>
      </c>
      <c r="H39" s="6" t="s">
        <v>63</v>
      </c>
      <c r="I39" s="12" t="s">
        <v>164</v>
      </c>
    </row>
    <row r="40" customFormat="false" ht="17.15" hidden="false" customHeight="false" outlineLevel="0" collapsed="false">
      <c r="A40" s="0" t="s">
        <v>165</v>
      </c>
      <c r="B40" s="6" t="s">
        <v>166</v>
      </c>
      <c r="C40" s="0" t="s">
        <v>57</v>
      </c>
      <c r="D40" s="11" t="n">
        <v>-0.2</v>
      </c>
      <c r="E40" s="11" t="n">
        <v>-0.15</v>
      </c>
      <c r="F40" s="11" t="n">
        <v>-0.1</v>
      </c>
      <c r="G40" s="12" t="s">
        <v>156</v>
      </c>
      <c r="H40" s="6" t="s">
        <v>63</v>
      </c>
      <c r="I40" s="12" t="s">
        <v>167</v>
      </c>
    </row>
    <row r="41" customFormat="false" ht="17.15" hidden="false" customHeight="false" outlineLevel="0" collapsed="false">
      <c r="A41" s="0" t="s">
        <v>168</v>
      </c>
      <c r="B41" s="6" t="s">
        <v>169</v>
      </c>
      <c r="C41" s="0" t="s">
        <v>57</v>
      </c>
      <c r="D41" s="11" t="n">
        <v>-0.45</v>
      </c>
      <c r="E41" s="11" t="n">
        <v>-0.35</v>
      </c>
      <c r="F41" s="11" t="n">
        <v>-0.25</v>
      </c>
      <c r="G41" s="12" t="s">
        <v>156</v>
      </c>
      <c r="H41" s="6" t="s">
        <v>63</v>
      </c>
      <c r="I41" s="12" t="s">
        <v>170</v>
      </c>
    </row>
    <row r="42" customFormat="false" ht="17.15" hidden="false" customHeight="false" outlineLevel="0" collapsed="false">
      <c r="A42" s="0" t="s">
        <v>171</v>
      </c>
      <c r="B42" s="6" t="s">
        <v>172</v>
      </c>
      <c r="C42" s="0" t="s">
        <v>57</v>
      </c>
      <c r="D42" s="11" t="n">
        <v>-0.4</v>
      </c>
      <c r="E42" s="11" t="n">
        <v>-0.3</v>
      </c>
      <c r="F42" s="11" t="n">
        <v>-0.2</v>
      </c>
      <c r="G42" s="12" t="s">
        <v>156</v>
      </c>
      <c r="H42" s="6" t="s">
        <v>63</v>
      </c>
      <c r="I42" s="12" t="s">
        <v>173</v>
      </c>
    </row>
    <row r="43" customFormat="false" ht="17.15" hidden="false" customHeight="false" outlineLevel="0" collapsed="false">
      <c r="A43" s="0" t="s">
        <v>174</v>
      </c>
      <c r="B43" s="6" t="s">
        <v>175</v>
      </c>
      <c r="C43" s="0" t="s">
        <v>57</v>
      </c>
      <c r="D43" s="11" t="n">
        <v>-0.35</v>
      </c>
      <c r="E43" s="11" t="n">
        <v>-0.25</v>
      </c>
      <c r="F43" s="11" t="n">
        <v>-0.15</v>
      </c>
      <c r="G43" s="12" t="s">
        <v>156</v>
      </c>
      <c r="H43" s="6" t="s">
        <v>63</v>
      </c>
      <c r="I43" s="12" t="s">
        <v>176</v>
      </c>
    </row>
    <row r="44" customFormat="false" ht="17.15" hidden="false" customHeight="false" outlineLevel="0" collapsed="false">
      <c r="A44" s="0" t="s">
        <v>177</v>
      </c>
      <c r="B44" s="6" t="s">
        <v>178</v>
      </c>
      <c r="C44" s="0" t="s">
        <v>57</v>
      </c>
      <c r="D44" s="11" t="n">
        <v>-0.3</v>
      </c>
      <c r="E44" s="11" t="n">
        <v>-0.2</v>
      </c>
      <c r="F44" s="11" t="n">
        <v>-0.1</v>
      </c>
      <c r="G44" s="12" t="s">
        <v>156</v>
      </c>
      <c r="H44" s="6" t="s">
        <v>63</v>
      </c>
      <c r="I44" s="12" t="s">
        <v>179</v>
      </c>
    </row>
    <row r="45" customFormat="false" ht="17.15" hidden="false" customHeight="false" outlineLevel="0" collapsed="false">
      <c r="A45" s="0" t="s">
        <v>180</v>
      </c>
      <c r="B45" s="6" t="s">
        <v>181</v>
      </c>
      <c r="C45" s="0" t="s">
        <v>57</v>
      </c>
      <c r="D45" s="11" t="n">
        <v>-0.1</v>
      </c>
      <c r="E45" s="11" t="n">
        <v>0</v>
      </c>
      <c r="F45" s="11" t="n">
        <v>0.1</v>
      </c>
      <c r="G45" s="12" t="s">
        <v>156</v>
      </c>
      <c r="H45" s="6" t="s">
        <v>63</v>
      </c>
      <c r="I45" s="12" t="s">
        <v>182</v>
      </c>
    </row>
    <row r="46" customFormat="false" ht="17.15" hidden="false" customHeight="false" outlineLevel="0" collapsed="false">
      <c r="A46" s="0" t="s">
        <v>183</v>
      </c>
      <c r="B46" s="6" t="s">
        <v>184</v>
      </c>
      <c r="C46" s="0" t="s">
        <v>57</v>
      </c>
      <c r="D46" s="11" t="n">
        <v>-0.05</v>
      </c>
      <c r="E46" s="11" t="n">
        <v>0.05</v>
      </c>
      <c r="F46" s="11" t="n">
        <v>0.15</v>
      </c>
      <c r="G46" s="12" t="s">
        <v>156</v>
      </c>
      <c r="H46" s="6" t="s">
        <v>63</v>
      </c>
      <c r="I46" s="12" t="s">
        <v>185</v>
      </c>
    </row>
    <row r="47" customFormat="false" ht="17.15" hidden="false" customHeight="false" outlineLevel="0" collapsed="false">
      <c r="A47" s="0" t="s">
        <v>186</v>
      </c>
      <c r="B47" s="6" t="s">
        <v>187</v>
      </c>
      <c r="C47" s="0" t="s">
        <v>57</v>
      </c>
      <c r="D47" s="11" t="n">
        <v>-0.02</v>
      </c>
      <c r="E47" s="11" t="n">
        <v>0.08</v>
      </c>
      <c r="F47" s="11" t="n">
        <v>0.18</v>
      </c>
      <c r="G47" s="12" t="s">
        <v>156</v>
      </c>
      <c r="H47" s="6" t="s">
        <v>63</v>
      </c>
      <c r="I47" s="12" t="s">
        <v>188</v>
      </c>
    </row>
    <row r="48" customFormat="false" ht="17.15" hidden="false" customHeight="false" outlineLevel="0" collapsed="false">
      <c r="A48" s="0" t="s">
        <v>189</v>
      </c>
      <c r="B48" s="6" t="s">
        <v>190</v>
      </c>
      <c r="C48" s="0" t="s">
        <v>57</v>
      </c>
      <c r="D48" s="11" t="n">
        <v>0</v>
      </c>
      <c r="E48" s="11" t="n">
        <v>0.1</v>
      </c>
      <c r="F48" s="11" t="n">
        <v>0.2</v>
      </c>
      <c r="G48" s="12" t="s">
        <v>156</v>
      </c>
      <c r="H48" s="6" t="s">
        <v>63</v>
      </c>
      <c r="I48" s="12" t="s">
        <v>191</v>
      </c>
    </row>
    <row r="49" customFormat="false" ht="17.15" hidden="false" customHeight="false" outlineLevel="0" collapsed="false">
      <c r="A49" s="0" t="s">
        <v>192</v>
      </c>
      <c r="B49" s="0" t="s">
        <v>193</v>
      </c>
      <c r="C49" s="0" t="s">
        <v>57</v>
      </c>
      <c r="E49" s="11" t="n">
        <v>0</v>
      </c>
      <c r="G49" s="12" t="s">
        <v>58</v>
      </c>
      <c r="H49" s="12" t="s">
        <v>194</v>
      </c>
      <c r="I49" s="12" t="s">
        <v>195</v>
      </c>
    </row>
    <row r="50" customFormat="false" ht="17.15" hidden="false" customHeight="false" outlineLevel="0" collapsed="false">
      <c r="A50" s="0" t="s">
        <v>196</v>
      </c>
      <c r="B50" s="0" t="s">
        <v>197</v>
      </c>
      <c r="C50" s="0" t="s">
        <v>57</v>
      </c>
      <c r="E50" s="11" t="n">
        <v>0.05</v>
      </c>
      <c r="G50" s="12" t="s">
        <v>58</v>
      </c>
      <c r="H50" s="6" t="s">
        <v>63</v>
      </c>
      <c r="I50" s="12" t="s">
        <v>198</v>
      </c>
    </row>
    <row r="51" customFormat="false" ht="17.15" hidden="false" customHeight="false" outlineLevel="0" collapsed="false">
      <c r="A51" s="0" t="s">
        <v>199</v>
      </c>
      <c r="B51" s="0" t="s">
        <v>200</v>
      </c>
      <c r="C51" s="0" t="s">
        <v>57</v>
      </c>
      <c r="E51" s="11" t="n">
        <v>0.3</v>
      </c>
      <c r="G51" s="12" t="s">
        <v>58</v>
      </c>
      <c r="H51" s="6" t="s">
        <v>63</v>
      </c>
      <c r="I51" s="12" t="s">
        <v>201</v>
      </c>
    </row>
    <row r="52" customFormat="false" ht="17.15" hidden="false" customHeight="false" outlineLevel="0" collapsed="false">
      <c r="A52" s="0" t="s">
        <v>202</v>
      </c>
      <c r="B52" s="0" t="s">
        <v>203</v>
      </c>
      <c r="C52" s="0" t="s">
        <v>57</v>
      </c>
      <c r="E52" s="11" t="n">
        <v>0.875</v>
      </c>
      <c r="G52" s="12" t="s">
        <v>58</v>
      </c>
      <c r="H52" s="6" t="s">
        <v>63</v>
      </c>
      <c r="I52" s="12" t="s">
        <v>204</v>
      </c>
    </row>
    <row r="53" customFormat="false" ht="17.15" hidden="false" customHeight="false" outlineLevel="0" collapsed="false">
      <c r="A53" s="0" t="s">
        <v>205</v>
      </c>
      <c r="B53" s="0" t="s">
        <v>206</v>
      </c>
      <c r="C53" s="0" t="s">
        <v>57</v>
      </c>
      <c r="E53" s="11" t="n">
        <v>0.725</v>
      </c>
      <c r="G53" s="12" t="s">
        <v>58</v>
      </c>
      <c r="H53" s="6" t="s">
        <v>63</v>
      </c>
      <c r="I53" s="12" t="s">
        <v>207</v>
      </c>
    </row>
    <row r="54" customFormat="false" ht="17.15" hidden="false" customHeight="false" outlineLevel="0" collapsed="false">
      <c r="A54" s="0" t="s">
        <v>208</v>
      </c>
      <c r="B54" s="0" t="s">
        <v>209</v>
      </c>
      <c r="C54" s="0" t="s">
        <v>57</v>
      </c>
      <c r="E54" s="11" t="n">
        <v>0.15</v>
      </c>
      <c r="G54" s="12" t="s">
        <v>58</v>
      </c>
      <c r="H54" s="6" t="s">
        <v>63</v>
      </c>
      <c r="I54" s="12" t="s">
        <v>210</v>
      </c>
    </row>
    <row r="55" customFormat="false" ht="17.15" hidden="false" customHeight="false" outlineLevel="0" collapsed="false">
      <c r="A55" s="0" t="s">
        <v>211</v>
      </c>
      <c r="B55" s="0" t="s">
        <v>212</v>
      </c>
      <c r="C55" s="0" t="s">
        <v>57</v>
      </c>
      <c r="E55" s="11" t="n">
        <v>0.175</v>
      </c>
      <c r="G55" s="12" t="s">
        <v>58</v>
      </c>
      <c r="H55" s="6" t="s">
        <v>63</v>
      </c>
      <c r="I55" s="12" t="s">
        <v>213</v>
      </c>
    </row>
    <row r="56" customFormat="false" ht="17.15" hidden="false" customHeight="false" outlineLevel="0" collapsed="false">
      <c r="A56" s="0" t="s">
        <v>214</v>
      </c>
      <c r="B56" s="0" t="s">
        <v>215</v>
      </c>
      <c r="C56" s="0" t="s">
        <v>57</v>
      </c>
      <c r="E56" s="11" t="n">
        <v>0.03</v>
      </c>
      <c r="G56" s="12" t="s">
        <v>58</v>
      </c>
      <c r="H56" s="12" t="s">
        <v>216</v>
      </c>
      <c r="I56" s="12" t="s">
        <v>217</v>
      </c>
    </row>
    <row r="57" customFormat="false" ht="17.15" hidden="false" customHeight="false" outlineLevel="0" collapsed="false">
      <c r="A57" s="0" t="s">
        <v>218</v>
      </c>
      <c r="B57" s="0" t="s">
        <v>219</v>
      </c>
      <c r="C57" s="0" t="s">
        <v>57</v>
      </c>
      <c r="E57" s="11" t="n">
        <v>0</v>
      </c>
      <c r="G57" s="12" t="s">
        <v>58</v>
      </c>
      <c r="H57" s="6" t="s">
        <v>63</v>
      </c>
      <c r="I57" s="12" t="s">
        <v>220</v>
      </c>
    </row>
    <row r="58" customFormat="false" ht="17.15" hidden="false" customHeight="false" outlineLevel="0" collapsed="false">
      <c r="A58" s="0" t="s">
        <v>221</v>
      </c>
      <c r="B58" s="0" t="s">
        <v>222</v>
      </c>
      <c r="C58" s="0" t="s">
        <v>57</v>
      </c>
      <c r="E58" s="11" t="n">
        <v>-0.05</v>
      </c>
      <c r="G58" s="12" t="s">
        <v>58</v>
      </c>
      <c r="H58" s="6" t="s">
        <v>63</v>
      </c>
      <c r="I58" s="12" t="s">
        <v>223</v>
      </c>
    </row>
    <row r="59" customFormat="false" ht="17.15" hidden="false" customHeight="false" outlineLevel="0" collapsed="false">
      <c r="A59" s="0" t="s">
        <v>224</v>
      </c>
      <c r="B59" s="0" t="s">
        <v>225</v>
      </c>
      <c r="C59" s="0" t="s">
        <v>57</v>
      </c>
      <c r="E59" s="11" t="n">
        <v>-0.07</v>
      </c>
      <c r="G59" s="12" t="s">
        <v>58</v>
      </c>
      <c r="H59" s="6" t="s">
        <v>63</v>
      </c>
      <c r="I59" s="12" t="s">
        <v>226</v>
      </c>
    </row>
    <row r="60" customFormat="false" ht="17.15" hidden="false" customHeight="false" outlineLevel="0" collapsed="false">
      <c r="A60" s="0" t="s">
        <v>227</v>
      </c>
      <c r="B60" s="0" t="s">
        <v>228</v>
      </c>
      <c r="C60" s="0" t="s">
        <v>57</v>
      </c>
      <c r="E60" s="11" t="n">
        <v>-0.05</v>
      </c>
      <c r="G60" s="12" t="s">
        <v>58</v>
      </c>
      <c r="H60" s="6" t="s">
        <v>63</v>
      </c>
      <c r="I60" s="12" t="s">
        <v>229</v>
      </c>
    </row>
    <row r="61" customFormat="false" ht="17.15" hidden="false" customHeight="false" outlineLevel="0" collapsed="false">
      <c r="A61" s="0" t="s">
        <v>230</v>
      </c>
      <c r="B61" s="0" t="s">
        <v>231</v>
      </c>
      <c r="C61" s="0" t="s">
        <v>57</v>
      </c>
      <c r="E61" s="11" t="n">
        <v>-0.05</v>
      </c>
      <c r="G61" s="12" t="s">
        <v>58</v>
      </c>
      <c r="H61" s="6" t="s">
        <v>63</v>
      </c>
      <c r="I61" s="12" t="s">
        <v>232</v>
      </c>
    </row>
    <row r="62" customFormat="false" ht="17.15" hidden="false" customHeight="false" outlineLevel="0" collapsed="false">
      <c r="A62" s="0" t="s">
        <v>233</v>
      </c>
      <c r="B62" s="0" t="s">
        <v>234</v>
      </c>
      <c r="C62" s="0" t="s">
        <v>57</v>
      </c>
      <c r="E62" s="11" t="n">
        <v>-0.05</v>
      </c>
      <c r="G62" s="12" t="s">
        <v>58</v>
      </c>
      <c r="H62" s="6" t="s">
        <v>63</v>
      </c>
      <c r="I62" s="12" t="s">
        <v>235</v>
      </c>
    </row>
    <row r="63" customFormat="false" ht="17.15" hidden="false" customHeight="false" outlineLevel="0" collapsed="false">
      <c r="A63" s="0" t="s">
        <v>236</v>
      </c>
      <c r="B63" s="0" t="s">
        <v>237</v>
      </c>
      <c r="C63" s="0" t="s">
        <v>57</v>
      </c>
      <c r="E63" s="11" t="n">
        <v>-0.05</v>
      </c>
      <c r="G63" s="12" t="s">
        <v>58</v>
      </c>
      <c r="H63" s="6" t="s">
        <v>63</v>
      </c>
      <c r="I63" s="12" t="s">
        <v>238</v>
      </c>
    </row>
    <row r="64" customFormat="false" ht="17.15" hidden="false" customHeight="false" outlineLevel="0" collapsed="false">
      <c r="A64" s="0" t="s">
        <v>239</v>
      </c>
      <c r="B64" s="0" t="s">
        <v>240</v>
      </c>
      <c r="C64" s="0" t="s">
        <v>57</v>
      </c>
      <c r="E64" s="11" t="n">
        <v>-0.03</v>
      </c>
      <c r="G64" s="12" t="s">
        <v>58</v>
      </c>
      <c r="H64" s="6" t="s">
        <v>63</v>
      </c>
      <c r="I64" s="12" t="s">
        <v>241</v>
      </c>
    </row>
    <row r="65" customFormat="false" ht="17.15" hidden="false" customHeight="false" outlineLevel="0" collapsed="false">
      <c r="A65" s="0" t="s">
        <v>242</v>
      </c>
      <c r="B65" s="0" t="s">
        <v>243</v>
      </c>
      <c r="C65" s="0" t="s">
        <v>57</v>
      </c>
      <c r="E65" s="11" t="n">
        <v>-0.03</v>
      </c>
      <c r="G65" s="12" t="s">
        <v>58</v>
      </c>
      <c r="H65" s="6" t="s">
        <v>63</v>
      </c>
      <c r="I65" s="12" t="s">
        <v>244</v>
      </c>
    </row>
    <row r="66" customFormat="false" ht="17.15" hidden="false" customHeight="false" outlineLevel="0" collapsed="false">
      <c r="A66" s="0" t="s">
        <v>245</v>
      </c>
      <c r="B66" s="0" t="s">
        <v>246</v>
      </c>
      <c r="C66" s="0" t="s">
        <v>57</v>
      </c>
      <c r="E66" s="11" t="n">
        <v>-0.03</v>
      </c>
      <c r="G66" s="12" t="s">
        <v>58</v>
      </c>
      <c r="H66" s="6" t="s">
        <v>63</v>
      </c>
      <c r="I66" s="12" t="s">
        <v>247</v>
      </c>
    </row>
    <row r="67" customFormat="false" ht="17.15" hidden="false" customHeight="false" outlineLevel="0" collapsed="false">
      <c r="A67" s="0" t="s">
        <v>248</v>
      </c>
      <c r="B67" s="0" t="s">
        <v>249</v>
      </c>
      <c r="C67" s="0" t="s">
        <v>57</v>
      </c>
      <c r="E67" s="11" t="n">
        <v>-0.03</v>
      </c>
      <c r="G67" s="12" t="s">
        <v>58</v>
      </c>
      <c r="H67" s="6" t="s">
        <v>63</v>
      </c>
      <c r="I67" s="12" t="s">
        <v>250</v>
      </c>
    </row>
    <row r="68" customFormat="false" ht="17.15" hidden="false" customHeight="false" outlineLevel="0" collapsed="false">
      <c r="A68" s="0" t="s">
        <v>251</v>
      </c>
      <c r="B68" s="0" t="s">
        <v>252</v>
      </c>
      <c r="C68" s="0" t="s">
        <v>57</v>
      </c>
      <c r="E68" s="11" t="n">
        <v>0.05</v>
      </c>
      <c r="G68" s="12" t="s">
        <v>58</v>
      </c>
      <c r="H68" s="12" t="s">
        <v>253</v>
      </c>
      <c r="I68" s="12" t="s">
        <v>254</v>
      </c>
    </row>
    <row r="69" customFormat="false" ht="17.15" hidden="false" customHeight="false" outlineLevel="0" collapsed="false">
      <c r="A69" s="0" t="s">
        <v>255</v>
      </c>
      <c r="B69" s="0" t="s">
        <v>256</v>
      </c>
      <c r="C69" s="0" t="s">
        <v>57</v>
      </c>
      <c r="E69" s="11" t="n">
        <v>0.02</v>
      </c>
      <c r="G69" s="12" t="s">
        <v>58</v>
      </c>
      <c r="H69" s="6" t="s">
        <v>63</v>
      </c>
      <c r="I69" s="12" t="s">
        <v>257</v>
      </c>
    </row>
    <row r="70" customFormat="false" ht="17.15" hidden="false" customHeight="false" outlineLevel="0" collapsed="false">
      <c r="A70" s="0" t="s">
        <v>258</v>
      </c>
      <c r="B70" s="0" t="s">
        <v>259</v>
      </c>
      <c r="C70" s="0" t="s">
        <v>57</v>
      </c>
      <c r="E70" s="11" t="n">
        <v>-0.1</v>
      </c>
      <c r="G70" s="12" t="s">
        <v>58</v>
      </c>
      <c r="H70" s="6" t="s">
        <v>63</v>
      </c>
      <c r="I70" s="12" t="s">
        <v>260</v>
      </c>
    </row>
    <row r="71" customFormat="false" ht="17.15" hidden="false" customHeight="false" outlineLevel="0" collapsed="false">
      <c r="A71" s="0" t="s">
        <v>261</v>
      </c>
      <c r="B71" s="0" t="s">
        <v>262</v>
      </c>
      <c r="C71" s="0" t="s">
        <v>57</v>
      </c>
      <c r="E71" s="11" t="n">
        <v>-0.2</v>
      </c>
      <c r="G71" s="12" t="s">
        <v>58</v>
      </c>
      <c r="H71" s="6" t="s">
        <v>63</v>
      </c>
      <c r="I71" s="12" t="s">
        <v>263</v>
      </c>
    </row>
    <row r="72" customFormat="false" ht="17.15" hidden="false" customHeight="false" outlineLevel="0" collapsed="false">
      <c r="A72" s="0" t="s">
        <v>264</v>
      </c>
      <c r="B72" s="0" t="s">
        <v>265</v>
      </c>
      <c r="C72" s="0" t="s">
        <v>57</v>
      </c>
      <c r="E72" s="11" t="n">
        <v>-0.3</v>
      </c>
      <c r="G72" s="12" t="s">
        <v>58</v>
      </c>
      <c r="H72" s="6" t="s">
        <v>63</v>
      </c>
      <c r="I72" s="12" t="s">
        <v>266</v>
      </c>
    </row>
    <row r="73" customFormat="false" ht="17.15" hidden="false" customHeight="false" outlineLevel="0" collapsed="false">
      <c r="A73" s="0" t="s">
        <v>267</v>
      </c>
      <c r="B73" s="0" t="s">
        <v>268</v>
      </c>
      <c r="C73" s="0" t="s">
        <v>57</v>
      </c>
      <c r="E73" s="11" t="n">
        <v>-0.25</v>
      </c>
      <c r="G73" s="12" t="s">
        <v>58</v>
      </c>
      <c r="H73" s="6" t="s">
        <v>63</v>
      </c>
      <c r="I73" s="12" t="s">
        <v>269</v>
      </c>
    </row>
    <row r="74" customFormat="false" ht="17.15" hidden="false" customHeight="false" outlineLevel="0" collapsed="false">
      <c r="A74" s="0" t="s">
        <v>270</v>
      </c>
      <c r="B74" s="0" t="s">
        <v>271</v>
      </c>
      <c r="C74" s="0" t="s">
        <v>57</v>
      </c>
      <c r="E74" s="11" t="n">
        <v>-0.2</v>
      </c>
      <c r="G74" s="12" t="s">
        <v>58</v>
      </c>
      <c r="H74" s="6" t="s">
        <v>63</v>
      </c>
      <c r="I74" s="12" t="s">
        <v>272</v>
      </c>
    </row>
    <row r="75" customFormat="false" ht="17.15" hidden="false" customHeight="false" outlineLevel="0" collapsed="false">
      <c r="A75" s="0" t="s">
        <v>273</v>
      </c>
      <c r="B75" s="0" t="s">
        <v>274</v>
      </c>
      <c r="C75" s="0" t="s">
        <v>57</v>
      </c>
      <c r="E75" s="11" t="n">
        <v>-0.1</v>
      </c>
      <c r="G75" s="12" t="s">
        <v>58</v>
      </c>
      <c r="H75" s="6" t="s">
        <v>63</v>
      </c>
      <c r="I75" s="12" t="s">
        <v>275</v>
      </c>
    </row>
    <row r="76" customFormat="false" ht="17.15" hidden="false" customHeight="false" outlineLevel="0" collapsed="false">
      <c r="A76" s="0" t="s">
        <v>276</v>
      </c>
      <c r="B76" s="0" t="s">
        <v>277</v>
      </c>
      <c r="C76" s="0" t="s">
        <v>57</v>
      </c>
      <c r="E76" s="11" t="n">
        <v>0.05</v>
      </c>
      <c r="G76" s="12" t="s">
        <v>58</v>
      </c>
      <c r="H76" s="6" t="s">
        <v>63</v>
      </c>
      <c r="I76" s="12" t="s">
        <v>278</v>
      </c>
    </row>
    <row r="77" customFormat="false" ht="17.15" hidden="false" customHeight="false" outlineLevel="0" collapsed="false">
      <c r="A77" s="0" t="s">
        <v>279</v>
      </c>
      <c r="B77" s="0" t="s">
        <v>280</v>
      </c>
      <c r="C77" s="0" t="s">
        <v>57</v>
      </c>
      <c r="E77" s="11" t="n">
        <v>0.05</v>
      </c>
      <c r="G77" s="12" t="s">
        <v>58</v>
      </c>
      <c r="H77" s="6" t="s">
        <v>63</v>
      </c>
      <c r="I77" s="12" t="s">
        <v>281</v>
      </c>
    </row>
    <row r="78" customFormat="false" ht="17.15" hidden="false" customHeight="false" outlineLevel="0" collapsed="false">
      <c r="A78" s="0" t="s">
        <v>282</v>
      </c>
      <c r="B78" s="0" t="s">
        <v>283</v>
      </c>
      <c r="C78" s="0" t="s">
        <v>57</v>
      </c>
      <c r="E78" s="11" t="n">
        <v>0.03</v>
      </c>
      <c r="G78" s="12" t="s">
        <v>58</v>
      </c>
      <c r="H78" s="6" t="s">
        <v>63</v>
      </c>
      <c r="I78" s="12" t="s">
        <v>284</v>
      </c>
    </row>
    <row r="79" customFormat="false" ht="17.15" hidden="false" customHeight="false" outlineLevel="0" collapsed="false">
      <c r="A79" s="0" t="s">
        <v>285</v>
      </c>
      <c r="B79" s="0" t="s">
        <v>286</v>
      </c>
      <c r="C79" s="0" t="s">
        <v>57</v>
      </c>
      <c r="E79" s="11" t="n">
        <v>0.03</v>
      </c>
      <c r="G79" s="12" t="s">
        <v>58</v>
      </c>
      <c r="H79" s="6" t="s">
        <v>63</v>
      </c>
      <c r="I79" s="12" t="s">
        <v>287</v>
      </c>
    </row>
    <row r="80" customFormat="false" ht="17.15" hidden="false" customHeight="false" outlineLevel="0" collapsed="false">
      <c r="A80" s="0" t="s">
        <v>288</v>
      </c>
      <c r="B80" s="0" t="s">
        <v>289</v>
      </c>
      <c r="C80" s="0" t="s">
        <v>57</v>
      </c>
      <c r="D80" s="11" t="n">
        <v>0</v>
      </c>
      <c r="E80" s="11" t="n">
        <v>0.05</v>
      </c>
      <c r="F80" s="11" t="n">
        <v>0.1</v>
      </c>
      <c r="G80" s="12" t="s">
        <v>156</v>
      </c>
      <c r="H80" s="12" t="s">
        <v>290</v>
      </c>
      <c r="I80" s="12" t="s">
        <v>291</v>
      </c>
    </row>
    <row r="81" customFormat="false" ht="17.15" hidden="false" customHeight="false" outlineLevel="0" collapsed="false">
      <c r="A81" s="0" t="s">
        <v>292</v>
      </c>
      <c r="B81" s="0" t="s">
        <v>293</v>
      </c>
      <c r="C81" s="0" t="s">
        <v>57</v>
      </c>
      <c r="D81" s="11" t="n">
        <v>-0.03</v>
      </c>
      <c r="E81" s="11" t="n">
        <v>0.02</v>
      </c>
      <c r="F81" s="11" t="n">
        <v>0.07</v>
      </c>
      <c r="G81" s="12" t="s">
        <v>156</v>
      </c>
      <c r="H81" s="6" t="s">
        <v>63</v>
      </c>
      <c r="I81" s="12" t="s">
        <v>294</v>
      </c>
    </row>
    <row r="82" customFormat="false" ht="17.15" hidden="false" customHeight="false" outlineLevel="0" collapsed="false">
      <c r="A82" s="0" t="s">
        <v>295</v>
      </c>
      <c r="B82" s="0" t="s">
        <v>296</v>
      </c>
      <c r="C82" s="0" t="s">
        <v>57</v>
      </c>
      <c r="D82" s="11" t="n">
        <v>-0.15</v>
      </c>
      <c r="E82" s="11" t="n">
        <v>-0.1</v>
      </c>
      <c r="F82" s="11" t="n">
        <v>-0.05</v>
      </c>
      <c r="G82" s="12" t="s">
        <v>156</v>
      </c>
      <c r="H82" s="6" t="s">
        <v>63</v>
      </c>
      <c r="I82" s="12" t="s">
        <v>297</v>
      </c>
    </row>
    <row r="83" customFormat="false" ht="17.15" hidden="false" customHeight="false" outlineLevel="0" collapsed="false">
      <c r="A83" s="0" t="s">
        <v>298</v>
      </c>
      <c r="B83" s="0" t="s">
        <v>299</v>
      </c>
      <c r="C83" s="0" t="s">
        <v>57</v>
      </c>
      <c r="D83" s="11" t="n">
        <v>-0.25</v>
      </c>
      <c r="E83" s="11" t="n">
        <v>-0.2</v>
      </c>
      <c r="F83" s="11" t="n">
        <v>-0.15</v>
      </c>
      <c r="G83" s="12" t="s">
        <v>156</v>
      </c>
      <c r="H83" s="6" t="s">
        <v>63</v>
      </c>
      <c r="I83" s="12" t="s">
        <v>300</v>
      </c>
    </row>
    <row r="84" customFormat="false" ht="17.15" hidden="false" customHeight="false" outlineLevel="0" collapsed="false">
      <c r="A84" s="0" t="s">
        <v>301</v>
      </c>
      <c r="B84" s="0" t="s">
        <v>302</v>
      </c>
      <c r="C84" s="0" t="s">
        <v>57</v>
      </c>
      <c r="D84" s="11" t="n">
        <v>-0.45</v>
      </c>
      <c r="E84" s="11" t="n">
        <v>-0.35</v>
      </c>
      <c r="F84" s="11" t="n">
        <v>-0.25</v>
      </c>
      <c r="G84" s="12" t="s">
        <v>156</v>
      </c>
      <c r="H84" s="6" t="s">
        <v>63</v>
      </c>
      <c r="I84" s="12" t="s">
        <v>303</v>
      </c>
    </row>
    <row r="85" customFormat="false" ht="17.15" hidden="false" customHeight="false" outlineLevel="0" collapsed="false">
      <c r="A85" s="0" t="s">
        <v>304</v>
      </c>
      <c r="B85" s="0" t="s">
        <v>305</v>
      </c>
      <c r="C85" s="0" t="s">
        <v>57</v>
      </c>
      <c r="D85" s="11" t="n">
        <v>-0.45</v>
      </c>
      <c r="E85" s="11" t="n">
        <v>-0.35</v>
      </c>
      <c r="F85" s="11" t="n">
        <v>-0.25</v>
      </c>
      <c r="G85" s="12" t="s">
        <v>156</v>
      </c>
      <c r="H85" s="6" t="s">
        <v>63</v>
      </c>
      <c r="I85" s="12" t="s">
        <v>306</v>
      </c>
    </row>
    <row r="86" customFormat="false" ht="17.15" hidden="false" customHeight="false" outlineLevel="0" collapsed="false">
      <c r="A86" s="0" t="s">
        <v>307</v>
      </c>
      <c r="B86" s="0" t="s">
        <v>308</v>
      </c>
      <c r="C86" s="0" t="s">
        <v>57</v>
      </c>
      <c r="D86" s="11" t="n">
        <v>-0.35</v>
      </c>
      <c r="E86" s="11" t="n">
        <v>-0.25</v>
      </c>
      <c r="F86" s="11" t="n">
        <v>-0.15</v>
      </c>
      <c r="G86" s="12" t="s">
        <v>156</v>
      </c>
      <c r="H86" s="6" t="s">
        <v>63</v>
      </c>
      <c r="I86" s="12" t="s">
        <v>309</v>
      </c>
    </row>
    <row r="87" customFormat="false" ht="17.15" hidden="false" customHeight="false" outlineLevel="0" collapsed="false">
      <c r="A87" s="0" t="s">
        <v>310</v>
      </c>
      <c r="B87" s="0" t="s">
        <v>311</v>
      </c>
      <c r="C87" s="0" t="s">
        <v>57</v>
      </c>
      <c r="D87" s="11" t="n">
        <v>-0.3</v>
      </c>
      <c r="E87" s="11" t="n">
        <v>-0.2</v>
      </c>
      <c r="F87" s="11" t="n">
        <v>-0.1</v>
      </c>
      <c r="G87" s="12" t="s">
        <v>156</v>
      </c>
      <c r="H87" s="6" t="s">
        <v>63</v>
      </c>
      <c r="I87" s="12" t="s">
        <v>312</v>
      </c>
    </row>
    <row r="88" customFormat="false" ht="17.15" hidden="false" customHeight="false" outlineLevel="0" collapsed="false">
      <c r="A88" s="0" t="s">
        <v>313</v>
      </c>
      <c r="B88" s="0" t="s">
        <v>314</v>
      </c>
      <c r="C88" s="0" t="s">
        <v>57</v>
      </c>
      <c r="D88" s="11" t="n">
        <v>-0.1</v>
      </c>
      <c r="E88" s="11" t="n">
        <v>0</v>
      </c>
      <c r="F88" s="11" t="n">
        <v>0.1</v>
      </c>
      <c r="G88" s="12" t="s">
        <v>156</v>
      </c>
      <c r="H88" s="6" t="s">
        <v>63</v>
      </c>
      <c r="I88" s="12" t="s">
        <v>315</v>
      </c>
    </row>
    <row r="89" customFormat="false" ht="17.15" hidden="false" customHeight="false" outlineLevel="0" collapsed="false">
      <c r="A89" s="0" t="s">
        <v>316</v>
      </c>
      <c r="B89" s="0" t="s">
        <v>317</v>
      </c>
      <c r="C89" s="0" t="s">
        <v>57</v>
      </c>
      <c r="D89" s="11" t="n">
        <v>-0.05</v>
      </c>
      <c r="E89" s="11" t="n">
        <v>0.05</v>
      </c>
      <c r="F89" s="11" t="n">
        <v>0.15</v>
      </c>
      <c r="G89" s="12" t="s">
        <v>156</v>
      </c>
      <c r="H89" s="6" t="s">
        <v>63</v>
      </c>
      <c r="I89" s="12" t="s">
        <v>318</v>
      </c>
    </row>
    <row r="90" customFormat="false" ht="17.15" hidden="false" customHeight="false" outlineLevel="0" collapsed="false">
      <c r="A90" s="0" t="s">
        <v>319</v>
      </c>
      <c r="B90" s="0" t="s">
        <v>320</v>
      </c>
      <c r="C90" s="0" t="s">
        <v>57</v>
      </c>
      <c r="D90" s="11" t="n">
        <v>-0.02</v>
      </c>
      <c r="E90" s="11" t="n">
        <v>0.08</v>
      </c>
      <c r="F90" s="11" t="n">
        <v>0.18</v>
      </c>
      <c r="G90" s="12" t="s">
        <v>156</v>
      </c>
      <c r="H90" s="6" t="s">
        <v>63</v>
      </c>
      <c r="I90" s="12" t="s">
        <v>321</v>
      </c>
    </row>
    <row r="91" customFormat="false" ht="17.15" hidden="false" customHeight="false" outlineLevel="0" collapsed="false">
      <c r="A91" s="0" t="s">
        <v>322</v>
      </c>
      <c r="B91" s="0" t="s">
        <v>323</v>
      </c>
      <c r="C91" s="0" t="s">
        <v>57</v>
      </c>
      <c r="D91" s="11" t="n">
        <v>0</v>
      </c>
      <c r="E91" s="11" t="n">
        <v>0.1</v>
      </c>
      <c r="F91" s="11" t="n">
        <v>0.2</v>
      </c>
      <c r="G91" s="12" t="s">
        <v>156</v>
      </c>
      <c r="H91" s="6" t="s">
        <v>63</v>
      </c>
      <c r="I91" s="12" t="s">
        <v>324</v>
      </c>
    </row>
    <row r="92" customFormat="false" ht="17.15" hidden="false" customHeight="false" outlineLevel="0" collapsed="false">
      <c r="A92" s="10" t="s">
        <v>325</v>
      </c>
    </row>
    <row r="93" customFormat="false" ht="17.15" hidden="false" customHeight="false" outlineLevel="0" collapsed="false">
      <c r="A93" s="0" t="s">
        <v>326</v>
      </c>
      <c r="B93" s="0" t="s">
        <v>327</v>
      </c>
      <c r="C93" s="6" t="s">
        <v>328</v>
      </c>
      <c r="E93" s="13" t="n">
        <v>5.4</v>
      </c>
      <c r="G93" s="12" t="s">
        <v>58</v>
      </c>
      <c r="H93" s="6" t="s">
        <v>329</v>
      </c>
      <c r="I93" s="12" t="s">
        <v>330</v>
      </c>
    </row>
    <row r="94" customFormat="false" ht="17.15" hidden="false" customHeight="false" outlineLevel="0" collapsed="false">
      <c r="A94" s="0" t="s">
        <v>331</v>
      </c>
      <c r="B94" s="0" t="s">
        <v>332</v>
      </c>
      <c r="C94" s="6" t="s">
        <v>328</v>
      </c>
      <c r="E94" s="13" t="n">
        <v>2.4</v>
      </c>
      <c r="G94" s="12" t="s">
        <v>58</v>
      </c>
      <c r="H94" s="6" t="s">
        <v>63</v>
      </c>
      <c r="I94" s="12" t="s">
        <v>333</v>
      </c>
    </row>
    <row r="95" customFormat="false" ht="17.15" hidden="false" customHeight="false" outlineLevel="0" collapsed="false">
      <c r="A95" s="0" t="s">
        <v>334</v>
      </c>
      <c r="B95" s="0" t="s">
        <v>335</v>
      </c>
      <c r="C95" s="6" t="s">
        <v>328</v>
      </c>
      <c r="E95" s="13" t="n">
        <v>0.5</v>
      </c>
      <c r="G95" s="12" t="s">
        <v>58</v>
      </c>
      <c r="H95" s="6" t="s">
        <v>63</v>
      </c>
      <c r="I95" s="12" t="s">
        <v>336</v>
      </c>
    </row>
    <row r="96" customFormat="false" ht="17.15" hidden="false" customHeight="false" outlineLevel="0" collapsed="false">
      <c r="A96" s="0" t="s">
        <v>337</v>
      </c>
      <c r="B96" s="0" t="s">
        <v>338</v>
      </c>
      <c r="C96" s="0" t="s">
        <v>339</v>
      </c>
      <c r="E96" s="13" t="n">
        <v>260</v>
      </c>
      <c r="G96" s="12" t="s">
        <v>58</v>
      </c>
      <c r="H96" s="6" t="s">
        <v>63</v>
      </c>
      <c r="I96" s="12" t="s">
        <v>340</v>
      </c>
    </row>
    <row r="97" customFormat="false" ht="17.15" hidden="false" customHeight="false" outlineLevel="0" collapsed="false">
      <c r="A97" s="0" t="s">
        <v>341</v>
      </c>
      <c r="B97" s="0" t="s">
        <v>342</v>
      </c>
      <c r="C97" s="0" t="s">
        <v>339</v>
      </c>
      <c r="E97" s="13" t="n">
        <v>280</v>
      </c>
      <c r="G97" s="12" t="s">
        <v>58</v>
      </c>
      <c r="H97" s="6" t="s">
        <v>63</v>
      </c>
      <c r="I97" s="12" t="s">
        <v>343</v>
      </c>
    </row>
    <row r="98" customFormat="false" ht="17.15" hidden="false" customHeight="false" outlineLevel="0" collapsed="false">
      <c r="A98" s="0" t="s">
        <v>344</v>
      </c>
      <c r="B98" s="0" t="s">
        <v>345</v>
      </c>
      <c r="C98" s="0" t="s">
        <v>339</v>
      </c>
      <c r="E98" s="13" t="n">
        <v>288</v>
      </c>
      <c r="G98" s="12" t="s">
        <v>58</v>
      </c>
      <c r="H98" s="6" t="s">
        <v>63</v>
      </c>
      <c r="I98" s="12" t="s">
        <v>346</v>
      </c>
    </row>
    <row r="99" customFormat="false" ht="17.15" hidden="false" customHeight="false" outlineLevel="0" collapsed="false">
      <c r="A99" s="0" t="s">
        <v>347</v>
      </c>
      <c r="B99" s="0" t="s">
        <v>348</v>
      </c>
      <c r="C99" s="6" t="s">
        <v>328</v>
      </c>
      <c r="E99" s="13" t="n">
        <v>1.7</v>
      </c>
      <c r="G99" s="12" t="s">
        <v>58</v>
      </c>
      <c r="H99" s="12" t="s">
        <v>349</v>
      </c>
      <c r="I99" s="12" t="s">
        <v>350</v>
      </c>
    </row>
    <row r="100" customFormat="false" ht="17.15" hidden="false" customHeight="false" outlineLevel="0" collapsed="false">
      <c r="A100" s="0" t="s">
        <v>351</v>
      </c>
      <c r="B100" s="0" t="s">
        <v>352</v>
      </c>
      <c r="C100" s="6" t="s">
        <v>328</v>
      </c>
      <c r="E100" s="13" t="n">
        <v>7</v>
      </c>
      <c r="G100" s="12" t="s">
        <v>58</v>
      </c>
      <c r="H100" s="6" t="s">
        <v>63</v>
      </c>
      <c r="I100" s="12" t="s">
        <v>353</v>
      </c>
    </row>
    <row r="101" customFormat="false" ht="17.15" hidden="false" customHeight="false" outlineLevel="0" collapsed="false">
      <c r="A101" s="0" t="s">
        <v>354</v>
      </c>
      <c r="B101" s="0" t="s">
        <v>355</v>
      </c>
      <c r="C101" s="6" t="s">
        <v>328</v>
      </c>
      <c r="E101" s="13" t="n">
        <v>7</v>
      </c>
      <c r="G101" s="12" t="s">
        <v>58</v>
      </c>
      <c r="H101" s="6" t="s">
        <v>63</v>
      </c>
      <c r="I101" s="12" t="s">
        <v>356</v>
      </c>
    </row>
    <row r="102" customFormat="false" ht="17.15" hidden="false" customHeight="false" outlineLevel="0" collapsed="false">
      <c r="A102" s="0" t="s">
        <v>357</v>
      </c>
      <c r="B102" s="0" t="s">
        <v>358</v>
      </c>
      <c r="C102" s="0" t="s">
        <v>339</v>
      </c>
      <c r="E102" s="13" t="n">
        <v>288</v>
      </c>
      <c r="G102" s="12" t="s">
        <v>58</v>
      </c>
      <c r="H102" s="6" t="s">
        <v>63</v>
      </c>
      <c r="I102" s="12" t="s">
        <v>359</v>
      </c>
    </row>
    <row r="103" customFormat="false" ht="17.15" hidden="false" customHeight="false" outlineLevel="0" collapsed="false">
      <c r="A103" s="0" t="s">
        <v>360</v>
      </c>
      <c r="B103" s="0" t="s">
        <v>361</v>
      </c>
      <c r="C103" s="0" t="s">
        <v>339</v>
      </c>
      <c r="E103" s="13" t="n">
        <v>288</v>
      </c>
      <c r="G103" s="12" t="s">
        <v>58</v>
      </c>
      <c r="H103" s="6" t="s">
        <v>63</v>
      </c>
      <c r="I103" s="12" t="s">
        <v>362</v>
      </c>
    </row>
    <row r="104" customFormat="false" ht="17.15" hidden="false" customHeight="false" outlineLevel="0" collapsed="false">
      <c r="A104" s="0" t="s">
        <v>363</v>
      </c>
      <c r="B104" s="0" t="s">
        <v>364</v>
      </c>
      <c r="C104" s="0" t="s">
        <v>339</v>
      </c>
      <c r="E104" s="13" t="n">
        <v>288</v>
      </c>
      <c r="G104" s="12" t="s">
        <v>58</v>
      </c>
      <c r="H104" s="6" t="s">
        <v>63</v>
      </c>
      <c r="I104" s="12" t="s">
        <v>365</v>
      </c>
    </row>
    <row r="105" customFormat="false" ht="17.15" hidden="false" customHeight="false" outlineLevel="0" collapsed="false">
      <c r="A105" s="0" t="s">
        <v>366</v>
      </c>
      <c r="B105" s="0" t="s">
        <v>367</v>
      </c>
      <c r="C105" s="6" t="s">
        <v>328</v>
      </c>
      <c r="D105" s="13" t="n">
        <v>0</v>
      </c>
      <c r="E105" s="13" t="n">
        <v>0</v>
      </c>
      <c r="F105" s="13" t="n">
        <v>0</v>
      </c>
      <c r="G105" s="12" t="s">
        <v>156</v>
      </c>
      <c r="H105" s="6" t="s">
        <v>368</v>
      </c>
      <c r="I105" s="12" t="s">
        <v>369</v>
      </c>
    </row>
    <row r="106" customFormat="false" ht="17.15" hidden="false" customHeight="false" outlineLevel="0" collapsed="false">
      <c r="A106" s="0" t="s">
        <v>370</v>
      </c>
      <c r="B106" s="0" t="s">
        <v>371</v>
      </c>
      <c r="C106" s="6" t="s">
        <v>328</v>
      </c>
      <c r="D106" s="13" t="n">
        <v>0</v>
      </c>
      <c r="E106" s="13" t="n">
        <v>0.3</v>
      </c>
      <c r="F106" s="13" t="n">
        <v>0.6</v>
      </c>
      <c r="G106" s="12" t="s">
        <v>156</v>
      </c>
      <c r="H106" s="6" t="s">
        <v>63</v>
      </c>
      <c r="I106" s="12" t="s">
        <v>372</v>
      </c>
    </row>
    <row r="107" customFormat="false" ht="17.15" hidden="false" customHeight="false" outlineLevel="0" collapsed="false">
      <c r="A107" s="0" t="s">
        <v>373</v>
      </c>
      <c r="B107" s="0" t="s">
        <v>374</v>
      </c>
      <c r="C107" s="6" t="s">
        <v>328</v>
      </c>
      <c r="D107" s="13" t="n">
        <v>1</v>
      </c>
      <c r="E107" s="13" t="n">
        <v>2</v>
      </c>
      <c r="F107" s="13" t="n">
        <v>3</v>
      </c>
      <c r="G107" s="12" t="s">
        <v>156</v>
      </c>
      <c r="H107" s="6" t="s">
        <v>63</v>
      </c>
      <c r="I107" s="12" t="s">
        <v>375</v>
      </c>
    </row>
    <row r="108" customFormat="false" ht="17.15" hidden="false" customHeight="false" outlineLevel="0" collapsed="false">
      <c r="A108" s="0" t="s">
        <v>376</v>
      </c>
      <c r="B108" s="0" t="s">
        <v>377</v>
      </c>
      <c r="C108" s="0" t="s">
        <v>339</v>
      </c>
      <c r="E108" s="13" t="n">
        <v>1024</v>
      </c>
      <c r="G108" s="12" t="s">
        <v>58</v>
      </c>
      <c r="H108" s="12" t="s">
        <v>378</v>
      </c>
      <c r="I108" s="12" t="s">
        <v>379</v>
      </c>
    </row>
    <row r="109" customFormat="false" ht="17.15" hidden="false" customHeight="false" outlineLevel="0" collapsed="false">
      <c r="A109" s="0" t="s">
        <v>380</v>
      </c>
      <c r="B109" s="0" t="s">
        <v>381</v>
      </c>
      <c r="C109" s="0" t="s">
        <v>339</v>
      </c>
      <c r="E109" s="13" t="n">
        <v>1024</v>
      </c>
      <c r="G109" s="12" t="s">
        <v>58</v>
      </c>
      <c r="H109" s="6" t="s">
        <v>63</v>
      </c>
      <c r="I109" s="12" t="s">
        <v>382</v>
      </c>
    </row>
    <row r="110" customFormat="false" ht="17.15" hidden="false" customHeight="false" outlineLevel="0" collapsed="false">
      <c r="A110" s="0" t="s">
        <v>383</v>
      </c>
      <c r="B110" s="0" t="s">
        <v>384</v>
      </c>
      <c r="C110" s="0" t="s">
        <v>339</v>
      </c>
      <c r="E110" s="13" t="n">
        <v>1024</v>
      </c>
      <c r="G110" s="12" t="s">
        <v>58</v>
      </c>
      <c r="H110" s="6" t="s">
        <v>63</v>
      </c>
      <c r="I110" s="12" t="s">
        <v>385</v>
      </c>
    </row>
    <row r="111" customFormat="false" ht="17.15" hidden="false" customHeight="false" outlineLevel="0" collapsed="false">
      <c r="A111" s="0" t="s">
        <v>386</v>
      </c>
      <c r="B111" s="0" t="s">
        <v>387</v>
      </c>
      <c r="C111" s="6" t="s">
        <v>328</v>
      </c>
      <c r="E111" s="13" t="n">
        <v>0.5</v>
      </c>
      <c r="G111" s="12" t="s">
        <v>58</v>
      </c>
      <c r="H111" s="12" t="s">
        <v>388</v>
      </c>
      <c r="I111" s="12" t="s">
        <v>389</v>
      </c>
    </row>
    <row r="112" customFormat="false" ht="17.15" hidden="false" customHeight="false" outlineLevel="0" collapsed="false">
      <c r="A112" s="0" t="s">
        <v>390</v>
      </c>
      <c r="B112" s="0" t="s">
        <v>391</v>
      </c>
      <c r="C112" s="6" t="s">
        <v>328</v>
      </c>
      <c r="E112" s="13" t="n">
        <v>0</v>
      </c>
      <c r="G112" s="12" t="s">
        <v>58</v>
      </c>
      <c r="H112" s="6" t="s">
        <v>63</v>
      </c>
      <c r="I112" s="12" t="s">
        <v>392</v>
      </c>
    </row>
    <row r="113" customFormat="false" ht="17.15" hidden="false" customHeight="false" outlineLevel="0" collapsed="false">
      <c r="A113" s="0" t="s">
        <v>393</v>
      </c>
      <c r="B113" s="0" t="s">
        <v>394</v>
      </c>
      <c r="C113" s="6" t="s">
        <v>328</v>
      </c>
      <c r="E113" s="13" t="n">
        <v>0</v>
      </c>
      <c r="G113" s="12" t="s">
        <v>58</v>
      </c>
      <c r="H113" s="6" t="s">
        <v>63</v>
      </c>
      <c r="I113" s="12" t="s">
        <v>395</v>
      </c>
    </row>
    <row r="114" customFormat="false" ht="17.15" hidden="false" customHeight="false" outlineLevel="0" collapsed="false">
      <c r="A114" s="0" t="s">
        <v>396</v>
      </c>
      <c r="B114" s="0" t="s">
        <v>397</v>
      </c>
      <c r="C114" s="0" t="s">
        <v>339</v>
      </c>
      <c r="E114" s="13" t="n">
        <v>141</v>
      </c>
      <c r="G114" s="12" t="s">
        <v>58</v>
      </c>
      <c r="H114" s="6" t="s">
        <v>63</v>
      </c>
      <c r="I114" s="12" t="s">
        <v>398</v>
      </c>
    </row>
    <row r="115" customFormat="false" ht="17.15" hidden="false" customHeight="false" outlineLevel="0" collapsed="false">
      <c r="A115" s="0" t="s">
        <v>399</v>
      </c>
      <c r="B115" s="0" t="s">
        <v>400</v>
      </c>
      <c r="C115" s="0" t="s">
        <v>339</v>
      </c>
      <c r="E115" s="13" t="n">
        <v>141</v>
      </c>
      <c r="G115" s="12" t="s">
        <v>58</v>
      </c>
      <c r="H115" s="6" t="s">
        <v>63</v>
      </c>
      <c r="I115" s="12" t="s">
        <v>401</v>
      </c>
    </row>
    <row r="116" customFormat="false" ht="17.15" hidden="false" customHeight="false" outlineLevel="0" collapsed="false">
      <c r="A116" s="0" t="s">
        <v>402</v>
      </c>
      <c r="B116" s="0" t="s">
        <v>403</v>
      </c>
      <c r="C116" s="0" t="s">
        <v>339</v>
      </c>
      <c r="E116" s="13" t="n">
        <v>141</v>
      </c>
      <c r="G116" s="12" t="s">
        <v>58</v>
      </c>
      <c r="H116" s="6" t="s">
        <v>63</v>
      </c>
      <c r="I116" s="12" t="s">
        <v>404</v>
      </c>
    </row>
    <row r="117" customFormat="false" ht="17.15" hidden="false" customHeight="false" outlineLevel="0" collapsed="false">
      <c r="A117" s="0" t="s">
        <v>405</v>
      </c>
      <c r="B117" s="0" t="s">
        <v>406</v>
      </c>
      <c r="C117" s="6" t="s">
        <v>328</v>
      </c>
      <c r="D117" s="13" t="n">
        <v>0.6</v>
      </c>
      <c r="E117" s="13" t="n">
        <v>0.75</v>
      </c>
      <c r="F117" s="13" t="n">
        <v>0.9</v>
      </c>
      <c r="G117" s="12" t="s">
        <v>407</v>
      </c>
      <c r="H117" s="12" t="s">
        <v>408</v>
      </c>
      <c r="I117" s="12" t="s">
        <v>409</v>
      </c>
    </row>
    <row r="118" customFormat="false" ht="17.15" hidden="false" customHeight="false" outlineLevel="0" collapsed="false">
      <c r="A118" s="0" t="s">
        <v>410</v>
      </c>
      <c r="B118" s="0" t="s">
        <v>411</v>
      </c>
      <c r="C118" s="6" t="s">
        <v>328</v>
      </c>
      <c r="D118" s="13" t="n">
        <v>1.2</v>
      </c>
      <c r="E118" s="13" t="n">
        <v>1.5</v>
      </c>
      <c r="F118" s="13" t="n">
        <v>1.8</v>
      </c>
      <c r="G118" s="12" t="s">
        <v>407</v>
      </c>
      <c r="H118" s="6" t="s">
        <v>63</v>
      </c>
      <c r="I118" s="12" t="s">
        <v>412</v>
      </c>
    </row>
    <row r="119" customFormat="false" ht="17.15" hidden="false" customHeight="false" outlineLevel="0" collapsed="false">
      <c r="A119" s="0" t="s">
        <v>413</v>
      </c>
      <c r="B119" s="0" t="s">
        <v>414</v>
      </c>
      <c r="C119" s="6" t="s">
        <v>328</v>
      </c>
      <c r="D119" s="13" t="n">
        <v>1.5</v>
      </c>
      <c r="E119" s="13" t="n">
        <v>2</v>
      </c>
      <c r="F119" s="13" t="n">
        <v>2.5</v>
      </c>
      <c r="G119" s="12" t="s">
        <v>407</v>
      </c>
      <c r="H119" s="6" t="s">
        <v>63</v>
      </c>
      <c r="I119" s="12" t="s">
        <v>415</v>
      </c>
    </row>
    <row r="120" customFormat="false" ht="17.15" hidden="false" customHeight="false" outlineLevel="0" collapsed="false">
      <c r="A120" s="0" t="s">
        <v>416</v>
      </c>
      <c r="B120" s="0" t="s">
        <v>417</v>
      </c>
      <c r="C120" s="0" t="s">
        <v>339</v>
      </c>
      <c r="D120" s="13" t="n">
        <v>288</v>
      </c>
      <c r="E120" s="13" t="n">
        <v>288</v>
      </c>
      <c r="F120" s="13" t="n">
        <v>288</v>
      </c>
      <c r="G120" s="12" t="s">
        <v>407</v>
      </c>
      <c r="H120" s="6" t="s">
        <v>63</v>
      </c>
      <c r="I120" s="12" t="s">
        <v>418</v>
      </c>
    </row>
    <row r="121" customFormat="false" ht="17.15" hidden="false" customHeight="false" outlineLevel="0" collapsed="false">
      <c r="A121" s="0" t="s">
        <v>419</v>
      </c>
      <c r="B121" s="0" t="s">
        <v>420</v>
      </c>
      <c r="C121" s="0" t="s">
        <v>339</v>
      </c>
      <c r="D121" s="13" t="n">
        <v>288</v>
      </c>
      <c r="E121" s="13" t="n">
        <v>360</v>
      </c>
      <c r="F121" s="13" t="n">
        <v>432</v>
      </c>
      <c r="G121" s="12" t="s">
        <v>407</v>
      </c>
      <c r="H121" s="6" t="s">
        <v>63</v>
      </c>
      <c r="I121" s="12" t="s">
        <v>421</v>
      </c>
    </row>
    <row r="122" customFormat="false" ht="17.15" hidden="false" customHeight="false" outlineLevel="0" collapsed="false">
      <c r="A122" s="0" t="s">
        <v>422</v>
      </c>
      <c r="B122" s="0" t="s">
        <v>423</v>
      </c>
      <c r="C122" s="0" t="s">
        <v>339</v>
      </c>
      <c r="D122" s="13" t="n">
        <v>432</v>
      </c>
      <c r="E122" s="13" t="n">
        <v>432</v>
      </c>
      <c r="F122" s="13" t="n">
        <v>432</v>
      </c>
      <c r="G122" s="12" t="s">
        <v>407</v>
      </c>
      <c r="H122" s="6" t="s">
        <v>63</v>
      </c>
      <c r="I122" s="12" t="s">
        <v>424</v>
      </c>
    </row>
    <row r="123" customFormat="false" ht="17.15" hidden="false" customHeight="false" outlineLevel="0" collapsed="false">
      <c r="A123" s="0" t="s">
        <v>425</v>
      </c>
      <c r="B123" s="0" t="s">
        <v>426</v>
      </c>
      <c r="C123" s="6" t="s">
        <v>328</v>
      </c>
      <c r="E123" s="13" t="n">
        <v>3.85</v>
      </c>
      <c r="G123" s="12" t="s">
        <v>58</v>
      </c>
      <c r="H123" s="12" t="s">
        <v>427</v>
      </c>
      <c r="I123" s="12" t="s">
        <v>428</v>
      </c>
    </row>
    <row r="124" customFormat="false" ht="17.15" hidden="false" customHeight="false" outlineLevel="0" collapsed="false">
      <c r="A124" s="0" t="s">
        <v>429</v>
      </c>
      <c r="B124" s="0" t="s">
        <v>430</v>
      </c>
      <c r="C124" s="6" t="s">
        <v>328</v>
      </c>
      <c r="E124" s="13" t="n">
        <v>5.5</v>
      </c>
      <c r="G124" s="12" t="s">
        <v>58</v>
      </c>
      <c r="H124" s="6" t="s">
        <v>63</v>
      </c>
      <c r="I124" s="12" t="s">
        <v>431</v>
      </c>
    </row>
    <row r="125" customFormat="false" ht="17.15" hidden="false" customHeight="false" outlineLevel="0" collapsed="false">
      <c r="A125" s="0" t="s">
        <v>432</v>
      </c>
      <c r="B125" s="0" t="s">
        <v>433</v>
      </c>
      <c r="C125" s="6" t="s">
        <v>328</v>
      </c>
      <c r="E125" s="13" t="n">
        <v>7</v>
      </c>
      <c r="G125" s="12" t="s">
        <v>58</v>
      </c>
      <c r="H125" s="6" t="s">
        <v>63</v>
      </c>
      <c r="I125" s="12" t="s">
        <v>434</v>
      </c>
    </row>
    <row r="126" customFormat="false" ht="17.15" hidden="false" customHeight="false" outlineLevel="0" collapsed="false">
      <c r="A126" s="0" t="s">
        <v>435</v>
      </c>
      <c r="B126" s="0" t="s">
        <v>436</v>
      </c>
      <c r="C126" s="0" t="s">
        <v>339</v>
      </c>
      <c r="E126" s="13" t="n">
        <v>192</v>
      </c>
      <c r="G126" s="12" t="s">
        <v>58</v>
      </c>
      <c r="H126" s="6" t="s">
        <v>63</v>
      </c>
      <c r="I126" s="12" t="s">
        <v>437</v>
      </c>
    </row>
    <row r="127" customFormat="false" ht="17.15" hidden="false" customHeight="false" outlineLevel="0" collapsed="false">
      <c r="A127" s="0" t="s">
        <v>438</v>
      </c>
      <c r="B127" s="0" t="s">
        <v>439</v>
      </c>
      <c r="C127" s="0" t="s">
        <v>339</v>
      </c>
      <c r="E127" s="13" t="n">
        <v>250</v>
      </c>
      <c r="G127" s="12" t="s">
        <v>58</v>
      </c>
      <c r="H127" s="6" t="s">
        <v>63</v>
      </c>
      <c r="I127" s="12" t="s">
        <v>440</v>
      </c>
    </row>
    <row r="128" customFormat="false" ht="17.15" hidden="false" customHeight="false" outlineLevel="0" collapsed="false">
      <c r="A128" s="0" t="s">
        <v>441</v>
      </c>
      <c r="B128" s="0" t="s">
        <v>442</v>
      </c>
      <c r="C128" s="0" t="s">
        <v>339</v>
      </c>
      <c r="E128" s="13" t="n">
        <v>288</v>
      </c>
      <c r="G128" s="12" t="s">
        <v>58</v>
      </c>
      <c r="H128" s="6" t="s">
        <v>63</v>
      </c>
      <c r="I128" s="12" t="s">
        <v>443</v>
      </c>
    </row>
    <row r="129" customFormat="false" ht="17.15" hidden="false" customHeight="false" outlineLevel="0" collapsed="false">
      <c r="A129" s="0" t="s">
        <v>444</v>
      </c>
      <c r="B129" s="0" t="s">
        <v>445</v>
      </c>
      <c r="C129" s="6" t="s">
        <v>328</v>
      </c>
      <c r="D129" s="13" t="n">
        <v>1.5</v>
      </c>
      <c r="E129" s="13" t="n">
        <v>2</v>
      </c>
      <c r="F129" s="13" t="n">
        <v>2.5</v>
      </c>
      <c r="G129" s="12" t="s">
        <v>156</v>
      </c>
      <c r="H129" s="6" t="s">
        <v>446</v>
      </c>
      <c r="I129" s="12" t="s">
        <v>447</v>
      </c>
    </row>
    <row r="130" customFormat="false" ht="17.15" hidden="false" customHeight="false" outlineLevel="0" collapsed="false">
      <c r="A130" s="0" t="s">
        <v>448</v>
      </c>
      <c r="B130" s="0" t="s">
        <v>449</v>
      </c>
      <c r="C130" s="6" t="s">
        <v>328</v>
      </c>
      <c r="D130" s="13" t="n">
        <v>2</v>
      </c>
      <c r="E130" s="13" t="n">
        <v>2.5</v>
      </c>
      <c r="F130" s="13" t="n">
        <v>3.5</v>
      </c>
      <c r="G130" s="12" t="s">
        <v>156</v>
      </c>
      <c r="H130" s="6" t="s">
        <v>63</v>
      </c>
      <c r="I130" s="12" t="s">
        <v>450</v>
      </c>
    </row>
    <row r="131" customFormat="false" ht="17.15" hidden="false" customHeight="false" outlineLevel="0" collapsed="false">
      <c r="A131" s="0" t="s">
        <v>451</v>
      </c>
      <c r="B131" s="0" t="s">
        <v>452</v>
      </c>
      <c r="C131" s="6" t="s">
        <v>328</v>
      </c>
      <c r="D131" s="13" t="n">
        <v>2</v>
      </c>
      <c r="E131" s="13" t="n">
        <v>3</v>
      </c>
      <c r="F131" s="13" t="n">
        <v>4</v>
      </c>
      <c r="G131" s="12" t="s">
        <v>156</v>
      </c>
      <c r="H131" s="6" t="s">
        <v>63</v>
      </c>
      <c r="I131" s="12" t="s">
        <v>453</v>
      </c>
    </row>
    <row r="132" customFormat="false" ht="17.15" hidden="false" customHeight="false" outlineLevel="0" collapsed="false">
      <c r="A132" s="0" t="s">
        <v>454</v>
      </c>
      <c r="B132" s="0" t="s">
        <v>455</v>
      </c>
      <c r="C132" s="0" t="s">
        <v>339</v>
      </c>
      <c r="D132" s="13" t="n">
        <v>96</v>
      </c>
      <c r="E132" s="13" t="n">
        <v>110</v>
      </c>
      <c r="F132" s="13" t="n">
        <v>144</v>
      </c>
      <c r="G132" s="12" t="s">
        <v>156</v>
      </c>
      <c r="H132" s="6" t="s">
        <v>63</v>
      </c>
      <c r="I132" s="12" t="s">
        <v>456</v>
      </c>
    </row>
    <row r="133" customFormat="false" ht="17.15" hidden="false" customHeight="false" outlineLevel="0" collapsed="false">
      <c r="A133" s="0" t="s">
        <v>457</v>
      </c>
      <c r="B133" s="0" t="s">
        <v>458</v>
      </c>
      <c r="C133" s="0" t="s">
        <v>339</v>
      </c>
      <c r="D133" s="13" t="n">
        <v>120</v>
      </c>
      <c r="E133" s="13" t="n">
        <v>144</v>
      </c>
      <c r="F133" s="13" t="n">
        <v>144</v>
      </c>
      <c r="G133" s="12" t="s">
        <v>156</v>
      </c>
      <c r="H133" s="6" t="s">
        <v>63</v>
      </c>
      <c r="I133" s="12" t="s">
        <v>459</v>
      </c>
    </row>
    <row r="134" customFormat="false" ht="17.15" hidden="false" customHeight="false" outlineLevel="0" collapsed="false">
      <c r="A134" s="0" t="s">
        <v>460</v>
      </c>
      <c r="B134" s="0" t="s">
        <v>461</v>
      </c>
      <c r="C134" s="0" t="s">
        <v>339</v>
      </c>
      <c r="D134" s="13" t="n">
        <v>144</v>
      </c>
      <c r="E134" s="13" t="n">
        <v>200</v>
      </c>
      <c r="F134" s="13" t="n">
        <v>256</v>
      </c>
      <c r="G134" s="12" t="s">
        <v>156</v>
      </c>
      <c r="H134" s="6" t="s">
        <v>63</v>
      </c>
      <c r="I134" s="12" t="s">
        <v>462</v>
      </c>
    </row>
    <row r="135" customFormat="false" ht="17.15" hidden="false" customHeight="false" outlineLevel="0" collapsed="false">
      <c r="A135" s="0" t="s">
        <v>463</v>
      </c>
      <c r="B135" s="6" t="s">
        <v>464</v>
      </c>
      <c r="C135" s="6" t="s">
        <v>328</v>
      </c>
      <c r="D135" s="13" t="n">
        <v>0.5</v>
      </c>
      <c r="E135" s="13" t="n">
        <v>1</v>
      </c>
      <c r="F135" s="13" t="n">
        <v>1.5</v>
      </c>
      <c r="G135" s="12" t="s">
        <v>465</v>
      </c>
      <c r="H135" s="12" t="s">
        <v>466</v>
      </c>
      <c r="I135" s="12" t="s">
        <v>467</v>
      </c>
    </row>
    <row r="136" customFormat="false" ht="17.15" hidden="false" customHeight="false" outlineLevel="0" collapsed="false">
      <c r="A136" s="0" t="s">
        <v>468</v>
      </c>
      <c r="B136" s="6" t="s">
        <v>469</v>
      </c>
      <c r="C136" s="6" t="s">
        <v>328</v>
      </c>
      <c r="D136" s="13" t="n">
        <v>3</v>
      </c>
      <c r="E136" s="13" t="n">
        <v>4.5</v>
      </c>
      <c r="F136" s="13" t="n">
        <v>6</v>
      </c>
      <c r="G136" s="12" t="s">
        <v>465</v>
      </c>
      <c r="H136" s="6" t="s">
        <v>63</v>
      </c>
      <c r="I136" s="12" t="s">
        <v>470</v>
      </c>
    </row>
    <row r="137" customFormat="false" ht="17.15" hidden="false" customHeight="false" outlineLevel="0" collapsed="false">
      <c r="A137" s="0" t="s">
        <v>471</v>
      </c>
      <c r="B137" s="6" t="s">
        <v>472</v>
      </c>
      <c r="C137" s="6" t="s">
        <v>328</v>
      </c>
      <c r="D137" s="13" t="n">
        <v>3.5</v>
      </c>
      <c r="E137" s="13" t="n">
        <v>5</v>
      </c>
      <c r="F137" s="13" t="n">
        <v>7</v>
      </c>
      <c r="G137" s="12" t="s">
        <v>465</v>
      </c>
      <c r="H137" s="6" t="s">
        <v>63</v>
      </c>
      <c r="I137" s="12" t="s">
        <v>473</v>
      </c>
    </row>
    <row r="138" customFormat="false" ht="17.15" hidden="false" customHeight="false" outlineLevel="0" collapsed="false">
      <c r="A138" s="0" t="s">
        <v>474</v>
      </c>
      <c r="B138" s="6" t="s">
        <v>475</v>
      </c>
      <c r="C138" s="0" t="s">
        <v>339</v>
      </c>
      <c r="D138" s="13" t="n">
        <v>100</v>
      </c>
      <c r="E138" s="13" t="n">
        <v>150</v>
      </c>
      <c r="F138" s="13" t="n">
        <v>200</v>
      </c>
      <c r="G138" s="12" t="s">
        <v>465</v>
      </c>
      <c r="H138" s="6" t="s">
        <v>63</v>
      </c>
      <c r="I138" s="12" t="s">
        <v>476</v>
      </c>
    </row>
    <row r="139" customFormat="false" ht="17.15" hidden="false" customHeight="false" outlineLevel="0" collapsed="false">
      <c r="A139" s="0" t="s">
        <v>477</v>
      </c>
      <c r="B139" s="6" t="s">
        <v>478</v>
      </c>
      <c r="C139" s="0" t="s">
        <v>339</v>
      </c>
      <c r="D139" s="13" t="n">
        <v>150</v>
      </c>
      <c r="E139" s="13" t="n">
        <v>200</v>
      </c>
      <c r="F139" s="13" t="n">
        <v>250</v>
      </c>
      <c r="G139" s="12" t="s">
        <v>465</v>
      </c>
      <c r="H139" s="6" t="s">
        <v>63</v>
      </c>
      <c r="I139" s="12" t="s">
        <v>479</v>
      </c>
    </row>
    <row r="140" customFormat="false" ht="17.15" hidden="false" customHeight="false" outlineLevel="0" collapsed="false">
      <c r="A140" s="0" t="s">
        <v>480</v>
      </c>
      <c r="B140" s="6" t="s">
        <v>481</v>
      </c>
      <c r="C140" s="0" t="s">
        <v>339</v>
      </c>
      <c r="D140" s="13" t="n">
        <v>200</v>
      </c>
      <c r="E140" s="13" t="n">
        <v>250</v>
      </c>
      <c r="F140" s="13" t="n">
        <v>300</v>
      </c>
      <c r="G140" s="12" t="s">
        <v>465</v>
      </c>
      <c r="H140" s="6" t="s">
        <v>63</v>
      </c>
      <c r="I140" s="12" t="s">
        <v>482</v>
      </c>
    </row>
    <row r="141" customFormat="false" ht="17.15" hidden="false" customHeight="false" outlineLevel="0" collapsed="false">
      <c r="A141" s="10" t="s">
        <v>483</v>
      </c>
    </row>
    <row r="142" customFormat="false" ht="17.15" hidden="false" customHeight="false" outlineLevel="0" collapsed="false">
      <c r="A142" s="0" t="s">
        <v>484</v>
      </c>
      <c r="B142" s="6" t="s">
        <v>485</v>
      </c>
      <c r="C142" s="0" t="s">
        <v>486</v>
      </c>
      <c r="E142" s="13" t="n">
        <v>1</v>
      </c>
      <c r="G142" s="12" t="s">
        <v>487</v>
      </c>
      <c r="H142" s="12" t="s">
        <v>488</v>
      </c>
      <c r="I142" s="12" t="s">
        <v>489</v>
      </c>
    </row>
    <row r="143" customFormat="false" ht="17.15" hidden="false" customHeight="false" outlineLevel="0" collapsed="false">
      <c r="A143" s="0" t="s">
        <v>490</v>
      </c>
      <c r="B143" s="6" t="s">
        <v>491</v>
      </c>
      <c r="C143" s="0" t="s">
        <v>486</v>
      </c>
      <c r="E143" s="13" t="n">
        <v>1</v>
      </c>
      <c r="G143" s="12" t="s">
        <v>487</v>
      </c>
      <c r="H143" s="6" t="s">
        <v>63</v>
      </c>
      <c r="I143" s="12" t="s">
        <v>492</v>
      </c>
    </row>
    <row r="144" customFormat="false" ht="17.15" hidden="false" customHeight="false" outlineLevel="0" collapsed="false">
      <c r="A144" s="0" t="s">
        <v>493</v>
      </c>
      <c r="B144" s="6" t="s">
        <v>494</v>
      </c>
      <c r="C144" s="0" t="s">
        <v>486</v>
      </c>
      <c r="D144" s="13" t="n">
        <v>0.7</v>
      </c>
      <c r="E144" s="13" t="n">
        <v>0.8</v>
      </c>
      <c r="F144" s="13" t="n">
        <v>0.9</v>
      </c>
      <c r="G144" s="12" t="s">
        <v>156</v>
      </c>
      <c r="H144" s="6" t="s">
        <v>63</v>
      </c>
      <c r="I144" s="12" t="s">
        <v>495</v>
      </c>
    </row>
    <row r="145" customFormat="false" ht="17.15" hidden="false" customHeight="false" outlineLevel="0" collapsed="false">
      <c r="A145" s="0" t="s">
        <v>496</v>
      </c>
      <c r="B145" s="6" t="s">
        <v>497</v>
      </c>
      <c r="C145" s="0" t="s">
        <v>486</v>
      </c>
      <c r="D145" s="13" t="n">
        <v>0.75</v>
      </c>
      <c r="E145" s="13" t="n">
        <v>0.85</v>
      </c>
      <c r="F145" s="13" t="n">
        <v>0.95</v>
      </c>
      <c r="G145" s="12" t="s">
        <v>156</v>
      </c>
      <c r="H145" s="6" t="s">
        <v>63</v>
      </c>
      <c r="I145" s="12" t="s">
        <v>498</v>
      </c>
    </row>
    <row r="146" customFormat="false" ht="17.15" hidden="false" customHeight="false" outlineLevel="0" collapsed="false">
      <c r="A146" s="0" t="s">
        <v>499</v>
      </c>
      <c r="B146" s="6" t="s">
        <v>500</v>
      </c>
      <c r="C146" s="0" t="s">
        <v>486</v>
      </c>
      <c r="D146" s="13" t="n">
        <v>0.5</v>
      </c>
      <c r="E146" s="13" t="n">
        <v>0.6</v>
      </c>
      <c r="F146" s="13" t="n">
        <v>0.7</v>
      </c>
      <c r="G146" s="12" t="s">
        <v>156</v>
      </c>
      <c r="H146" s="6" t="s">
        <v>63</v>
      </c>
      <c r="I146" s="12" t="s">
        <v>501</v>
      </c>
    </row>
    <row r="147" customFormat="false" ht="17.15" hidden="false" customHeight="false" outlineLevel="0" collapsed="false">
      <c r="A147" s="0" t="s">
        <v>502</v>
      </c>
      <c r="B147" s="6" t="s">
        <v>503</v>
      </c>
      <c r="C147" s="0" t="s">
        <v>486</v>
      </c>
      <c r="D147" s="13" t="n">
        <v>0.5</v>
      </c>
      <c r="E147" s="13" t="n">
        <v>0.6</v>
      </c>
      <c r="F147" s="13" t="n">
        <v>0.7</v>
      </c>
      <c r="G147" s="12" t="s">
        <v>156</v>
      </c>
      <c r="H147" s="6" t="s">
        <v>63</v>
      </c>
      <c r="I147" s="12" t="s">
        <v>504</v>
      </c>
    </row>
    <row r="148" customFormat="false" ht="17.15" hidden="false" customHeight="false" outlineLevel="0" collapsed="false">
      <c r="A148" s="10" t="s">
        <v>505</v>
      </c>
    </row>
    <row r="149" customFormat="false" ht="17.15" hidden="false" customHeight="false" outlineLevel="0" collapsed="false">
      <c r="A149" s="0" t="s">
        <v>506</v>
      </c>
      <c r="B149" s="0" t="s">
        <v>507</v>
      </c>
      <c r="C149" s="0" t="s">
        <v>508</v>
      </c>
      <c r="D149" s="13" t="n">
        <v>34</v>
      </c>
      <c r="E149" s="13" t="n">
        <v>35</v>
      </c>
      <c r="F149" s="13" t="n">
        <v>35</v>
      </c>
      <c r="G149" s="12" t="s">
        <v>509</v>
      </c>
      <c r="H149" s="12" t="s">
        <v>510</v>
      </c>
      <c r="I149" s="12" t="s">
        <v>511</v>
      </c>
    </row>
    <row r="150" customFormat="false" ht="17.15" hidden="false" customHeight="false" outlineLevel="0" collapsed="false">
      <c r="A150" s="0" t="s">
        <v>512</v>
      </c>
      <c r="B150" s="0" t="s">
        <v>513</v>
      </c>
      <c r="C150" s="0" t="s">
        <v>57</v>
      </c>
      <c r="D150" s="11" t="n">
        <v>0.6</v>
      </c>
      <c r="E150" s="11" t="n">
        <v>0.7</v>
      </c>
      <c r="F150" s="11" t="n">
        <v>0.8</v>
      </c>
      <c r="G150" s="12" t="s">
        <v>58</v>
      </c>
      <c r="H150" s="12" t="s">
        <v>514</v>
      </c>
      <c r="I150" s="12" t="s">
        <v>515</v>
      </c>
    </row>
    <row r="151" customFormat="false" ht="17.15" hidden="false" customHeight="false" outlineLevel="0" collapsed="false">
      <c r="A151" s="0" t="s">
        <v>516</v>
      </c>
      <c r="B151" s="6" t="s">
        <v>517</v>
      </c>
      <c r="C151" s="0" t="s">
        <v>486</v>
      </c>
      <c r="D151" s="13" t="n">
        <v>1</v>
      </c>
      <c r="E151" s="13" t="n">
        <v>1.15</v>
      </c>
      <c r="F151" s="13" t="n">
        <v>1.3</v>
      </c>
      <c r="G151" s="12" t="s">
        <v>156</v>
      </c>
      <c r="H151" s="6" t="s">
        <v>518</v>
      </c>
      <c r="I151" s="12" t="s">
        <v>519</v>
      </c>
    </row>
    <row r="152" customFormat="false" ht="17.15" hidden="false" customHeight="false" outlineLevel="0" collapsed="false">
      <c r="A152" s="0" t="s">
        <v>520</v>
      </c>
      <c r="B152" s="0" t="s">
        <v>521</v>
      </c>
      <c r="C152" s="0" t="s">
        <v>57</v>
      </c>
      <c r="D152" s="11" t="n">
        <v>0.5</v>
      </c>
      <c r="E152" s="11" t="n">
        <v>0.55</v>
      </c>
      <c r="F152" s="11" t="n">
        <v>0.63</v>
      </c>
      <c r="G152" s="12" t="s">
        <v>58</v>
      </c>
      <c r="H152" s="12" t="s">
        <v>522</v>
      </c>
      <c r="I152" s="12" t="s">
        <v>523</v>
      </c>
    </row>
    <row r="153" customFormat="false" ht="17.15" hidden="false" customHeight="false" outlineLevel="0" collapsed="false">
      <c r="A153" s="0" t="s">
        <v>524</v>
      </c>
      <c r="B153" s="0" t="s">
        <v>525</v>
      </c>
      <c r="C153" s="0" t="s">
        <v>57</v>
      </c>
      <c r="D153" s="11" t="n">
        <v>0.3</v>
      </c>
      <c r="E153" s="11" t="n">
        <v>0.45</v>
      </c>
      <c r="F153" s="11" t="n">
        <v>0.63</v>
      </c>
      <c r="G153" s="12" t="s">
        <v>156</v>
      </c>
      <c r="H153" s="6" t="s">
        <v>526</v>
      </c>
      <c r="I153" s="12" t="s">
        <v>527</v>
      </c>
    </row>
    <row r="154" customFormat="false" ht="17.15" hidden="false" customHeight="false" outlineLevel="0" collapsed="false">
      <c r="A154" s="0" t="s">
        <v>528</v>
      </c>
      <c r="B154" s="0" t="s">
        <v>529</v>
      </c>
      <c r="C154" s="0" t="s">
        <v>530</v>
      </c>
      <c r="D154" s="13" t="n">
        <v>12.5</v>
      </c>
      <c r="E154" s="13" t="n">
        <v>14.6</v>
      </c>
      <c r="F154" s="13" t="n">
        <v>16</v>
      </c>
      <c r="G154" s="12" t="s">
        <v>58</v>
      </c>
      <c r="H154" s="12" t="s">
        <v>531</v>
      </c>
      <c r="I154" s="12" t="s">
        <v>532</v>
      </c>
    </row>
    <row r="155" customFormat="false" ht="17.15" hidden="false" customHeight="false" outlineLevel="0" collapsed="false">
      <c r="A155" s="0" t="s">
        <v>533</v>
      </c>
      <c r="B155" s="0" t="s">
        <v>534</v>
      </c>
      <c r="C155" s="0" t="s">
        <v>57</v>
      </c>
      <c r="D155" s="11" t="n">
        <v>0.38</v>
      </c>
      <c r="E155" s="11" t="n">
        <v>0.8</v>
      </c>
      <c r="F155" s="11" t="n">
        <v>1.21</v>
      </c>
      <c r="G155" s="12" t="s">
        <v>58</v>
      </c>
      <c r="H155" s="12" t="s">
        <v>535</v>
      </c>
      <c r="I155" s="12" t="s">
        <v>536</v>
      </c>
    </row>
    <row r="156" customFormat="false" ht="17.15" hidden="false" customHeight="false" outlineLevel="0" collapsed="false">
      <c r="A156" s="0" t="s">
        <v>537</v>
      </c>
      <c r="B156" s="0" t="s">
        <v>538</v>
      </c>
      <c r="C156" s="0" t="s">
        <v>57</v>
      </c>
      <c r="D156" s="11" t="n">
        <v>0</v>
      </c>
      <c r="E156" s="11" t="n">
        <v>0.1</v>
      </c>
      <c r="F156" s="11" t="n">
        <v>0.25</v>
      </c>
      <c r="G156" s="12" t="s">
        <v>58</v>
      </c>
      <c r="H156" s="12" t="s">
        <v>539</v>
      </c>
      <c r="I156" s="12" t="s">
        <v>540</v>
      </c>
    </row>
    <row r="157" customFormat="false" ht="17.15" hidden="false" customHeight="false" outlineLevel="0" collapsed="false">
      <c r="A157" s="0" t="s">
        <v>541</v>
      </c>
      <c r="B157" s="0" t="s">
        <v>542</v>
      </c>
      <c r="C157" s="0" t="s">
        <v>57</v>
      </c>
      <c r="D157" s="11" t="n">
        <v>-0.4</v>
      </c>
      <c r="E157" s="11" t="n">
        <v>-0.25</v>
      </c>
      <c r="F157" s="11" t="n">
        <v>-0.1</v>
      </c>
      <c r="G157" s="12" t="s">
        <v>156</v>
      </c>
      <c r="H157" s="6" t="s">
        <v>543</v>
      </c>
      <c r="I157" s="12" t="s">
        <v>544</v>
      </c>
    </row>
    <row r="158" customFormat="false" ht="17.15" hidden="false" customHeight="false" outlineLevel="0" collapsed="false">
      <c r="A158" s="0" t="s">
        <v>545</v>
      </c>
      <c r="B158" s="0" t="s">
        <v>546</v>
      </c>
      <c r="C158" s="0" t="s">
        <v>57</v>
      </c>
      <c r="D158" s="11" t="n">
        <v>-0.55</v>
      </c>
      <c r="E158" s="11" t="n">
        <v>-0.4</v>
      </c>
      <c r="F158" s="11" t="n">
        <v>-0.25</v>
      </c>
      <c r="G158" s="12" t="s">
        <v>156</v>
      </c>
      <c r="H158" s="6" t="s">
        <v>547</v>
      </c>
      <c r="I158" s="12" t="s">
        <v>548</v>
      </c>
    </row>
    <row r="159" customFormat="false" ht="17.15" hidden="false" customHeight="false" outlineLevel="0" collapsed="false">
      <c r="A159" s="0" t="s">
        <v>549</v>
      </c>
      <c r="B159" s="0" t="s">
        <v>550</v>
      </c>
      <c r="C159" s="0" t="s">
        <v>57</v>
      </c>
      <c r="D159" s="11" t="n">
        <v>0.2</v>
      </c>
      <c r="E159" s="11" t="n">
        <v>0.3</v>
      </c>
      <c r="F159" s="11" t="n">
        <v>0.45</v>
      </c>
      <c r="G159" s="12" t="s">
        <v>156</v>
      </c>
      <c r="H159" s="12" t="s">
        <v>551</v>
      </c>
      <c r="I159" s="12" t="s">
        <v>552</v>
      </c>
    </row>
    <row r="160" customFormat="false" ht="17.15" hidden="false" customHeight="false" outlineLevel="0" collapsed="false">
      <c r="A160" s="0" t="s">
        <v>553</v>
      </c>
      <c r="B160" s="0" t="s">
        <v>554</v>
      </c>
      <c r="C160" s="0" t="s">
        <v>57</v>
      </c>
      <c r="D160" s="11" t="n">
        <v>0.25</v>
      </c>
      <c r="E160" s="11" t="n">
        <v>0.35</v>
      </c>
      <c r="F160" s="11" t="n">
        <v>0.5</v>
      </c>
      <c r="G160" s="12" t="s">
        <v>156</v>
      </c>
      <c r="H160" s="12" t="s">
        <v>555</v>
      </c>
      <c r="I160" s="12" t="s">
        <v>556</v>
      </c>
    </row>
    <row r="161" customFormat="false" ht="17.15" hidden="false" customHeight="false" outlineLevel="0" collapsed="false">
      <c r="A161" s="0" t="s">
        <v>557</v>
      </c>
      <c r="B161" s="0" t="s">
        <v>558</v>
      </c>
      <c r="C161" s="0" t="s">
        <v>57</v>
      </c>
      <c r="D161" s="11" t="n">
        <v>-0.15</v>
      </c>
      <c r="E161" s="11" t="n">
        <v>-0.05</v>
      </c>
      <c r="F161" s="11" t="n">
        <v>0.05</v>
      </c>
      <c r="G161" s="12" t="s">
        <v>156</v>
      </c>
      <c r="H161" s="12" t="s">
        <v>559</v>
      </c>
      <c r="I161" s="12" t="s">
        <v>560</v>
      </c>
    </row>
    <row r="162" customFormat="false" ht="17.15" hidden="false" customHeight="false" outlineLevel="0" collapsed="false">
      <c r="A162" s="0" t="s">
        <v>561</v>
      </c>
      <c r="B162" s="0" t="s">
        <v>562</v>
      </c>
      <c r="C162" s="0" t="s">
        <v>57</v>
      </c>
      <c r="D162" s="11" t="n">
        <v>-0.1</v>
      </c>
      <c r="E162" s="11" t="n">
        <v>0</v>
      </c>
      <c r="F162" s="11" t="n">
        <v>0.1</v>
      </c>
      <c r="G162" s="12" t="s">
        <v>156</v>
      </c>
      <c r="H162" s="12" t="s">
        <v>563</v>
      </c>
      <c r="I162" s="12" t="s">
        <v>564</v>
      </c>
    </row>
    <row r="163" customFormat="false" ht="17.15" hidden="false" customHeight="false" outlineLevel="0" collapsed="false">
      <c r="A163" s="0" t="s">
        <v>565</v>
      </c>
      <c r="B163" s="0" t="s">
        <v>566</v>
      </c>
      <c r="C163" s="0" t="s">
        <v>57</v>
      </c>
      <c r="D163" s="11" t="n">
        <v>-0.1</v>
      </c>
      <c r="E163" s="11" t="n">
        <v>0.05</v>
      </c>
      <c r="F163" s="11" t="n">
        <v>0.15</v>
      </c>
      <c r="G163" s="12" t="s">
        <v>156</v>
      </c>
      <c r="H163" s="6" t="s">
        <v>567</v>
      </c>
      <c r="I163" s="12" t="s">
        <v>568</v>
      </c>
    </row>
    <row r="164" customFormat="false" ht="17.15" hidden="false" customHeight="false" outlineLevel="0" collapsed="false">
      <c r="A164" s="10" t="s">
        <v>569</v>
      </c>
    </row>
    <row r="165" customFormat="false" ht="17.15" hidden="false" customHeight="false" outlineLevel="0" collapsed="false">
      <c r="A165" s="0" t="s">
        <v>570</v>
      </c>
      <c r="B165" s="0" t="s">
        <v>571</v>
      </c>
      <c r="C165" s="0" t="s">
        <v>508</v>
      </c>
      <c r="D165" s="13" t="n">
        <v>340</v>
      </c>
      <c r="E165" s="13" t="n">
        <v>374</v>
      </c>
      <c r="F165" s="13" t="n">
        <v>400</v>
      </c>
      <c r="G165" s="12" t="s">
        <v>572</v>
      </c>
      <c r="H165" s="12" t="s">
        <v>573</v>
      </c>
      <c r="I165" s="12" t="s">
        <v>574</v>
      </c>
    </row>
    <row r="166" customFormat="false" ht="17.15" hidden="false" customHeight="false" outlineLevel="0" collapsed="false">
      <c r="A166" s="0" t="s">
        <v>575</v>
      </c>
      <c r="B166" s="6" t="s">
        <v>576</v>
      </c>
      <c r="C166" s="0" t="s">
        <v>577</v>
      </c>
      <c r="D166" s="13" t="n">
        <v>38</v>
      </c>
      <c r="E166" s="13" t="n">
        <v>42.8</v>
      </c>
      <c r="F166" s="13" t="n">
        <v>48</v>
      </c>
      <c r="G166" s="12" t="s">
        <v>487</v>
      </c>
      <c r="H166" s="12" t="s">
        <v>578</v>
      </c>
      <c r="I166" s="12" t="s">
        <v>579</v>
      </c>
    </row>
    <row r="167" customFormat="false" ht="17.15" hidden="false" customHeight="false" outlineLevel="0" collapsed="false">
      <c r="A167" s="0" t="s">
        <v>580</v>
      </c>
      <c r="B167" s="6" t="s">
        <v>581</v>
      </c>
      <c r="C167" s="0" t="s">
        <v>577</v>
      </c>
      <c r="D167" s="13" t="n">
        <v>3.5</v>
      </c>
      <c r="E167" s="13" t="n">
        <v>4.46</v>
      </c>
      <c r="F167" s="13" t="n">
        <v>4.9</v>
      </c>
      <c r="G167" s="12" t="s">
        <v>487</v>
      </c>
      <c r="H167" s="12" t="s">
        <v>582</v>
      </c>
      <c r="I167" s="12" t="s">
        <v>583</v>
      </c>
    </row>
    <row r="168" customFormat="false" ht="17.15" hidden="false" customHeight="false" outlineLevel="0" collapsed="false">
      <c r="A168" s="0" t="s">
        <v>584</v>
      </c>
      <c r="B168" s="6" t="s">
        <v>585</v>
      </c>
      <c r="C168" s="0" t="s">
        <v>508</v>
      </c>
      <c r="E168" s="13" t="n">
        <v>54.6</v>
      </c>
      <c r="G168" s="12" t="s">
        <v>58</v>
      </c>
      <c r="H168" s="12" t="s">
        <v>586</v>
      </c>
      <c r="I168" s="12" t="s">
        <v>587</v>
      </c>
    </row>
    <row r="169" customFormat="false" ht="17.15" hidden="false" customHeight="false" outlineLevel="0" collapsed="false">
      <c r="A169" s="0" t="s">
        <v>588</v>
      </c>
      <c r="B169" s="6" t="s">
        <v>589</v>
      </c>
      <c r="C169" s="0" t="s">
        <v>508</v>
      </c>
      <c r="E169" s="13" t="n">
        <v>77.4</v>
      </c>
      <c r="G169" s="12" t="s">
        <v>58</v>
      </c>
      <c r="H169" s="12" t="s">
        <v>590</v>
      </c>
      <c r="I169" s="12" t="s">
        <v>591</v>
      </c>
    </row>
    <row r="170" customFormat="false" ht="17.15" hidden="false" customHeight="false" outlineLevel="0" collapsed="false">
      <c r="A170" s="0" t="s">
        <v>592</v>
      </c>
      <c r="B170" s="6" t="s">
        <v>593</v>
      </c>
      <c r="C170" s="0" t="s">
        <v>508</v>
      </c>
      <c r="E170" s="13" t="n">
        <v>152.8</v>
      </c>
      <c r="G170" s="12" t="s">
        <v>58</v>
      </c>
      <c r="H170" s="12" t="s">
        <v>594</v>
      </c>
      <c r="I170" s="12" t="s">
        <v>595</v>
      </c>
    </row>
    <row r="171" customFormat="false" ht="17.15" hidden="false" customHeight="false" outlineLevel="0" collapsed="false">
      <c r="A171" s="10" t="s">
        <v>596</v>
      </c>
    </row>
    <row r="172" customFormat="false" ht="17.15" hidden="false" customHeight="false" outlineLevel="0" collapsed="false">
      <c r="A172" s="0" t="s">
        <v>597</v>
      </c>
      <c r="B172" s="0" t="s">
        <v>598</v>
      </c>
      <c r="C172" s="0" t="s">
        <v>57</v>
      </c>
      <c r="D172" s="11" t="n">
        <v>-0.7</v>
      </c>
      <c r="E172" s="11" t="n">
        <v>-0.5</v>
      </c>
      <c r="F172" s="11" t="n">
        <v>-0.3</v>
      </c>
      <c r="G172" s="12" t="s">
        <v>156</v>
      </c>
      <c r="H172" s="12" t="s">
        <v>599</v>
      </c>
      <c r="I172" s="12" t="s">
        <v>600</v>
      </c>
    </row>
    <row r="173" customFormat="false" ht="17.15" hidden="false" customHeight="false" outlineLevel="0" collapsed="false">
      <c r="A173" s="0" t="s">
        <v>601</v>
      </c>
      <c r="B173" s="0" t="s">
        <v>602</v>
      </c>
      <c r="C173" s="0" t="s">
        <v>57</v>
      </c>
      <c r="D173" s="11" t="n">
        <v>0.05</v>
      </c>
      <c r="E173" s="11" t="n">
        <v>0.15</v>
      </c>
      <c r="F173" s="11" t="n">
        <v>0.25</v>
      </c>
      <c r="G173" s="12" t="s">
        <v>156</v>
      </c>
      <c r="H173" s="6" t="s">
        <v>63</v>
      </c>
      <c r="I173" s="12" t="s">
        <v>603</v>
      </c>
    </row>
    <row r="174" customFormat="false" ht="17.15" hidden="false" customHeight="false" outlineLevel="0" collapsed="false">
      <c r="A174" s="0" t="s">
        <v>604</v>
      </c>
      <c r="B174" s="0" t="s">
        <v>605</v>
      </c>
      <c r="C174" s="0" t="s">
        <v>57</v>
      </c>
      <c r="D174" s="11" t="n">
        <v>0.05</v>
      </c>
      <c r="E174" s="11" t="n">
        <v>0.15</v>
      </c>
      <c r="F174" s="11" t="n">
        <v>0.25</v>
      </c>
      <c r="G174" s="12" t="s">
        <v>156</v>
      </c>
      <c r="H174" s="6" t="s">
        <v>63</v>
      </c>
      <c r="I174" s="12" t="s">
        <v>606</v>
      </c>
    </row>
    <row r="175" customFormat="false" ht="17.15" hidden="false" customHeight="false" outlineLevel="0" collapsed="false">
      <c r="A175" s="0" t="s">
        <v>607</v>
      </c>
      <c r="B175" s="0" t="s">
        <v>608</v>
      </c>
      <c r="C175" s="0" t="s">
        <v>57</v>
      </c>
      <c r="D175" s="11" t="n">
        <v>0</v>
      </c>
      <c r="E175" s="11" t="n">
        <v>0</v>
      </c>
      <c r="F175" s="11" t="n">
        <v>0</v>
      </c>
      <c r="G175" s="12" t="s">
        <v>156</v>
      </c>
      <c r="H175" s="6" t="s">
        <v>63</v>
      </c>
      <c r="I175" s="12" t="s">
        <v>609</v>
      </c>
    </row>
    <row r="176" customFormat="false" ht="17.15" hidden="false" customHeight="false" outlineLevel="0" collapsed="false">
      <c r="A176" s="0" t="s">
        <v>610</v>
      </c>
      <c r="B176" s="0" t="s">
        <v>611</v>
      </c>
      <c r="C176" s="0" t="s">
        <v>57</v>
      </c>
      <c r="D176" s="11" t="n">
        <v>0.05</v>
      </c>
      <c r="E176" s="11" t="n">
        <v>0.15</v>
      </c>
      <c r="F176" s="11" t="n">
        <v>0.25</v>
      </c>
      <c r="G176" s="12" t="s">
        <v>156</v>
      </c>
      <c r="H176" s="6" t="s">
        <v>63</v>
      </c>
      <c r="I176" s="12" t="s">
        <v>612</v>
      </c>
    </row>
    <row r="177" customFormat="false" ht="17.15" hidden="false" customHeight="false" outlineLevel="0" collapsed="false">
      <c r="A177" s="0" t="s">
        <v>613</v>
      </c>
      <c r="B177" s="0" t="s">
        <v>614</v>
      </c>
      <c r="C177" s="0" t="s">
        <v>57</v>
      </c>
      <c r="D177" s="11" t="n">
        <v>0.05</v>
      </c>
      <c r="E177" s="11" t="n">
        <v>0.15</v>
      </c>
      <c r="F177" s="11" t="n">
        <v>0.25</v>
      </c>
      <c r="G177" s="12" t="s">
        <v>156</v>
      </c>
      <c r="H177" s="6" t="s">
        <v>63</v>
      </c>
      <c r="I177" s="12" t="s">
        <v>615</v>
      </c>
    </row>
    <row r="178" customFormat="false" ht="17.15" hidden="false" customHeight="false" outlineLevel="0" collapsed="false">
      <c r="A178" s="0" t="s">
        <v>616</v>
      </c>
      <c r="B178" s="0" t="s">
        <v>617</v>
      </c>
      <c r="C178" s="0" t="s">
        <v>57</v>
      </c>
      <c r="D178" s="11" t="n">
        <v>0.05</v>
      </c>
      <c r="E178" s="11" t="n">
        <v>0.15</v>
      </c>
      <c r="F178" s="11" t="n">
        <v>0.25</v>
      </c>
      <c r="G178" s="12" t="s">
        <v>156</v>
      </c>
      <c r="H178" s="6" t="s">
        <v>63</v>
      </c>
      <c r="I178" s="12" t="s">
        <v>618</v>
      </c>
    </row>
    <row r="179" customFormat="false" ht="17.15" hidden="false" customHeight="false" outlineLevel="0" collapsed="false">
      <c r="A179" s="0" t="s">
        <v>619</v>
      </c>
      <c r="B179" s="6" t="s">
        <v>620</v>
      </c>
      <c r="C179" s="0" t="s">
        <v>57</v>
      </c>
      <c r="D179" s="11" t="n">
        <v>0.05</v>
      </c>
      <c r="E179" s="11" t="n">
        <v>0.15</v>
      </c>
      <c r="F179" s="11" t="n">
        <v>0.25</v>
      </c>
      <c r="G179" s="12" t="s">
        <v>156</v>
      </c>
      <c r="H179" s="6" t="s">
        <v>63</v>
      </c>
      <c r="I179" s="12" t="s">
        <v>621</v>
      </c>
    </row>
    <row r="180" customFormat="false" ht="17.15" hidden="false" customHeight="false" outlineLevel="0" collapsed="false">
      <c r="A180" s="10" t="s">
        <v>622</v>
      </c>
    </row>
    <row r="181" customFormat="false" ht="17.15" hidden="false" customHeight="false" outlineLevel="0" collapsed="false">
      <c r="A181" s="0" t="s">
        <v>623</v>
      </c>
      <c r="B181" s="0" t="s">
        <v>624</v>
      </c>
      <c r="C181" s="0" t="s">
        <v>625</v>
      </c>
      <c r="D181" s="13" t="n">
        <v>20</v>
      </c>
      <c r="E181" s="13" t="n">
        <v>30</v>
      </c>
      <c r="F181" s="13" t="n">
        <v>45</v>
      </c>
      <c r="G181" s="12" t="s">
        <v>58</v>
      </c>
      <c r="H181" s="12" t="s">
        <v>626</v>
      </c>
      <c r="I181" s="12" t="s">
        <v>627</v>
      </c>
      <c r="J181" s="6" t="s">
        <v>628</v>
      </c>
    </row>
    <row r="182" customFormat="false" ht="17.15" hidden="false" customHeight="false" outlineLevel="0" collapsed="false">
      <c r="A182" s="0" t="s">
        <v>629</v>
      </c>
      <c r="B182" s="0" t="s">
        <v>630</v>
      </c>
      <c r="C182" s="0" t="s">
        <v>625</v>
      </c>
      <c r="D182" s="13" t="n">
        <v>8</v>
      </c>
      <c r="E182" s="13" t="n">
        <v>12</v>
      </c>
      <c r="F182" s="13" t="n">
        <v>18</v>
      </c>
      <c r="G182" s="12" t="s">
        <v>156</v>
      </c>
      <c r="H182" s="6" t="s">
        <v>631</v>
      </c>
      <c r="I182" s="12" t="s">
        <v>632</v>
      </c>
      <c r="J182" s="6" t="s">
        <v>633</v>
      </c>
    </row>
    <row r="183" customFormat="false" ht="17.15" hidden="false" customHeight="false" outlineLevel="0" collapsed="false">
      <c r="A183" s="0" t="s">
        <v>634</v>
      </c>
      <c r="B183" s="0" t="s">
        <v>635</v>
      </c>
      <c r="C183" s="0" t="s">
        <v>625</v>
      </c>
      <c r="D183" s="13" t="n">
        <v>5</v>
      </c>
      <c r="E183" s="13" t="n">
        <v>8</v>
      </c>
      <c r="F183" s="13" t="n">
        <v>12</v>
      </c>
      <c r="G183" s="12" t="s">
        <v>156</v>
      </c>
      <c r="H183" s="6" t="s">
        <v>636</v>
      </c>
      <c r="I183" s="12" t="s">
        <v>637</v>
      </c>
      <c r="J183" s="12" t="s">
        <v>638</v>
      </c>
    </row>
    <row r="184" customFormat="false" ht="17.15" hidden="false" customHeight="false" outlineLevel="0" collapsed="false">
      <c r="A184" s="0" t="s">
        <v>639</v>
      </c>
      <c r="B184" s="6" t="s">
        <v>640</v>
      </c>
      <c r="C184" s="0" t="s">
        <v>625</v>
      </c>
      <c r="D184" s="13" t="n">
        <v>5</v>
      </c>
      <c r="E184" s="13" t="n">
        <v>8</v>
      </c>
      <c r="F184" s="13" t="n">
        <v>12</v>
      </c>
      <c r="G184" s="12" t="s">
        <v>156</v>
      </c>
      <c r="H184" s="6" t="s">
        <v>641</v>
      </c>
      <c r="I184" s="12" t="s">
        <v>642</v>
      </c>
      <c r="J184" s="6" t="s">
        <v>63</v>
      </c>
    </row>
    <row r="185" customFormat="false" ht="17.15" hidden="false" customHeight="false" outlineLevel="0" collapsed="false">
      <c r="A185" s="0" t="s">
        <v>643</v>
      </c>
      <c r="B185" s="0" t="s">
        <v>644</v>
      </c>
      <c r="C185" s="0" t="s">
        <v>625</v>
      </c>
      <c r="D185" s="13" t="n">
        <v>6</v>
      </c>
      <c r="E185" s="13" t="n">
        <v>8</v>
      </c>
      <c r="F185" s="13" t="n">
        <v>11</v>
      </c>
      <c r="G185" s="12" t="s">
        <v>156</v>
      </c>
      <c r="H185" s="6" t="s">
        <v>645</v>
      </c>
      <c r="I185" s="12" t="s">
        <v>646</v>
      </c>
      <c r="J185" s="12" t="s">
        <v>647</v>
      </c>
    </row>
    <row r="186" customFormat="false" ht="17.15" hidden="false" customHeight="false" outlineLevel="0" collapsed="false">
      <c r="A186" s="0" t="s">
        <v>648</v>
      </c>
      <c r="B186" s="6" t="s">
        <v>649</v>
      </c>
      <c r="C186" s="0" t="s">
        <v>625</v>
      </c>
      <c r="D186" s="13" t="n">
        <v>4</v>
      </c>
      <c r="E186" s="13" t="n">
        <v>6</v>
      </c>
      <c r="F186" s="13" t="n">
        <v>9</v>
      </c>
      <c r="G186" s="12" t="s">
        <v>156</v>
      </c>
      <c r="H186" s="6" t="s">
        <v>650</v>
      </c>
      <c r="I186" s="12" t="s">
        <v>651</v>
      </c>
      <c r="J186" s="12" t="s">
        <v>652</v>
      </c>
    </row>
    <row r="187" customFormat="false" ht="17.15" hidden="false" customHeight="false" outlineLevel="0" collapsed="false">
      <c r="A187" s="0" t="s">
        <v>653</v>
      </c>
      <c r="B187" s="0" t="s">
        <v>654</v>
      </c>
      <c r="C187" s="0" t="s">
        <v>486</v>
      </c>
      <c r="D187" s="13" t="n">
        <v>0.3</v>
      </c>
      <c r="E187" s="13" t="n">
        <v>0.6</v>
      </c>
      <c r="F187" s="13" t="n">
        <v>1</v>
      </c>
      <c r="G187" s="12" t="s">
        <v>156</v>
      </c>
      <c r="H187" s="6" t="s">
        <v>655</v>
      </c>
      <c r="I187" s="12" t="s">
        <v>656</v>
      </c>
      <c r="J187" s="6" t="s">
        <v>657</v>
      </c>
    </row>
    <row r="188" customFormat="false" ht="17.15" hidden="false" customHeight="false" outlineLevel="0" collapsed="false">
      <c r="A188" s="10" t="s">
        <v>658</v>
      </c>
    </row>
    <row r="189" customFormat="false" ht="17.15" hidden="false" customHeight="false" outlineLevel="0" collapsed="false">
      <c r="A189" s="0" t="s">
        <v>659</v>
      </c>
      <c r="B189" s="0" t="s">
        <v>660</v>
      </c>
      <c r="C189" s="0" t="s">
        <v>57</v>
      </c>
      <c r="D189" s="11" t="n">
        <v>0.8</v>
      </c>
      <c r="E189" s="11" t="n">
        <v>0.9</v>
      </c>
      <c r="F189" s="11" t="n">
        <v>1</v>
      </c>
      <c r="G189" s="12" t="s">
        <v>156</v>
      </c>
      <c r="H189" s="12" t="s">
        <v>661</v>
      </c>
      <c r="I189" s="12" t="s">
        <v>662</v>
      </c>
      <c r="J189" s="6" t="s">
        <v>663</v>
      </c>
    </row>
    <row r="190" customFormat="false" ht="17.15" hidden="false" customHeight="false" outlineLevel="0" collapsed="false">
      <c r="A190" s="0" t="s">
        <v>664</v>
      </c>
      <c r="B190" s="0" t="s">
        <v>665</v>
      </c>
      <c r="C190" s="0" t="s">
        <v>57</v>
      </c>
      <c r="D190" s="11" t="n">
        <v>0.6</v>
      </c>
      <c r="E190" s="11" t="n">
        <v>0.8</v>
      </c>
      <c r="F190" s="11" t="n">
        <v>0.9</v>
      </c>
      <c r="G190" s="12" t="s">
        <v>156</v>
      </c>
      <c r="H190" s="6" t="s">
        <v>666</v>
      </c>
      <c r="I190" s="12" t="s">
        <v>667</v>
      </c>
      <c r="J190" s="12" t="s">
        <v>668</v>
      </c>
    </row>
    <row r="191" customFormat="false" ht="17.15" hidden="false" customHeight="false" outlineLevel="0" collapsed="false">
      <c r="A191" s="0" t="s">
        <v>669</v>
      </c>
      <c r="B191" s="0" t="s">
        <v>670</v>
      </c>
      <c r="C191" s="0" t="s">
        <v>57</v>
      </c>
      <c r="D191" s="11" t="n">
        <v>0.5</v>
      </c>
      <c r="E191" s="11" t="n">
        <v>0.75</v>
      </c>
      <c r="F191" s="11" t="n">
        <v>0.9</v>
      </c>
      <c r="G191" s="12" t="s">
        <v>156</v>
      </c>
      <c r="H191" s="6" t="s">
        <v>63</v>
      </c>
      <c r="I191" s="12" t="s">
        <v>671</v>
      </c>
      <c r="J191" s="12" t="s">
        <v>672</v>
      </c>
    </row>
    <row r="192" customFormat="false" ht="17.15" hidden="false" customHeight="false" outlineLevel="0" collapsed="false">
      <c r="A192" s="0" t="s">
        <v>673</v>
      </c>
      <c r="B192" s="0" t="s">
        <v>674</v>
      </c>
      <c r="C192" s="0" t="s">
        <v>57</v>
      </c>
      <c r="D192" s="11" t="n">
        <v>0.2</v>
      </c>
      <c r="E192" s="11" t="n">
        <v>0.35</v>
      </c>
      <c r="F192" s="11" t="n">
        <v>0.5</v>
      </c>
      <c r="G192" s="12" t="s">
        <v>156</v>
      </c>
      <c r="H192" s="6" t="s">
        <v>675</v>
      </c>
      <c r="I192" s="12" t="s">
        <v>676</v>
      </c>
      <c r="J192" s="12" t="s">
        <v>677</v>
      </c>
    </row>
    <row r="193" customFormat="false" ht="17.15" hidden="false" customHeight="false" outlineLevel="0" collapsed="false">
      <c r="A193" s="0" t="s">
        <v>678</v>
      </c>
      <c r="B193" s="0" t="s">
        <v>679</v>
      </c>
      <c r="C193" s="0" t="s">
        <v>57</v>
      </c>
      <c r="D193" s="11" t="n">
        <v>0.4</v>
      </c>
      <c r="E193" s="11" t="n">
        <v>0.55</v>
      </c>
      <c r="F193" s="11" t="n">
        <v>0.7</v>
      </c>
      <c r="G193" s="12" t="s">
        <v>156</v>
      </c>
      <c r="H193" s="12" t="s">
        <v>680</v>
      </c>
      <c r="I193" s="12" t="s">
        <v>681</v>
      </c>
      <c r="J193" s="12" t="s">
        <v>672</v>
      </c>
    </row>
    <row r="194" customFormat="false" ht="17.15" hidden="false" customHeight="false" outlineLevel="0" collapsed="false">
      <c r="A194" s="0" t="s">
        <v>682</v>
      </c>
      <c r="B194" s="0" t="s">
        <v>683</v>
      </c>
      <c r="C194" s="0" t="s">
        <v>57</v>
      </c>
      <c r="D194" s="11" t="n">
        <v>0.4</v>
      </c>
      <c r="E194" s="11" t="n">
        <v>0.55</v>
      </c>
      <c r="F194" s="11" t="n">
        <v>0.7</v>
      </c>
      <c r="G194" s="12" t="s">
        <v>156</v>
      </c>
      <c r="H194" s="12" t="s">
        <v>684</v>
      </c>
      <c r="I194" s="12" t="s">
        <v>685</v>
      </c>
      <c r="J194" s="12" t="s">
        <v>672</v>
      </c>
    </row>
    <row r="195" customFormat="false" ht="17.15" hidden="false" customHeight="false" outlineLevel="0" collapsed="false">
      <c r="A195" s="0" t="s">
        <v>686</v>
      </c>
      <c r="B195" s="0" t="s">
        <v>687</v>
      </c>
      <c r="C195" s="0" t="s">
        <v>57</v>
      </c>
      <c r="D195" s="11" t="n">
        <v>0.05</v>
      </c>
      <c r="E195" s="11" t="n">
        <v>0.1</v>
      </c>
      <c r="F195" s="11" t="n">
        <v>0.2</v>
      </c>
      <c r="G195" s="12" t="s">
        <v>156</v>
      </c>
      <c r="H195" s="12" t="s">
        <v>688</v>
      </c>
      <c r="I195" s="12" t="s">
        <v>689</v>
      </c>
      <c r="J195" s="6" t="s">
        <v>690</v>
      </c>
    </row>
    <row r="196" customFormat="false" ht="17.15" hidden="false" customHeight="false" outlineLevel="0" collapsed="false">
      <c r="A196" s="0" t="s">
        <v>691</v>
      </c>
      <c r="B196" s="0" t="s">
        <v>692</v>
      </c>
      <c r="C196" s="0" t="s">
        <v>57</v>
      </c>
      <c r="D196" s="11" t="n">
        <v>0.05</v>
      </c>
      <c r="E196" s="11" t="n">
        <v>0.1</v>
      </c>
      <c r="F196" s="11" t="n">
        <v>0.2</v>
      </c>
      <c r="G196" s="12" t="s">
        <v>156</v>
      </c>
      <c r="H196" s="6" t="s">
        <v>63</v>
      </c>
      <c r="I196" s="12" t="s">
        <v>693</v>
      </c>
      <c r="J196" s="12" t="s">
        <v>672</v>
      </c>
    </row>
    <row r="197" customFormat="false" ht="17.15" hidden="false" customHeight="false" outlineLevel="0" collapsed="false">
      <c r="A197" s="0" t="s">
        <v>694</v>
      </c>
      <c r="B197" s="0" t="s">
        <v>695</v>
      </c>
      <c r="C197" s="0" t="s">
        <v>57</v>
      </c>
      <c r="D197" s="11" t="n">
        <v>0</v>
      </c>
      <c r="E197" s="11" t="n">
        <v>0.08</v>
      </c>
      <c r="F197" s="11" t="n">
        <v>0.2</v>
      </c>
      <c r="G197" s="12" t="s">
        <v>156</v>
      </c>
      <c r="H197" s="6" t="s">
        <v>63</v>
      </c>
      <c r="I197" s="12" t="s">
        <v>696</v>
      </c>
      <c r="J197" s="12" t="s">
        <v>672</v>
      </c>
    </row>
    <row r="198" customFormat="false" ht="17.15" hidden="false" customHeight="false" outlineLevel="0" collapsed="false">
      <c r="A198" s="0" t="s">
        <v>697</v>
      </c>
      <c r="B198" s="0" t="s">
        <v>698</v>
      </c>
      <c r="C198" s="0" t="s">
        <v>57</v>
      </c>
      <c r="D198" s="11" t="n">
        <v>0.02</v>
      </c>
      <c r="E198" s="11" t="n">
        <v>0.05</v>
      </c>
      <c r="F198" s="11" t="n">
        <v>0.1</v>
      </c>
      <c r="G198" s="12" t="s">
        <v>156</v>
      </c>
      <c r="H198" s="12" t="s">
        <v>699</v>
      </c>
      <c r="I198" s="12" t="s">
        <v>700</v>
      </c>
      <c r="J198" s="6" t="s">
        <v>701</v>
      </c>
    </row>
    <row r="199" customFormat="false" ht="17.15" hidden="false" customHeight="false" outlineLevel="0" collapsed="false">
      <c r="A199" s="0" t="s">
        <v>702</v>
      </c>
      <c r="B199" s="0" t="s">
        <v>703</v>
      </c>
      <c r="C199" s="0" t="s">
        <v>57</v>
      </c>
      <c r="D199" s="11" t="n">
        <v>0.03</v>
      </c>
      <c r="E199" s="11" t="n">
        <v>0.06</v>
      </c>
      <c r="F199" s="11" t="n">
        <v>0.12</v>
      </c>
      <c r="G199" s="12" t="s">
        <v>156</v>
      </c>
      <c r="H199" s="6" t="s">
        <v>63</v>
      </c>
      <c r="I199" s="12" t="s">
        <v>704</v>
      </c>
      <c r="J199" s="12" t="s">
        <v>672</v>
      </c>
    </row>
    <row r="200" customFormat="false" ht="17.15" hidden="false" customHeight="false" outlineLevel="0" collapsed="false">
      <c r="A200" s="0" t="s">
        <v>705</v>
      </c>
      <c r="B200" s="0" t="s">
        <v>706</v>
      </c>
      <c r="C200" s="0" t="s">
        <v>57</v>
      </c>
      <c r="D200" s="11" t="n">
        <v>0.08</v>
      </c>
      <c r="E200" s="11" t="n">
        <v>0.15</v>
      </c>
      <c r="F200" s="11" t="n">
        <v>0.25</v>
      </c>
      <c r="G200" s="12" t="s">
        <v>156</v>
      </c>
      <c r="H200" s="6" t="s">
        <v>63</v>
      </c>
      <c r="I200" s="12" t="s">
        <v>707</v>
      </c>
      <c r="J200" s="12" t="s">
        <v>672</v>
      </c>
    </row>
    <row r="201" customFormat="false" ht="17.15" hidden="false" customHeight="false" outlineLevel="0" collapsed="false">
      <c r="A201" s="0" t="s">
        <v>708</v>
      </c>
      <c r="B201" s="0" t="s">
        <v>709</v>
      </c>
      <c r="C201" s="0" t="s">
        <v>57</v>
      </c>
      <c r="D201" s="11" t="n">
        <v>0</v>
      </c>
      <c r="E201" s="11" t="n">
        <v>0</v>
      </c>
      <c r="F201" s="11" t="n">
        <v>0.02</v>
      </c>
      <c r="G201" s="12" t="s">
        <v>156</v>
      </c>
      <c r="H201" s="12" t="s">
        <v>710</v>
      </c>
      <c r="I201" s="12" t="s">
        <v>711</v>
      </c>
      <c r="J201" s="12" t="s">
        <v>712</v>
      </c>
    </row>
    <row r="202" customFormat="false" ht="17.15" hidden="false" customHeight="false" outlineLevel="0" collapsed="false">
      <c r="A202" s="0" t="s">
        <v>713</v>
      </c>
      <c r="B202" s="0" t="s">
        <v>714</v>
      </c>
      <c r="C202" s="0" t="s">
        <v>57</v>
      </c>
      <c r="D202" s="11" t="n">
        <v>0</v>
      </c>
      <c r="E202" s="11" t="n">
        <v>0</v>
      </c>
      <c r="F202" s="11" t="n">
        <v>0.05</v>
      </c>
      <c r="G202" s="12" t="s">
        <v>156</v>
      </c>
      <c r="H202" s="6" t="s">
        <v>63</v>
      </c>
      <c r="I202" s="12" t="s">
        <v>715</v>
      </c>
      <c r="J202" s="12" t="s">
        <v>672</v>
      </c>
    </row>
    <row r="203" customFormat="false" ht="17.15" hidden="false" customHeight="false" outlineLevel="0" collapsed="false">
      <c r="A203" s="0" t="s">
        <v>716</v>
      </c>
      <c r="B203" s="0" t="s">
        <v>717</v>
      </c>
      <c r="C203" s="0" t="s">
        <v>57</v>
      </c>
      <c r="D203" s="11" t="n">
        <v>0</v>
      </c>
      <c r="E203" s="11" t="n">
        <v>0.05</v>
      </c>
      <c r="F203" s="11" t="n">
        <v>0.15</v>
      </c>
      <c r="G203" s="12" t="s">
        <v>156</v>
      </c>
      <c r="H203" s="6" t="s">
        <v>63</v>
      </c>
      <c r="I203" s="12" t="s">
        <v>718</v>
      </c>
      <c r="J203" s="12" t="s">
        <v>672</v>
      </c>
    </row>
    <row r="204" customFormat="false" ht="17.15" hidden="false" customHeight="false" outlineLevel="0" collapsed="false">
      <c r="A204" s="0" t="s">
        <v>719</v>
      </c>
      <c r="B204" s="6" t="s">
        <v>720</v>
      </c>
      <c r="C204" s="0" t="s">
        <v>57</v>
      </c>
      <c r="D204" s="11" t="n">
        <v>0.03</v>
      </c>
      <c r="E204" s="11" t="n">
        <v>0.05</v>
      </c>
      <c r="F204" s="11" t="n">
        <v>0.1</v>
      </c>
      <c r="G204" s="12" t="s">
        <v>156</v>
      </c>
      <c r="H204" s="6" t="s">
        <v>721</v>
      </c>
      <c r="I204" s="12" t="s">
        <v>722</v>
      </c>
      <c r="J204" s="6" t="s">
        <v>723</v>
      </c>
    </row>
    <row r="205" customFormat="false" ht="17.15" hidden="false" customHeight="false" outlineLevel="0" collapsed="false">
      <c r="A205" s="0" t="s">
        <v>724</v>
      </c>
      <c r="B205" s="6" t="s">
        <v>725</v>
      </c>
      <c r="C205" s="0" t="s">
        <v>57</v>
      </c>
      <c r="D205" s="11" t="n">
        <v>0.08</v>
      </c>
      <c r="E205" s="11" t="n">
        <v>0.15</v>
      </c>
      <c r="F205" s="11" t="n">
        <v>0.2</v>
      </c>
      <c r="G205" s="12" t="s">
        <v>156</v>
      </c>
      <c r="H205" s="6" t="s">
        <v>63</v>
      </c>
      <c r="I205" s="12" t="s">
        <v>726</v>
      </c>
      <c r="J205" s="12" t="s">
        <v>672</v>
      </c>
    </row>
    <row r="206" customFormat="false" ht="17.15" hidden="false" customHeight="false" outlineLevel="0" collapsed="false">
      <c r="A206" s="0" t="s">
        <v>727</v>
      </c>
      <c r="B206" s="6" t="s">
        <v>728</v>
      </c>
      <c r="C206" s="0" t="s">
        <v>57</v>
      </c>
      <c r="D206" s="11" t="n">
        <v>0.1</v>
      </c>
      <c r="E206" s="11" t="n">
        <v>0.18</v>
      </c>
      <c r="F206" s="11" t="n">
        <v>0.2</v>
      </c>
      <c r="G206" s="12" t="s">
        <v>156</v>
      </c>
      <c r="H206" s="6" t="s">
        <v>63</v>
      </c>
      <c r="I206" s="12" t="s">
        <v>729</v>
      </c>
      <c r="J206" s="12" t="s">
        <v>672</v>
      </c>
    </row>
    <row r="207" customFormat="false" ht="17.15" hidden="false" customHeight="false" outlineLevel="0" collapsed="false">
      <c r="A207" s="0" t="s">
        <v>730</v>
      </c>
      <c r="B207" s="6" t="s">
        <v>731</v>
      </c>
      <c r="C207" s="0" t="s">
        <v>57</v>
      </c>
      <c r="D207" s="11" t="n">
        <v>0</v>
      </c>
      <c r="E207" s="11" t="n">
        <v>0</v>
      </c>
      <c r="F207" s="11" t="n">
        <v>0.02</v>
      </c>
      <c r="G207" s="12" t="s">
        <v>156</v>
      </c>
      <c r="H207" s="6" t="s">
        <v>732</v>
      </c>
      <c r="I207" s="12" t="s">
        <v>733</v>
      </c>
      <c r="J207" s="6" t="s">
        <v>734</v>
      </c>
    </row>
    <row r="208" customFormat="false" ht="17.15" hidden="false" customHeight="false" outlineLevel="0" collapsed="false">
      <c r="A208" s="0" t="s">
        <v>735</v>
      </c>
      <c r="B208" s="6" t="s">
        <v>736</v>
      </c>
      <c r="C208" s="0" t="s">
        <v>57</v>
      </c>
      <c r="D208" s="11" t="n">
        <v>0</v>
      </c>
      <c r="E208" s="11" t="n">
        <v>0</v>
      </c>
      <c r="F208" s="11" t="n">
        <v>0.03</v>
      </c>
      <c r="G208" s="12" t="s">
        <v>156</v>
      </c>
      <c r="H208" s="6" t="s">
        <v>63</v>
      </c>
      <c r="I208" s="12" t="s">
        <v>737</v>
      </c>
      <c r="J208" s="12" t="s">
        <v>672</v>
      </c>
    </row>
    <row r="209" customFormat="false" ht="17.15" hidden="false" customHeight="false" outlineLevel="0" collapsed="false">
      <c r="A209" s="0" t="s">
        <v>738</v>
      </c>
      <c r="B209" s="6" t="s">
        <v>739</v>
      </c>
      <c r="C209" s="0" t="s">
        <v>57</v>
      </c>
      <c r="D209" s="11" t="n">
        <v>0</v>
      </c>
      <c r="E209" s="11" t="n">
        <v>0</v>
      </c>
      <c r="F209" s="11" t="n">
        <v>0.05</v>
      </c>
      <c r="G209" s="12" t="s">
        <v>156</v>
      </c>
      <c r="H209" s="6" t="s">
        <v>63</v>
      </c>
      <c r="I209" s="12" t="s">
        <v>740</v>
      </c>
      <c r="J209" s="12" t="s">
        <v>672</v>
      </c>
    </row>
    <row r="210" customFormat="false" ht="17.15" hidden="false" customHeight="false" outlineLevel="0" collapsed="false">
      <c r="A210" s="0" t="s">
        <v>741</v>
      </c>
      <c r="B210" s="6" t="s">
        <v>742</v>
      </c>
      <c r="C210" s="0" t="s">
        <v>57</v>
      </c>
      <c r="D210" s="11" t="n">
        <v>0.2</v>
      </c>
      <c r="E210" s="11" t="n">
        <v>0.3</v>
      </c>
      <c r="F210" s="11" t="n">
        <v>0.4</v>
      </c>
      <c r="G210" s="12" t="s">
        <v>156</v>
      </c>
      <c r="H210" s="6" t="s">
        <v>743</v>
      </c>
      <c r="I210" s="12" t="s">
        <v>744</v>
      </c>
      <c r="J210" s="12" t="s">
        <v>745</v>
      </c>
    </row>
    <row r="211" customFormat="false" ht="17.15" hidden="false" customHeight="false" outlineLevel="0" collapsed="false">
      <c r="A211" s="0" t="s">
        <v>746</v>
      </c>
      <c r="B211" s="6" t="s">
        <v>747</v>
      </c>
      <c r="C211" s="0" t="s">
        <v>57</v>
      </c>
      <c r="D211" s="11" t="n">
        <v>0.4</v>
      </c>
      <c r="E211" s="11" t="n">
        <v>0.55</v>
      </c>
      <c r="F211" s="11" t="n">
        <v>0.75</v>
      </c>
      <c r="G211" s="12" t="s">
        <v>156</v>
      </c>
      <c r="H211" s="6" t="s">
        <v>63</v>
      </c>
      <c r="I211" s="12" t="s">
        <v>748</v>
      </c>
      <c r="J211" s="12" t="s">
        <v>745</v>
      </c>
    </row>
    <row r="212" customFormat="false" ht="17.15" hidden="false" customHeight="false" outlineLevel="0" collapsed="false">
      <c r="A212" s="0" t="s">
        <v>749</v>
      </c>
      <c r="B212" s="6" t="s">
        <v>750</v>
      </c>
      <c r="C212" s="0" t="s">
        <v>57</v>
      </c>
      <c r="D212" s="11" t="n">
        <v>0.4</v>
      </c>
      <c r="E212" s="11" t="n">
        <v>0.5</v>
      </c>
      <c r="F212" s="11" t="n">
        <v>0.75</v>
      </c>
      <c r="G212" s="12" t="s">
        <v>156</v>
      </c>
      <c r="H212" s="6" t="s">
        <v>63</v>
      </c>
      <c r="I212" s="12" t="s">
        <v>751</v>
      </c>
      <c r="J212" s="12" t="s">
        <v>672</v>
      </c>
    </row>
    <row r="213" customFormat="false" ht="17.15" hidden="false" customHeight="false" outlineLevel="0" collapsed="false">
      <c r="A213" s="0" t="s">
        <v>752</v>
      </c>
      <c r="B213" s="6" t="s">
        <v>753</v>
      </c>
      <c r="C213" s="0" t="s">
        <v>57</v>
      </c>
      <c r="D213" s="11" t="n">
        <v>0.3</v>
      </c>
      <c r="E213" s="11" t="n">
        <v>0.4</v>
      </c>
      <c r="F213" s="11" t="n">
        <v>0.75</v>
      </c>
      <c r="G213" s="12" t="s">
        <v>156</v>
      </c>
      <c r="H213" s="6" t="s">
        <v>63</v>
      </c>
      <c r="I213" s="12" t="s">
        <v>754</v>
      </c>
      <c r="J213" s="12" t="s">
        <v>672</v>
      </c>
    </row>
    <row r="214" customFormat="false" ht="17.15" hidden="false" customHeight="false" outlineLevel="0" collapsed="false">
      <c r="A214" s="0" t="s">
        <v>755</v>
      </c>
      <c r="B214" s="6" t="s">
        <v>756</v>
      </c>
      <c r="C214" s="0" t="s">
        <v>57</v>
      </c>
      <c r="D214" s="11" t="n">
        <v>0.35</v>
      </c>
      <c r="E214" s="11" t="n">
        <v>0.55</v>
      </c>
      <c r="F214" s="11" t="n">
        <v>0.85</v>
      </c>
      <c r="G214" s="12" t="s">
        <v>156</v>
      </c>
      <c r="H214" s="6" t="s">
        <v>63</v>
      </c>
      <c r="I214" s="12" t="s">
        <v>757</v>
      </c>
      <c r="J214" s="12" t="s">
        <v>745</v>
      </c>
    </row>
    <row r="215" customFormat="false" ht="17.15" hidden="false" customHeight="false" outlineLevel="0" collapsed="false">
      <c r="A215" s="0" t="s">
        <v>758</v>
      </c>
      <c r="B215" s="6" t="s">
        <v>759</v>
      </c>
      <c r="C215" s="0" t="s">
        <v>57</v>
      </c>
      <c r="D215" s="11" t="n">
        <v>0.3</v>
      </c>
      <c r="E215" s="11" t="n">
        <v>0.45</v>
      </c>
      <c r="F215" s="11" t="n">
        <v>0.85</v>
      </c>
      <c r="G215" s="12" t="s">
        <v>156</v>
      </c>
      <c r="H215" s="6" t="s">
        <v>63</v>
      </c>
      <c r="I215" s="12" t="s">
        <v>760</v>
      </c>
      <c r="J215" s="12" t="s">
        <v>761</v>
      </c>
    </row>
    <row r="216" customFormat="false" ht="17.15" hidden="false" customHeight="false" outlineLevel="0" collapsed="false">
      <c r="A216" s="0" t="s">
        <v>762</v>
      </c>
      <c r="B216" s="6" t="s">
        <v>763</v>
      </c>
      <c r="C216" s="0" t="s">
        <v>57</v>
      </c>
      <c r="D216" s="11" t="n">
        <v>0.2</v>
      </c>
      <c r="E216" s="11" t="n">
        <v>0.35</v>
      </c>
      <c r="F216" s="11" t="n">
        <v>0.85</v>
      </c>
      <c r="G216" s="12" t="s">
        <v>156</v>
      </c>
      <c r="H216" s="6" t="s">
        <v>63</v>
      </c>
      <c r="I216" s="12" t="s">
        <v>764</v>
      </c>
      <c r="J216" s="12" t="s">
        <v>761</v>
      </c>
    </row>
    <row r="217" customFormat="false" ht="17.15" hidden="false" customHeight="false" outlineLevel="0" collapsed="false">
      <c r="A217" s="10" t="s">
        <v>765</v>
      </c>
    </row>
    <row r="218" customFormat="false" ht="17.15" hidden="false" customHeight="false" outlineLevel="0" collapsed="false">
      <c r="A218" s="0" t="s">
        <v>766</v>
      </c>
      <c r="B218" s="0" t="s">
        <v>767</v>
      </c>
      <c r="C218" s="0" t="s">
        <v>768</v>
      </c>
      <c r="D218" s="13" t="n">
        <v>1194</v>
      </c>
      <c r="E218" s="13" t="n">
        <v>1493</v>
      </c>
      <c r="F218" s="13" t="n">
        <v>1792</v>
      </c>
      <c r="G218" s="12" t="s">
        <v>487</v>
      </c>
      <c r="H218" s="6" t="s">
        <v>769</v>
      </c>
      <c r="I218" s="12" t="s">
        <v>770</v>
      </c>
    </row>
    <row r="219" customFormat="false" ht="17.15" hidden="false" customHeight="false" outlineLevel="0" collapsed="false">
      <c r="A219" s="0" t="s">
        <v>771</v>
      </c>
      <c r="B219" s="0" t="s">
        <v>772</v>
      </c>
      <c r="C219" s="0" t="s">
        <v>768</v>
      </c>
      <c r="D219" s="13" t="n">
        <v>1194</v>
      </c>
      <c r="E219" s="13" t="n">
        <v>1493</v>
      </c>
      <c r="F219" s="13" t="n">
        <v>1792</v>
      </c>
      <c r="G219" s="12" t="s">
        <v>487</v>
      </c>
      <c r="H219" s="6" t="s">
        <v>63</v>
      </c>
      <c r="I219" s="12" t="s">
        <v>773</v>
      </c>
    </row>
    <row r="220" customFormat="false" ht="17.15" hidden="false" customHeight="false" outlineLevel="0" collapsed="false">
      <c r="A220" s="0" t="s">
        <v>774</v>
      </c>
      <c r="B220" s="0" t="s">
        <v>775</v>
      </c>
      <c r="C220" s="0" t="s">
        <v>768</v>
      </c>
      <c r="D220" s="13" t="n">
        <v>2150</v>
      </c>
      <c r="E220" s="13" t="n">
        <v>2688</v>
      </c>
      <c r="F220" s="13" t="n">
        <v>3226</v>
      </c>
      <c r="G220" s="12" t="s">
        <v>487</v>
      </c>
      <c r="H220" s="6" t="s">
        <v>63</v>
      </c>
      <c r="I220" s="12" t="s">
        <v>776</v>
      </c>
    </row>
    <row r="221" customFormat="false" ht="17.15" hidden="false" customHeight="false" outlineLevel="0" collapsed="false">
      <c r="A221" s="0" t="s">
        <v>777</v>
      </c>
      <c r="B221" s="0" t="s">
        <v>778</v>
      </c>
      <c r="C221" s="0" t="s">
        <v>768</v>
      </c>
      <c r="D221" s="13" t="n">
        <v>1672</v>
      </c>
      <c r="E221" s="13" t="n">
        <v>2090</v>
      </c>
      <c r="F221" s="13" t="n">
        <v>2508</v>
      </c>
      <c r="G221" s="12" t="s">
        <v>487</v>
      </c>
      <c r="H221" s="6" t="s">
        <v>63</v>
      </c>
      <c r="I221" s="12" t="s">
        <v>779</v>
      </c>
    </row>
    <row r="222" customFormat="false" ht="17.15" hidden="false" customHeight="false" outlineLevel="0" collapsed="false">
      <c r="A222" s="0" t="s">
        <v>780</v>
      </c>
      <c r="B222" s="0" t="s">
        <v>781</v>
      </c>
      <c r="C222" s="0" t="s">
        <v>768</v>
      </c>
      <c r="D222" s="13" t="n">
        <v>956</v>
      </c>
      <c r="E222" s="13" t="n">
        <v>1195</v>
      </c>
      <c r="F222" s="13" t="n">
        <v>1434</v>
      </c>
      <c r="G222" s="12" t="s">
        <v>487</v>
      </c>
      <c r="H222" s="6" t="s">
        <v>63</v>
      </c>
      <c r="I222" s="12" t="s">
        <v>782</v>
      </c>
    </row>
    <row r="223" customFormat="false" ht="17.15" hidden="false" customHeight="false" outlineLevel="0" collapsed="false">
      <c r="A223" s="0" t="s">
        <v>783</v>
      </c>
      <c r="B223" s="0" t="s">
        <v>784</v>
      </c>
      <c r="C223" s="0" t="s">
        <v>768</v>
      </c>
      <c r="D223" s="13" t="n">
        <v>2099</v>
      </c>
      <c r="E223" s="13" t="n">
        <v>2624</v>
      </c>
      <c r="F223" s="13" t="n">
        <v>3149</v>
      </c>
      <c r="G223" s="12" t="s">
        <v>487</v>
      </c>
      <c r="H223" s="6" t="s">
        <v>63</v>
      </c>
      <c r="I223" s="12" t="s">
        <v>785</v>
      </c>
    </row>
    <row r="224" customFormat="false" ht="17.15" hidden="false" customHeight="false" outlineLevel="0" collapsed="false">
      <c r="A224" s="0" t="s">
        <v>786</v>
      </c>
      <c r="B224" s="0" t="s">
        <v>787</v>
      </c>
      <c r="C224" s="0" t="s">
        <v>768</v>
      </c>
      <c r="D224" s="13" t="n">
        <v>2334</v>
      </c>
      <c r="E224" s="13" t="n">
        <v>2917</v>
      </c>
      <c r="F224" s="13" t="n">
        <v>3500</v>
      </c>
      <c r="G224" s="12" t="s">
        <v>487</v>
      </c>
      <c r="H224" s="6" t="s">
        <v>788</v>
      </c>
      <c r="I224" s="12" t="s">
        <v>789</v>
      </c>
    </row>
    <row r="225" customFormat="false" ht="17.15" hidden="false" customHeight="false" outlineLevel="0" collapsed="false">
      <c r="A225" s="0" t="s">
        <v>790</v>
      </c>
      <c r="B225" s="0" t="s">
        <v>791</v>
      </c>
      <c r="C225" s="0" t="s">
        <v>768</v>
      </c>
      <c r="D225" s="13" t="n">
        <v>2334</v>
      </c>
      <c r="E225" s="13" t="n">
        <v>2917</v>
      </c>
      <c r="F225" s="13" t="n">
        <v>3500</v>
      </c>
      <c r="G225" s="12" t="s">
        <v>487</v>
      </c>
      <c r="H225" s="6" t="s">
        <v>63</v>
      </c>
      <c r="I225" s="12" t="s">
        <v>792</v>
      </c>
    </row>
    <row r="226" customFormat="false" ht="17.15" hidden="false" customHeight="false" outlineLevel="0" collapsed="false">
      <c r="A226" s="0" t="s">
        <v>793</v>
      </c>
      <c r="B226" s="0" t="s">
        <v>794</v>
      </c>
      <c r="C226" s="0" t="s">
        <v>768</v>
      </c>
      <c r="D226" s="13" t="n">
        <v>4201</v>
      </c>
      <c r="E226" s="13" t="n">
        <v>5251</v>
      </c>
      <c r="F226" s="13" t="n">
        <v>6301</v>
      </c>
      <c r="G226" s="12" t="s">
        <v>487</v>
      </c>
      <c r="H226" s="6" t="s">
        <v>63</v>
      </c>
      <c r="I226" s="12" t="s">
        <v>795</v>
      </c>
    </row>
    <row r="227" customFormat="false" ht="17.15" hidden="false" customHeight="false" outlineLevel="0" collapsed="false">
      <c r="A227" s="0" t="s">
        <v>796</v>
      </c>
      <c r="B227" s="0" t="s">
        <v>797</v>
      </c>
      <c r="C227" s="0" t="s">
        <v>768</v>
      </c>
      <c r="D227" s="13" t="n">
        <v>3267</v>
      </c>
      <c r="E227" s="13" t="n">
        <v>4084</v>
      </c>
      <c r="F227" s="13" t="n">
        <v>4901</v>
      </c>
      <c r="G227" s="12" t="s">
        <v>487</v>
      </c>
      <c r="H227" s="6" t="s">
        <v>63</v>
      </c>
      <c r="I227" s="12" t="s">
        <v>798</v>
      </c>
    </row>
    <row r="228" customFormat="false" ht="17.15" hidden="false" customHeight="false" outlineLevel="0" collapsed="false">
      <c r="A228" s="0" t="s">
        <v>799</v>
      </c>
      <c r="B228" s="0" t="s">
        <v>800</v>
      </c>
      <c r="C228" s="0" t="s">
        <v>768</v>
      </c>
      <c r="D228" s="13" t="n">
        <v>1867</v>
      </c>
      <c r="E228" s="13" t="n">
        <v>2334</v>
      </c>
      <c r="F228" s="13" t="n">
        <v>2801</v>
      </c>
      <c r="G228" s="12" t="s">
        <v>487</v>
      </c>
      <c r="H228" s="6" t="s">
        <v>63</v>
      </c>
      <c r="I228" s="12" t="s">
        <v>801</v>
      </c>
    </row>
    <row r="229" customFormat="false" ht="17.15" hidden="false" customHeight="false" outlineLevel="0" collapsed="false">
      <c r="A229" s="0" t="s">
        <v>802</v>
      </c>
      <c r="B229" s="0" t="s">
        <v>803</v>
      </c>
      <c r="C229" s="0" t="s">
        <v>768</v>
      </c>
      <c r="D229" s="13" t="n">
        <v>5600</v>
      </c>
      <c r="E229" s="13" t="n">
        <v>7000</v>
      </c>
      <c r="F229" s="13" t="n">
        <v>8400</v>
      </c>
      <c r="G229" s="12" t="s">
        <v>487</v>
      </c>
      <c r="H229" s="6" t="s">
        <v>63</v>
      </c>
      <c r="I229" s="12" t="s">
        <v>804</v>
      </c>
    </row>
    <row r="230" customFormat="false" ht="17.15" hidden="false" customHeight="false" outlineLevel="0" collapsed="false">
      <c r="A230" s="0" t="s">
        <v>805</v>
      </c>
      <c r="B230" s="0" t="s">
        <v>806</v>
      </c>
      <c r="C230" s="0" t="s">
        <v>768</v>
      </c>
      <c r="D230" s="13" t="n">
        <v>3500</v>
      </c>
      <c r="E230" s="13" t="n">
        <v>4375</v>
      </c>
      <c r="F230" s="13" t="n">
        <v>5250</v>
      </c>
      <c r="G230" s="12" t="s">
        <v>156</v>
      </c>
      <c r="H230" s="12" t="s">
        <v>807</v>
      </c>
      <c r="I230" s="12" t="s">
        <v>808</v>
      </c>
    </row>
    <row r="231" customFormat="false" ht="17.15" hidden="false" customHeight="false" outlineLevel="0" collapsed="false">
      <c r="A231" s="0" t="s">
        <v>809</v>
      </c>
      <c r="B231" s="0" t="s">
        <v>810</v>
      </c>
      <c r="C231" s="0" t="s">
        <v>768</v>
      </c>
      <c r="D231" s="13" t="n">
        <v>3500</v>
      </c>
      <c r="E231" s="13" t="n">
        <v>4375</v>
      </c>
      <c r="F231" s="13" t="n">
        <v>5250</v>
      </c>
      <c r="G231" s="12" t="s">
        <v>156</v>
      </c>
      <c r="H231" s="6" t="s">
        <v>63</v>
      </c>
      <c r="I231" s="12" t="s">
        <v>811</v>
      </c>
    </row>
    <row r="232" customFormat="false" ht="17.15" hidden="false" customHeight="false" outlineLevel="0" collapsed="false">
      <c r="A232" s="0" t="s">
        <v>812</v>
      </c>
      <c r="B232" s="0" t="s">
        <v>813</v>
      </c>
      <c r="C232" s="0" t="s">
        <v>768</v>
      </c>
      <c r="D232" s="13" t="n">
        <v>4201</v>
      </c>
      <c r="E232" s="13" t="n">
        <v>5251</v>
      </c>
      <c r="F232" s="13" t="n">
        <v>6301</v>
      </c>
      <c r="G232" s="12" t="s">
        <v>156</v>
      </c>
      <c r="H232" s="6" t="s">
        <v>63</v>
      </c>
      <c r="I232" s="12" t="s">
        <v>814</v>
      </c>
    </row>
    <row r="233" customFormat="false" ht="17.15" hidden="false" customHeight="false" outlineLevel="0" collapsed="false">
      <c r="A233" s="0" t="s">
        <v>815</v>
      </c>
      <c r="B233" s="0" t="s">
        <v>816</v>
      </c>
      <c r="C233" s="0" t="s">
        <v>768</v>
      </c>
      <c r="D233" s="13" t="n">
        <v>3267</v>
      </c>
      <c r="E233" s="13" t="n">
        <v>4084</v>
      </c>
      <c r="F233" s="13" t="n">
        <v>4901</v>
      </c>
      <c r="G233" s="12" t="s">
        <v>156</v>
      </c>
      <c r="H233" s="6" t="s">
        <v>63</v>
      </c>
      <c r="I233" s="12" t="s">
        <v>817</v>
      </c>
    </row>
    <row r="234" customFormat="false" ht="17.15" hidden="false" customHeight="false" outlineLevel="0" collapsed="false">
      <c r="A234" s="0" t="s">
        <v>818</v>
      </c>
      <c r="B234" s="0" t="s">
        <v>819</v>
      </c>
      <c r="C234" s="0" t="s">
        <v>768</v>
      </c>
      <c r="D234" s="13" t="n">
        <v>1867</v>
      </c>
      <c r="E234" s="13" t="n">
        <v>2334</v>
      </c>
      <c r="F234" s="13" t="n">
        <v>2801</v>
      </c>
      <c r="G234" s="12" t="s">
        <v>156</v>
      </c>
      <c r="H234" s="6" t="s">
        <v>63</v>
      </c>
      <c r="I234" s="12" t="s">
        <v>820</v>
      </c>
    </row>
    <row r="235" customFormat="false" ht="17.15" hidden="false" customHeight="false" outlineLevel="0" collapsed="false">
      <c r="A235" s="0" t="s">
        <v>821</v>
      </c>
      <c r="B235" s="0" t="s">
        <v>822</v>
      </c>
      <c r="C235" s="0" t="s">
        <v>768</v>
      </c>
      <c r="D235" s="13" t="n">
        <v>5600</v>
      </c>
      <c r="E235" s="13" t="n">
        <v>7000</v>
      </c>
      <c r="F235" s="13" t="n">
        <v>8400</v>
      </c>
      <c r="G235" s="12" t="s">
        <v>156</v>
      </c>
      <c r="H235" s="6" t="s">
        <v>63</v>
      </c>
      <c r="I235" s="12" t="s">
        <v>823</v>
      </c>
    </row>
    <row r="236" customFormat="false" ht="17.15" hidden="false" customHeight="false" outlineLevel="0" collapsed="false">
      <c r="A236" s="0" t="s">
        <v>824</v>
      </c>
      <c r="B236" s="0" t="s">
        <v>825</v>
      </c>
      <c r="C236" s="0" t="s">
        <v>768</v>
      </c>
      <c r="D236" s="13" t="n">
        <v>240</v>
      </c>
      <c r="E236" s="13" t="n">
        <v>300</v>
      </c>
      <c r="F236" s="13" t="n">
        <v>360</v>
      </c>
      <c r="G236" s="12" t="s">
        <v>156</v>
      </c>
      <c r="H236" s="12" t="s">
        <v>826</v>
      </c>
      <c r="I236" s="12" t="s">
        <v>827</v>
      </c>
    </row>
    <row r="237" customFormat="false" ht="17.15" hidden="false" customHeight="false" outlineLevel="0" collapsed="false">
      <c r="A237" s="0" t="s">
        <v>828</v>
      </c>
      <c r="B237" s="0" t="s">
        <v>829</v>
      </c>
      <c r="C237" s="0" t="s">
        <v>768</v>
      </c>
      <c r="D237" s="13" t="n">
        <v>80</v>
      </c>
      <c r="E237" s="13" t="n">
        <v>100</v>
      </c>
      <c r="F237" s="13" t="n">
        <v>120</v>
      </c>
      <c r="G237" s="12" t="s">
        <v>156</v>
      </c>
      <c r="H237" s="6" t="s">
        <v>63</v>
      </c>
      <c r="I237" s="12" t="s">
        <v>830</v>
      </c>
    </row>
    <row r="238" customFormat="false" ht="17.15" hidden="false" customHeight="false" outlineLevel="0" collapsed="false">
      <c r="A238" s="0" t="s">
        <v>831</v>
      </c>
      <c r="B238" s="0" t="s">
        <v>832</v>
      </c>
      <c r="C238" s="0" t="s">
        <v>768</v>
      </c>
      <c r="D238" s="13" t="n">
        <v>2016</v>
      </c>
      <c r="E238" s="13" t="n">
        <v>2520</v>
      </c>
      <c r="F238" s="13" t="n">
        <v>3024</v>
      </c>
      <c r="G238" s="12" t="s">
        <v>156</v>
      </c>
      <c r="H238" s="6" t="s">
        <v>63</v>
      </c>
      <c r="I238" s="12" t="s">
        <v>833</v>
      </c>
    </row>
    <row r="239" customFormat="false" ht="17.15" hidden="false" customHeight="false" outlineLevel="0" collapsed="false">
      <c r="A239" s="0" t="s">
        <v>834</v>
      </c>
      <c r="B239" s="0" t="s">
        <v>835</v>
      </c>
      <c r="C239" s="0" t="s">
        <v>768</v>
      </c>
      <c r="D239" s="13" t="n">
        <v>1568</v>
      </c>
      <c r="E239" s="13" t="n">
        <v>1960</v>
      </c>
      <c r="F239" s="13" t="n">
        <v>2352</v>
      </c>
      <c r="G239" s="12" t="s">
        <v>156</v>
      </c>
      <c r="H239" s="6" t="s">
        <v>63</v>
      </c>
      <c r="I239" s="12" t="s">
        <v>836</v>
      </c>
    </row>
    <row r="240" customFormat="false" ht="17.15" hidden="false" customHeight="false" outlineLevel="0" collapsed="false">
      <c r="A240" s="0" t="s">
        <v>837</v>
      </c>
      <c r="B240" s="0" t="s">
        <v>838</v>
      </c>
      <c r="C240" s="0" t="s">
        <v>768</v>
      </c>
      <c r="D240" s="13" t="n">
        <v>896</v>
      </c>
      <c r="E240" s="13" t="n">
        <v>1120</v>
      </c>
      <c r="F240" s="13" t="n">
        <v>1344</v>
      </c>
      <c r="G240" s="12" t="s">
        <v>156</v>
      </c>
      <c r="H240" s="6" t="s">
        <v>63</v>
      </c>
      <c r="I240" s="12" t="s">
        <v>839</v>
      </c>
    </row>
    <row r="241" customFormat="false" ht="17.15" hidden="false" customHeight="false" outlineLevel="0" collapsed="false">
      <c r="A241" s="0" t="s">
        <v>840</v>
      </c>
      <c r="B241" s="0" t="s">
        <v>841</v>
      </c>
      <c r="C241" s="0" t="s">
        <v>768</v>
      </c>
      <c r="D241" s="13" t="n">
        <v>1600</v>
      </c>
      <c r="E241" s="13" t="n">
        <v>2000</v>
      </c>
      <c r="F241" s="13" t="n">
        <v>2400</v>
      </c>
      <c r="G241" s="12" t="s">
        <v>156</v>
      </c>
      <c r="H241" s="6" t="s">
        <v>63</v>
      </c>
      <c r="I241" s="12" t="s">
        <v>842</v>
      </c>
    </row>
    <row r="242" customFormat="false" ht="17.15" hidden="false" customHeight="false" outlineLevel="0" collapsed="false">
      <c r="A242" s="0" t="s">
        <v>843</v>
      </c>
      <c r="B242" s="0" t="s">
        <v>844</v>
      </c>
      <c r="C242" s="0" t="s">
        <v>768</v>
      </c>
      <c r="D242" s="13" t="n">
        <v>240</v>
      </c>
      <c r="E242" s="13" t="n">
        <v>300</v>
      </c>
      <c r="F242" s="13" t="n">
        <v>360</v>
      </c>
      <c r="G242" s="12" t="s">
        <v>845</v>
      </c>
      <c r="H242" s="6" t="s">
        <v>846</v>
      </c>
      <c r="I242" s="12" t="s">
        <v>847</v>
      </c>
    </row>
    <row r="243" customFormat="false" ht="17.15" hidden="false" customHeight="false" outlineLevel="0" collapsed="false">
      <c r="A243" s="0" t="s">
        <v>848</v>
      </c>
      <c r="B243" s="0" t="s">
        <v>849</v>
      </c>
      <c r="C243" s="0" t="s">
        <v>768</v>
      </c>
      <c r="D243" s="13" t="n">
        <v>80</v>
      </c>
      <c r="E243" s="13" t="n">
        <v>100</v>
      </c>
      <c r="F243" s="13" t="n">
        <v>120</v>
      </c>
      <c r="G243" s="12" t="s">
        <v>845</v>
      </c>
      <c r="H243" s="6" t="s">
        <v>63</v>
      </c>
      <c r="I243" s="12" t="s">
        <v>850</v>
      </c>
    </row>
    <row r="244" customFormat="false" ht="17.15" hidden="false" customHeight="false" outlineLevel="0" collapsed="false">
      <c r="A244" s="0" t="s">
        <v>851</v>
      </c>
      <c r="B244" s="0" t="s">
        <v>852</v>
      </c>
      <c r="C244" s="0" t="s">
        <v>768</v>
      </c>
      <c r="D244" s="13" t="n">
        <v>2016</v>
      </c>
      <c r="E244" s="13" t="n">
        <v>2520</v>
      </c>
      <c r="F244" s="13" t="n">
        <v>3024</v>
      </c>
      <c r="G244" s="12" t="s">
        <v>845</v>
      </c>
      <c r="H244" s="6" t="s">
        <v>63</v>
      </c>
      <c r="I244" s="12" t="s">
        <v>853</v>
      </c>
    </row>
    <row r="245" customFormat="false" ht="17.15" hidden="false" customHeight="false" outlineLevel="0" collapsed="false">
      <c r="A245" s="0" t="s">
        <v>854</v>
      </c>
      <c r="B245" s="0" t="s">
        <v>855</v>
      </c>
      <c r="C245" s="0" t="s">
        <v>768</v>
      </c>
      <c r="D245" s="13" t="n">
        <v>1568</v>
      </c>
      <c r="E245" s="13" t="n">
        <v>1960</v>
      </c>
      <c r="F245" s="13" t="n">
        <v>2352</v>
      </c>
      <c r="G245" s="12" t="s">
        <v>845</v>
      </c>
      <c r="H245" s="6" t="s">
        <v>63</v>
      </c>
      <c r="I245" s="12" t="s">
        <v>856</v>
      </c>
    </row>
    <row r="246" customFormat="false" ht="17.15" hidden="false" customHeight="false" outlineLevel="0" collapsed="false">
      <c r="A246" s="0" t="s">
        <v>857</v>
      </c>
      <c r="B246" s="0" t="s">
        <v>858</v>
      </c>
      <c r="C246" s="0" t="s">
        <v>768</v>
      </c>
      <c r="D246" s="13" t="n">
        <v>896</v>
      </c>
      <c r="E246" s="13" t="n">
        <v>1120</v>
      </c>
      <c r="F246" s="13" t="n">
        <v>1344</v>
      </c>
      <c r="G246" s="12" t="s">
        <v>845</v>
      </c>
      <c r="H246" s="6" t="s">
        <v>63</v>
      </c>
      <c r="I246" s="12" t="s">
        <v>859</v>
      </c>
    </row>
    <row r="247" customFormat="false" ht="17.15" hidden="false" customHeight="false" outlineLevel="0" collapsed="false">
      <c r="A247" s="0" t="s">
        <v>860</v>
      </c>
      <c r="B247" s="0" t="s">
        <v>861</v>
      </c>
      <c r="C247" s="0" t="s">
        <v>768</v>
      </c>
      <c r="D247" s="13" t="n">
        <v>1600</v>
      </c>
      <c r="E247" s="13" t="n">
        <v>2000</v>
      </c>
      <c r="F247" s="13" t="n">
        <v>2400</v>
      </c>
      <c r="G247" s="12" t="s">
        <v>845</v>
      </c>
      <c r="H247" s="6" t="s">
        <v>63</v>
      </c>
      <c r="I247" s="12" t="s">
        <v>862</v>
      </c>
    </row>
    <row r="248" customFormat="false" ht="17.15" hidden="false" customHeight="false" outlineLevel="0" collapsed="false">
      <c r="A248" s="0" t="s">
        <v>863</v>
      </c>
      <c r="B248" s="0" t="s">
        <v>864</v>
      </c>
      <c r="C248" s="0" t="s">
        <v>768</v>
      </c>
      <c r="D248" s="13" t="n">
        <v>1867</v>
      </c>
      <c r="E248" s="13" t="n">
        <v>2334</v>
      </c>
      <c r="F248" s="13" t="n">
        <v>2801</v>
      </c>
      <c r="G248" s="12" t="s">
        <v>845</v>
      </c>
      <c r="H248" s="12" t="s">
        <v>865</v>
      </c>
      <c r="I248" s="12" t="s">
        <v>866</v>
      </c>
    </row>
    <row r="249" customFormat="false" ht="17.15" hidden="false" customHeight="false" outlineLevel="0" collapsed="false">
      <c r="A249" s="0" t="s">
        <v>867</v>
      </c>
      <c r="B249" s="0" t="s">
        <v>868</v>
      </c>
      <c r="C249" s="0" t="s">
        <v>768</v>
      </c>
      <c r="D249" s="13" t="n">
        <v>1867</v>
      </c>
      <c r="E249" s="13" t="n">
        <v>2334</v>
      </c>
      <c r="F249" s="13" t="n">
        <v>2801</v>
      </c>
      <c r="G249" s="12" t="s">
        <v>845</v>
      </c>
      <c r="H249" s="6" t="s">
        <v>63</v>
      </c>
      <c r="I249" s="12" t="s">
        <v>869</v>
      </c>
    </row>
    <row r="250" customFormat="false" ht="17.15" hidden="false" customHeight="false" outlineLevel="0" collapsed="false">
      <c r="A250" s="0" t="s">
        <v>870</v>
      </c>
      <c r="B250" s="0" t="s">
        <v>871</v>
      </c>
      <c r="C250" s="0" t="s">
        <v>768</v>
      </c>
      <c r="D250" s="13" t="n">
        <v>3361</v>
      </c>
      <c r="E250" s="13" t="n">
        <v>4201</v>
      </c>
      <c r="F250" s="13" t="n">
        <v>5041</v>
      </c>
      <c r="G250" s="12" t="s">
        <v>845</v>
      </c>
      <c r="H250" s="6" t="s">
        <v>63</v>
      </c>
      <c r="I250" s="12" t="s">
        <v>872</v>
      </c>
    </row>
    <row r="251" customFormat="false" ht="17.15" hidden="false" customHeight="false" outlineLevel="0" collapsed="false">
      <c r="A251" s="0" t="s">
        <v>873</v>
      </c>
      <c r="B251" s="0" t="s">
        <v>874</v>
      </c>
      <c r="C251" s="0" t="s">
        <v>768</v>
      </c>
      <c r="D251" s="13" t="n">
        <v>2614</v>
      </c>
      <c r="E251" s="13" t="n">
        <v>3267</v>
      </c>
      <c r="F251" s="13" t="n">
        <v>3920</v>
      </c>
      <c r="G251" s="12" t="s">
        <v>845</v>
      </c>
      <c r="H251" s="6" t="s">
        <v>63</v>
      </c>
      <c r="I251" s="12" t="s">
        <v>875</v>
      </c>
    </row>
    <row r="252" customFormat="false" ht="17.15" hidden="false" customHeight="false" outlineLevel="0" collapsed="false">
      <c r="A252" s="0" t="s">
        <v>876</v>
      </c>
      <c r="B252" s="0" t="s">
        <v>877</v>
      </c>
      <c r="C252" s="0" t="s">
        <v>768</v>
      </c>
      <c r="D252" s="13" t="n">
        <v>1494</v>
      </c>
      <c r="E252" s="13" t="n">
        <v>1867</v>
      </c>
      <c r="F252" s="13" t="n">
        <v>2240</v>
      </c>
      <c r="G252" s="12" t="s">
        <v>845</v>
      </c>
      <c r="H252" s="6" t="s">
        <v>63</v>
      </c>
      <c r="I252" s="12" t="s">
        <v>878</v>
      </c>
    </row>
    <row r="253" customFormat="false" ht="17.15" hidden="false" customHeight="false" outlineLevel="0" collapsed="false">
      <c r="A253" s="0" t="s">
        <v>879</v>
      </c>
      <c r="B253" s="0" t="s">
        <v>880</v>
      </c>
      <c r="C253" s="0" t="s">
        <v>768</v>
      </c>
      <c r="D253" s="13" t="n">
        <v>4480</v>
      </c>
      <c r="E253" s="13" t="n">
        <v>5600</v>
      </c>
      <c r="F253" s="13" t="n">
        <v>6720</v>
      </c>
      <c r="G253" s="12" t="s">
        <v>845</v>
      </c>
      <c r="H253" s="6" t="s">
        <v>63</v>
      </c>
      <c r="I253" s="12" t="s">
        <v>881</v>
      </c>
    </row>
    <row r="254" customFormat="false" ht="17.15" hidden="false" customHeight="false" outlineLevel="0" collapsed="false">
      <c r="A254" s="0" t="s">
        <v>882</v>
      </c>
      <c r="B254" s="0" t="s">
        <v>883</v>
      </c>
      <c r="C254" s="0" t="s">
        <v>768</v>
      </c>
      <c r="D254" s="13" t="n">
        <v>640</v>
      </c>
      <c r="E254" s="13" t="n">
        <v>800</v>
      </c>
      <c r="F254" s="13" t="n">
        <v>960</v>
      </c>
      <c r="G254" s="12" t="s">
        <v>156</v>
      </c>
      <c r="H254" s="12" t="s">
        <v>884</v>
      </c>
      <c r="I254" s="12" t="s">
        <v>885</v>
      </c>
    </row>
    <row r="255" customFormat="false" ht="17.15" hidden="false" customHeight="false" outlineLevel="0" collapsed="false">
      <c r="A255" s="0" t="s">
        <v>886</v>
      </c>
      <c r="B255" s="0" t="s">
        <v>887</v>
      </c>
      <c r="C255" s="0" t="s">
        <v>768</v>
      </c>
      <c r="D255" s="13" t="n">
        <v>960</v>
      </c>
      <c r="E255" s="13" t="n">
        <v>1200</v>
      </c>
      <c r="F255" s="13" t="n">
        <v>1440</v>
      </c>
      <c r="G255" s="12" t="s">
        <v>156</v>
      </c>
      <c r="H255" s="6" t="s">
        <v>63</v>
      </c>
      <c r="I255" s="12" t="s">
        <v>888</v>
      </c>
    </row>
    <row r="256" customFormat="false" ht="17.15" hidden="false" customHeight="false" outlineLevel="0" collapsed="false">
      <c r="A256" s="0" t="s">
        <v>889</v>
      </c>
      <c r="B256" s="0" t="s">
        <v>890</v>
      </c>
      <c r="C256" s="0" t="s">
        <v>768</v>
      </c>
      <c r="D256" s="13" t="n">
        <v>640</v>
      </c>
      <c r="E256" s="13" t="n">
        <v>800</v>
      </c>
      <c r="F256" s="13" t="n">
        <v>960</v>
      </c>
      <c r="G256" s="12" t="s">
        <v>156</v>
      </c>
      <c r="H256" s="6" t="s">
        <v>63</v>
      </c>
      <c r="I256" s="12" t="s">
        <v>891</v>
      </c>
    </row>
    <row r="257" customFormat="false" ht="17.15" hidden="false" customHeight="false" outlineLevel="0" collapsed="false">
      <c r="A257" s="0" t="s">
        <v>892</v>
      </c>
      <c r="B257" s="0" t="s">
        <v>893</v>
      </c>
      <c r="C257" s="0" t="s">
        <v>768</v>
      </c>
      <c r="D257" s="13" t="n">
        <v>1200</v>
      </c>
      <c r="E257" s="13" t="n">
        <v>1500</v>
      </c>
      <c r="F257" s="13" t="n">
        <v>1800</v>
      </c>
      <c r="G257" s="12" t="s">
        <v>156</v>
      </c>
      <c r="H257" s="6" t="s">
        <v>63</v>
      </c>
      <c r="I257" s="12" t="s">
        <v>894</v>
      </c>
    </row>
    <row r="258" customFormat="false" ht="17.15" hidden="false" customHeight="false" outlineLevel="0" collapsed="false">
      <c r="A258" s="0" t="s">
        <v>895</v>
      </c>
      <c r="B258" s="0" t="s">
        <v>896</v>
      </c>
      <c r="C258" s="0" t="s">
        <v>768</v>
      </c>
      <c r="D258" s="13" t="n">
        <v>240</v>
      </c>
      <c r="E258" s="13" t="n">
        <v>300</v>
      </c>
      <c r="F258" s="13" t="n">
        <v>360</v>
      </c>
      <c r="G258" s="12" t="s">
        <v>156</v>
      </c>
      <c r="H258" s="6" t="s">
        <v>63</v>
      </c>
      <c r="I258" s="12" t="s">
        <v>897</v>
      </c>
    </row>
    <row r="259" customFormat="false" ht="17.15" hidden="false" customHeight="false" outlineLevel="0" collapsed="false">
      <c r="A259" s="0" t="s">
        <v>898</v>
      </c>
      <c r="B259" s="0" t="s">
        <v>899</v>
      </c>
      <c r="C259" s="0" t="s">
        <v>768</v>
      </c>
      <c r="D259" s="13" t="n">
        <v>320</v>
      </c>
      <c r="E259" s="13" t="n">
        <v>400</v>
      </c>
      <c r="F259" s="13" t="n">
        <v>480</v>
      </c>
      <c r="G259" s="12" t="s">
        <v>156</v>
      </c>
      <c r="H259" s="6" t="s">
        <v>63</v>
      </c>
      <c r="I259" s="12" t="s">
        <v>900</v>
      </c>
    </row>
    <row r="260" customFormat="false" ht="17.15" hidden="false" customHeight="false" outlineLevel="0" collapsed="false">
      <c r="A260" s="0" t="s">
        <v>901</v>
      </c>
      <c r="B260" s="0" t="s">
        <v>902</v>
      </c>
      <c r="C260" s="0" t="s">
        <v>768</v>
      </c>
      <c r="D260" s="13" t="n">
        <v>480</v>
      </c>
      <c r="E260" s="13" t="n">
        <v>600</v>
      </c>
      <c r="F260" s="13" t="n">
        <v>720</v>
      </c>
      <c r="G260" s="12" t="s">
        <v>156</v>
      </c>
      <c r="H260" s="12" t="s">
        <v>903</v>
      </c>
      <c r="I260" s="12" t="s">
        <v>904</v>
      </c>
    </row>
    <row r="261" customFormat="false" ht="17.15" hidden="false" customHeight="false" outlineLevel="0" collapsed="false">
      <c r="A261" s="0" t="s">
        <v>905</v>
      </c>
      <c r="B261" s="0" t="s">
        <v>906</v>
      </c>
      <c r="C261" s="0" t="s">
        <v>768</v>
      </c>
      <c r="D261" s="13" t="n">
        <v>640</v>
      </c>
      <c r="E261" s="13" t="n">
        <v>800</v>
      </c>
      <c r="F261" s="13" t="n">
        <v>960</v>
      </c>
      <c r="G261" s="12" t="s">
        <v>156</v>
      </c>
      <c r="H261" s="6" t="s">
        <v>63</v>
      </c>
      <c r="I261" s="12" t="s">
        <v>907</v>
      </c>
    </row>
    <row r="262" customFormat="false" ht="17.15" hidden="false" customHeight="false" outlineLevel="0" collapsed="false">
      <c r="A262" s="0" t="s">
        <v>908</v>
      </c>
      <c r="B262" s="0" t="s">
        <v>909</v>
      </c>
      <c r="C262" s="0" t="s">
        <v>768</v>
      </c>
      <c r="D262" s="13" t="n">
        <v>640</v>
      </c>
      <c r="E262" s="13" t="n">
        <v>800</v>
      </c>
      <c r="F262" s="13" t="n">
        <v>960</v>
      </c>
      <c r="G262" s="12" t="s">
        <v>156</v>
      </c>
      <c r="H262" s="6" t="s">
        <v>63</v>
      </c>
      <c r="I262" s="12" t="s">
        <v>910</v>
      </c>
    </row>
    <row r="263" customFormat="false" ht="17.15" hidden="false" customHeight="false" outlineLevel="0" collapsed="false">
      <c r="A263" s="0" t="s">
        <v>911</v>
      </c>
      <c r="B263" s="0" t="s">
        <v>912</v>
      </c>
      <c r="C263" s="0" t="s">
        <v>768</v>
      </c>
      <c r="D263" s="13" t="n">
        <v>960</v>
      </c>
      <c r="E263" s="13" t="n">
        <v>1200</v>
      </c>
      <c r="F263" s="13" t="n">
        <v>1440</v>
      </c>
      <c r="G263" s="12" t="s">
        <v>156</v>
      </c>
      <c r="H263" s="6" t="s">
        <v>63</v>
      </c>
      <c r="I263" s="12" t="s">
        <v>913</v>
      </c>
    </row>
    <row r="264" customFormat="false" ht="17.15" hidden="false" customHeight="false" outlineLevel="0" collapsed="false">
      <c r="A264" s="0" t="s">
        <v>914</v>
      </c>
      <c r="B264" s="0" t="s">
        <v>915</v>
      </c>
      <c r="C264" s="0" t="s">
        <v>768</v>
      </c>
      <c r="D264" s="13" t="n">
        <v>240</v>
      </c>
      <c r="E264" s="13" t="n">
        <v>300</v>
      </c>
      <c r="F264" s="13" t="n">
        <v>360</v>
      </c>
      <c r="G264" s="12" t="s">
        <v>156</v>
      </c>
      <c r="H264" s="6" t="s">
        <v>63</v>
      </c>
      <c r="I264" s="12" t="s">
        <v>916</v>
      </c>
    </row>
    <row r="265" customFormat="false" ht="17.15" hidden="false" customHeight="false" outlineLevel="0" collapsed="false">
      <c r="A265" s="0" t="s">
        <v>917</v>
      </c>
      <c r="B265" s="0" t="s">
        <v>918</v>
      </c>
      <c r="C265" s="0" t="s">
        <v>768</v>
      </c>
      <c r="D265" s="13" t="n">
        <v>240</v>
      </c>
      <c r="E265" s="13" t="n">
        <v>300</v>
      </c>
      <c r="F265" s="13" t="n">
        <v>360</v>
      </c>
      <c r="G265" s="12" t="s">
        <v>156</v>
      </c>
      <c r="H265" s="6" t="s">
        <v>63</v>
      </c>
      <c r="I265" s="12" t="s">
        <v>919</v>
      </c>
    </row>
    <row r="266" customFormat="false" ht="17.15" hidden="false" customHeight="false" outlineLevel="0" collapsed="false">
      <c r="A266" s="0" t="s">
        <v>920</v>
      </c>
      <c r="B266" s="6" t="s">
        <v>921</v>
      </c>
      <c r="C266" s="0" t="s">
        <v>768</v>
      </c>
      <c r="D266" s="13" t="n">
        <v>480</v>
      </c>
      <c r="E266" s="13" t="n">
        <v>600</v>
      </c>
      <c r="F266" s="13" t="n">
        <v>720</v>
      </c>
      <c r="G266" s="12" t="s">
        <v>156</v>
      </c>
      <c r="H266" s="6" t="s">
        <v>922</v>
      </c>
      <c r="I266" s="12" t="s">
        <v>923</v>
      </c>
    </row>
    <row r="267" customFormat="false" ht="17.15" hidden="false" customHeight="false" outlineLevel="0" collapsed="false">
      <c r="A267" s="0" t="s">
        <v>924</v>
      </c>
      <c r="B267" s="6" t="s">
        <v>925</v>
      </c>
      <c r="C267" s="0" t="s">
        <v>768</v>
      </c>
      <c r="D267" s="13" t="n">
        <v>640</v>
      </c>
      <c r="E267" s="13" t="n">
        <v>800</v>
      </c>
      <c r="F267" s="13" t="n">
        <v>960</v>
      </c>
      <c r="G267" s="12" t="s">
        <v>156</v>
      </c>
      <c r="H267" s="6" t="s">
        <v>63</v>
      </c>
      <c r="I267" s="12" t="s">
        <v>926</v>
      </c>
    </row>
    <row r="268" customFormat="false" ht="17.15" hidden="false" customHeight="false" outlineLevel="0" collapsed="false">
      <c r="A268" s="0" t="s">
        <v>927</v>
      </c>
      <c r="B268" s="6" t="s">
        <v>928</v>
      </c>
      <c r="C268" s="0" t="s">
        <v>768</v>
      </c>
      <c r="D268" s="13" t="n">
        <v>640</v>
      </c>
      <c r="E268" s="13" t="n">
        <v>800</v>
      </c>
      <c r="F268" s="13" t="n">
        <v>960</v>
      </c>
      <c r="G268" s="12" t="s">
        <v>156</v>
      </c>
      <c r="H268" s="6" t="s">
        <v>63</v>
      </c>
      <c r="I268" s="12" t="s">
        <v>929</v>
      </c>
    </row>
    <row r="269" customFormat="false" ht="17.15" hidden="false" customHeight="false" outlineLevel="0" collapsed="false">
      <c r="A269" s="0" t="s">
        <v>930</v>
      </c>
      <c r="B269" s="6" t="s">
        <v>931</v>
      </c>
      <c r="C269" s="0" t="s">
        <v>768</v>
      </c>
      <c r="D269" s="13" t="n">
        <v>960</v>
      </c>
      <c r="E269" s="13" t="n">
        <v>1200</v>
      </c>
      <c r="F269" s="13" t="n">
        <v>1440</v>
      </c>
      <c r="G269" s="12" t="s">
        <v>156</v>
      </c>
      <c r="H269" s="6" t="s">
        <v>63</v>
      </c>
      <c r="I269" s="12" t="s">
        <v>932</v>
      </c>
    </row>
    <row r="270" customFormat="false" ht="17.15" hidden="false" customHeight="false" outlineLevel="0" collapsed="false">
      <c r="A270" s="0" t="s">
        <v>933</v>
      </c>
      <c r="B270" s="6" t="s">
        <v>934</v>
      </c>
      <c r="C270" s="0" t="s">
        <v>768</v>
      </c>
      <c r="D270" s="13" t="n">
        <v>240</v>
      </c>
      <c r="E270" s="13" t="n">
        <v>300</v>
      </c>
      <c r="F270" s="13" t="n">
        <v>360</v>
      </c>
      <c r="G270" s="12" t="s">
        <v>156</v>
      </c>
      <c r="H270" s="6" t="s">
        <v>63</v>
      </c>
      <c r="I270" s="12" t="s">
        <v>935</v>
      </c>
    </row>
    <row r="271" customFormat="false" ht="17.15" hidden="false" customHeight="false" outlineLevel="0" collapsed="false">
      <c r="A271" s="0" t="s">
        <v>936</v>
      </c>
      <c r="B271" s="6" t="s">
        <v>937</v>
      </c>
      <c r="C271" s="0" t="s">
        <v>768</v>
      </c>
      <c r="D271" s="13" t="n">
        <v>240</v>
      </c>
      <c r="E271" s="13" t="n">
        <v>300</v>
      </c>
      <c r="F271" s="13" t="n">
        <v>360</v>
      </c>
      <c r="G271" s="12" t="s">
        <v>156</v>
      </c>
      <c r="H271" s="6" t="s">
        <v>63</v>
      </c>
      <c r="I271" s="12" t="s">
        <v>938</v>
      </c>
    </row>
    <row r="272" customFormat="false" ht="17.15" hidden="false" customHeight="false" outlineLevel="0" collapsed="false">
      <c r="A272" s="10" t="s">
        <v>939</v>
      </c>
    </row>
    <row r="273" customFormat="false" ht="17.15" hidden="false" customHeight="false" outlineLevel="0" collapsed="false">
      <c r="A273" s="0" t="s">
        <v>940</v>
      </c>
      <c r="B273" s="0" t="s">
        <v>941</v>
      </c>
      <c r="C273" s="0" t="s">
        <v>942</v>
      </c>
      <c r="E273" s="13" t="n">
        <f aca="false">TK_CapexIT_GB300/TK_GPUsPerGW_GB300*1000000</f>
        <v>66.1944444444444</v>
      </c>
      <c r="G273" s="12" t="s">
        <v>487</v>
      </c>
      <c r="H273" s="12" t="s">
        <v>943</v>
      </c>
      <c r="I273" s="12" t="s">
        <v>944</v>
      </c>
    </row>
    <row r="274" customFormat="false" ht="17.15" hidden="false" customHeight="false" outlineLevel="0" collapsed="false">
      <c r="A274" s="0" t="s">
        <v>945</v>
      </c>
      <c r="B274" s="0" t="s">
        <v>946</v>
      </c>
      <c r="C274" s="0" t="s">
        <v>942</v>
      </c>
      <c r="E274" s="13" t="n">
        <f aca="false">TK_CapexIT_VR200/TK_GPUsPerGW_VR200*1000000</f>
        <v>128.833333333333</v>
      </c>
      <c r="G274" s="12" t="s">
        <v>487</v>
      </c>
      <c r="H274" s="12" t="s">
        <v>947</v>
      </c>
      <c r="I274" s="12" t="s">
        <v>948</v>
      </c>
    </row>
    <row r="275" customFormat="false" ht="17.15" hidden="false" customHeight="false" outlineLevel="0" collapsed="false">
      <c r="A275" s="0" t="s">
        <v>949</v>
      </c>
      <c r="B275" s="0" t="s">
        <v>950</v>
      </c>
      <c r="C275" s="0" t="s">
        <v>942</v>
      </c>
      <c r="E275" s="13" t="n">
        <f aca="false">TK_CapexIT_RU/TK_GPUsPerGW_RU*1000000</f>
        <v>257.166666666667</v>
      </c>
      <c r="G275" s="12" t="s">
        <v>487</v>
      </c>
      <c r="H275" s="12" t="s">
        <v>951</v>
      </c>
      <c r="I275" s="12" t="s">
        <v>952</v>
      </c>
    </row>
    <row r="276" customFormat="false" ht="17.15" hidden="false" customHeight="false" outlineLevel="0" collapsed="false">
      <c r="A276" s="0" t="s">
        <v>953</v>
      </c>
      <c r="B276" s="0" t="s">
        <v>954</v>
      </c>
      <c r="C276" s="0" t="s">
        <v>942</v>
      </c>
      <c r="E276" s="13" t="n">
        <f aca="false">TK_CapexIT_H100/TK_GPUsPerGW_H100*1000000</f>
        <v>38.3125</v>
      </c>
      <c r="G276" s="12" t="s">
        <v>487</v>
      </c>
      <c r="H276" s="12" t="s">
        <v>955</v>
      </c>
      <c r="I276" s="12" t="s">
        <v>956</v>
      </c>
    </row>
    <row r="277" customFormat="false" ht="17.15" hidden="false" customHeight="false" outlineLevel="0" collapsed="false">
      <c r="A277" s="0" t="s">
        <v>957</v>
      </c>
      <c r="B277" s="0" t="s">
        <v>958</v>
      </c>
      <c r="C277" s="0" t="s">
        <v>942</v>
      </c>
      <c r="D277" s="13" t="n">
        <v>30</v>
      </c>
      <c r="E277" s="13" t="n">
        <v>40</v>
      </c>
      <c r="F277" s="13" t="n">
        <v>50</v>
      </c>
      <c r="G277" s="12" t="s">
        <v>156</v>
      </c>
      <c r="H277" s="12" t="s">
        <v>959</v>
      </c>
      <c r="I277" s="12" t="s">
        <v>960</v>
      </c>
    </row>
    <row r="278" customFormat="false" ht="17.15" hidden="false" customHeight="false" outlineLevel="0" collapsed="false">
      <c r="A278" s="0" t="s">
        <v>961</v>
      </c>
      <c r="B278" s="0" t="s">
        <v>962</v>
      </c>
      <c r="C278" s="0" t="s">
        <v>942</v>
      </c>
      <c r="D278" s="13" t="n">
        <v>80</v>
      </c>
      <c r="E278" s="13" t="n">
        <v>100</v>
      </c>
      <c r="F278" s="13" t="n">
        <v>120</v>
      </c>
      <c r="G278" s="12" t="s">
        <v>156</v>
      </c>
      <c r="H278" s="12" t="s">
        <v>963</v>
      </c>
      <c r="I278" s="12" t="s">
        <v>964</v>
      </c>
    </row>
    <row r="279" customFormat="false" ht="17.15" hidden="false" customHeight="false" outlineLevel="0" collapsed="false">
      <c r="A279" s="0" t="s">
        <v>965</v>
      </c>
      <c r="B279" s="0" t="s">
        <v>966</v>
      </c>
      <c r="C279" s="0" t="s">
        <v>942</v>
      </c>
      <c r="D279" s="13" t="n">
        <v>15</v>
      </c>
      <c r="E279" s="13" t="n">
        <v>25</v>
      </c>
      <c r="F279" s="13" t="n">
        <v>35</v>
      </c>
      <c r="G279" s="12" t="s">
        <v>156</v>
      </c>
      <c r="H279" s="12" t="s">
        <v>967</v>
      </c>
      <c r="I279" s="12" t="s">
        <v>968</v>
      </c>
    </row>
    <row r="280" customFormat="false" ht="17.15" hidden="false" customHeight="false" outlineLevel="0" collapsed="false">
      <c r="A280" s="0" t="s">
        <v>969</v>
      </c>
      <c r="B280" s="0" t="s">
        <v>970</v>
      </c>
      <c r="C280" s="0" t="s">
        <v>942</v>
      </c>
      <c r="D280" s="13" t="n">
        <v>12</v>
      </c>
      <c r="E280" s="13" t="n">
        <v>20</v>
      </c>
      <c r="F280" s="13" t="n">
        <v>30</v>
      </c>
      <c r="G280" s="12" t="s">
        <v>156</v>
      </c>
      <c r="H280" s="6" t="s">
        <v>63</v>
      </c>
      <c r="I280" s="12" t="s">
        <v>971</v>
      </c>
    </row>
    <row r="281" customFormat="false" ht="17.15" hidden="false" customHeight="false" outlineLevel="0" collapsed="false">
      <c r="A281" s="0" t="s">
        <v>972</v>
      </c>
      <c r="B281" s="6" t="s">
        <v>973</v>
      </c>
      <c r="C281" s="0" t="s">
        <v>942</v>
      </c>
      <c r="D281" s="13" t="n">
        <v>12</v>
      </c>
      <c r="E281" s="13" t="n">
        <v>20</v>
      </c>
      <c r="F281" s="13" t="n">
        <v>30</v>
      </c>
      <c r="G281" s="12" t="s">
        <v>156</v>
      </c>
      <c r="H281" s="6" t="s">
        <v>63</v>
      </c>
      <c r="I281" s="12" t="s">
        <v>974</v>
      </c>
    </row>
    <row r="282" customFormat="false" ht="17.15" hidden="false" customHeight="false" outlineLevel="0" collapsed="false">
      <c r="A282" s="10" t="s">
        <v>975</v>
      </c>
    </row>
    <row r="283" customFormat="false" ht="17.15" hidden="false" customHeight="false" outlineLevel="0" collapsed="false">
      <c r="A283" s="0" t="s">
        <v>976</v>
      </c>
      <c r="B283" s="0" t="s">
        <v>977</v>
      </c>
      <c r="C283" s="0" t="s">
        <v>57</v>
      </c>
      <c r="D283" s="11" t="n">
        <v>0</v>
      </c>
      <c r="E283" s="11" t="n">
        <v>0</v>
      </c>
      <c r="F283" s="11" t="n">
        <v>0</v>
      </c>
      <c r="G283" s="12" t="s">
        <v>407</v>
      </c>
      <c r="H283" s="12" t="s">
        <v>978</v>
      </c>
      <c r="I283" s="12" t="s">
        <v>979</v>
      </c>
    </row>
    <row r="284" customFormat="false" ht="17.15" hidden="false" customHeight="false" outlineLevel="0" collapsed="false">
      <c r="A284" s="0" t="s">
        <v>980</v>
      </c>
      <c r="B284" s="0" t="s">
        <v>981</v>
      </c>
      <c r="C284" s="0" t="s">
        <v>57</v>
      </c>
      <c r="D284" s="11" t="n">
        <v>0</v>
      </c>
      <c r="E284" s="11" t="n">
        <v>0</v>
      </c>
      <c r="F284" s="11" t="n">
        <v>0</v>
      </c>
      <c r="G284" s="12" t="s">
        <v>407</v>
      </c>
      <c r="H284" s="6" t="s">
        <v>63</v>
      </c>
      <c r="I284" s="12" t="s">
        <v>982</v>
      </c>
    </row>
    <row r="285" customFormat="false" ht="17.15" hidden="false" customHeight="false" outlineLevel="0" collapsed="false">
      <c r="A285" s="0" t="s">
        <v>983</v>
      </c>
      <c r="B285" s="0" t="s">
        <v>984</v>
      </c>
      <c r="C285" s="0" t="s">
        <v>57</v>
      </c>
      <c r="D285" s="11" t="n">
        <v>0</v>
      </c>
      <c r="E285" s="11" t="n">
        <v>0</v>
      </c>
      <c r="F285" s="11" t="n">
        <v>0.05</v>
      </c>
      <c r="G285" s="12" t="s">
        <v>407</v>
      </c>
      <c r="H285" s="6" t="s">
        <v>63</v>
      </c>
      <c r="I285" s="12" t="s">
        <v>985</v>
      </c>
    </row>
    <row r="286" customFormat="false" ht="17.15" hidden="false" customHeight="false" outlineLevel="0" collapsed="false">
      <c r="A286" s="0" t="s">
        <v>986</v>
      </c>
      <c r="B286" s="0" t="s">
        <v>987</v>
      </c>
      <c r="C286" s="0" t="s">
        <v>57</v>
      </c>
      <c r="D286" s="11" t="n">
        <v>0.1</v>
      </c>
      <c r="E286" s="11" t="n">
        <v>0.2</v>
      </c>
      <c r="F286" s="11" t="n">
        <v>0.3</v>
      </c>
      <c r="G286" s="12" t="s">
        <v>407</v>
      </c>
      <c r="H286" s="6" t="s">
        <v>63</v>
      </c>
      <c r="I286" s="12" t="s">
        <v>988</v>
      </c>
    </row>
    <row r="287" customFormat="false" ht="17.15" hidden="false" customHeight="false" outlineLevel="0" collapsed="false">
      <c r="A287" s="0" t="s">
        <v>989</v>
      </c>
      <c r="B287" s="0" t="s">
        <v>990</v>
      </c>
      <c r="C287" s="0" t="s">
        <v>57</v>
      </c>
      <c r="D287" s="11" t="n">
        <v>0.4</v>
      </c>
      <c r="E287" s="11" t="n">
        <v>0.6</v>
      </c>
      <c r="F287" s="11" t="n">
        <v>0.8</v>
      </c>
      <c r="G287" s="12" t="s">
        <v>156</v>
      </c>
      <c r="H287" s="6" t="s">
        <v>991</v>
      </c>
      <c r="I287" s="12" t="s">
        <v>992</v>
      </c>
    </row>
    <row r="288" customFormat="false" ht="17.15" hidden="false" customHeight="false" outlineLevel="0" collapsed="false">
      <c r="A288" s="0" t="s">
        <v>993</v>
      </c>
      <c r="B288" s="6" t="s">
        <v>994</v>
      </c>
      <c r="C288" s="0" t="s">
        <v>57</v>
      </c>
      <c r="D288" s="11" t="n">
        <v>0.007</v>
      </c>
      <c r="E288" s="11" t="n">
        <v>0.01</v>
      </c>
      <c r="F288" s="11" t="n">
        <v>0.014</v>
      </c>
      <c r="G288" s="12" t="s">
        <v>995</v>
      </c>
      <c r="H288" s="6" t="s">
        <v>996</v>
      </c>
      <c r="I288" s="12" t="s">
        <v>997</v>
      </c>
    </row>
    <row r="289" customFormat="false" ht="17.15" hidden="false" customHeight="false" outlineLevel="0" collapsed="false">
      <c r="A289" s="0" t="s">
        <v>998</v>
      </c>
      <c r="B289" s="6" t="s">
        <v>999</v>
      </c>
      <c r="C289" s="0" t="s">
        <v>57</v>
      </c>
      <c r="D289" s="11" t="n">
        <v>0.035</v>
      </c>
      <c r="E289" s="11" t="n">
        <v>0.05</v>
      </c>
      <c r="F289" s="11" t="n">
        <v>0.07</v>
      </c>
      <c r="G289" s="12" t="s">
        <v>995</v>
      </c>
      <c r="H289" s="6" t="s">
        <v>63</v>
      </c>
      <c r="I289" s="12" t="s">
        <v>1000</v>
      </c>
    </row>
    <row r="290" customFormat="false" ht="17.15" hidden="false" customHeight="false" outlineLevel="0" collapsed="false">
      <c r="A290" s="0" t="s">
        <v>1001</v>
      </c>
      <c r="B290" s="6" t="s">
        <v>1002</v>
      </c>
      <c r="C290" s="0" t="s">
        <v>57</v>
      </c>
      <c r="D290" s="11" t="n">
        <v>0.07</v>
      </c>
      <c r="E290" s="11" t="n">
        <v>0.1</v>
      </c>
      <c r="F290" s="11" t="n">
        <v>0.14</v>
      </c>
      <c r="G290" s="12" t="s">
        <v>995</v>
      </c>
      <c r="H290" s="6" t="s">
        <v>63</v>
      </c>
      <c r="I290" s="12" t="s">
        <v>1003</v>
      </c>
    </row>
    <row r="291" customFormat="false" ht="17.15" hidden="false" customHeight="false" outlineLevel="0" collapsed="false">
      <c r="A291" s="0" t="s">
        <v>1004</v>
      </c>
      <c r="B291" s="6" t="s">
        <v>1005</v>
      </c>
      <c r="C291" s="0" t="s">
        <v>57</v>
      </c>
      <c r="D291" s="11" t="n">
        <v>0.112</v>
      </c>
      <c r="E291" s="11" t="n">
        <v>0.16</v>
      </c>
      <c r="F291" s="11" t="n">
        <v>0.224</v>
      </c>
      <c r="G291" s="12" t="s">
        <v>995</v>
      </c>
      <c r="H291" s="6" t="s">
        <v>63</v>
      </c>
      <c r="I291" s="12" t="s">
        <v>1006</v>
      </c>
    </row>
    <row r="292" customFormat="false" ht="17.15" hidden="false" customHeight="false" outlineLevel="0" collapsed="false">
      <c r="A292" s="0" t="s">
        <v>1007</v>
      </c>
      <c r="B292" s="6" t="s">
        <v>1008</v>
      </c>
      <c r="C292" s="0" t="s">
        <v>57</v>
      </c>
      <c r="D292" s="11" t="n">
        <v>0.007</v>
      </c>
      <c r="E292" s="11" t="n">
        <v>0.01</v>
      </c>
      <c r="F292" s="11" t="n">
        <v>0.014</v>
      </c>
      <c r="G292" s="12" t="s">
        <v>995</v>
      </c>
      <c r="H292" s="6" t="s">
        <v>1009</v>
      </c>
      <c r="I292" s="12" t="s">
        <v>1010</v>
      </c>
    </row>
    <row r="293" customFormat="false" ht="17.15" hidden="false" customHeight="false" outlineLevel="0" collapsed="false">
      <c r="A293" s="0" t="s">
        <v>1011</v>
      </c>
      <c r="B293" s="6" t="s">
        <v>1012</v>
      </c>
      <c r="C293" s="0" t="s">
        <v>57</v>
      </c>
      <c r="D293" s="11" t="n">
        <v>0.021</v>
      </c>
      <c r="E293" s="11" t="n">
        <v>0.03</v>
      </c>
      <c r="F293" s="11" t="n">
        <v>0.042</v>
      </c>
      <c r="G293" s="12" t="s">
        <v>995</v>
      </c>
      <c r="H293" s="6" t="s">
        <v>63</v>
      </c>
      <c r="I293" s="12" t="s">
        <v>1013</v>
      </c>
    </row>
    <row r="294" customFormat="false" ht="17.15" hidden="false" customHeight="false" outlineLevel="0" collapsed="false">
      <c r="A294" s="0" t="s">
        <v>1014</v>
      </c>
      <c r="B294" s="6" t="s">
        <v>1015</v>
      </c>
      <c r="C294" s="0" t="s">
        <v>57</v>
      </c>
      <c r="D294" s="11" t="n">
        <v>0.035</v>
      </c>
      <c r="E294" s="11" t="n">
        <v>0.05</v>
      </c>
      <c r="F294" s="11" t="n">
        <v>0.07</v>
      </c>
      <c r="G294" s="12" t="s">
        <v>995</v>
      </c>
      <c r="H294" s="6" t="s">
        <v>63</v>
      </c>
      <c r="I294" s="12" t="s">
        <v>1016</v>
      </c>
    </row>
    <row r="295" customFormat="false" ht="17.15" hidden="false" customHeight="false" outlineLevel="0" collapsed="false">
      <c r="A295" s="0" t="s">
        <v>1017</v>
      </c>
      <c r="B295" s="6" t="s">
        <v>1018</v>
      </c>
      <c r="C295" s="0" t="s">
        <v>57</v>
      </c>
      <c r="D295" s="11" t="n">
        <v>0.056</v>
      </c>
      <c r="E295" s="11" t="n">
        <v>0.08</v>
      </c>
      <c r="F295" s="11" t="n">
        <v>0.112</v>
      </c>
      <c r="G295" s="12" t="s">
        <v>995</v>
      </c>
      <c r="H295" s="6" t="s">
        <v>63</v>
      </c>
      <c r="I295" s="12" t="s">
        <v>1019</v>
      </c>
    </row>
    <row r="296" customFormat="false" ht="17.15" hidden="false" customHeight="false" outlineLevel="0" collapsed="false">
      <c r="A296" s="0" t="s">
        <v>1020</v>
      </c>
      <c r="B296" s="6" t="s">
        <v>1021</v>
      </c>
      <c r="C296" s="0" t="s">
        <v>57</v>
      </c>
      <c r="D296" s="11" t="n">
        <v>0.007</v>
      </c>
      <c r="E296" s="11" t="n">
        <v>0.01</v>
      </c>
      <c r="F296" s="11" t="n">
        <v>0.014</v>
      </c>
      <c r="G296" s="12" t="s">
        <v>156</v>
      </c>
      <c r="H296" s="6" t="s">
        <v>1022</v>
      </c>
      <c r="I296" s="12" t="s">
        <v>1023</v>
      </c>
    </row>
    <row r="297" customFormat="false" ht="17.15" hidden="false" customHeight="false" outlineLevel="0" collapsed="false">
      <c r="A297" s="0" t="s">
        <v>1024</v>
      </c>
      <c r="B297" s="6" t="s">
        <v>1025</v>
      </c>
      <c r="C297" s="0" t="s">
        <v>57</v>
      </c>
      <c r="D297" s="11" t="n">
        <v>0.014</v>
      </c>
      <c r="E297" s="11" t="n">
        <v>0.02</v>
      </c>
      <c r="F297" s="11" t="n">
        <v>0.028</v>
      </c>
      <c r="G297" s="12" t="s">
        <v>156</v>
      </c>
      <c r="H297" s="6" t="s">
        <v>63</v>
      </c>
      <c r="I297" s="12" t="s">
        <v>1026</v>
      </c>
    </row>
    <row r="298" customFormat="false" ht="17.15" hidden="false" customHeight="false" outlineLevel="0" collapsed="false">
      <c r="A298" s="0" t="s">
        <v>1027</v>
      </c>
      <c r="B298" s="6" t="s">
        <v>1028</v>
      </c>
      <c r="C298" s="0" t="s">
        <v>57</v>
      </c>
      <c r="D298" s="11" t="n">
        <v>0.021</v>
      </c>
      <c r="E298" s="11" t="n">
        <v>0.03</v>
      </c>
      <c r="F298" s="11" t="n">
        <v>0.042</v>
      </c>
      <c r="G298" s="12" t="s">
        <v>156</v>
      </c>
      <c r="H298" s="6" t="s">
        <v>63</v>
      </c>
      <c r="I298" s="12" t="s">
        <v>1029</v>
      </c>
    </row>
    <row r="299" customFormat="false" ht="17.15" hidden="false" customHeight="false" outlineLevel="0" collapsed="false">
      <c r="A299" s="0" t="s">
        <v>1030</v>
      </c>
      <c r="B299" s="6" t="s">
        <v>1031</v>
      </c>
      <c r="C299" s="0" t="s">
        <v>57</v>
      </c>
      <c r="D299" s="11" t="n">
        <v>0.035</v>
      </c>
      <c r="E299" s="11" t="n">
        <v>0.05</v>
      </c>
      <c r="F299" s="11" t="n">
        <v>0.07</v>
      </c>
      <c r="G299" s="12" t="s">
        <v>156</v>
      </c>
      <c r="H299" s="6" t="s">
        <v>63</v>
      </c>
      <c r="I299" s="12" t="s">
        <v>1032</v>
      </c>
    </row>
    <row r="300" customFormat="false" ht="17.15" hidden="false" customHeight="false" outlineLevel="0" collapsed="false">
      <c r="A300" s="10" t="s">
        <v>1033</v>
      </c>
    </row>
    <row r="301" customFormat="false" ht="17.15" hidden="false" customHeight="false" outlineLevel="0" collapsed="false">
      <c r="A301" s="0" t="s">
        <v>1034</v>
      </c>
      <c r="B301" s="0" t="s">
        <v>1035</v>
      </c>
      <c r="C301" s="0" t="s">
        <v>57</v>
      </c>
      <c r="D301" s="11" t="n">
        <v>0.15</v>
      </c>
      <c r="E301" s="11" t="n">
        <v>0.22</v>
      </c>
      <c r="F301" s="11" t="n">
        <v>0.3</v>
      </c>
      <c r="G301" s="12" t="s">
        <v>58</v>
      </c>
      <c r="H301" s="12" t="s">
        <v>1036</v>
      </c>
      <c r="I301" s="12" t="s">
        <v>1037</v>
      </c>
      <c r="J301" s="12" t="s">
        <v>1038</v>
      </c>
    </row>
    <row r="302" customFormat="false" ht="17.15" hidden="false" customHeight="false" outlineLevel="0" collapsed="false">
      <c r="A302" s="10" t="s">
        <v>1039</v>
      </c>
    </row>
    <row r="303" customFormat="false" ht="17.15" hidden="false" customHeight="false" outlineLevel="0" collapsed="false">
      <c r="A303" s="0" t="s">
        <v>1040</v>
      </c>
      <c r="B303" s="0" t="s">
        <v>1041</v>
      </c>
      <c r="C303" s="0" t="s">
        <v>57</v>
      </c>
      <c r="D303" s="11" t="n">
        <v>0.1</v>
      </c>
      <c r="E303" s="11" t="n">
        <v>0.25</v>
      </c>
      <c r="F303" s="11" t="n">
        <v>0.35</v>
      </c>
      <c r="G303" s="12" t="s">
        <v>156</v>
      </c>
      <c r="H303" s="12" t="s">
        <v>1042</v>
      </c>
      <c r="I303" s="12" t="s">
        <v>1043</v>
      </c>
      <c r="J303" s="12" t="s">
        <v>1044</v>
      </c>
    </row>
    <row r="304" customFormat="false" ht="17.15" hidden="false" customHeight="false" outlineLevel="0" collapsed="false">
      <c r="A304" s="0" t="s">
        <v>1045</v>
      </c>
      <c r="B304" s="0" t="s">
        <v>1046</v>
      </c>
      <c r="C304" s="0" t="s">
        <v>57</v>
      </c>
      <c r="D304" s="11" t="n">
        <v>0.1</v>
      </c>
      <c r="E304" s="11" t="n">
        <v>0.25</v>
      </c>
      <c r="F304" s="11" t="n">
        <v>0.35</v>
      </c>
      <c r="G304" s="12" t="s">
        <v>156</v>
      </c>
      <c r="H304" s="12" t="s">
        <v>1047</v>
      </c>
      <c r="I304" s="12" t="s">
        <v>1048</v>
      </c>
      <c r="J304" s="6" t="s">
        <v>1049</v>
      </c>
    </row>
    <row r="305" customFormat="false" ht="17.15" hidden="false" customHeight="false" outlineLevel="0" collapsed="false">
      <c r="A305" s="0" t="s">
        <v>1050</v>
      </c>
      <c r="B305" s="0" t="s">
        <v>1051</v>
      </c>
      <c r="C305" s="0" t="s">
        <v>57</v>
      </c>
      <c r="D305" s="11" t="n">
        <v>0.1</v>
      </c>
      <c r="E305" s="11" t="n">
        <v>0.2</v>
      </c>
      <c r="F305" s="11" t="n">
        <v>0.3</v>
      </c>
      <c r="G305" s="12" t="s">
        <v>156</v>
      </c>
      <c r="H305" s="6" t="s">
        <v>63</v>
      </c>
      <c r="I305" s="12" t="s">
        <v>1052</v>
      </c>
      <c r="J305" s="12" t="s">
        <v>672</v>
      </c>
    </row>
    <row r="306" customFormat="false" ht="17.15" hidden="false" customHeight="false" outlineLevel="0" collapsed="false">
      <c r="A306" s="0" t="s">
        <v>1053</v>
      </c>
      <c r="B306" s="0" t="s">
        <v>1054</v>
      </c>
      <c r="C306" s="0" t="s">
        <v>57</v>
      </c>
      <c r="D306" s="11" t="n">
        <v>0</v>
      </c>
      <c r="E306" s="11" t="n">
        <v>0.1</v>
      </c>
      <c r="F306" s="11" t="n">
        <v>0.25</v>
      </c>
      <c r="G306" s="12" t="s">
        <v>156</v>
      </c>
      <c r="H306" s="12" t="s">
        <v>1055</v>
      </c>
      <c r="I306" s="12" t="s">
        <v>1056</v>
      </c>
      <c r="J306" s="12" t="s">
        <v>1057</v>
      </c>
    </row>
    <row r="307" customFormat="false" ht="17.15" hidden="false" customHeight="false" outlineLevel="0" collapsed="false">
      <c r="A307" s="0" t="s">
        <v>1058</v>
      </c>
      <c r="B307" s="0" t="s">
        <v>1059</v>
      </c>
      <c r="C307" s="0" t="s">
        <v>57</v>
      </c>
      <c r="D307" s="11" t="n">
        <v>0</v>
      </c>
      <c r="E307" s="11" t="n">
        <v>0.15</v>
      </c>
      <c r="F307" s="11" t="n">
        <v>0.3</v>
      </c>
      <c r="G307" s="12" t="s">
        <v>156</v>
      </c>
      <c r="H307" s="6" t="s">
        <v>63</v>
      </c>
      <c r="I307" s="12" t="s">
        <v>1060</v>
      </c>
      <c r="J307" s="12" t="s">
        <v>672</v>
      </c>
    </row>
    <row r="308" customFormat="false" ht="17.15" hidden="false" customHeight="false" outlineLevel="0" collapsed="false">
      <c r="A308" s="0" t="s">
        <v>1061</v>
      </c>
      <c r="B308" s="0" t="s">
        <v>1062</v>
      </c>
      <c r="C308" s="0" t="s">
        <v>57</v>
      </c>
      <c r="D308" s="11" t="n">
        <v>0</v>
      </c>
      <c r="E308" s="11" t="n">
        <v>0.2</v>
      </c>
      <c r="F308" s="11" t="n">
        <v>0.35</v>
      </c>
      <c r="G308" s="12" t="s">
        <v>156</v>
      </c>
      <c r="H308" s="6" t="s">
        <v>63</v>
      </c>
      <c r="I308" s="12" t="s">
        <v>1063</v>
      </c>
      <c r="J308" s="12" t="s">
        <v>672</v>
      </c>
    </row>
    <row r="309" customFormat="false" ht="17.15" hidden="false" customHeight="false" outlineLevel="0" collapsed="false">
      <c r="A309" s="0" t="s">
        <v>1064</v>
      </c>
      <c r="B309" s="6" t="s">
        <v>1065</v>
      </c>
      <c r="C309" s="0" t="s">
        <v>57</v>
      </c>
      <c r="D309" s="11" t="n">
        <v>0</v>
      </c>
      <c r="E309" s="11" t="n">
        <v>0.1</v>
      </c>
      <c r="F309" s="11" t="n">
        <v>0.3</v>
      </c>
      <c r="G309" s="12" t="s">
        <v>156</v>
      </c>
      <c r="H309" s="6" t="s">
        <v>1066</v>
      </c>
      <c r="I309" s="12" t="s">
        <v>1067</v>
      </c>
      <c r="J309" s="12" t="s">
        <v>1068</v>
      </c>
    </row>
    <row r="310" customFormat="false" ht="17.15" hidden="false" customHeight="false" outlineLevel="0" collapsed="false">
      <c r="A310" s="0" t="s">
        <v>1069</v>
      </c>
      <c r="B310" s="6" t="s">
        <v>1070</v>
      </c>
      <c r="C310" s="0" t="s">
        <v>57</v>
      </c>
      <c r="D310" s="11" t="n">
        <v>0</v>
      </c>
      <c r="E310" s="11" t="n">
        <v>0.15</v>
      </c>
      <c r="F310" s="11" t="n">
        <v>0.35</v>
      </c>
      <c r="G310" s="12" t="s">
        <v>156</v>
      </c>
      <c r="H310" s="6" t="s">
        <v>63</v>
      </c>
      <c r="I310" s="12" t="s">
        <v>1071</v>
      </c>
      <c r="J310" s="12" t="s">
        <v>672</v>
      </c>
    </row>
    <row r="311" customFormat="false" ht="17.15" hidden="false" customHeight="false" outlineLevel="0" collapsed="false">
      <c r="A311" s="0" t="s">
        <v>1072</v>
      </c>
      <c r="B311" s="6" t="s">
        <v>1073</v>
      </c>
      <c r="C311" s="0" t="s">
        <v>57</v>
      </c>
      <c r="D311" s="11" t="n">
        <v>0</v>
      </c>
      <c r="E311" s="11" t="n">
        <v>0.2</v>
      </c>
      <c r="F311" s="11" t="n">
        <v>0.4</v>
      </c>
      <c r="G311" s="12" t="s">
        <v>156</v>
      </c>
      <c r="H311" s="6" t="s">
        <v>63</v>
      </c>
      <c r="I311" s="12" t="s">
        <v>1074</v>
      </c>
      <c r="J311" s="12" t="s">
        <v>672</v>
      </c>
    </row>
    <row r="312" customFormat="false" ht="17.15" hidden="false" customHeight="false" outlineLevel="0" collapsed="false">
      <c r="A312" s="0" t="s">
        <v>1075</v>
      </c>
      <c r="B312" s="6" t="s">
        <v>1076</v>
      </c>
      <c r="C312" s="0" t="s">
        <v>57</v>
      </c>
      <c r="D312" s="11" t="n">
        <v>0</v>
      </c>
      <c r="E312" s="11" t="n">
        <v>0.05</v>
      </c>
      <c r="F312" s="11" t="n">
        <v>0.2</v>
      </c>
      <c r="G312" s="12" t="s">
        <v>156</v>
      </c>
      <c r="H312" s="12" t="s">
        <v>1077</v>
      </c>
      <c r="I312" s="12" t="s">
        <v>1078</v>
      </c>
      <c r="J312" s="6" t="s">
        <v>1079</v>
      </c>
    </row>
    <row r="313" customFormat="false" ht="17.15" hidden="false" customHeight="false" outlineLevel="0" collapsed="false">
      <c r="A313" s="0" t="s">
        <v>1080</v>
      </c>
      <c r="B313" s="6" t="s">
        <v>1081</v>
      </c>
      <c r="C313" s="0" t="s">
        <v>57</v>
      </c>
      <c r="D313" s="11" t="n">
        <v>0</v>
      </c>
      <c r="E313" s="11" t="n">
        <v>0.1</v>
      </c>
      <c r="F313" s="11" t="n">
        <v>0.25</v>
      </c>
      <c r="G313" s="12" t="s">
        <v>156</v>
      </c>
      <c r="H313" s="6" t="s">
        <v>63</v>
      </c>
      <c r="I313" s="12" t="s">
        <v>1082</v>
      </c>
      <c r="J313" s="12" t="s">
        <v>672</v>
      </c>
    </row>
    <row r="314" customFormat="false" ht="17.15" hidden="false" customHeight="false" outlineLevel="0" collapsed="false">
      <c r="A314" s="0" t="s">
        <v>1083</v>
      </c>
      <c r="B314" s="6" t="s">
        <v>1084</v>
      </c>
      <c r="C314" s="0" t="s">
        <v>57</v>
      </c>
      <c r="D314" s="11" t="n">
        <v>0</v>
      </c>
      <c r="E314" s="11" t="n">
        <v>0.15</v>
      </c>
      <c r="F314" s="11" t="n">
        <v>0.3</v>
      </c>
      <c r="G314" s="12" t="s">
        <v>156</v>
      </c>
      <c r="H314" s="6" t="s">
        <v>63</v>
      </c>
      <c r="I314" s="12" t="s">
        <v>1085</v>
      </c>
      <c r="J314" s="12" t="s">
        <v>672</v>
      </c>
    </row>
    <row r="315" customFormat="false" ht="17.15" hidden="false" customHeight="false" outlineLevel="0" collapsed="false">
      <c r="A315" s="0" t="s">
        <v>1086</v>
      </c>
      <c r="B315" s="0" t="s">
        <v>1087</v>
      </c>
      <c r="C315" s="0" t="s">
        <v>57</v>
      </c>
      <c r="D315" s="11" t="n">
        <v>0</v>
      </c>
      <c r="E315" s="11" t="n">
        <v>0.05</v>
      </c>
      <c r="F315" s="11" t="n">
        <v>0.15</v>
      </c>
      <c r="G315" s="12" t="s">
        <v>156</v>
      </c>
      <c r="H315" s="12" t="s">
        <v>1088</v>
      </c>
      <c r="I315" s="12" t="s">
        <v>1089</v>
      </c>
      <c r="J315" s="12" t="s">
        <v>1090</v>
      </c>
    </row>
    <row r="316" customFormat="false" ht="17.15" hidden="false" customHeight="false" outlineLevel="0" collapsed="false">
      <c r="A316" s="0" t="s">
        <v>1091</v>
      </c>
      <c r="B316" s="0" t="s">
        <v>1092</v>
      </c>
      <c r="C316" s="0" t="s">
        <v>57</v>
      </c>
      <c r="D316" s="11" t="n">
        <v>0.02</v>
      </c>
      <c r="E316" s="11" t="n">
        <v>0.1</v>
      </c>
      <c r="F316" s="11" t="n">
        <v>0.2</v>
      </c>
      <c r="G316" s="12" t="s">
        <v>156</v>
      </c>
      <c r="H316" s="6" t="s">
        <v>63</v>
      </c>
      <c r="I316" s="12" t="s">
        <v>1093</v>
      </c>
      <c r="J316" s="6" t="s">
        <v>1094</v>
      </c>
    </row>
    <row r="317" customFormat="false" ht="17.15" hidden="false" customHeight="false" outlineLevel="0" collapsed="false">
      <c r="A317" s="0" t="s">
        <v>1095</v>
      </c>
      <c r="B317" s="0" t="s">
        <v>1096</v>
      </c>
      <c r="C317" s="0" t="s">
        <v>57</v>
      </c>
      <c r="D317" s="11" t="n">
        <v>0.05</v>
      </c>
      <c r="E317" s="11" t="n">
        <v>0.15</v>
      </c>
      <c r="F317" s="11" t="n">
        <v>0.25</v>
      </c>
      <c r="G317" s="12" t="s">
        <v>156</v>
      </c>
      <c r="H317" s="6" t="s">
        <v>63</v>
      </c>
      <c r="I317" s="12" t="s">
        <v>1097</v>
      </c>
      <c r="J317" s="12" t="s">
        <v>672</v>
      </c>
    </row>
    <row r="318" customFormat="false" ht="17.15" hidden="false" customHeight="false" outlineLevel="0" collapsed="false">
      <c r="A318" s="10" t="s">
        <v>1098</v>
      </c>
    </row>
    <row r="319" customFormat="false" ht="17.15" hidden="false" customHeight="false" outlineLevel="0" collapsed="false">
      <c r="A319" s="0" t="s">
        <v>1099</v>
      </c>
      <c r="B319" s="0" t="s">
        <v>1100</v>
      </c>
      <c r="C319" s="0" t="s">
        <v>57</v>
      </c>
      <c r="D319" s="11" t="n">
        <v>0.7</v>
      </c>
      <c r="E319" s="11" t="n">
        <v>0.7</v>
      </c>
      <c r="F319" s="11" t="n">
        <v>0.8</v>
      </c>
      <c r="G319" s="12" t="s">
        <v>58</v>
      </c>
      <c r="H319" s="12" t="s">
        <v>1101</v>
      </c>
      <c r="I319" s="12" t="s">
        <v>1102</v>
      </c>
      <c r="J319" s="12" t="s">
        <v>1103</v>
      </c>
    </row>
    <row r="320" customFormat="false" ht="17.15" hidden="false" customHeight="false" outlineLevel="0" collapsed="false">
      <c r="A320" s="0" t="s">
        <v>1104</v>
      </c>
      <c r="B320" s="0" t="s">
        <v>1105</v>
      </c>
      <c r="C320" s="0" t="s">
        <v>486</v>
      </c>
      <c r="D320" s="13" t="n">
        <v>0.85</v>
      </c>
      <c r="E320" s="13" t="n">
        <v>0.95</v>
      </c>
      <c r="F320" s="13" t="n">
        <v>1</v>
      </c>
      <c r="G320" s="12" t="s">
        <v>156</v>
      </c>
      <c r="H320" s="6" t="s">
        <v>1106</v>
      </c>
      <c r="I320" s="12" t="s">
        <v>1107</v>
      </c>
      <c r="J320" s="6" t="s">
        <v>1108</v>
      </c>
    </row>
    <row r="321" customFormat="false" ht="17.15" hidden="false" customHeight="false" outlineLevel="0" collapsed="false">
      <c r="A321" s="0" t="s">
        <v>1109</v>
      </c>
      <c r="B321" s="0" t="s">
        <v>1110</v>
      </c>
      <c r="C321" s="0" t="s">
        <v>486</v>
      </c>
      <c r="D321" s="13" t="n">
        <v>0.75</v>
      </c>
      <c r="E321" s="13" t="n">
        <v>0.88</v>
      </c>
      <c r="F321" s="13" t="n">
        <v>1</v>
      </c>
      <c r="G321" s="12" t="s">
        <v>156</v>
      </c>
      <c r="H321" s="6" t="s">
        <v>1111</v>
      </c>
      <c r="I321" s="12" t="s">
        <v>1112</v>
      </c>
      <c r="J321" s="12" t="s">
        <v>672</v>
      </c>
    </row>
    <row r="322" customFormat="false" ht="17.15" hidden="false" customHeight="false" outlineLevel="0" collapsed="false">
      <c r="A322" s="0" t="s">
        <v>1113</v>
      </c>
      <c r="B322" s="0" t="s">
        <v>1114</v>
      </c>
      <c r="C322" s="0" t="s">
        <v>486</v>
      </c>
      <c r="D322" s="13" t="n">
        <v>0.7</v>
      </c>
      <c r="E322" s="13" t="n">
        <v>0.85</v>
      </c>
      <c r="F322" s="13" t="n">
        <v>1</v>
      </c>
      <c r="G322" s="12" t="s">
        <v>156</v>
      </c>
      <c r="H322" s="6" t="s">
        <v>63</v>
      </c>
      <c r="I322" s="12" t="s">
        <v>1115</v>
      </c>
      <c r="J322" s="12" t="s">
        <v>672</v>
      </c>
    </row>
    <row r="323" customFormat="false" ht="17.15" hidden="false" customHeight="false" outlineLevel="0" collapsed="false">
      <c r="A323" s="0" t="s">
        <v>1116</v>
      </c>
      <c r="B323" s="6" t="s">
        <v>1117</v>
      </c>
      <c r="C323" s="0" t="s">
        <v>486</v>
      </c>
      <c r="D323" s="13" t="n">
        <v>0.2</v>
      </c>
      <c r="E323" s="13" t="n">
        <v>0.4</v>
      </c>
      <c r="F323" s="13" t="n">
        <v>0.6</v>
      </c>
      <c r="G323" s="12" t="s">
        <v>156</v>
      </c>
      <c r="H323" s="6" t="s">
        <v>1118</v>
      </c>
      <c r="I323" s="12" t="s">
        <v>1119</v>
      </c>
      <c r="J323" s="12" t="s">
        <v>1120</v>
      </c>
    </row>
    <row r="324" customFormat="false" ht="17.15" hidden="false" customHeight="false" outlineLevel="0" collapsed="false">
      <c r="A324" s="0" t="s">
        <v>1121</v>
      </c>
      <c r="B324" s="6" t="s">
        <v>1122</v>
      </c>
      <c r="C324" s="0" t="s">
        <v>486</v>
      </c>
      <c r="D324" s="13" t="n">
        <v>0.6</v>
      </c>
      <c r="E324" s="13" t="n">
        <v>0.8</v>
      </c>
      <c r="F324" s="13" t="n">
        <v>1</v>
      </c>
      <c r="G324" s="12" t="s">
        <v>156</v>
      </c>
      <c r="H324" s="12" t="s">
        <v>1123</v>
      </c>
      <c r="I324" s="12" t="s">
        <v>1124</v>
      </c>
      <c r="J324" s="12" t="s">
        <v>1125</v>
      </c>
    </row>
    <row r="325" customFormat="false" ht="17.15" hidden="false" customHeight="false" outlineLevel="0" collapsed="false">
      <c r="A325" s="0" t="s">
        <v>1126</v>
      </c>
      <c r="B325" s="6" t="s">
        <v>1127</v>
      </c>
      <c r="C325" s="0" t="s">
        <v>57</v>
      </c>
      <c r="D325" s="11" t="n">
        <v>0.1</v>
      </c>
      <c r="E325" s="11" t="n">
        <v>0.18</v>
      </c>
      <c r="F325" s="11" t="n">
        <v>0.22</v>
      </c>
      <c r="G325" s="12" t="s">
        <v>845</v>
      </c>
      <c r="H325" s="12" t="s">
        <v>1128</v>
      </c>
      <c r="I325" s="12" t="s">
        <v>1129</v>
      </c>
      <c r="J325" s="12" t="s">
        <v>1130</v>
      </c>
    </row>
    <row r="326" customFormat="false" ht="17.15" hidden="false" customHeight="false" outlineLevel="0" collapsed="false">
      <c r="A326" s="0" t="s">
        <v>1131</v>
      </c>
      <c r="B326" s="6" t="s">
        <v>1132</v>
      </c>
      <c r="C326" s="0" t="s">
        <v>486</v>
      </c>
      <c r="D326" s="13" t="n">
        <v>0.95</v>
      </c>
      <c r="E326" s="13" t="n">
        <v>1</v>
      </c>
      <c r="F326" s="13" t="n">
        <v>1.05</v>
      </c>
      <c r="G326" s="12" t="s">
        <v>156</v>
      </c>
      <c r="H326" s="12" t="s">
        <v>1133</v>
      </c>
      <c r="I326" s="12" t="s">
        <v>1134</v>
      </c>
      <c r="J326" s="12" t="s">
        <v>1135</v>
      </c>
    </row>
    <row r="327" customFormat="false" ht="17.15" hidden="false" customHeight="false" outlineLevel="0" collapsed="false">
      <c r="A327" s="0" t="s">
        <v>1136</v>
      </c>
      <c r="B327" s="6" t="s">
        <v>1137</v>
      </c>
      <c r="C327" s="0" t="s">
        <v>486</v>
      </c>
      <c r="D327" s="13" t="n">
        <v>0.85</v>
      </c>
      <c r="E327" s="13" t="n">
        <v>0.95</v>
      </c>
      <c r="F327" s="13" t="n">
        <v>1.05</v>
      </c>
      <c r="G327" s="12" t="s">
        <v>156</v>
      </c>
      <c r="H327" s="12" t="s">
        <v>1138</v>
      </c>
      <c r="I327" s="12" t="s">
        <v>1139</v>
      </c>
      <c r="J327" s="6" t="s">
        <v>1140</v>
      </c>
    </row>
    <row r="328" customFormat="false" ht="17.15" hidden="false" customHeight="false" outlineLevel="0" collapsed="false">
      <c r="A328" s="0" t="s">
        <v>1141</v>
      </c>
      <c r="B328" s="6" t="s">
        <v>1142</v>
      </c>
      <c r="C328" s="0" t="s">
        <v>486</v>
      </c>
      <c r="D328" s="13" t="n">
        <v>0.75</v>
      </c>
      <c r="E328" s="13" t="n">
        <v>0.9</v>
      </c>
      <c r="F328" s="13" t="n">
        <v>1</v>
      </c>
      <c r="G328" s="12" t="s">
        <v>156</v>
      </c>
      <c r="H328" s="6" t="s">
        <v>1143</v>
      </c>
      <c r="I328" s="12" t="s">
        <v>1144</v>
      </c>
      <c r="J328" s="12" t="s">
        <v>672</v>
      </c>
    </row>
    <row r="329" customFormat="false" ht="17.15" hidden="false" customHeight="false" outlineLevel="0" collapsed="false">
      <c r="A329" s="0" t="s">
        <v>1145</v>
      </c>
      <c r="B329" s="6" t="s">
        <v>1146</v>
      </c>
      <c r="C329" s="0" t="s">
        <v>57</v>
      </c>
      <c r="D329" s="11" t="n">
        <v>0.2</v>
      </c>
      <c r="E329" s="11" t="n">
        <v>0.25</v>
      </c>
      <c r="F329" s="11" t="n">
        <v>0.3</v>
      </c>
      <c r="G329" s="12" t="s">
        <v>156</v>
      </c>
      <c r="H329" s="6" t="s">
        <v>1147</v>
      </c>
      <c r="I329" s="12" t="s">
        <v>1148</v>
      </c>
      <c r="J329" s="12" t="s">
        <v>1149</v>
      </c>
    </row>
    <row r="330" customFormat="false" ht="17.15" hidden="false" customHeight="false" outlineLevel="0" collapsed="false">
      <c r="A330" s="0" t="s">
        <v>1150</v>
      </c>
      <c r="B330" s="6" t="s">
        <v>1151</v>
      </c>
      <c r="C330" s="0" t="s">
        <v>57</v>
      </c>
      <c r="D330" s="11" t="n">
        <v>0.22</v>
      </c>
      <c r="E330" s="11" t="n">
        <v>0.27</v>
      </c>
      <c r="F330" s="11" t="n">
        <v>0.32</v>
      </c>
      <c r="G330" s="12" t="s">
        <v>156</v>
      </c>
      <c r="H330" s="12" t="s">
        <v>1152</v>
      </c>
      <c r="I330" s="12" t="s">
        <v>1153</v>
      </c>
      <c r="J330" s="6" t="s">
        <v>1154</v>
      </c>
    </row>
    <row r="331" customFormat="false" ht="17.15" hidden="false" customHeight="false" outlineLevel="0" collapsed="false">
      <c r="A331" s="0" t="s">
        <v>1155</v>
      </c>
      <c r="B331" s="6" t="s">
        <v>1156</v>
      </c>
      <c r="C331" s="0" t="s">
        <v>57</v>
      </c>
      <c r="D331" s="11" t="n">
        <v>0.22</v>
      </c>
      <c r="E331" s="11" t="n">
        <v>0.29</v>
      </c>
      <c r="F331" s="11" t="n">
        <v>0.35</v>
      </c>
      <c r="G331" s="12" t="s">
        <v>156</v>
      </c>
      <c r="H331" s="12" t="s">
        <v>1152</v>
      </c>
      <c r="I331" s="12" t="s">
        <v>1157</v>
      </c>
      <c r="J331" s="6" t="s">
        <v>1154</v>
      </c>
    </row>
    <row r="332" customFormat="false" ht="17.15" hidden="false" customHeight="false" outlineLevel="0" collapsed="false">
      <c r="A332" s="0" t="s">
        <v>1158</v>
      </c>
      <c r="B332" s="6" t="s">
        <v>1159</v>
      </c>
      <c r="C332" s="0" t="s">
        <v>57</v>
      </c>
      <c r="D332" s="11" t="n">
        <v>0.22</v>
      </c>
      <c r="E332" s="11" t="n">
        <v>0.3</v>
      </c>
      <c r="F332" s="11" t="n">
        <v>0.36</v>
      </c>
      <c r="G332" s="12" t="s">
        <v>156</v>
      </c>
      <c r="H332" s="12" t="s">
        <v>1152</v>
      </c>
      <c r="I332" s="12" t="s">
        <v>1160</v>
      </c>
      <c r="J332" s="6" t="s">
        <v>1154</v>
      </c>
    </row>
    <row r="333" customFormat="false" ht="17.15" hidden="false" customHeight="false" outlineLevel="0" collapsed="false">
      <c r="A333" s="0" t="s">
        <v>1161</v>
      </c>
      <c r="B333" s="6" t="s">
        <v>1162</v>
      </c>
      <c r="C333" s="0" t="s">
        <v>57</v>
      </c>
      <c r="D333" s="11" t="n">
        <v>0.22</v>
      </c>
      <c r="E333" s="11" t="n">
        <v>0.3</v>
      </c>
      <c r="F333" s="11" t="n">
        <v>0.4</v>
      </c>
      <c r="G333" s="12" t="s">
        <v>156</v>
      </c>
      <c r="H333" s="6" t="s">
        <v>1163</v>
      </c>
      <c r="I333" s="12" t="s">
        <v>1164</v>
      </c>
      <c r="J333" s="6" t="s">
        <v>1165</v>
      </c>
    </row>
    <row r="334" customFormat="false" ht="17.15" hidden="false" customHeight="false" outlineLevel="0" collapsed="false">
      <c r="A334" s="0" t="s">
        <v>1166</v>
      </c>
      <c r="B334" s="6" t="s">
        <v>1167</v>
      </c>
      <c r="C334" s="0" t="s">
        <v>57</v>
      </c>
      <c r="D334" s="11" t="n">
        <v>0.22</v>
      </c>
      <c r="E334" s="11" t="n">
        <v>0.31</v>
      </c>
      <c r="F334" s="11" t="n">
        <v>0.4</v>
      </c>
      <c r="G334" s="12" t="s">
        <v>156</v>
      </c>
      <c r="H334" s="6" t="s">
        <v>63</v>
      </c>
      <c r="I334" s="12" t="s">
        <v>1168</v>
      </c>
      <c r="J334" s="12" t="s">
        <v>672</v>
      </c>
    </row>
    <row r="335" customFormat="false" ht="17.15" hidden="false" customHeight="false" outlineLevel="0" collapsed="false">
      <c r="A335" s="0" t="s">
        <v>1169</v>
      </c>
      <c r="B335" s="6" t="s">
        <v>1170</v>
      </c>
      <c r="C335" s="0" t="s">
        <v>57</v>
      </c>
      <c r="D335" s="11" t="n">
        <v>0.22</v>
      </c>
      <c r="E335" s="11" t="n">
        <v>0.32</v>
      </c>
      <c r="F335" s="11" t="n">
        <v>0.4</v>
      </c>
      <c r="G335" s="12" t="s">
        <v>156</v>
      </c>
      <c r="H335" s="6" t="s">
        <v>63</v>
      </c>
      <c r="I335" s="12" t="s">
        <v>1171</v>
      </c>
      <c r="J335" s="12" t="s">
        <v>672</v>
      </c>
    </row>
    <row r="336" customFormat="false" ht="17.15" hidden="false" customHeight="false" outlineLevel="0" collapsed="false">
      <c r="A336" s="0" t="s">
        <v>1172</v>
      </c>
      <c r="B336" s="6" t="s">
        <v>1173</v>
      </c>
      <c r="C336" s="0" t="s">
        <v>57</v>
      </c>
      <c r="D336" s="11" t="n">
        <v>0.22</v>
      </c>
      <c r="E336" s="11" t="n">
        <v>0.33</v>
      </c>
      <c r="F336" s="11" t="n">
        <v>0.4</v>
      </c>
      <c r="G336" s="12" t="s">
        <v>156</v>
      </c>
      <c r="H336" s="6" t="s">
        <v>63</v>
      </c>
      <c r="I336" s="12" t="s">
        <v>1174</v>
      </c>
      <c r="J336" s="12" t="s">
        <v>672</v>
      </c>
    </row>
    <row r="337" customFormat="false" ht="17.15" hidden="false" customHeight="false" outlineLevel="0" collapsed="false">
      <c r="A337" s="0" t="s">
        <v>1175</v>
      </c>
      <c r="B337" s="6" t="s">
        <v>1176</v>
      </c>
      <c r="C337" s="0" t="s">
        <v>57</v>
      </c>
      <c r="D337" s="11" t="n">
        <v>0.01</v>
      </c>
      <c r="E337" s="11" t="n">
        <v>0.02</v>
      </c>
      <c r="F337" s="11" t="n">
        <v>0.03</v>
      </c>
      <c r="G337" s="12" t="s">
        <v>156</v>
      </c>
      <c r="H337" s="6" t="s">
        <v>1177</v>
      </c>
      <c r="I337" s="12" t="s">
        <v>1178</v>
      </c>
      <c r="J337" s="6" t="s">
        <v>1179</v>
      </c>
    </row>
    <row r="338" customFormat="false" ht="17.15" hidden="false" customHeight="false" outlineLevel="0" collapsed="false">
      <c r="A338" s="0" t="s">
        <v>1180</v>
      </c>
      <c r="B338" s="6" t="s">
        <v>1181</v>
      </c>
      <c r="C338" s="0" t="s">
        <v>57</v>
      </c>
      <c r="D338" s="11" t="n">
        <v>0.01</v>
      </c>
      <c r="E338" s="11" t="n">
        <v>0.03</v>
      </c>
      <c r="F338" s="11" t="n">
        <v>0.05</v>
      </c>
      <c r="G338" s="12" t="s">
        <v>156</v>
      </c>
      <c r="H338" s="12" t="s">
        <v>1182</v>
      </c>
      <c r="I338" s="12" t="s">
        <v>1183</v>
      </c>
      <c r="J338" s="12" t="s">
        <v>672</v>
      </c>
    </row>
    <row r="339" customFormat="false" ht="17.15" hidden="false" customHeight="false" outlineLevel="0" collapsed="false">
      <c r="A339" s="0" t="s">
        <v>1184</v>
      </c>
      <c r="B339" s="6" t="s">
        <v>1185</v>
      </c>
      <c r="C339" s="0" t="s">
        <v>57</v>
      </c>
      <c r="D339" s="11" t="n">
        <v>0.01</v>
      </c>
      <c r="E339" s="11" t="n">
        <v>0.04</v>
      </c>
      <c r="F339" s="11" t="n">
        <v>0.06</v>
      </c>
      <c r="G339" s="12" t="s">
        <v>156</v>
      </c>
      <c r="H339" s="12" t="s">
        <v>1182</v>
      </c>
      <c r="I339" s="12" t="s">
        <v>1186</v>
      </c>
      <c r="J339" s="12" t="s">
        <v>672</v>
      </c>
    </row>
    <row r="340" customFormat="false" ht="17.15" hidden="false" customHeight="false" outlineLevel="0" collapsed="false">
      <c r="A340" s="0" t="s">
        <v>1187</v>
      </c>
      <c r="B340" s="6" t="s">
        <v>1188</v>
      </c>
      <c r="C340" s="0" t="s">
        <v>57</v>
      </c>
      <c r="D340" s="11" t="n">
        <v>0.01</v>
      </c>
      <c r="E340" s="11" t="n">
        <v>0.04</v>
      </c>
      <c r="F340" s="11" t="n">
        <v>0.06</v>
      </c>
      <c r="G340" s="12" t="s">
        <v>156</v>
      </c>
      <c r="H340" s="12" t="s">
        <v>1182</v>
      </c>
      <c r="I340" s="12" t="s">
        <v>1189</v>
      </c>
      <c r="J340" s="12" t="s">
        <v>672</v>
      </c>
    </row>
    <row r="341" customFormat="false" ht="17.15" hidden="false" customHeight="false" outlineLevel="0" collapsed="false">
      <c r="A341" s="0" t="s">
        <v>1190</v>
      </c>
      <c r="B341" s="6" t="s">
        <v>1191</v>
      </c>
      <c r="C341" s="0" t="s">
        <v>57</v>
      </c>
      <c r="D341" s="11" t="n">
        <v>0.03</v>
      </c>
      <c r="E341" s="11" t="n">
        <v>0.05</v>
      </c>
      <c r="F341" s="11" t="n">
        <v>0.08</v>
      </c>
      <c r="G341" s="12" t="s">
        <v>156</v>
      </c>
      <c r="H341" s="12" t="s">
        <v>1192</v>
      </c>
      <c r="I341" s="12" t="s">
        <v>1193</v>
      </c>
      <c r="J341" s="6" t="s">
        <v>1194</v>
      </c>
    </row>
    <row r="342" customFormat="false" ht="17.15" hidden="false" customHeight="false" outlineLevel="0" collapsed="false">
      <c r="A342" s="0" t="s">
        <v>1195</v>
      </c>
      <c r="B342" s="6" t="s">
        <v>1196</v>
      </c>
      <c r="C342" s="0" t="s">
        <v>57</v>
      </c>
      <c r="D342" s="11" t="n">
        <v>0.03</v>
      </c>
      <c r="E342" s="11" t="n">
        <v>0.06</v>
      </c>
      <c r="F342" s="11" t="n">
        <v>0.09</v>
      </c>
      <c r="G342" s="12" t="s">
        <v>156</v>
      </c>
      <c r="H342" s="6" t="s">
        <v>63</v>
      </c>
      <c r="I342" s="12" t="s">
        <v>1197</v>
      </c>
      <c r="J342" s="12" t="s">
        <v>672</v>
      </c>
    </row>
    <row r="343" customFormat="false" ht="17.15" hidden="false" customHeight="false" outlineLevel="0" collapsed="false">
      <c r="A343" s="0" t="s">
        <v>1198</v>
      </c>
      <c r="B343" s="6" t="s">
        <v>1199</v>
      </c>
      <c r="C343" s="0" t="s">
        <v>57</v>
      </c>
      <c r="D343" s="11" t="n">
        <v>0.03</v>
      </c>
      <c r="E343" s="11" t="n">
        <v>0.07</v>
      </c>
      <c r="F343" s="11" t="n">
        <v>0.1</v>
      </c>
      <c r="G343" s="12" t="s">
        <v>156</v>
      </c>
      <c r="H343" s="6" t="s">
        <v>63</v>
      </c>
      <c r="I343" s="12" t="s">
        <v>1200</v>
      </c>
      <c r="J343" s="12" t="s">
        <v>672</v>
      </c>
    </row>
    <row r="344" customFormat="false" ht="17.15" hidden="false" customHeight="false" outlineLevel="0" collapsed="false">
      <c r="A344" s="0" t="s">
        <v>1201</v>
      </c>
      <c r="B344" s="6" t="s">
        <v>1202</v>
      </c>
      <c r="C344" s="0" t="s">
        <v>57</v>
      </c>
      <c r="D344" s="11" t="n">
        <v>0.03</v>
      </c>
      <c r="E344" s="11" t="n">
        <v>0.07</v>
      </c>
      <c r="F344" s="11" t="n">
        <v>0.1</v>
      </c>
      <c r="G344" s="12" t="s">
        <v>156</v>
      </c>
      <c r="H344" s="6" t="s">
        <v>63</v>
      </c>
      <c r="I344" s="12" t="s">
        <v>1203</v>
      </c>
      <c r="J344" s="12" t="s">
        <v>672</v>
      </c>
    </row>
    <row r="345" customFormat="false" ht="17.15" hidden="false" customHeight="false" outlineLevel="0" collapsed="false">
      <c r="A345" s="0" t="s">
        <v>1204</v>
      </c>
      <c r="B345" s="6" t="s">
        <v>1205</v>
      </c>
      <c r="C345" s="0" t="s">
        <v>57</v>
      </c>
      <c r="D345" s="11" t="n">
        <v>0.01</v>
      </c>
      <c r="E345" s="11" t="n">
        <v>0.02</v>
      </c>
      <c r="F345" s="11" t="n">
        <v>0.05</v>
      </c>
      <c r="G345" s="12" t="s">
        <v>156</v>
      </c>
      <c r="H345" s="12" t="s">
        <v>1206</v>
      </c>
      <c r="I345" s="12" t="s">
        <v>1207</v>
      </c>
      <c r="J345" s="12" t="s">
        <v>1208</v>
      </c>
    </row>
    <row r="346" customFormat="false" ht="17.15" hidden="false" customHeight="false" outlineLevel="0" collapsed="false">
      <c r="A346" s="0" t="s">
        <v>1209</v>
      </c>
      <c r="B346" s="6" t="s">
        <v>1210</v>
      </c>
      <c r="C346" s="0" t="s">
        <v>57</v>
      </c>
      <c r="D346" s="11" t="n">
        <v>0.01</v>
      </c>
      <c r="E346" s="11" t="n">
        <v>0.03</v>
      </c>
      <c r="F346" s="11" t="n">
        <v>0.1</v>
      </c>
      <c r="G346" s="12" t="s">
        <v>156</v>
      </c>
      <c r="H346" s="6" t="s">
        <v>1211</v>
      </c>
      <c r="I346" s="12" t="s">
        <v>1212</v>
      </c>
      <c r="J346" s="12" t="s">
        <v>672</v>
      </c>
    </row>
    <row r="347" customFormat="false" ht="17.15" hidden="false" customHeight="false" outlineLevel="0" collapsed="false">
      <c r="A347" s="0" t="s">
        <v>1213</v>
      </c>
      <c r="B347" s="6" t="s">
        <v>1214</v>
      </c>
      <c r="C347" s="0" t="s">
        <v>57</v>
      </c>
      <c r="D347" s="11" t="n">
        <v>0.02</v>
      </c>
      <c r="E347" s="11" t="n">
        <v>0.05</v>
      </c>
      <c r="F347" s="11" t="n">
        <v>0.15</v>
      </c>
      <c r="G347" s="12" t="s">
        <v>156</v>
      </c>
      <c r="H347" s="6" t="s">
        <v>1211</v>
      </c>
      <c r="I347" s="12" t="s">
        <v>1215</v>
      </c>
      <c r="J347" s="12" t="s">
        <v>672</v>
      </c>
    </row>
    <row r="348" customFormat="false" ht="17.15" hidden="false" customHeight="false" outlineLevel="0" collapsed="false">
      <c r="A348" s="0" t="s">
        <v>1216</v>
      </c>
      <c r="B348" s="6" t="s">
        <v>1217</v>
      </c>
      <c r="C348" s="0" t="s">
        <v>57</v>
      </c>
      <c r="D348" s="11" t="n">
        <v>0.02</v>
      </c>
      <c r="E348" s="11" t="n">
        <v>0.06</v>
      </c>
      <c r="F348" s="11" t="n">
        <v>0.15</v>
      </c>
      <c r="G348" s="12" t="s">
        <v>156</v>
      </c>
      <c r="H348" s="6" t="s">
        <v>1211</v>
      </c>
      <c r="I348" s="12" t="s">
        <v>1218</v>
      </c>
      <c r="J348" s="12" t="s">
        <v>672</v>
      </c>
    </row>
    <row r="349" customFormat="false" ht="17.15" hidden="false" customHeight="false" outlineLevel="0" collapsed="false">
      <c r="A349" s="0" t="s">
        <v>1219</v>
      </c>
      <c r="B349" s="6" t="s">
        <v>1220</v>
      </c>
      <c r="C349" s="0" t="s">
        <v>57</v>
      </c>
      <c r="D349" s="11" t="n">
        <v>0.02</v>
      </c>
      <c r="E349" s="11" t="n">
        <v>0.03</v>
      </c>
      <c r="F349" s="11" t="n">
        <v>0.05</v>
      </c>
      <c r="G349" s="12" t="s">
        <v>156</v>
      </c>
      <c r="H349" s="12" t="s">
        <v>1221</v>
      </c>
      <c r="I349" s="12" t="s">
        <v>1222</v>
      </c>
      <c r="J349" s="6" t="s">
        <v>1194</v>
      </c>
    </row>
    <row r="350" customFormat="false" ht="17.15" hidden="false" customHeight="false" outlineLevel="0" collapsed="false">
      <c r="A350" s="0" t="s">
        <v>1223</v>
      </c>
      <c r="B350" s="6" t="s">
        <v>1224</v>
      </c>
      <c r="C350" s="0" t="s">
        <v>57</v>
      </c>
      <c r="D350" s="11" t="n">
        <v>0.02</v>
      </c>
      <c r="E350" s="11" t="n">
        <v>0.05</v>
      </c>
      <c r="F350" s="11" t="n">
        <v>0.08</v>
      </c>
      <c r="G350" s="12" t="s">
        <v>156</v>
      </c>
      <c r="H350" s="6" t="s">
        <v>63</v>
      </c>
      <c r="I350" s="12" t="s">
        <v>1225</v>
      </c>
      <c r="J350" s="12" t="s">
        <v>672</v>
      </c>
    </row>
    <row r="351" customFormat="false" ht="17.15" hidden="false" customHeight="false" outlineLevel="0" collapsed="false">
      <c r="A351" s="0" t="s">
        <v>1226</v>
      </c>
      <c r="B351" s="6" t="s">
        <v>1227</v>
      </c>
      <c r="C351" s="0" t="s">
        <v>57</v>
      </c>
      <c r="D351" s="11" t="n">
        <v>0.03</v>
      </c>
      <c r="E351" s="11" t="n">
        <v>0.06</v>
      </c>
      <c r="F351" s="11" t="n">
        <v>0.1</v>
      </c>
      <c r="G351" s="12" t="s">
        <v>156</v>
      </c>
      <c r="H351" s="6" t="s">
        <v>63</v>
      </c>
      <c r="I351" s="12" t="s">
        <v>1228</v>
      </c>
      <c r="J351" s="12" t="s">
        <v>672</v>
      </c>
    </row>
    <row r="352" customFormat="false" ht="17.15" hidden="false" customHeight="false" outlineLevel="0" collapsed="false">
      <c r="A352" s="0" t="s">
        <v>1229</v>
      </c>
      <c r="B352" s="6" t="s">
        <v>1230</v>
      </c>
      <c r="C352" s="0" t="s">
        <v>57</v>
      </c>
      <c r="D352" s="11" t="n">
        <v>0.03</v>
      </c>
      <c r="E352" s="11" t="n">
        <v>0.06</v>
      </c>
      <c r="F352" s="11" t="n">
        <v>0.1</v>
      </c>
      <c r="G352" s="12" t="s">
        <v>156</v>
      </c>
      <c r="H352" s="6" t="s">
        <v>63</v>
      </c>
      <c r="I352" s="12" t="s">
        <v>1231</v>
      </c>
      <c r="J352" s="12" t="s">
        <v>672</v>
      </c>
    </row>
    <row r="353" customFormat="false" ht="17.15" hidden="false" customHeight="false" outlineLevel="0" collapsed="false">
      <c r="A353" s="0" t="s">
        <v>1232</v>
      </c>
      <c r="B353" s="0" t="s">
        <v>1233</v>
      </c>
      <c r="C353" s="0" t="s">
        <v>57</v>
      </c>
      <c r="D353" s="11" t="n">
        <v>0.08</v>
      </c>
      <c r="E353" s="11" t="n">
        <v>0.09</v>
      </c>
      <c r="F353" s="11" t="n">
        <v>0.1</v>
      </c>
      <c r="G353" s="12" t="s">
        <v>487</v>
      </c>
      <c r="H353" s="6" t="s">
        <v>1234</v>
      </c>
      <c r="I353" s="12" t="s">
        <v>1235</v>
      </c>
      <c r="J353" s="6" t="s">
        <v>1236</v>
      </c>
    </row>
    <row r="354" customFormat="false" ht="17.15" hidden="false" customHeight="false" outlineLevel="0" collapsed="false">
      <c r="A354" s="0" t="s">
        <v>1237</v>
      </c>
      <c r="B354" s="0" t="s">
        <v>1238</v>
      </c>
      <c r="C354" s="0" t="s">
        <v>57</v>
      </c>
      <c r="D354" s="11" t="n">
        <v>0.21</v>
      </c>
      <c r="E354" s="11" t="n">
        <v>0.24</v>
      </c>
      <c r="F354" s="11" t="n">
        <v>0.27</v>
      </c>
      <c r="G354" s="12" t="s">
        <v>487</v>
      </c>
      <c r="H354" s="6" t="s">
        <v>1239</v>
      </c>
      <c r="I354" s="12" t="s">
        <v>1240</v>
      </c>
      <c r="J354" s="6" t="s">
        <v>1241</v>
      </c>
    </row>
    <row r="355" customFormat="false" ht="17.15" hidden="false" customHeight="false" outlineLevel="0" collapsed="false">
      <c r="A355" s="0" t="s">
        <v>1242</v>
      </c>
      <c r="B355" s="0" t="s">
        <v>1243</v>
      </c>
      <c r="C355" s="0" t="s">
        <v>57</v>
      </c>
      <c r="D355" s="11" t="n">
        <v>0.29</v>
      </c>
      <c r="E355" s="11" t="n">
        <v>0.37</v>
      </c>
      <c r="F355" s="11" t="n">
        <v>0.42</v>
      </c>
      <c r="G355" s="12" t="s">
        <v>487</v>
      </c>
      <c r="H355" s="6" t="s">
        <v>1244</v>
      </c>
      <c r="I355" s="12" t="s">
        <v>1245</v>
      </c>
      <c r="J355" s="6" t="s">
        <v>1246</v>
      </c>
    </row>
    <row r="356" customFormat="false" ht="17.15" hidden="false" customHeight="false" outlineLevel="0" collapsed="false">
      <c r="A356" s="10" t="s">
        <v>1247</v>
      </c>
    </row>
    <row r="357" customFormat="false" ht="17.15" hidden="false" customHeight="false" outlineLevel="0" collapsed="false">
      <c r="A357" s="0" t="s">
        <v>1248</v>
      </c>
      <c r="B357" s="0" t="s">
        <v>1249</v>
      </c>
      <c r="C357" s="6" t="s">
        <v>1250</v>
      </c>
      <c r="D357" s="13" t="n">
        <v>11.2</v>
      </c>
      <c r="E357" s="13" t="n">
        <v>14</v>
      </c>
      <c r="F357" s="13" t="n">
        <v>16.8</v>
      </c>
      <c r="G357" s="12" t="s">
        <v>487</v>
      </c>
      <c r="H357" s="6" t="s">
        <v>1251</v>
      </c>
      <c r="I357" s="12" t="s">
        <v>1252</v>
      </c>
    </row>
    <row r="358" customFormat="false" ht="17.15" hidden="false" customHeight="false" outlineLevel="0" collapsed="false">
      <c r="A358" s="0" t="s">
        <v>1253</v>
      </c>
      <c r="B358" s="0" t="s">
        <v>1254</v>
      </c>
      <c r="C358" s="6" t="s">
        <v>1250</v>
      </c>
      <c r="D358" s="13" t="n">
        <v>6.4</v>
      </c>
      <c r="E358" s="13" t="n">
        <v>8</v>
      </c>
      <c r="F358" s="13" t="n">
        <v>9.6</v>
      </c>
      <c r="G358" s="12" t="s">
        <v>487</v>
      </c>
      <c r="H358" s="12" t="s">
        <v>1255</v>
      </c>
      <c r="I358" s="12" t="s">
        <v>1256</v>
      </c>
    </row>
    <row r="359" customFormat="false" ht="17.15" hidden="false" customHeight="false" outlineLevel="0" collapsed="false">
      <c r="A359" s="0" t="s">
        <v>1257</v>
      </c>
      <c r="B359" s="0" t="s">
        <v>1258</v>
      </c>
      <c r="C359" s="6" t="s">
        <v>1250</v>
      </c>
      <c r="D359" s="13" t="n">
        <v>3.2</v>
      </c>
      <c r="E359" s="13" t="n">
        <v>4</v>
      </c>
      <c r="F359" s="13" t="n">
        <v>4.8</v>
      </c>
      <c r="G359" s="12" t="s">
        <v>156</v>
      </c>
      <c r="H359" s="12" t="s">
        <v>1259</v>
      </c>
      <c r="I359" s="12" t="s">
        <v>1260</v>
      </c>
    </row>
    <row r="360" customFormat="false" ht="17.15" hidden="false" customHeight="false" outlineLevel="0" collapsed="false">
      <c r="A360" s="0" t="s">
        <v>1261</v>
      </c>
      <c r="B360" s="0" t="s">
        <v>1262</v>
      </c>
      <c r="C360" s="6" t="s">
        <v>1250</v>
      </c>
      <c r="D360" s="13" t="n">
        <v>23.2</v>
      </c>
      <c r="E360" s="13" t="n">
        <v>29</v>
      </c>
      <c r="F360" s="13" t="n">
        <v>34.8</v>
      </c>
      <c r="G360" s="12" t="s">
        <v>845</v>
      </c>
      <c r="H360" s="12" t="s">
        <v>1263</v>
      </c>
      <c r="I360" s="12" t="s">
        <v>1264</v>
      </c>
    </row>
    <row r="361" customFormat="false" ht="17.15" hidden="false" customHeight="false" outlineLevel="0" collapsed="false">
      <c r="A361" s="0" t="s">
        <v>1265</v>
      </c>
      <c r="B361" s="0" t="s">
        <v>1266</v>
      </c>
      <c r="C361" s="6" t="s">
        <v>1250</v>
      </c>
      <c r="D361" s="13" t="n">
        <v>6.8</v>
      </c>
      <c r="E361" s="13" t="n">
        <v>8.5</v>
      </c>
      <c r="F361" s="13" t="n">
        <v>10.2</v>
      </c>
      <c r="G361" s="12" t="s">
        <v>1267</v>
      </c>
      <c r="H361" s="12" t="s">
        <v>1268</v>
      </c>
      <c r="I361" s="12" t="s">
        <v>1269</v>
      </c>
    </row>
    <row r="362" customFormat="false" ht="17.15" hidden="false" customHeight="false" outlineLevel="0" collapsed="false">
      <c r="A362" s="0" t="s">
        <v>1270</v>
      </c>
      <c r="B362" s="0" t="s">
        <v>1271</v>
      </c>
      <c r="C362" s="6" t="s">
        <v>1250</v>
      </c>
      <c r="D362" s="13" t="n">
        <v>4.8</v>
      </c>
      <c r="E362" s="13" t="n">
        <v>6</v>
      </c>
      <c r="F362" s="13" t="n">
        <v>7.2</v>
      </c>
      <c r="G362" s="12" t="s">
        <v>156</v>
      </c>
      <c r="H362" s="12" t="s">
        <v>1272</v>
      </c>
      <c r="I362" s="12" t="s">
        <v>1273</v>
      </c>
    </row>
    <row r="363" customFormat="false" ht="17.15" hidden="false" customHeight="false" outlineLevel="0" collapsed="false">
      <c r="A363" s="0" t="s">
        <v>1274</v>
      </c>
      <c r="B363" s="0" t="s">
        <v>1275</v>
      </c>
      <c r="C363" s="6" t="s">
        <v>1250</v>
      </c>
      <c r="D363" s="13" t="n">
        <v>22.4</v>
      </c>
      <c r="E363" s="13" t="n">
        <v>28</v>
      </c>
      <c r="F363" s="13" t="n">
        <v>33.6</v>
      </c>
      <c r="G363" s="12" t="s">
        <v>465</v>
      </c>
      <c r="H363" s="12" t="s">
        <v>1276</v>
      </c>
      <c r="I363" s="12" t="s">
        <v>1277</v>
      </c>
    </row>
    <row r="364" customFormat="false" ht="17.15" hidden="false" customHeight="false" outlineLevel="0" collapsed="false">
      <c r="A364" s="0" t="s">
        <v>1278</v>
      </c>
      <c r="B364" s="0" t="s">
        <v>1279</v>
      </c>
      <c r="C364" s="6" t="s">
        <v>1250</v>
      </c>
      <c r="D364" s="13" t="n">
        <v>19.2</v>
      </c>
      <c r="E364" s="13" t="n">
        <v>24</v>
      </c>
      <c r="F364" s="13" t="n">
        <v>28.8</v>
      </c>
      <c r="G364" s="12" t="s">
        <v>156</v>
      </c>
      <c r="H364" s="12" t="s">
        <v>1280</v>
      </c>
      <c r="I364" s="12" t="s">
        <v>1281</v>
      </c>
    </row>
    <row r="365" customFormat="false" ht="17.15" hidden="false" customHeight="false" outlineLevel="0" collapsed="false">
      <c r="A365" s="0" t="s">
        <v>1282</v>
      </c>
      <c r="B365" s="0" t="s">
        <v>1283</v>
      </c>
      <c r="C365" s="6" t="s">
        <v>1250</v>
      </c>
      <c r="D365" s="13" t="n">
        <v>24</v>
      </c>
      <c r="E365" s="13" t="n">
        <v>30</v>
      </c>
      <c r="F365" s="13" t="n">
        <v>36</v>
      </c>
      <c r="G365" s="12" t="s">
        <v>465</v>
      </c>
      <c r="H365" s="12" t="s">
        <v>1284</v>
      </c>
      <c r="I365" s="12" t="s">
        <v>1285</v>
      </c>
    </row>
    <row r="366" customFormat="false" ht="17.15" hidden="false" customHeight="false" outlineLevel="0" collapsed="false">
      <c r="A366" s="0" t="s">
        <v>1286</v>
      </c>
      <c r="B366" s="0" t="s">
        <v>1287</v>
      </c>
      <c r="C366" s="6" t="s">
        <v>1250</v>
      </c>
      <c r="D366" s="13" t="n">
        <v>16</v>
      </c>
      <c r="E366" s="13" t="n">
        <v>20</v>
      </c>
      <c r="F366" s="13" t="n">
        <v>24</v>
      </c>
      <c r="G366" s="12" t="s">
        <v>156</v>
      </c>
      <c r="H366" s="6" t="s">
        <v>1288</v>
      </c>
      <c r="I366" s="12" t="s">
        <v>1289</v>
      </c>
    </row>
    <row r="367" customFormat="false" ht="17.15" hidden="false" customHeight="false" outlineLevel="0" collapsed="false">
      <c r="A367" s="0" t="s">
        <v>1290</v>
      </c>
      <c r="B367" s="6" t="s">
        <v>1291</v>
      </c>
      <c r="C367" s="6" t="s">
        <v>1292</v>
      </c>
      <c r="D367" s="13" t="n">
        <v>100</v>
      </c>
      <c r="E367" s="13" t="n">
        <v>150</v>
      </c>
      <c r="F367" s="13" t="n">
        <v>200</v>
      </c>
      <c r="G367" s="12" t="s">
        <v>156</v>
      </c>
      <c r="H367" s="12" t="s">
        <v>1293</v>
      </c>
      <c r="I367" s="12" t="s">
        <v>1294</v>
      </c>
      <c r="J367" s="6" t="s">
        <v>1295</v>
      </c>
    </row>
    <row r="368" customFormat="false" ht="17.15" hidden="false" customHeight="false" outlineLevel="0" collapsed="false">
      <c r="A368" s="0" t="s">
        <v>1296</v>
      </c>
      <c r="B368" s="6" t="s">
        <v>1297</v>
      </c>
      <c r="C368" s="0" t="s">
        <v>57</v>
      </c>
      <c r="D368" s="11" t="n">
        <v>0.15</v>
      </c>
      <c r="E368" s="11" t="n">
        <v>0.25</v>
      </c>
      <c r="F368" s="11" t="n">
        <v>0.35</v>
      </c>
      <c r="G368" s="12" t="s">
        <v>156</v>
      </c>
      <c r="H368" s="6" t="s">
        <v>1298</v>
      </c>
      <c r="I368" s="12" t="s">
        <v>1299</v>
      </c>
      <c r="J368" s="6" t="s">
        <v>1300</v>
      </c>
    </row>
    <row r="369" customFormat="false" ht="17.15" hidden="false" customHeight="false" outlineLevel="0" collapsed="false">
      <c r="A369" s="0" t="s">
        <v>1301</v>
      </c>
      <c r="B369" s="0" t="s">
        <v>1302</v>
      </c>
      <c r="C369" s="6" t="s">
        <v>1303</v>
      </c>
      <c r="E369" s="13" t="n">
        <v>77.5</v>
      </c>
      <c r="G369" s="12" t="s">
        <v>58</v>
      </c>
      <c r="H369" s="12" t="s">
        <v>1304</v>
      </c>
      <c r="I369" s="12" t="s">
        <v>1305</v>
      </c>
    </row>
    <row r="370" customFormat="false" ht="17.15" hidden="false" customHeight="false" outlineLevel="0" collapsed="false">
      <c r="A370" s="0" t="s">
        <v>1306</v>
      </c>
      <c r="B370" s="0" t="s">
        <v>1307</v>
      </c>
      <c r="C370" s="6" t="s">
        <v>1303</v>
      </c>
      <c r="E370" s="13" t="n">
        <v>130</v>
      </c>
      <c r="G370" s="12" t="s">
        <v>58</v>
      </c>
      <c r="H370" s="12" t="s">
        <v>1308</v>
      </c>
      <c r="I370" s="12" t="s">
        <v>1309</v>
      </c>
    </row>
    <row r="371" customFormat="false" ht="17.15" hidden="false" customHeight="false" outlineLevel="0" collapsed="false">
      <c r="A371" s="0" t="s">
        <v>1310</v>
      </c>
      <c r="B371" s="0" t="s">
        <v>1311</v>
      </c>
      <c r="C371" s="6" t="s">
        <v>1303</v>
      </c>
      <c r="E371" s="13" t="n">
        <v>200</v>
      </c>
      <c r="G371" s="12" t="s">
        <v>58</v>
      </c>
      <c r="H371" s="12" t="s">
        <v>1312</v>
      </c>
      <c r="I371" s="12" t="s">
        <v>1313</v>
      </c>
    </row>
    <row r="372" customFormat="false" ht="17.15" hidden="false" customHeight="false" outlineLevel="0" collapsed="false">
      <c r="A372" s="0" t="s">
        <v>1314</v>
      </c>
      <c r="B372" s="0" t="s">
        <v>1315</v>
      </c>
      <c r="C372" s="6" t="s">
        <v>1303</v>
      </c>
      <c r="E372" s="13" t="n">
        <v>260</v>
      </c>
      <c r="G372" s="12" t="s">
        <v>58</v>
      </c>
      <c r="H372" s="12" t="s">
        <v>1316</v>
      </c>
      <c r="I372" s="12" t="s">
        <v>1317</v>
      </c>
    </row>
    <row r="373" customFormat="false" ht="17.15" hidden="false" customHeight="false" outlineLevel="0" collapsed="false">
      <c r="A373" s="0" t="s">
        <v>1318</v>
      </c>
      <c r="B373" s="0" t="s">
        <v>1319</v>
      </c>
      <c r="C373" s="6" t="s">
        <v>1303</v>
      </c>
      <c r="D373" s="13" t="n">
        <v>280</v>
      </c>
      <c r="E373" s="13" t="n">
        <v>320</v>
      </c>
      <c r="F373" s="13" t="n">
        <v>380</v>
      </c>
      <c r="G373" s="12" t="s">
        <v>156</v>
      </c>
      <c r="H373" s="12" t="s">
        <v>1320</v>
      </c>
      <c r="I373" s="12" t="s">
        <v>1321</v>
      </c>
      <c r="J373" s="6" t="s">
        <v>1322</v>
      </c>
    </row>
    <row r="374" customFormat="false" ht="17.15" hidden="false" customHeight="false" outlineLevel="0" collapsed="false">
      <c r="A374" s="0" t="s">
        <v>1323</v>
      </c>
      <c r="B374" s="6" t="s">
        <v>1324</v>
      </c>
      <c r="C374" s="0" t="s">
        <v>57</v>
      </c>
      <c r="D374" s="11" t="n">
        <v>0.05</v>
      </c>
      <c r="E374" s="11" t="n">
        <v>0.1</v>
      </c>
      <c r="F374" s="11" t="n">
        <v>0.2</v>
      </c>
      <c r="G374" s="12" t="s">
        <v>156</v>
      </c>
      <c r="H374" s="6" t="s">
        <v>1325</v>
      </c>
      <c r="I374" s="12" t="s">
        <v>1326</v>
      </c>
    </row>
    <row r="375" customFormat="false" ht="17.15" hidden="false" customHeight="false" outlineLevel="0" collapsed="false">
      <c r="A375" s="0" t="s">
        <v>1327</v>
      </c>
      <c r="B375" s="0" t="s">
        <v>1328</v>
      </c>
      <c r="C375" s="6" t="s">
        <v>1292</v>
      </c>
      <c r="E375" s="13" t="n">
        <v>1394</v>
      </c>
      <c r="G375" s="12" t="s">
        <v>58</v>
      </c>
      <c r="H375" s="12" t="s">
        <v>1329</v>
      </c>
      <c r="I375" s="12" t="s">
        <v>1330</v>
      </c>
    </row>
    <row r="376" customFormat="false" ht="17.15" hidden="false" customHeight="false" outlineLevel="0" collapsed="false">
      <c r="A376" s="0" t="s">
        <v>1331</v>
      </c>
      <c r="B376" s="0" t="s">
        <v>1332</v>
      </c>
      <c r="C376" s="6" t="s">
        <v>1292</v>
      </c>
      <c r="E376" s="13" t="n">
        <v>2509</v>
      </c>
      <c r="G376" s="12" t="s">
        <v>58</v>
      </c>
      <c r="H376" s="12" t="s">
        <v>1333</v>
      </c>
      <c r="I376" s="12" t="s">
        <v>1334</v>
      </c>
    </row>
    <row r="377" customFormat="false" ht="17.15" hidden="false" customHeight="false" outlineLevel="0" collapsed="false">
      <c r="A377" s="10" t="s">
        <v>1335</v>
      </c>
    </row>
    <row r="378" customFormat="false" ht="17.15" hidden="false" customHeight="false" outlineLevel="0" collapsed="false">
      <c r="A378" s="0" t="s">
        <v>1336</v>
      </c>
      <c r="B378" s="6" t="s">
        <v>1337</v>
      </c>
      <c r="C378" s="0" t="s">
        <v>1338</v>
      </c>
      <c r="E378" s="13" t="n">
        <v>7.72</v>
      </c>
      <c r="G378" s="12" t="s">
        <v>58</v>
      </c>
      <c r="H378" s="6" t="s">
        <v>1339</v>
      </c>
      <c r="I378" s="12" t="s">
        <v>1340</v>
      </c>
      <c r="J378" s="12" t="s">
        <v>1341</v>
      </c>
    </row>
    <row r="379" customFormat="false" ht="17.15" hidden="false" customHeight="false" outlineLevel="0" collapsed="false">
      <c r="A379" s="0" t="s">
        <v>1342</v>
      </c>
      <c r="B379" s="6" t="s">
        <v>1343</v>
      </c>
      <c r="C379" s="0" t="s">
        <v>57</v>
      </c>
      <c r="D379" s="11" t="n">
        <v>0.25</v>
      </c>
      <c r="E379" s="11" t="n">
        <v>0.32</v>
      </c>
      <c r="F379" s="11" t="n">
        <v>0.4</v>
      </c>
      <c r="G379" s="12" t="s">
        <v>845</v>
      </c>
      <c r="H379" s="6" t="s">
        <v>1344</v>
      </c>
      <c r="I379" s="12" t="s">
        <v>1345</v>
      </c>
      <c r="J379" s="12" t="s">
        <v>1346</v>
      </c>
    </row>
    <row r="380" customFormat="false" ht="17.15" hidden="false" customHeight="false" outlineLevel="0" collapsed="false">
      <c r="A380" s="0" t="s">
        <v>1347</v>
      </c>
      <c r="B380" s="0" t="s">
        <v>1348</v>
      </c>
      <c r="C380" s="0" t="s">
        <v>57</v>
      </c>
      <c r="D380" s="11" t="n">
        <v>0.35</v>
      </c>
      <c r="E380" s="11" t="n">
        <v>0.45</v>
      </c>
      <c r="F380" s="11" t="n">
        <v>0.5</v>
      </c>
      <c r="G380" s="12" t="s">
        <v>58</v>
      </c>
      <c r="H380" s="12" t="s">
        <v>1349</v>
      </c>
      <c r="I380" s="12" t="s">
        <v>1350</v>
      </c>
      <c r="J380" s="6" t="s">
        <v>1351</v>
      </c>
    </row>
    <row r="381" customFormat="false" ht="17.15" hidden="false" customHeight="false" outlineLevel="0" collapsed="false">
      <c r="A381" s="0" t="s">
        <v>1352</v>
      </c>
      <c r="B381" s="6" t="s">
        <v>1353</v>
      </c>
      <c r="C381" s="0" t="s">
        <v>57</v>
      </c>
      <c r="D381" s="11" t="n">
        <v>0.5</v>
      </c>
      <c r="E381" s="11" t="n">
        <v>0.64</v>
      </c>
      <c r="F381" s="11" t="n">
        <v>0.8</v>
      </c>
      <c r="G381" s="12" t="s">
        <v>487</v>
      </c>
      <c r="H381" s="6" t="s">
        <v>1354</v>
      </c>
      <c r="I381" s="12" t="s">
        <v>1355</v>
      </c>
      <c r="J381" s="6" t="s">
        <v>1356</v>
      </c>
    </row>
    <row r="382" customFormat="false" ht="17.15" hidden="false" customHeight="false" outlineLevel="0" collapsed="false">
      <c r="A382" s="0" t="s">
        <v>1357</v>
      </c>
      <c r="B382" s="6" t="s">
        <v>1358</v>
      </c>
      <c r="C382" s="0" t="s">
        <v>486</v>
      </c>
      <c r="D382" s="13" t="n">
        <v>0.3</v>
      </c>
      <c r="E382" s="13" t="n">
        <v>0.5</v>
      </c>
      <c r="F382" s="13" t="n">
        <v>0.8</v>
      </c>
      <c r="G382" s="12" t="s">
        <v>845</v>
      </c>
      <c r="H382" s="6" t="s">
        <v>1359</v>
      </c>
      <c r="I382" s="12" t="s">
        <v>1360</v>
      </c>
      <c r="J382" s="6" t="s">
        <v>1361</v>
      </c>
    </row>
    <row r="383" customFormat="false" ht="17.15" hidden="false" customHeight="false" outlineLevel="0" collapsed="false">
      <c r="A383" s="0" t="s">
        <v>1362</v>
      </c>
      <c r="B383" s="6" t="s">
        <v>1363</v>
      </c>
      <c r="C383" s="0" t="s">
        <v>57</v>
      </c>
      <c r="D383" s="11" t="n">
        <v>-0.02</v>
      </c>
      <c r="E383" s="11" t="n">
        <v>0.03</v>
      </c>
      <c r="F383" s="11" t="n">
        <v>0.06</v>
      </c>
      <c r="G383" s="12" t="s">
        <v>156</v>
      </c>
      <c r="H383" s="6" t="s">
        <v>1364</v>
      </c>
      <c r="I383" s="12" t="s">
        <v>1365</v>
      </c>
      <c r="J383" s="6" t="s">
        <v>1366</v>
      </c>
    </row>
    <row r="384" customFormat="false" ht="17.15" hidden="false" customHeight="false" outlineLevel="0" collapsed="false">
      <c r="A384" s="0" t="s">
        <v>1367</v>
      </c>
      <c r="B384" s="0" t="s">
        <v>1368</v>
      </c>
      <c r="C384" s="0" t="s">
        <v>1338</v>
      </c>
      <c r="D384" s="13" t="n">
        <v>1.85</v>
      </c>
      <c r="E384" s="13" t="n">
        <v>2.1</v>
      </c>
      <c r="F384" s="13" t="n">
        <v>2.35</v>
      </c>
      <c r="G384" s="12" t="s">
        <v>156</v>
      </c>
      <c r="H384" s="12" t="s">
        <v>1369</v>
      </c>
      <c r="I384" s="12" t="s">
        <v>1370</v>
      </c>
      <c r="J384" s="6" t="s">
        <v>1371</v>
      </c>
    </row>
    <row r="385" customFormat="false" ht="17.15" hidden="false" customHeight="false" outlineLevel="0" collapsed="false">
      <c r="A385" s="0" t="s">
        <v>1372</v>
      </c>
      <c r="B385" s="6" t="s">
        <v>1373</v>
      </c>
      <c r="C385" s="0" t="s">
        <v>1338</v>
      </c>
      <c r="E385" s="13" t="n">
        <v>3.07</v>
      </c>
      <c r="G385" s="12" t="s">
        <v>487</v>
      </c>
      <c r="H385" s="6" t="s">
        <v>1374</v>
      </c>
      <c r="I385" s="12" t="s">
        <v>1375</v>
      </c>
      <c r="J385" s="6" t="s">
        <v>1376</v>
      </c>
    </row>
    <row r="386" customFormat="false" ht="17.15" hidden="false" customHeight="false" outlineLevel="0" collapsed="false">
      <c r="A386" s="0" t="s">
        <v>1377</v>
      </c>
      <c r="B386" s="6" t="s">
        <v>1378</v>
      </c>
      <c r="C386" s="0" t="s">
        <v>1338</v>
      </c>
      <c r="E386" s="13" t="n">
        <v>1.06</v>
      </c>
      <c r="G386" s="12" t="s">
        <v>487</v>
      </c>
      <c r="H386" s="6" t="s">
        <v>1379</v>
      </c>
      <c r="I386" s="12" t="s">
        <v>1380</v>
      </c>
      <c r="J386" s="6" t="s">
        <v>63</v>
      </c>
    </row>
    <row r="387" customFormat="false" ht="17.15" hidden="false" customHeight="false" outlineLevel="0" collapsed="false">
      <c r="A387" s="0" t="s">
        <v>1381</v>
      </c>
      <c r="B387" s="6" t="s">
        <v>1382</v>
      </c>
      <c r="C387" s="0" t="s">
        <v>1338</v>
      </c>
      <c r="E387" s="13" t="n">
        <v>0.7</v>
      </c>
      <c r="G387" s="12" t="s">
        <v>487</v>
      </c>
      <c r="H387" s="6" t="s">
        <v>1383</v>
      </c>
      <c r="I387" s="12" t="s">
        <v>1384</v>
      </c>
      <c r="J387" s="6" t="s">
        <v>63</v>
      </c>
    </row>
    <row r="388" customFormat="false" ht="17.15" hidden="false" customHeight="false" outlineLevel="0" collapsed="false">
      <c r="A388" s="0" t="s">
        <v>1385</v>
      </c>
      <c r="B388" s="0" t="s">
        <v>1386</v>
      </c>
      <c r="C388" s="0" t="s">
        <v>486</v>
      </c>
      <c r="D388" s="13" t="n">
        <v>1.1</v>
      </c>
      <c r="E388" s="13" t="n">
        <v>1.25</v>
      </c>
      <c r="F388" s="13" t="n">
        <v>1.4</v>
      </c>
      <c r="G388" s="12" t="s">
        <v>156</v>
      </c>
      <c r="H388" s="12" t="s">
        <v>1138</v>
      </c>
      <c r="I388" s="12" t="s">
        <v>1387</v>
      </c>
      <c r="J388" s="12" t="s">
        <v>1388</v>
      </c>
    </row>
    <row r="389" customFormat="false" ht="17.15" hidden="false" customHeight="false" outlineLevel="0" collapsed="false">
      <c r="A389" s="0" t="s">
        <v>1389</v>
      </c>
      <c r="B389" s="0" t="s">
        <v>1390</v>
      </c>
      <c r="C389" s="0" t="s">
        <v>486</v>
      </c>
      <c r="D389" s="13" t="n">
        <v>1.3</v>
      </c>
      <c r="E389" s="13" t="n">
        <v>1.55</v>
      </c>
      <c r="F389" s="13" t="n">
        <v>1.8</v>
      </c>
      <c r="G389" s="12" t="s">
        <v>156</v>
      </c>
      <c r="H389" s="6" t="s">
        <v>63</v>
      </c>
      <c r="I389" s="12" t="s">
        <v>1391</v>
      </c>
      <c r="J389" s="12" t="s">
        <v>672</v>
      </c>
    </row>
    <row r="390" customFormat="false" ht="17.15" hidden="false" customHeight="false" outlineLevel="0" collapsed="false">
      <c r="A390" s="0" t="s">
        <v>1392</v>
      </c>
      <c r="B390" s="0" t="s">
        <v>1393</v>
      </c>
      <c r="C390" s="0" t="s">
        <v>486</v>
      </c>
      <c r="D390" s="13" t="n">
        <v>1.5</v>
      </c>
      <c r="E390" s="13" t="n">
        <v>1.8</v>
      </c>
      <c r="F390" s="13" t="n">
        <v>2.1</v>
      </c>
      <c r="G390" s="12" t="s">
        <v>156</v>
      </c>
      <c r="H390" s="6" t="s">
        <v>63</v>
      </c>
      <c r="I390" s="12" t="s">
        <v>1394</v>
      </c>
      <c r="J390" s="12" t="s">
        <v>672</v>
      </c>
    </row>
    <row r="391" customFormat="false" ht="17.15" hidden="false" customHeight="false" outlineLevel="0" collapsed="false">
      <c r="A391" s="0" t="s">
        <v>1395</v>
      </c>
      <c r="B391" s="0" t="s">
        <v>1396</v>
      </c>
      <c r="C391" s="0" t="s">
        <v>486</v>
      </c>
      <c r="D391" s="13" t="n">
        <v>1.25</v>
      </c>
      <c r="E391" s="13" t="n">
        <v>1.35</v>
      </c>
      <c r="F391" s="13" t="n">
        <v>1.45</v>
      </c>
      <c r="G391" s="12" t="s">
        <v>156</v>
      </c>
      <c r="H391" s="6" t="s">
        <v>1397</v>
      </c>
      <c r="I391" s="12" t="s">
        <v>1398</v>
      </c>
      <c r="J391" s="6" t="s">
        <v>1399</v>
      </c>
    </row>
    <row r="392" customFormat="false" ht="17.15" hidden="false" customHeight="false" outlineLevel="0" collapsed="false">
      <c r="A392" s="0" t="s">
        <v>1400</v>
      </c>
      <c r="B392" s="0" t="s">
        <v>1401</v>
      </c>
      <c r="C392" s="0" t="s">
        <v>486</v>
      </c>
      <c r="D392" s="13" t="n">
        <v>1.5</v>
      </c>
      <c r="E392" s="13" t="n">
        <v>1.7</v>
      </c>
      <c r="F392" s="13" t="n">
        <v>1.9</v>
      </c>
      <c r="G392" s="12" t="s">
        <v>156</v>
      </c>
      <c r="H392" s="6" t="s">
        <v>63</v>
      </c>
      <c r="I392" s="12" t="s">
        <v>1402</v>
      </c>
      <c r="J392" s="6" t="s">
        <v>1403</v>
      </c>
    </row>
    <row r="393" customFormat="false" ht="17.15" hidden="false" customHeight="false" outlineLevel="0" collapsed="false">
      <c r="A393" s="0" t="s">
        <v>1404</v>
      </c>
      <c r="B393" s="0" t="s">
        <v>1405</v>
      </c>
      <c r="C393" s="0" t="s">
        <v>486</v>
      </c>
      <c r="D393" s="13" t="n">
        <v>1.7</v>
      </c>
      <c r="E393" s="13" t="n">
        <v>2</v>
      </c>
      <c r="F393" s="13" t="n">
        <v>2.3</v>
      </c>
      <c r="G393" s="12" t="s">
        <v>156</v>
      </c>
      <c r="H393" s="6" t="s">
        <v>63</v>
      </c>
      <c r="I393" s="12" t="s">
        <v>1406</v>
      </c>
      <c r="J393" s="6" t="s">
        <v>1403</v>
      </c>
    </row>
    <row r="394" customFormat="false" ht="17.15" hidden="false" customHeight="false" outlineLevel="0" collapsed="false">
      <c r="A394" s="0" t="s">
        <v>1407</v>
      </c>
      <c r="B394" s="0" t="s">
        <v>1396</v>
      </c>
      <c r="C394" s="0" t="s">
        <v>486</v>
      </c>
      <c r="D394" s="13" t="n">
        <v>1.1</v>
      </c>
      <c r="E394" s="13" t="n">
        <v>1.2</v>
      </c>
      <c r="F394" s="13" t="n">
        <v>1.3</v>
      </c>
      <c r="G394" s="12" t="s">
        <v>156</v>
      </c>
      <c r="H394" s="6" t="s">
        <v>1408</v>
      </c>
      <c r="I394" s="12" t="s">
        <v>1409</v>
      </c>
      <c r="J394" s="6" t="s">
        <v>1410</v>
      </c>
    </row>
    <row r="395" customFormat="false" ht="17.15" hidden="false" customHeight="false" outlineLevel="0" collapsed="false">
      <c r="A395" s="0" t="s">
        <v>1411</v>
      </c>
      <c r="B395" s="0" t="s">
        <v>1401</v>
      </c>
      <c r="C395" s="0" t="s">
        <v>486</v>
      </c>
      <c r="D395" s="13" t="n">
        <v>1.2</v>
      </c>
      <c r="E395" s="13" t="n">
        <v>1.35</v>
      </c>
      <c r="F395" s="13" t="n">
        <v>1.5</v>
      </c>
      <c r="G395" s="12" t="s">
        <v>156</v>
      </c>
      <c r="H395" s="6" t="s">
        <v>63</v>
      </c>
      <c r="I395" s="12" t="s">
        <v>1412</v>
      </c>
      <c r="J395" s="6" t="s">
        <v>1413</v>
      </c>
    </row>
    <row r="396" customFormat="false" ht="17.15" hidden="false" customHeight="false" outlineLevel="0" collapsed="false">
      <c r="A396" s="0" t="s">
        <v>1414</v>
      </c>
      <c r="B396" s="0" t="s">
        <v>1405</v>
      </c>
      <c r="C396" s="0" t="s">
        <v>486</v>
      </c>
      <c r="D396" s="13" t="n">
        <v>1.35</v>
      </c>
      <c r="E396" s="13" t="n">
        <v>1.6</v>
      </c>
      <c r="F396" s="13" t="n">
        <v>1.85</v>
      </c>
      <c r="G396" s="12" t="s">
        <v>156</v>
      </c>
      <c r="H396" s="6" t="s">
        <v>63</v>
      </c>
      <c r="I396" s="12" t="s">
        <v>1415</v>
      </c>
      <c r="J396" s="12" t="s">
        <v>672</v>
      </c>
    </row>
    <row r="397" customFormat="false" ht="17.15" hidden="false" customHeight="false" outlineLevel="0" collapsed="false">
      <c r="A397" s="0" t="s">
        <v>1416</v>
      </c>
      <c r="B397" s="0" t="s">
        <v>1396</v>
      </c>
      <c r="C397" s="0" t="s">
        <v>486</v>
      </c>
      <c r="D397" s="13" t="n">
        <v>1.1</v>
      </c>
      <c r="E397" s="13" t="n">
        <v>1.2</v>
      </c>
      <c r="F397" s="13" t="n">
        <v>1.25</v>
      </c>
      <c r="G397" s="12" t="s">
        <v>58</v>
      </c>
      <c r="H397" s="6" t="s">
        <v>1417</v>
      </c>
      <c r="I397" s="12" t="s">
        <v>1418</v>
      </c>
      <c r="J397" s="6" t="s">
        <v>1419</v>
      </c>
    </row>
    <row r="398" customFormat="false" ht="17.15" hidden="false" customHeight="false" outlineLevel="0" collapsed="false">
      <c r="A398" s="0" t="s">
        <v>1420</v>
      </c>
      <c r="B398" s="0" t="s">
        <v>1401</v>
      </c>
      <c r="C398" s="0" t="s">
        <v>486</v>
      </c>
      <c r="D398" s="13" t="n">
        <v>1.3</v>
      </c>
      <c r="E398" s="13" t="n">
        <v>1.5</v>
      </c>
      <c r="F398" s="13" t="n">
        <v>1.62</v>
      </c>
      <c r="G398" s="12" t="s">
        <v>156</v>
      </c>
      <c r="H398" s="6" t="s">
        <v>1421</v>
      </c>
      <c r="I398" s="12" t="s">
        <v>1422</v>
      </c>
      <c r="J398" s="12" t="s">
        <v>1423</v>
      </c>
    </row>
    <row r="399" customFormat="false" ht="17.15" hidden="false" customHeight="false" outlineLevel="0" collapsed="false">
      <c r="A399" s="0" t="s">
        <v>1424</v>
      </c>
      <c r="B399" s="0" t="s">
        <v>1405</v>
      </c>
      <c r="C399" s="0" t="s">
        <v>486</v>
      </c>
      <c r="D399" s="13" t="n">
        <v>1.55</v>
      </c>
      <c r="E399" s="13" t="n">
        <v>1.85</v>
      </c>
      <c r="F399" s="13" t="n">
        <v>2</v>
      </c>
      <c r="G399" s="12" t="s">
        <v>156</v>
      </c>
      <c r="H399" s="6" t="s">
        <v>1421</v>
      </c>
      <c r="I399" s="12" t="s">
        <v>1425</v>
      </c>
      <c r="J399" s="12" t="s">
        <v>672</v>
      </c>
    </row>
    <row r="400" customFormat="false" ht="17.15" hidden="false" customHeight="false" outlineLevel="0" collapsed="false">
      <c r="A400" s="0" t="s">
        <v>1426</v>
      </c>
      <c r="B400" s="6" t="s">
        <v>1427</v>
      </c>
      <c r="C400" s="0" t="s">
        <v>486</v>
      </c>
      <c r="D400" s="13" t="n">
        <v>1.05</v>
      </c>
      <c r="E400" s="13" t="n">
        <v>1.15</v>
      </c>
      <c r="F400" s="13" t="n">
        <v>1.3</v>
      </c>
      <c r="G400" s="12" t="s">
        <v>156</v>
      </c>
      <c r="H400" s="6" t="s">
        <v>1428</v>
      </c>
      <c r="I400" s="12" t="s">
        <v>1429</v>
      </c>
      <c r="J400" s="6" t="s">
        <v>1430</v>
      </c>
    </row>
    <row r="401" customFormat="false" ht="17.15" hidden="false" customHeight="false" outlineLevel="0" collapsed="false">
      <c r="A401" s="0" t="s">
        <v>1431</v>
      </c>
      <c r="B401" s="6" t="s">
        <v>1432</v>
      </c>
      <c r="C401" s="0" t="s">
        <v>486</v>
      </c>
      <c r="D401" s="13" t="n">
        <v>1.15</v>
      </c>
      <c r="E401" s="13" t="n">
        <v>1.3</v>
      </c>
      <c r="F401" s="13" t="n">
        <v>1.55</v>
      </c>
      <c r="G401" s="12" t="s">
        <v>156</v>
      </c>
      <c r="H401" s="6" t="s">
        <v>63</v>
      </c>
      <c r="I401" s="12" t="s">
        <v>1433</v>
      </c>
      <c r="J401" s="12" t="s">
        <v>672</v>
      </c>
    </row>
    <row r="402" customFormat="false" ht="17.15" hidden="false" customHeight="false" outlineLevel="0" collapsed="false">
      <c r="A402" s="0" t="s">
        <v>1434</v>
      </c>
      <c r="B402" s="6" t="s">
        <v>1435</v>
      </c>
      <c r="C402" s="0" t="s">
        <v>486</v>
      </c>
      <c r="D402" s="13" t="n">
        <v>1.25</v>
      </c>
      <c r="E402" s="13" t="n">
        <v>1.45</v>
      </c>
      <c r="F402" s="13" t="n">
        <v>1.75</v>
      </c>
      <c r="G402" s="12" t="s">
        <v>156</v>
      </c>
      <c r="H402" s="6" t="s">
        <v>63</v>
      </c>
      <c r="I402" s="12" t="s">
        <v>1436</v>
      </c>
      <c r="J402" s="12" t="s">
        <v>672</v>
      </c>
    </row>
    <row r="403" customFormat="false" ht="17.15" hidden="false" customHeight="false" outlineLevel="0" collapsed="false">
      <c r="A403" s="0" t="s">
        <v>1437</v>
      </c>
      <c r="B403" s="0" t="s">
        <v>1438</v>
      </c>
      <c r="C403" s="0" t="s">
        <v>486</v>
      </c>
      <c r="D403" s="13" t="n">
        <v>1.15</v>
      </c>
      <c r="E403" s="13" t="n">
        <v>1.3</v>
      </c>
      <c r="F403" s="13" t="n">
        <v>1.45</v>
      </c>
      <c r="G403" s="12" t="s">
        <v>156</v>
      </c>
      <c r="H403" s="12" t="s">
        <v>1439</v>
      </c>
      <c r="I403" s="12" t="s">
        <v>1440</v>
      </c>
      <c r="J403" s="6" t="s">
        <v>1441</v>
      </c>
    </row>
    <row r="404" customFormat="false" ht="17.15" hidden="false" customHeight="false" outlineLevel="0" collapsed="false">
      <c r="A404" s="0" t="s">
        <v>1442</v>
      </c>
      <c r="B404" s="0" t="s">
        <v>1443</v>
      </c>
      <c r="C404" s="0" t="s">
        <v>486</v>
      </c>
      <c r="D404" s="13" t="n">
        <v>1.3</v>
      </c>
      <c r="E404" s="13" t="n">
        <v>1.55</v>
      </c>
      <c r="F404" s="13" t="n">
        <v>1.85</v>
      </c>
      <c r="G404" s="12" t="s">
        <v>156</v>
      </c>
      <c r="H404" s="6" t="s">
        <v>63</v>
      </c>
      <c r="I404" s="12" t="s">
        <v>1444</v>
      </c>
      <c r="J404" s="12" t="s">
        <v>672</v>
      </c>
    </row>
    <row r="405" customFormat="false" ht="17.15" hidden="false" customHeight="false" outlineLevel="0" collapsed="false">
      <c r="A405" s="0" t="s">
        <v>1445</v>
      </c>
      <c r="B405" s="0" t="s">
        <v>1446</v>
      </c>
      <c r="C405" s="0" t="s">
        <v>486</v>
      </c>
      <c r="D405" s="13" t="n">
        <v>1.45</v>
      </c>
      <c r="E405" s="13" t="n">
        <v>1.8</v>
      </c>
      <c r="F405" s="13" t="n">
        <v>2.25</v>
      </c>
      <c r="G405" s="12" t="s">
        <v>156</v>
      </c>
      <c r="H405" s="6" t="s">
        <v>63</v>
      </c>
      <c r="I405" s="12" t="s">
        <v>1447</v>
      </c>
      <c r="J405" s="12" t="s">
        <v>672</v>
      </c>
    </row>
    <row r="406" customFormat="false" ht="17.15" hidden="false" customHeight="false" outlineLevel="0" collapsed="false">
      <c r="A406" s="10" t="s">
        <v>1448</v>
      </c>
    </row>
    <row r="407" customFormat="false" ht="17.15" hidden="false" customHeight="false" outlineLevel="0" collapsed="false">
      <c r="A407" s="0" t="s">
        <v>1449</v>
      </c>
      <c r="B407" s="6" t="s">
        <v>1450</v>
      </c>
      <c r="C407" s="0" t="s">
        <v>1451</v>
      </c>
      <c r="D407" s="13" t="n">
        <v>200</v>
      </c>
      <c r="E407" s="13" t="n">
        <v>280</v>
      </c>
      <c r="F407" s="13" t="n">
        <v>360</v>
      </c>
      <c r="G407" s="12" t="s">
        <v>156</v>
      </c>
      <c r="H407" s="6" t="s">
        <v>1452</v>
      </c>
      <c r="I407" s="12" t="s">
        <v>1453</v>
      </c>
      <c r="J407" s="6" t="s">
        <v>1454</v>
      </c>
    </row>
    <row r="408" customFormat="false" ht="17.15" hidden="false" customHeight="false" outlineLevel="0" collapsed="false">
      <c r="A408" s="0" t="s">
        <v>1455</v>
      </c>
      <c r="B408" s="6" t="s">
        <v>1456</v>
      </c>
      <c r="C408" s="0" t="s">
        <v>1451</v>
      </c>
      <c r="D408" s="13" t="n">
        <v>80</v>
      </c>
      <c r="E408" s="13" t="n">
        <v>120</v>
      </c>
      <c r="F408" s="13" t="n">
        <v>160</v>
      </c>
      <c r="G408" s="12" t="s">
        <v>156</v>
      </c>
      <c r="H408" s="6" t="s">
        <v>1457</v>
      </c>
      <c r="I408" s="12" t="s">
        <v>1458</v>
      </c>
      <c r="J408" s="6" t="s">
        <v>1459</v>
      </c>
    </row>
    <row r="409" customFormat="false" ht="17.15" hidden="false" customHeight="false" outlineLevel="0" collapsed="false">
      <c r="A409" s="0" t="s">
        <v>1460</v>
      </c>
      <c r="B409" s="6" t="s">
        <v>1461</v>
      </c>
      <c r="C409" s="0" t="s">
        <v>1451</v>
      </c>
      <c r="D409" s="13" t="n">
        <v>30</v>
      </c>
      <c r="E409" s="13" t="n">
        <v>50</v>
      </c>
      <c r="F409" s="13" t="n">
        <v>80</v>
      </c>
      <c r="G409" s="12" t="s">
        <v>156</v>
      </c>
      <c r="H409" s="6" t="s">
        <v>1462</v>
      </c>
      <c r="I409" s="12" t="s">
        <v>1463</v>
      </c>
      <c r="J409" s="12" t="s">
        <v>1464</v>
      </c>
    </row>
    <row r="410" customFormat="false" ht="17.15" hidden="false" customHeight="false" outlineLevel="0" collapsed="false">
      <c r="A410" s="0" t="s">
        <v>1465</v>
      </c>
      <c r="B410" s="6" t="s">
        <v>1466</v>
      </c>
      <c r="C410" s="0" t="s">
        <v>486</v>
      </c>
      <c r="D410" s="13" t="n">
        <v>1.25</v>
      </c>
      <c r="E410" s="13" t="n">
        <v>1.5</v>
      </c>
      <c r="F410" s="13" t="n">
        <v>1.75</v>
      </c>
      <c r="G410" s="12" t="s">
        <v>845</v>
      </c>
      <c r="H410" s="12" t="s">
        <v>1467</v>
      </c>
      <c r="I410" s="12" t="s">
        <v>1468</v>
      </c>
      <c r="J410" s="12" t="s">
        <v>1469</v>
      </c>
    </row>
    <row r="411" customFormat="false" ht="17.15" hidden="false" customHeight="false" outlineLevel="0" collapsed="false">
      <c r="A411" s="0" t="s">
        <v>1470</v>
      </c>
      <c r="B411" s="6" t="s">
        <v>1471</v>
      </c>
      <c r="C411" s="0" t="s">
        <v>486</v>
      </c>
      <c r="D411" s="13" t="n">
        <v>1.35</v>
      </c>
      <c r="E411" s="13" t="n">
        <v>1.65</v>
      </c>
      <c r="F411" s="13" t="n">
        <v>2</v>
      </c>
      <c r="G411" s="12" t="s">
        <v>845</v>
      </c>
      <c r="H411" s="6" t="s">
        <v>63</v>
      </c>
      <c r="I411" s="12" t="s">
        <v>1472</v>
      </c>
      <c r="J411" s="12" t="s">
        <v>672</v>
      </c>
    </row>
    <row r="412" customFormat="false" ht="17.15" hidden="false" customHeight="false" outlineLevel="0" collapsed="false">
      <c r="A412" s="0" t="s">
        <v>1473</v>
      </c>
      <c r="B412" s="6" t="s">
        <v>1474</v>
      </c>
      <c r="C412" s="0" t="s">
        <v>486</v>
      </c>
      <c r="D412" s="13" t="n">
        <v>1.4</v>
      </c>
      <c r="E412" s="13" t="n">
        <v>1.8</v>
      </c>
      <c r="F412" s="13" t="n">
        <v>2.2</v>
      </c>
      <c r="G412" s="12" t="s">
        <v>845</v>
      </c>
      <c r="H412" s="6" t="s">
        <v>63</v>
      </c>
      <c r="I412" s="12" t="s">
        <v>1475</v>
      </c>
      <c r="J412" s="12" t="s">
        <v>672</v>
      </c>
    </row>
    <row r="413" customFormat="false" ht="17.15" hidden="false" customHeight="false" outlineLevel="0" collapsed="false">
      <c r="A413" s="0" t="s">
        <v>1476</v>
      </c>
      <c r="B413" s="6" t="s">
        <v>1477</v>
      </c>
      <c r="C413" s="0" t="s">
        <v>486</v>
      </c>
      <c r="D413" s="13" t="n">
        <v>1.15</v>
      </c>
      <c r="E413" s="13" t="n">
        <v>1.35</v>
      </c>
      <c r="F413" s="13" t="n">
        <v>1.6</v>
      </c>
      <c r="G413" s="12" t="s">
        <v>156</v>
      </c>
      <c r="H413" s="6" t="s">
        <v>1478</v>
      </c>
      <c r="I413" s="12" t="s">
        <v>1479</v>
      </c>
      <c r="J413" s="6" t="s">
        <v>1480</v>
      </c>
    </row>
    <row r="414" customFormat="false" ht="17.15" hidden="false" customHeight="false" outlineLevel="0" collapsed="false">
      <c r="A414" s="0" t="s">
        <v>1481</v>
      </c>
      <c r="B414" s="6" t="s">
        <v>1482</v>
      </c>
      <c r="C414" s="0" t="s">
        <v>486</v>
      </c>
      <c r="D414" s="13" t="n">
        <v>1.25</v>
      </c>
      <c r="E414" s="13" t="n">
        <v>1.5</v>
      </c>
      <c r="F414" s="13" t="n">
        <v>1.85</v>
      </c>
      <c r="G414" s="12" t="s">
        <v>156</v>
      </c>
      <c r="H414" s="6" t="s">
        <v>63</v>
      </c>
      <c r="I414" s="12" t="s">
        <v>1483</v>
      </c>
      <c r="J414" s="12" t="s">
        <v>672</v>
      </c>
    </row>
    <row r="415" customFormat="false" ht="17.15" hidden="false" customHeight="false" outlineLevel="0" collapsed="false">
      <c r="A415" s="0" t="s">
        <v>1484</v>
      </c>
      <c r="B415" s="6" t="s">
        <v>1485</v>
      </c>
      <c r="C415" s="0" t="s">
        <v>486</v>
      </c>
      <c r="D415" s="13" t="n">
        <v>1.3</v>
      </c>
      <c r="E415" s="13" t="n">
        <v>1.65</v>
      </c>
      <c r="F415" s="13" t="n">
        <v>2.1</v>
      </c>
      <c r="G415" s="12" t="s">
        <v>156</v>
      </c>
      <c r="H415" s="6" t="s">
        <v>63</v>
      </c>
      <c r="I415" s="12" t="s">
        <v>1486</v>
      </c>
      <c r="J415" s="12" t="s">
        <v>672</v>
      </c>
    </row>
    <row r="416" customFormat="false" ht="17.15" hidden="false" customHeight="false" outlineLevel="0" collapsed="false">
      <c r="A416" s="0" t="s">
        <v>1487</v>
      </c>
      <c r="B416" s="6" t="s">
        <v>1488</v>
      </c>
      <c r="C416" s="0" t="s">
        <v>486</v>
      </c>
      <c r="D416" s="13" t="n">
        <v>1.4</v>
      </c>
      <c r="E416" s="13" t="n">
        <v>2</v>
      </c>
      <c r="F416" s="13" t="n">
        <v>2.6</v>
      </c>
      <c r="G416" s="12" t="s">
        <v>156</v>
      </c>
      <c r="H416" s="12" t="s">
        <v>1489</v>
      </c>
      <c r="I416" s="12" t="s">
        <v>1490</v>
      </c>
      <c r="J416" s="6" t="s">
        <v>1491</v>
      </c>
    </row>
    <row r="417" customFormat="false" ht="17.15" hidden="false" customHeight="false" outlineLevel="0" collapsed="false">
      <c r="A417" s="0" t="s">
        <v>1492</v>
      </c>
      <c r="B417" s="6" t="s">
        <v>1493</v>
      </c>
      <c r="C417" s="0" t="s">
        <v>486</v>
      </c>
      <c r="D417" s="13" t="n">
        <v>1.8</v>
      </c>
      <c r="E417" s="13" t="n">
        <v>3</v>
      </c>
      <c r="F417" s="13" t="n">
        <v>4</v>
      </c>
      <c r="G417" s="12" t="s">
        <v>156</v>
      </c>
      <c r="H417" s="6" t="s">
        <v>63</v>
      </c>
      <c r="I417" s="12" t="s">
        <v>1494</v>
      </c>
      <c r="J417" s="12" t="s">
        <v>672</v>
      </c>
    </row>
    <row r="418" customFormat="false" ht="17.15" hidden="false" customHeight="false" outlineLevel="0" collapsed="false">
      <c r="A418" s="0" t="s">
        <v>1495</v>
      </c>
      <c r="B418" s="6" t="s">
        <v>1496</v>
      </c>
      <c r="C418" s="0" t="s">
        <v>486</v>
      </c>
      <c r="D418" s="13" t="n">
        <v>2</v>
      </c>
      <c r="E418" s="13" t="n">
        <v>3.5</v>
      </c>
      <c r="F418" s="13" t="n">
        <v>5</v>
      </c>
      <c r="G418" s="12" t="s">
        <v>156</v>
      </c>
      <c r="H418" s="6" t="s">
        <v>63</v>
      </c>
      <c r="I418" s="12" t="s">
        <v>1497</v>
      </c>
      <c r="J418" s="12" t="s">
        <v>672</v>
      </c>
    </row>
    <row r="419" customFormat="false" ht="17.15" hidden="false" customHeight="false" outlineLevel="0" collapsed="false">
      <c r="A419" s="0" t="s">
        <v>1498</v>
      </c>
      <c r="B419" s="6" t="s">
        <v>1499</v>
      </c>
      <c r="C419" s="0" t="s">
        <v>1451</v>
      </c>
      <c r="D419" s="13" t="n">
        <v>130</v>
      </c>
      <c r="E419" s="13" t="n">
        <v>190</v>
      </c>
      <c r="F419" s="13" t="n">
        <v>250</v>
      </c>
      <c r="G419" s="12" t="s">
        <v>156</v>
      </c>
      <c r="H419" s="6" t="s">
        <v>1500</v>
      </c>
      <c r="I419" s="12" t="s">
        <v>1501</v>
      </c>
      <c r="J419" s="12" t="s">
        <v>1502</v>
      </c>
    </row>
    <row r="420" customFormat="false" ht="17.15" hidden="false" customHeight="false" outlineLevel="0" collapsed="false">
      <c r="A420" s="0" t="s">
        <v>1503</v>
      </c>
      <c r="B420" s="6" t="s">
        <v>1504</v>
      </c>
      <c r="C420" s="0" t="s">
        <v>1451</v>
      </c>
      <c r="D420" s="13" t="n">
        <v>60</v>
      </c>
      <c r="E420" s="13" t="n">
        <v>90</v>
      </c>
      <c r="F420" s="13" t="n">
        <v>120</v>
      </c>
      <c r="G420" s="12" t="s">
        <v>156</v>
      </c>
      <c r="H420" s="6" t="s">
        <v>1505</v>
      </c>
      <c r="I420" s="12" t="s">
        <v>1506</v>
      </c>
      <c r="J420" s="12" t="s">
        <v>1507</v>
      </c>
    </row>
    <row r="421" customFormat="false" ht="17.15" hidden="false" customHeight="false" outlineLevel="0" collapsed="false">
      <c r="A421" s="0" t="s">
        <v>1508</v>
      </c>
      <c r="B421" s="6" t="s">
        <v>1509</v>
      </c>
      <c r="C421" s="0" t="s">
        <v>1451</v>
      </c>
      <c r="D421" s="13" t="n">
        <v>40</v>
      </c>
      <c r="E421" s="13" t="n">
        <v>70</v>
      </c>
      <c r="F421" s="13" t="n">
        <v>100</v>
      </c>
      <c r="G421" s="12" t="s">
        <v>156</v>
      </c>
      <c r="H421" s="6" t="s">
        <v>1510</v>
      </c>
      <c r="I421" s="12" t="s">
        <v>1511</v>
      </c>
      <c r="J421" s="12" t="s">
        <v>1512</v>
      </c>
    </row>
    <row r="422" customFormat="false" ht="17.15" hidden="false" customHeight="false" outlineLevel="0" collapsed="false">
      <c r="A422" s="0" t="s">
        <v>1513</v>
      </c>
      <c r="B422" s="6" t="s">
        <v>1514</v>
      </c>
      <c r="C422" s="0" t="s">
        <v>486</v>
      </c>
      <c r="D422" s="13" t="n">
        <v>1.2</v>
      </c>
      <c r="E422" s="13" t="n">
        <v>1.45</v>
      </c>
      <c r="F422" s="13" t="n">
        <v>1.8</v>
      </c>
      <c r="G422" s="12" t="s">
        <v>845</v>
      </c>
      <c r="H422" s="6" t="s">
        <v>1515</v>
      </c>
      <c r="I422" s="12" t="s">
        <v>1516</v>
      </c>
      <c r="J422" s="12" t="s">
        <v>1517</v>
      </c>
    </row>
    <row r="423" customFormat="false" ht="17.15" hidden="false" customHeight="false" outlineLevel="0" collapsed="false">
      <c r="A423" s="0" t="s">
        <v>1518</v>
      </c>
      <c r="B423" s="6" t="s">
        <v>1519</v>
      </c>
      <c r="C423" s="0" t="s">
        <v>486</v>
      </c>
      <c r="D423" s="13" t="n">
        <v>1.3</v>
      </c>
      <c r="E423" s="13" t="n">
        <v>1.6</v>
      </c>
      <c r="F423" s="13" t="n">
        <v>2</v>
      </c>
      <c r="G423" s="12" t="s">
        <v>845</v>
      </c>
      <c r="H423" s="6" t="s">
        <v>63</v>
      </c>
      <c r="I423" s="12" t="s">
        <v>1520</v>
      </c>
      <c r="J423" s="12" t="s">
        <v>672</v>
      </c>
    </row>
    <row r="424" customFormat="false" ht="17.15" hidden="false" customHeight="false" outlineLevel="0" collapsed="false">
      <c r="A424" s="0" t="s">
        <v>1521</v>
      </c>
      <c r="B424" s="6" t="s">
        <v>1522</v>
      </c>
      <c r="C424" s="0" t="s">
        <v>486</v>
      </c>
      <c r="D424" s="13" t="n">
        <v>1.3</v>
      </c>
      <c r="E424" s="13" t="n">
        <v>1.7</v>
      </c>
      <c r="F424" s="13" t="n">
        <v>2.2</v>
      </c>
      <c r="G424" s="12" t="s">
        <v>845</v>
      </c>
      <c r="H424" s="6" t="s">
        <v>63</v>
      </c>
      <c r="I424" s="12" t="s">
        <v>1523</v>
      </c>
      <c r="J424" s="12" t="s">
        <v>672</v>
      </c>
    </row>
    <row r="425" customFormat="false" ht="17.15" hidden="false" customHeight="false" outlineLevel="0" collapsed="false">
      <c r="A425" s="0" t="s">
        <v>1524</v>
      </c>
      <c r="B425" s="6" t="s">
        <v>1525</v>
      </c>
      <c r="C425" s="0" t="s">
        <v>486</v>
      </c>
      <c r="D425" s="13" t="n">
        <v>1.15</v>
      </c>
      <c r="E425" s="13" t="n">
        <v>1.4</v>
      </c>
      <c r="F425" s="13" t="n">
        <v>1.7</v>
      </c>
      <c r="G425" s="12" t="s">
        <v>156</v>
      </c>
      <c r="H425" s="6" t="s">
        <v>1526</v>
      </c>
      <c r="I425" s="12" t="s">
        <v>1527</v>
      </c>
      <c r="J425" s="6" t="s">
        <v>1528</v>
      </c>
    </row>
    <row r="426" customFormat="false" ht="17.15" hidden="false" customHeight="false" outlineLevel="0" collapsed="false">
      <c r="A426" s="0" t="s">
        <v>1529</v>
      </c>
      <c r="B426" s="6" t="s">
        <v>1530</v>
      </c>
      <c r="C426" s="0" t="s">
        <v>486</v>
      </c>
      <c r="D426" s="13" t="n">
        <v>1.25</v>
      </c>
      <c r="E426" s="13" t="n">
        <v>1.6</v>
      </c>
      <c r="F426" s="13" t="n">
        <v>2</v>
      </c>
      <c r="G426" s="12" t="s">
        <v>156</v>
      </c>
      <c r="H426" s="6" t="s">
        <v>63</v>
      </c>
      <c r="I426" s="12" t="s">
        <v>1531</v>
      </c>
      <c r="J426" s="12" t="s">
        <v>672</v>
      </c>
    </row>
    <row r="427" customFormat="false" ht="17.15" hidden="false" customHeight="false" outlineLevel="0" collapsed="false">
      <c r="A427" s="0" t="s">
        <v>1532</v>
      </c>
      <c r="B427" s="6" t="s">
        <v>1533</v>
      </c>
      <c r="C427" s="0" t="s">
        <v>486</v>
      </c>
      <c r="D427" s="13" t="n">
        <v>1.3</v>
      </c>
      <c r="E427" s="13" t="n">
        <v>1.75</v>
      </c>
      <c r="F427" s="13" t="n">
        <v>2.2</v>
      </c>
      <c r="G427" s="12" t="s">
        <v>156</v>
      </c>
      <c r="H427" s="6" t="s">
        <v>63</v>
      </c>
      <c r="I427" s="12" t="s">
        <v>1534</v>
      </c>
      <c r="J427" s="12" t="s">
        <v>672</v>
      </c>
    </row>
    <row r="428" customFormat="false" ht="17.15" hidden="false" customHeight="false" outlineLevel="0" collapsed="false">
      <c r="A428" s="0" t="s">
        <v>1535</v>
      </c>
      <c r="B428" s="6" t="s">
        <v>1536</v>
      </c>
      <c r="C428" s="0" t="s">
        <v>486</v>
      </c>
      <c r="D428" s="13" t="n">
        <v>1.3</v>
      </c>
      <c r="E428" s="13" t="n">
        <v>1.8</v>
      </c>
      <c r="F428" s="13" t="n">
        <v>2.5</v>
      </c>
      <c r="G428" s="12" t="s">
        <v>156</v>
      </c>
      <c r="H428" s="12" t="s">
        <v>1537</v>
      </c>
      <c r="I428" s="12" t="s">
        <v>1538</v>
      </c>
      <c r="J428" s="12" t="s">
        <v>1539</v>
      </c>
    </row>
    <row r="429" customFormat="false" ht="17.15" hidden="false" customHeight="false" outlineLevel="0" collapsed="false">
      <c r="A429" s="0" t="s">
        <v>1540</v>
      </c>
      <c r="B429" s="6" t="s">
        <v>1541</v>
      </c>
      <c r="C429" s="0" t="s">
        <v>486</v>
      </c>
      <c r="D429" s="13" t="n">
        <v>1.5</v>
      </c>
      <c r="E429" s="13" t="n">
        <v>2.3</v>
      </c>
      <c r="F429" s="13" t="n">
        <v>3</v>
      </c>
      <c r="G429" s="12" t="s">
        <v>156</v>
      </c>
      <c r="H429" s="6" t="s">
        <v>63</v>
      </c>
      <c r="I429" s="12" t="s">
        <v>1542</v>
      </c>
      <c r="J429" s="12" t="s">
        <v>672</v>
      </c>
    </row>
    <row r="430" customFormat="false" ht="17.15" hidden="false" customHeight="false" outlineLevel="0" collapsed="false">
      <c r="A430" s="0" t="s">
        <v>1543</v>
      </c>
      <c r="B430" s="6" t="s">
        <v>1544</v>
      </c>
      <c r="C430" s="0" t="s">
        <v>486</v>
      </c>
      <c r="D430" s="13" t="n">
        <v>1.5</v>
      </c>
      <c r="E430" s="13" t="n">
        <v>2.6</v>
      </c>
      <c r="F430" s="13" t="n">
        <v>3.5</v>
      </c>
      <c r="G430" s="12" t="s">
        <v>156</v>
      </c>
      <c r="H430" s="6" t="s">
        <v>63</v>
      </c>
      <c r="I430" s="12" t="s">
        <v>1545</v>
      </c>
      <c r="J430" s="12" t="s">
        <v>672</v>
      </c>
    </row>
    <row r="431" customFormat="false" ht="17.15" hidden="false" customHeight="false" outlineLevel="0" collapsed="false">
      <c r="A431" s="10" t="s">
        <v>1546</v>
      </c>
    </row>
    <row r="432" customFormat="false" ht="17.15" hidden="false" customHeight="false" outlineLevel="0" collapsed="false">
      <c r="A432" s="0" t="s">
        <v>1547</v>
      </c>
      <c r="B432" s="0" t="s">
        <v>1548</v>
      </c>
      <c r="C432" s="0" t="s">
        <v>1549</v>
      </c>
      <c r="D432" s="13" t="n">
        <v>380</v>
      </c>
      <c r="E432" s="13" t="n">
        <v>450</v>
      </c>
      <c r="F432" s="13" t="n">
        <v>520</v>
      </c>
      <c r="G432" s="12" t="s">
        <v>487</v>
      </c>
      <c r="H432" s="12" t="s">
        <v>1550</v>
      </c>
      <c r="I432" s="12" t="s">
        <v>1551</v>
      </c>
      <c r="J432" s="12" t="s">
        <v>1552</v>
      </c>
    </row>
    <row r="433" customFormat="false" ht="17.15" hidden="false" customHeight="false" outlineLevel="0" collapsed="false">
      <c r="A433" s="0" t="s">
        <v>1553</v>
      </c>
      <c r="B433" s="0" t="s">
        <v>1554</v>
      </c>
      <c r="C433" s="0" t="s">
        <v>1549</v>
      </c>
      <c r="D433" s="13" t="n">
        <v>500</v>
      </c>
      <c r="E433" s="13" t="n">
        <v>600</v>
      </c>
      <c r="F433" s="13" t="n">
        <v>700</v>
      </c>
      <c r="G433" s="12" t="s">
        <v>487</v>
      </c>
      <c r="H433" s="12" t="s">
        <v>1555</v>
      </c>
      <c r="I433" s="12" t="s">
        <v>1556</v>
      </c>
      <c r="J433" s="6" t="s">
        <v>1557</v>
      </c>
    </row>
    <row r="434" customFormat="false" ht="17.15" hidden="false" customHeight="false" outlineLevel="0" collapsed="false">
      <c r="A434" s="0" t="s">
        <v>1558</v>
      </c>
      <c r="B434" s="0" t="s">
        <v>1559</v>
      </c>
      <c r="C434" s="0" t="s">
        <v>1549</v>
      </c>
      <c r="D434" s="13" t="n">
        <v>550</v>
      </c>
      <c r="E434" s="13" t="n">
        <v>680</v>
      </c>
      <c r="F434" s="13" t="n">
        <v>800</v>
      </c>
      <c r="G434" s="12" t="s">
        <v>156</v>
      </c>
      <c r="H434" s="6" t="s">
        <v>1560</v>
      </c>
      <c r="I434" s="12" t="s">
        <v>1561</v>
      </c>
      <c r="J434" s="12" t="s">
        <v>1562</v>
      </c>
    </row>
    <row r="435" customFormat="false" ht="17.15" hidden="false" customHeight="false" outlineLevel="0" collapsed="false">
      <c r="A435" s="0" t="s">
        <v>1563</v>
      </c>
      <c r="B435" s="0" t="s">
        <v>1564</v>
      </c>
      <c r="C435" s="0" t="s">
        <v>1549</v>
      </c>
      <c r="D435" s="13" t="n">
        <v>550</v>
      </c>
      <c r="E435" s="13" t="n">
        <v>720</v>
      </c>
      <c r="F435" s="13" t="n">
        <v>850</v>
      </c>
      <c r="G435" s="12" t="s">
        <v>156</v>
      </c>
      <c r="H435" s="6" t="s">
        <v>63</v>
      </c>
      <c r="I435" s="12" t="s">
        <v>1565</v>
      </c>
      <c r="J435" s="12" t="s">
        <v>672</v>
      </c>
    </row>
    <row r="436" customFormat="false" ht="17.15" hidden="false" customHeight="false" outlineLevel="0" collapsed="false">
      <c r="A436" s="0" t="s">
        <v>1566</v>
      </c>
      <c r="B436" s="6" t="s">
        <v>1567</v>
      </c>
      <c r="C436" s="0" t="s">
        <v>486</v>
      </c>
      <c r="D436" s="13" t="n">
        <v>0.85</v>
      </c>
      <c r="E436" s="13" t="n">
        <v>0.95</v>
      </c>
      <c r="F436" s="13" t="n">
        <v>1</v>
      </c>
      <c r="G436" s="12" t="s">
        <v>156</v>
      </c>
      <c r="H436" s="12" t="s">
        <v>1568</v>
      </c>
      <c r="I436" s="12" t="s">
        <v>1569</v>
      </c>
      <c r="J436" s="6" t="s">
        <v>1570</v>
      </c>
    </row>
    <row r="437" customFormat="false" ht="17.15" hidden="false" customHeight="false" outlineLevel="0" collapsed="false">
      <c r="A437" s="0" t="s">
        <v>1571</v>
      </c>
      <c r="B437" s="6" t="s">
        <v>1572</v>
      </c>
      <c r="C437" s="0" t="s">
        <v>486</v>
      </c>
      <c r="D437" s="13" t="n">
        <v>0.7</v>
      </c>
      <c r="E437" s="13" t="n">
        <v>0.9</v>
      </c>
      <c r="F437" s="13" t="n">
        <v>1</v>
      </c>
      <c r="G437" s="12" t="s">
        <v>156</v>
      </c>
      <c r="H437" s="6" t="s">
        <v>63</v>
      </c>
      <c r="I437" s="12" t="s">
        <v>1573</v>
      </c>
      <c r="J437" s="12" t="s">
        <v>672</v>
      </c>
    </row>
    <row r="438" customFormat="false" ht="17.15" hidden="false" customHeight="false" outlineLevel="0" collapsed="false">
      <c r="A438" s="0" t="s">
        <v>1574</v>
      </c>
      <c r="B438" s="6" t="s">
        <v>1575</v>
      </c>
      <c r="C438" s="0" t="s">
        <v>486</v>
      </c>
      <c r="D438" s="13" t="n">
        <v>0.65</v>
      </c>
      <c r="E438" s="13" t="n">
        <v>0.85</v>
      </c>
      <c r="F438" s="13" t="n">
        <v>1</v>
      </c>
      <c r="G438" s="12" t="s">
        <v>156</v>
      </c>
      <c r="H438" s="6" t="s">
        <v>63</v>
      </c>
      <c r="I438" s="12" t="s">
        <v>1576</v>
      </c>
      <c r="J438" s="12" t="s">
        <v>672</v>
      </c>
    </row>
    <row r="439" customFormat="false" ht="17.15" hidden="false" customHeight="false" outlineLevel="0" collapsed="false">
      <c r="A439" s="0" t="s">
        <v>1577</v>
      </c>
      <c r="B439" s="6" t="s">
        <v>1578</v>
      </c>
      <c r="C439" s="0" t="s">
        <v>486</v>
      </c>
      <c r="D439" s="13" t="n">
        <v>0.85</v>
      </c>
      <c r="E439" s="13" t="n">
        <v>1</v>
      </c>
      <c r="F439" s="13" t="n">
        <v>1.1</v>
      </c>
      <c r="G439" s="12" t="s">
        <v>156</v>
      </c>
      <c r="H439" s="6" t="s">
        <v>1579</v>
      </c>
      <c r="I439" s="12" t="s">
        <v>1580</v>
      </c>
      <c r="J439" s="6" t="s">
        <v>1581</v>
      </c>
    </row>
    <row r="440" customFormat="false" ht="17.15" hidden="false" customHeight="false" outlineLevel="0" collapsed="false">
      <c r="A440" s="0" t="s">
        <v>1582</v>
      </c>
      <c r="B440" s="6" t="s">
        <v>1583</v>
      </c>
      <c r="C440" s="0" t="s">
        <v>486</v>
      </c>
      <c r="D440" s="13" t="n">
        <v>0.8</v>
      </c>
      <c r="E440" s="13" t="n">
        <v>1</v>
      </c>
      <c r="F440" s="13" t="n">
        <v>1.2</v>
      </c>
      <c r="G440" s="12" t="s">
        <v>156</v>
      </c>
      <c r="H440" s="6" t="s">
        <v>63</v>
      </c>
      <c r="I440" s="12" t="s">
        <v>1584</v>
      </c>
      <c r="J440" s="12" t="s">
        <v>672</v>
      </c>
    </row>
    <row r="441" customFormat="false" ht="17.15" hidden="false" customHeight="false" outlineLevel="0" collapsed="false">
      <c r="A441" s="0" t="s">
        <v>1585</v>
      </c>
      <c r="B441" s="6" t="s">
        <v>1586</v>
      </c>
      <c r="C441" s="0" t="s">
        <v>486</v>
      </c>
      <c r="D441" s="13" t="n">
        <v>0.75</v>
      </c>
      <c r="E441" s="13" t="n">
        <v>1</v>
      </c>
      <c r="F441" s="13" t="n">
        <v>1.25</v>
      </c>
      <c r="G441" s="12" t="s">
        <v>156</v>
      </c>
      <c r="H441" s="6" t="s">
        <v>63</v>
      </c>
      <c r="I441" s="12" t="s">
        <v>1587</v>
      </c>
      <c r="J441" s="12" t="s">
        <v>672</v>
      </c>
    </row>
    <row r="442" customFormat="false" ht="17.15" hidden="false" customHeight="false" outlineLevel="0" collapsed="false">
      <c r="A442" s="0" t="s">
        <v>1588</v>
      </c>
      <c r="B442" s="6" t="s">
        <v>1589</v>
      </c>
      <c r="C442" s="0" t="s">
        <v>57</v>
      </c>
      <c r="E442" s="11" t="n">
        <v>0.583671939396773</v>
      </c>
      <c r="G442" s="12" t="s">
        <v>487</v>
      </c>
      <c r="H442" s="12" t="s">
        <v>1590</v>
      </c>
      <c r="I442" s="12" t="s">
        <v>1591</v>
      </c>
      <c r="J442" s="6" t="s">
        <v>1592</v>
      </c>
    </row>
    <row r="443" customFormat="false" ht="17.15" hidden="false" customHeight="false" outlineLevel="0" collapsed="false">
      <c r="A443" s="0" t="s">
        <v>1593</v>
      </c>
      <c r="B443" s="6" t="s">
        <v>1594</v>
      </c>
      <c r="C443" s="0" t="s">
        <v>57</v>
      </c>
      <c r="E443" s="11" t="n">
        <v>0.176143316327046</v>
      </c>
      <c r="G443" s="12" t="s">
        <v>487</v>
      </c>
      <c r="H443" s="12" t="s">
        <v>1595</v>
      </c>
      <c r="I443" s="12" t="s">
        <v>1596</v>
      </c>
      <c r="J443" s="6" t="s">
        <v>1597</v>
      </c>
    </row>
    <row r="444" customFormat="false" ht="17.15" hidden="false" customHeight="false" outlineLevel="0" collapsed="false">
      <c r="A444" s="0" t="s">
        <v>1598</v>
      </c>
      <c r="B444" s="6" t="s">
        <v>1599</v>
      </c>
      <c r="C444" s="0" t="s">
        <v>57</v>
      </c>
      <c r="E444" s="11" t="n">
        <v>0.7</v>
      </c>
      <c r="G444" s="12" t="s">
        <v>58</v>
      </c>
      <c r="H444" s="6" t="s">
        <v>1600</v>
      </c>
      <c r="I444" s="12" t="s">
        <v>1601</v>
      </c>
      <c r="J444" s="6" t="s">
        <v>1602</v>
      </c>
    </row>
    <row r="445" customFormat="false" ht="17.15" hidden="false" customHeight="false" outlineLevel="0" collapsed="false">
      <c r="A445" s="0" t="s">
        <v>1603</v>
      </c>
      <c r="B445" s="6" t="s">
        <v>1604</v>
      </c>
      <c r="C445" s="0" t="s">
        <v>57</v>
      </c>
      <c r="D445" s="11" t="n">
        <v>0.6</v>
      </c>
      <c r="E445" s="11" t="n">
        <v>0.625</v>
      </c>
      <c r="F445" s="11" t="n">
        <v>0.65</v>
      </c>
      <c r="G445" s="12" t="s">
        <v>58</v>
      </c>
      <c r="H445" s="12" t="s">
        <v>1605</v>
      </c>
      <c r="I445" s="12" t="s">
        <v>1606</v>
      </c>
      <c r="J445" s="6" t="s">
        <v>1607</v>
      </c>
    </row>
    <row r="446" customFormat="false" ht="17.15" hidden="false" customHeight="false" outlineLevel="0" collapsed="false">
      <c r="A446" s="0" t="s">
        <v>1608</v>
      </c>
      <c r="B446" s="0" t="s">
        <v>1609</v>
      </c>
      <c r="C446" s="0" t="s">
        <v>1338</v>
      </c>
      <c r="E446" s="13" t="n">
        <v>17.7</v>
      </c>
      <c r="G446" s="12" t="s">
        <v>58</v>
      </c>
      <c r="H446" s="12" t="s">
        <v>1610</v>
      </c>
      <c r="I446" s="12" t="s">
        <v>1611</v>
      </c>
      <c r="J446" s="6" t="s">
        <v>1612</v>
      </c>
    </row>
    <row r="447" customFormat="false" ht="17.15" hidden="false" customHeight="false" outlineLevel="0" collapsed="false">
      <c r="A447" s="0" t="s">
        <v>1613</v>
      </c>
      <c r="B447" s="0" t="s">
        <v>1614</v>
      </c>
      <c r="C447" s="0" t="s">
        <v>1338</v>
      </c>
      <c r="E447" s="13" t="n">
        <v>38.2</v>
      </c>
      <c r="G447" s="12" t="s">
        <v>58</v>
      </c>
      <c r="H447" s="6" t="s">
        <v>63</v>
      </c>
      <c r="I447" s="12" t="s">
        <v>1615</v>
      </c>
      <c r="J447" s="12" t="s">
        <v>672</v>
      </c>
    </row>
    <row r="448" customFormat="false" ht="17.15" hidden="false" customHeight="false" outlineLevel="0" collapsed="false">
      <c r="A448" s="10" t="s">
        <v>1616</v>
      </c>
    </row>
    <row r="449" customFormat="false" ht="17.15" hidden="false" customHeight="false" outlineLevel="0" collapsed="false">
      <c r="A449" s="0" t="s">
        <v>1617</v>
      </c>
      <c r="B449" s="0" t="s">
        <v>1618</v>
      </c>
      <c r="C449" s="0" t="s">
        <v>1619</v>
      </c>
      <c r="D449" s="13" t="n">
        <v>3.6</v>
      </c>
      <c r="E449" s="13" t="n">
        <v>4</v>
      </c>
      <c r="F449" s="13" t="n">
        <v>4.3</v>
      </c>
      <c r="G449" s="12" t="s">
        <v>58</v>
      </c>
      <c r="H449" s="12" t="s">
        <v>1620</v>
      </c>
      <c r="I449" s="12" t="s">
        <v>1621</v>
      </c>
      <c r="J449" s="12" t="s">
        <v>1622</v>
      </c>
    </row>
    <row r="450" customFormat="false" ht="17.15" hidden="false" customHeight="false" outlineLevel="0" collapsed="false">
      <c r="A450" s="0" t="s">
        <v>1623</v>
      </c>
      <c r="B450" s="0" t="s">
        <v>1624</v>
      </c>
      <c r="C450" s="0" t="s">
        <v>1619</v>
      </c>
      <c r="D450" s="13" t="n">
        <v>6.5</v>
      </c>
      <c r="E450" s="13" t="n">
        <v>6.75</v>
      </c>
      <c r="F450" s="13" t="n">
        <v>7</v>
      </c>
      <c r="G450" s="12" t="s">
        <v>58</v>
      </c>
      <c r="H450" s="12" t="s">
        <v>1625</v>
      </c>
      <c r="I450" s="12" t="s">
        <v>1626</v>
      </c>
      <c r="J450" s="12" t="s">
        <v>1627</v>
      </c>
    </row>
    <row r="451" customFormat="false" ht="17.15" hidden="false" customHeight="false" outlineLevel="0" collapsed="false">
      <c r="A451" s="0" t="s">
        <v>1628</v>
      </c>
      <c r="B451" s="0" t="s">
        <v>1629</v>
      </c>
      <c r="C451" s="0" t="s">
        <v>57</v>
      </c>
      <c r="D451" s="11" t="n">
        <v>0.45</v>
      </c>
      <c r="E451" s="11" t="n">
        <v>0.48</v>
      </c>
      <c r="F451" s="11" t="n">
        <v>0.52</v>
      </c>
      <c r="G451" s="12" t="s">
        <v>58</v>
      </c>
      <c r="H451" s="6" t="s">
        <v>1630</v>
      </c>
      <c r="I451" s="12" t="s">
        <v>1631</v>
      </c>
      <c r="J451" s="6" t="s">
        <v>1632</v>
      </c>
    </row>
    <row r="452" customFormat="false" ht="17.15" hidden="false" customHeight="false" outlineLevel="0" collapsed="false">
      <c r="A452" s="10" t="s">
        <v>1633</v>
      </c>
    </row>
    <row r="453" customFormat="false" ht="17.15" hidden="false" customHeight="false" outlineLevel="0" collapsed="false">
      <c r="A453" s="0" t="s">
        <v>1634</v>
      </c>
      <c r="B453" s="0" t="s">
        <v>1635</v>
      </c>
      <c r="C453" s="0" t="s">
        <v>625</v>
      </c>
      <c r="D453" s="13" t="n">
        <v>50</v>
      </c>
      <c r="E453" s="13" t="n">
        <v>50</v>
      </c>
      <c r="F453" s="13" t="n">
        <v>50</v>
      </c>
      <c r="G453" s="12" t="s">
        <v>58</v>
      </c>
      <c r="H453" s="12" t="s">
        <v>1636</v>
      </c>
      <c r="I453" s="12" t="s">
        <v>1637</v>
      </c>
      <c r="J453" s="6" t="s">
        <v>1638</v>
      </c>
    </row>
    <row r="454" customFormat="false" ht="17.15" hidden="false" customHeight="false" outlineLevel="0" collapsed="false">
      <c r="A454" s="0" t="s">
        <v>1639</v>
      </c>
      <c r="B454" s="0" t="s">
        <v>1640</v>
      </c>
      <c r="C454" s="0" t="s">
        <v>625</v>
      </c>
      <c r="D454" s="13" t="n">
        <v>56</v>
      </c>
      <c r="E454" s="13" t="n">
        <v>56</v>
      </c>
      <c r="F454" s="13" t="n">
        <v>56</v>
      </c>
      <c r="G454" s="12" t="s">
        <v>58</v>
      </c>
      <c r="H454" s="12" t="s">
        <v>1636</v>
      </c>
      <c r="I454" s="12" t="s">
        <v>1641</v>
      </c>
      <c r="J454" s="12" t="s">
        <v>1642</v>
      </c>
    </row>
    <row r="455" customFormat="false" ht="17.15" hidden="false" customHeight="false" outlineLevel="0" collapsed="false">
      <c r="A455" s="0" t="s">
        <v>1643</v>
      </c>
      <c r="B455" s="6" t="s">
        <v>1644</v>
      </c>
      <c r="C455" s="0" t="s">
        <v>625</v>
      </c>
      <c r="D455" s="13" t="n">
        <v>3</v>
      </c>
      <c r="E455" s="13" t="n">
        <v>6</v>
      </c>
      <c r="F455" s="13" t="n">
        <v>10</v>
      </c>
      <c r="G455" s="12" t="s">
        <v>156</v>
      </c>
      <c r="H455" s="6" t="s">
        <v>1645</v>
      </c>
      <c r="I455" s="12" t="s">
        <v>1646</v>
      </c>
      <c r="J455" s="6" t="s">
        <v>1647</v>
      </c>
    </row>
    <row r="456" customFormat="false" ht="17.15" hidden="false" customHeight="false" outlineLevel="0" collapsed="false">
      <c r="A456" s="0" t="s">
        <v>1648</v>
      </c>
      <c r="B456" s="6" t="s">
        <v>1649</v>
      </c>
      <c r="C456" s="0" t="s">
        <v>486</v>
      </c>
      <c r="D456" s="13" t="n">
        <v>1</v>
      </c>
      <c r="E456" s="13" t="n">
        <v>1.3</v>
      </c>
      <c r="F456" s="13" t="n">
        <v>1.6</v>
      </c>
      <c r="G456" s="12" t="s">
        <v>156</v>
      </c>
      <c r="H456" s="12" t="s">
        <v>1650</v>
      </c>
      <c r="I456" s="12" t="s">
        <v>1651</v>
      </c>
      <c r="J456" s="12" t="s">
        <v>1652</v>
      </c>
    </row>
    <row r="457" customFormat="false" ht="17.15" hidden="false" customHeight="false" outlineLevel="0" collapsed="false">
      <c r="A457" s="0" t="s">
        <v>1653</v>
      </c>
      <c r="B457" s="6" t="s">
        <v>1654</v>
      </c>
      <c r="C457" s="0" t="s">
        <v>486</v>
      </c>
      <c r="D457" s="13" t="n">
        <v>1</v>
      </c>
      <c r="E457" s="13" t="n">
        <v>1.4</v>
      </c>
      <c r="F457" s="13" t="n">
        <v>1.8</v>
      </c>
      <c r="G457" s="12" t="s">
        <v>156</v>
      </c>
      <c r="H457" s="6" t="s">
        <v>63</v>
      </c>
      <c r="I457" s="12" t="s">
        <v>1655</v>
      </c>
      <c r="J457" s="12" t="s">
        <v>672</v>
      </c>
    </row>
    <row r="458" customFormat="false" ht="17.15" hidden="false" customHeight="false" outlineLevel="0" collapsed="false">
      <c r="A458" s="0" t="s">
        <v>1656</v>
      </c>
      <c r="B458" s="6" t="s">
        <v>1657</v>
      </c>
      <c r="C458" s="0" t="s">
        <v>486</v>
      </c>
      <c r="D458" s="13" t="n">
        <v>1</v>
      </c>
      <c r="E458" s="13" t="n">
        <v>1.4</v>
      </c>
      <c r="F458" s="13" t="n">
        <v>1.8</v>
      </c>
      <c r="G458" s="12" t="s">
        <v>156</v>
      </c>
      <c r="H458" s="6" t="s">
        <v>63</v>
      </c>
      <c r="I458" s="12" t="s">
        <v>1658</v>
      </c>
      <c r="J458" s="12" t="s">
        <v>672</v>
      </c>
    </row>
    <row r="459" customFormat="false" ht="17.15" hidden="false" customHeight="false" outlineLevel="0" collapsed="false">
      <c r="A459" s="0" t="s">
        <v>1659</v>
      </c>
      <c r="B459" s="6" t="s">
        <v>1660</v>
      </c>
      <c r="C459" s="0" t="s">
        <v>57</v>
      </c>
      <c r="D459" s="11" t="n">
        <v>0.45</v>
      </c>
      <c r="E459" s="11" t="n">
        <v>0.55</v>
      </c>
      <c r="F459" s="11" t="n">
        <v>0.65</v>
      </c>
      <c r="G459" s="12" t="s">
        <v>156</v>
      </c>
      <c r="H459" s="12" t="s">
        <v>1661</v>
      </c>
      <c r="I459" s="12" t="s">
        <v>1662</v>
      </c>
      <c r="J459" s="6" t="s">
        <v>1663</v>
      </c>
    </row>
    <row r="460" customFormat="false" ht="17.15" hidden="false" customHeight="false" outlineLevel="0" collapsed="false">
      <c r="A460" s="0" t="s">
        <v>1664</v>
      </c>
      <c r="B460" s="6" t="s">
        <v>1665</v>
      </c>
      <c r="C460" s="0" t="s">
        <v>57</v>
      </c>
      <c r="D460" s="11" t="n">
        <v>0.6</v>
      </c>
      <c r="E460" s="11" t="n">
        <v>0.75</v>
      </c>
      <c r="F460" s="11" t="n">
        <v>0.85</v>
      </c>
      <c r="G460" s="12" t="s">
        <v>156</v>
      </c>
      <c r="H460" s="6" t="s">
        <v>63</v>
      </c>
      <c r="I460" s="12" t="s">
        <v>1666</v>
      </c>
      <c r="J460" s="12" t="s">
        <v>672</v>
      </c>
    </row>
    <row r="461" customFormat="false" ht="17.15" hidden="false" customHeight="false" outlineLevel="0" collapsed="false">
      <c r="A461" s="0" t="s">
        <v>1667</v>
      </c>
      <c r="B461" s="6" t="s">
        <v>1668</v>
      </c>
      <c r="C461" s="0" t="s">
        <v>57</v>
      </c>
      <c r="D461" s="11" t="n">
        <v>0.7</v>
      </c>
      <c r="E461" s="11" t="n">
        <v>0.85</v>
      </c>
      <c r="F461" s="11" t="n">
        <v>0.95</v>
      </c>
      <c r="G461" s="12" t="s">
        <v>156</v>
      </c>
      <c r="H461" s="6" t="s">
        <v>63</v>
      </c>
      <c r="I461" s="12" t="s">
        <v>1669</v>
      </c>
      <c r="J461" s="12" t="s">
        <v>672</v>
      </c>
    </row>
    <row r="462" customFormat="false" ht="17.15" hidden="false" customHeight="false" outlineLevel="0" collapsed="false">
      <c r="A462" s="0" t="s">
        <v>1670</v>
      </c>
      <c r="B462" s="6" t="s">
        <v>1671</v>
      </c>
      <c r="C462" s="0" t="s">
        <v>57</v>
      </c>
      <c r="D462" s="11" t="n">
        <v>0.75</v>
      </c>
      <c r="E462" s="11" t="n">
        <v>0.9</v>
      </c>
      <c r="F462" s="11" t="n">
        <v>0.95</v>
      </c>
      <c r="G462" s="12" t="s">
        <v>156</v>
      </c>
      <c r="H462" s="6" t="s">
        <v>63</v>
      </c>
      <c r="I462" s="12" t="s">
        <v>1672</v>
      </c>
      <c r="J462" s="12" t="s">
        <v>672</v>
      </c>
    </row>
    <row r="463" customFormat="false" ht="17.15" hidden="false" customHeight="false" outlineLevel="0" collapsed="false">
      <c r="A463" s="0" t="s">
        <v>1673</v>
      </c>
      <c r="B463" s="0" t="s">
        <v>1674</v>
      </c>
      <c r="C463" s="0" t="s">
        <v>57</v>
      </c>
      <c r="E463" s="11" t="n">
        <v>0.53</v>
      </c>
      <c r="G463" s="12" t="s">
        <v>58</v>
      </c>
      <c r="H463" s="12" t="s">
        <v>1675</v>
      </c>
      <c r="I463" s="12" t="s">
        <v>1676</v>
      </c>
      <c r="J463" s="12" t="s">
        <v>672</v>
      </c>
    </row>
    <row r="464" customFormat="false" ht="17.15" hidden="false" customHeight="false" outlineLevel="0" collapsed="false">
      <c r="A464" s="0" t="s">
        <v>1677</v>
      </c>
      <c r="B464" s="0" t="s">
        <v>1678</v>
      </c>
      <c r="C464" s="0" t="s">
        <v>57</v>
      </c>
      <c r="E464" s="11" t="n">
        <v>0.6</v>
      </c>
      <c r="G464" s="12" t="s">
        <v>58</v>
      </c>
      <c r="H464" s="12" t="s">
        <v>1675</v>
      </c>
      <c r="I464" s="12" t="s">
        <v>1679</v>
      </c>
      <c r="J464" s="6" t="s">
        <v>1680</v>
      </c>
    </row>
    <row r="465" customFormat="false" ht="17.15" hidden="false" customHeight="false" outlineLevel="0" collapsed="false">
      <c r="A465" s="0" t="s">
        <v>1681</v>
      </c>
      <c r="B465" s="6" t="s">
        <v>1682</v>
      </c>
      <c r="C465" s="0" t="s">
        <v>57</v>
      </c>
      <c r="E465" s="11" t="n">
        <v>0.498927641116677</v>
      </c>
      <c r="G465" s="12" t="s">
        <v>487</v>
      </c>
      <c r="H465" s="12" t="s">
        <v>1683</v>
      </c>
      <c r="I465" s="12" t="s">
        <v>1684</v>
      </c>
      <c r="J465" s="6" t="s">
        <v>1685</v>
      </c>
    </row>
    <row r="466" customFormat="false" ht="17.15" hidden="false" customHeight="false" outlineLevel="0" collapsed="false">
      <c r="A466" s="0" t="s">
        <v>1686</v>
      </c>
      <c r="B466" s="6" t="s">
        <v>1687</v>
      </c>
      <c r="C466" s="0" t="s">
        <v>486</v>
      </c>
      <c r="D466" s="13" t="n">
        <v>0.85</v>
      </c>
      <c r="E466" s="13" t="n">
        <v>0.95</v>
      </c>
      <c r="F466" s="13" t="n">
        <v>1.05</v>
      </c>
      <c r="G466" s="12" t="s">
        <v>156</v>
      </c>
      <c r="H466" s="6" t="s">
        <v>1688</v>
      </c>
      <c r="I466" s="12" t="s">
        <v>1689</v>
      </c>
      <c r="J466" s="6" t="s">
        <v>1690</v>
      </c>
    </row>
    <row r="467" customFormat="false" ht="17.15" hidden="false" customHeight="false" outlineLevel="0" collapsed="false">
      <c r="A467" s="0" t="s">
        <v>1691</v>
      </c>
      <c r="B467" s="6" t="s">
        <v>1692</v>
      </c>
      <c r="C467" s="0" t="s">
        <v>486</v>
      </c>
      <c r="D467" s="13" t="n">
        <v>0.75</v>
      </c>
      <c r="E467" s="13" t="n">
        <v>0.9</v>
      </c>
      <c r="F467" s="13" t="n">
        <v>1.05</v>
      </c>
      <c r="G467" s="12" t="s">
        <v>156</v>
      </c>
      <c r="H467" s="6" t="s">
        <v>63</v>
      </c>
      <c r="I467" s="12" t="s">
        <v>1693</v>
      </c>
      <c r="J467" s="12" t="s">
        <v>672</v>
      </c>
    </row>
    <row r="468" customFormat="false" ht="17.15" hidden="false" customHeight="false" outlineLevel="0" collapsed="false">
      <c r="A468" s="0" t="s">
        <v>1694</v>
      </c>
      <c r="B468" s="6" t="s">
        <v>1695</v>
      </c>
      <c r="C468" s="0" t="s">
        <v>486</v>
      </c>
      <c r="D468" s="13" t="n">
        <v>0.7</v>
      </c>
      <c r="E468" s="13" t="n">
        <v>0.85</v>
      </c>
      <c r="F468" s="13" t="n">
        <v>1.05</v>
      </c>
      <c r="G468" s="12" t="s">
        <v>156</v>
      </c>
      <c r="H468" s="6" t="s">
        <v>63</v>
      </c>
      <c r="I468" s="12" t="s">
        <v>1696</v>
      </c>
      <c r="J468" s="12" t="s">
        <v>672</v>
      </c>
    </row>
    <row r="469" customFormat="false" ht="17.15" hidden="false" customHeight="false" outlineLevel="0" collapsed="false">
      <c r="A469" s="0" t="s">
        <v>1697</v>
      </c>
      <c r="B469" s="6" t="s">
        <v>1698</v>
      </c>
      <c r="C469" s="0" t="s">
        <v>57</v>
      </c>
      <c r="E469" s="11" t="n">
        <v>0.15870077644017</v>
      </c>
      <c r="G469" s="12" t="s">
        <v>487</v>
      </c>
      <c r="H469" s="12" t="s">
        <v>1699</v>
      </c>
      <c r="I469" s="12" t="s">
        <v>1700</v>
      </c>
      <c r="J469" s="6" t="s">
        <v>1685</v>
      </c>
    </row>
    <row r="470" customFormat="false" ht="17.15" hidden="false" customHeight="false" outlineLevel="0" collapsed="false">
      <c r="A470" s="0" t="s">
        <v>1701</v>
      </c>
      <c r="B470" s="6" t="s">
        <v>1702</v>
      </c>
      <c r="C470" s="0" t="s">
        <v>57</v>
      </c>
      <c r="D470" s="11" t="n">
        <v>0.003</v>
      </c>
      <c r="E470" s="11" t="n">
        <v>0.008</v>
      </c>
      <c r="F470" s="11" t="n">
        <v>0.015</v>
      </c>
      <c r="G470" s="12" t="s">
        <v>156</v>
      </c>
      <c r="H470" s="6" t="s">
        <v>1703</v>
      </c>
      <c r="I470" s="12" t="s">
        <v>1704</v>
      </c>
      <c r="J470" s="6" t="s">
        <v>1705</v>
      </c>
    </row>
    <row r="471" customFormat="false" ht="17.15" hidden="false" customHeight="false" outlineLevel="0" collapsed="false">
      <c r="A471" s="0" t="s">
        <v>1706</v>
      </c>
      <c r="B471" s="6" t="s">
        <v>1707</v>
      </c>
      <c r="C471" s="0" t="s">
        <v>57</v>
      </c>
      <c r="D471" s="11" t="n">
        <v>0.006</v>
      </c>
      <c r="E471" s="11" t="n">
        <v>0.015</v>
      </c>
      <c r="F471" s="11" t="n">
        <v>0.03</v>
      </c>
      <c r="G471" s="12" t="s">
        <v>156</v>
      </c>
      <c r="H471" s="6" t="s">
        <v>63</v>
      </c>
      <c r="I471" s="12" t="s">
        <v>1708</v>
      </c>
      <c r="J471" s="12" t="s">
        <v>672</v>
      </c>
    </row>
    <row r="472" customFormat="false" ht="17.15" hidden="false" customHeight="false" outlineLevel="0" collapsed="false">
      <c r="A472" s="0" t="s">
        <v>1709</v>
      </c>
      <c r="B472" s="6" t="s">
        <v>1710</v>
      </c>
      <c r="C472" s="0" t="s">
        <v>57</v>
      </c>
      <c r="D472" s="11" t="n">
        <v>0.01</v>
      </c>
      <c r="E472" s="11" t="n">
        <v>0.025</v>
      </c>
      <c r="F472" s="11" t="n">
        <v>0.045</v>
      </c>
      <c r="G472" s="12" t="s">
        <v>156</v>
      </c>
      <c r="H472" s="6" t="s">
        <v>63</v>
      </c>
      <c r="I472" s="12" t="s">
        <v>1711</v>
      </c>
      <c r="J472" s="12" t="s">
        <v>672</v>
      </c>
    </row>
    <row r="474" customFormat="false" ht="17.15" hidden="false" customHeight="false" outlineLevel="0" collapsed="false">
      <c r="A474" s="10" t="s">
        <v>1712</v>
      </c>
    </row>
    <row r="475" customFormat="false" ht="15" hidden="false" customHeight="false" outlineLevel="0" collapsed="false">
      <c r="A475" s="4" t="s">
        <v>1713</v>
      </c>
      <c r="B475" s="4" t="s">
        <v>1714</v>
      </c>
      <c r="C475" s="4"/>
      <c r="D475" s="4"/>
      <c r="E475" s="4"/>
      <c r="F475" s="4"/>
      <c r="G475" s="4" t="s">
        <v>50</v>
      </c>
      <c r="H475" s="4" t="s">
        <v>51</v>
      </c>
    </row>
    <row r="476" customFormat="false" ht="17.15" hidden="false" customHeight="false" outlineLevel="0" collapsed="false">
      <c r="A476" s="0" t="s">
        <v>1715</v>
      </c>
      <c r="B476" s="0" t="s">
        <v>1716</v>
      </c>
      <c r="G476" s="0" t="s">
        <v>58</v>
      </c>
      <c r="H476" s="6" t="s">
        <v>329</v>
      </c>
    </row>
    <row r="477" customFormat="false" ht="17.15" hidden="false" customHeight="false" outlineLevel="0" collapsed="false">
      <c r="A477" s="0" t="s">
        <v>1717</v>
      </c>
      <c r="B477" s="0" t="s">
        <v>1718</v>
      </c>
      <c r="G477" s="0" t="s">
        <v>58</v>
      </c>
      <c r="H477" s="0" t="s">
        <v>349</v>
      </c>
    </row>
    <row r="478" customFormat="false" ht="17.15" hidden="false" customHeight="false" outlineLevel="0" collapsed="false">
      <c r="A478" s="0" t="s">
        <v>1719</v>
      </c>
      <c r="B478" s="0" t="s">
        <v>1720</v>
      </c>
      <c r="G478" s="0" t="s">
        <v>156</v>
      </c>
      <c r="H478" s="6" t="s">
        <v>1721</v>
      </c>
    </row>
    <row r="479" customFormat="false" ht="17.15" hidden="false" customHeight="false" outlineLevel="0" collapsed="false">
      <c r="A479" s="0" t="s">
        <v>1722</v>
      </c>
      <c r="B479" s="0" t="s">
        <v>1723</v>
      </c>
      <c r="G479" s="0" t="s">
        <v>58</v>
      </c>
      <c r="H479" s="0" t="s">
        <v>388</v>
      </c>
    </row>
    <row r="480" customFormat="false" ht="17.15" hidden="false" customHeight="false" outlineLevel="0" collapsed="false">
      <c r="A480" s="0" t="s">
        <v>1724</v>
      </c>
      <c r="B480" s="0" t="s">
        <v>1725</v>
      </c>
      <c r="G480" s="0" t="s">
        <v>407</v>
      </c>
      <c r="H480" s="0" t="s">
        <v>1726</v>
      </c>
    </row>
    <row r="481" customFormat="false" ht="17.15" hidden="false" customHeight="false" outlineLevel="0" collapsed="false">
      <c r="A481" s="0" t="s">
        <v>1727</v>
      </c>
      <c r="B481" s="0" t="s">
        <v>1728</v>
      </c>
      <c r="G481" s="0" t="s">
        <v>58</v>
      </c>
      <c r="H481" s="0" t="s">
        <v>427</v>
      </c>
    </row>
    <row r="482" customFormat="false" ht="17.15" hidden="false" customHeight="false" outlineLevel="0" collapsed="false">
      <c r="A482" s="0" t="s">
        <v>1729</v>
      </c>
      <c r="B482" s="0" t="s">
        <v>1730</v>
      </c>
      <c r="G482" s="0" t="s">
        <v>156</v>
      </c>
      <c r="H482" s="6" t="s">
        <v>1731</v>
      </c>
    </row>
    <row r="483" customFormat="false" ht="17.15" hidden="false" customHeight="false" outlineLevel="0" collapsed="false">
      <c r="A483" s="0" t="s">
        <v>1732</v>
      </c>
      <c r="B483" s="6" t="s">
        <v>1733</v>
      </c>
      <c r="G483" s="0" t="s">
        <v>465</v>
      </c>
      <c r="H483" s="0" t="s">
        <v>1734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0"/>
  </cols>
  <sheetData>
    <row r="1" customFormat="false" ht="17.15" hidden="false" customHeight="false" outlineLevel="0" collapsed="false">
      <c r="A1" s="0" t="s">
        <v>1735</v>
      </c>
    </row>
    <row r="3" customFormat="false" ht="17.15" hidden="false" customHeight="false" outlineLevel="0" collapsed="false">
      <c r="A3" s="4" t="s">
        <v>1736</v>
      </c>
      <c r="B3" s="4" t="s">
        <v>44</v>
      </c>
      <c r="C3" s="5" t="s">
        <v>1737</v>
      </c>
      <c r="D3" s="5" t="s">
        <v>1738</v>
      </c>
      <c r="E3" s="5" t="s">
        <v>1739</v>
      </c>
      <c r="F3" s="5" t="s">
        <v>1740</v>
      </c>
      <c r="G3" s="5" t="s">
        <v>1741</v>
      </c>
    </row>
    <row r="4" customFormat="false" ht="17.15" hidden="false" customHeight="false" outlineLevel="0" collapsed="false">
      <c r="A4" s="0" t="s">
        <v>1716</v>
      </c>
      <c r="B4" s="0" t="s">
        <v>1742</v>
      </c>
      <c r="C4" s="7" t="n">
        <f aca="false">u_bw_26</f>
        <v>5.4</v>
      </c>
      <c r="D4" s="7" t="n">
        <f aca="false">u_bw_27</f>
        <v>2.4</v>
      </c>
      <c r="E4" s="7" t="n">
        <f aca="false">u_bw_28</f>
        <v>0.5</v>
      </c>
      <c r="F4" s="14" t="n">
        <f aca="false">E4*(1+g29_bw)</f>
        <v>0.25</v>
      </c>
      <c r="G4" s="15" t="n">
        <f aca="false">g29_bw</f>
        <v>-0.5</v>
      </c>
    </row>
    <row r="5" customFormat="false" ht="15" hidden="false" customHeight="false" outlineLevel="0" collapsed="false">
      <c r="A5" s="0" t="s">
        <v>1718</v>
      </c>
      <c r="B5" s="0" t="s">
        <v>1743</v>
      </c>
      <c r="C5" s="7" t="n">
        <f aca="false">u_rb_26</f>
        <v>1.7</v>
      </c>
      <c r="D5" s="7" t="n">
        <f aca="false">u_rb_27</f>
        <v>7</v>
      </c>
      <c r="E5" s="7" t="n">
        <f aca="false">u_rb_28</f>
        <v>7</v>
      </c>
      <c r="F5" s="14" t="n">
        <f aca="false">E5*(1+g29_rb)</f>
        <v>8.05</v>
      </c>
      <c r="G5" s="15" t="n">
        <f aca="false">g29_rb</f>
        <v>0.15</v>
      </c>
    </row>
    <row r="6" customFormat="false" ht="15" hidden="false" customHeight="false" outlineLevel="0" collapsed="false">
      <c r="A6" s="0" t="s">
        <v>1720</v>
      </c>
      <c r="B6" s="0" t="s">
        <v>1744</v>
      </c>
      <c r="C6" s="7" t="n">
        <f aca="false">u_ru_26</f>
        <v>0</v>
      </c>
      <c r="D6" s="7" t="n">
        <f aca="false">u_ru_27</f>
        <v>0.3</v>
      </c>
      <c r="E6" s="7" t="n">
        <f aca="false">u_ru_28</f>
        <v>2</v>
      </c>
      <c r="F6" s="14" t="n">
        <f aca="false">E6*(1+g29_ru)</f>
        <v>2.3</v>
      </c>
      <c r="G6" s="15" t="n">
        <f aca="false">g29_ru</f>
        <v>0.15</v>
      </c>
    </row>
    <row r="7" customFormat="false" ht="17.15" hidden="false" customHeight="false" outlineLevel="0" collapsed="false">
      <c r="A7" s="0" t="s">
        <v>1723</v>
      </c>
      <c r="B7" s="0" t="s">
        <v>1745</v>
      </c>
      <c r="C7" s="7" t="n">
        <f aca="false">u_hp_26</f>
        <v>0.5</v>
      </c>
      <c r="D7" s="7" t="n">
        <f aca="false">u_hp_27</f>
        <v>0</v>
      </c>
      <c r="E7" s="7" t="n">
        <f aca="false">u_hp_28</f>
        <v>0</v>
      </c>
      <c r="F7" s="14" t="n">
        <f aca="false">E7*(1+g29_hp)</f>
        <v>0</v>
      </c>
      <c r="G7" s="15" t="n">
        <f aca="false">g29_hp</f>
        <v>0</v>
      </c>
    </row>
    <row r="8" customFormat="false" ht="15" hidden="false" customHeight="false" outlineLevel="0" collapsed="false">
      <c r="A8" s="0" t="s">
        <v>1725</v>
      </c>
      <c r="B8" s="0" t="s">
        <v>1746</v>
      </c>
      <c r="C8" s="7" t="n">
        <f aca="false">u_amd_26</f>
        <v>0.75</v>
      </c>
      <c r="D8" s="7" t="n">
        <f aca="false">u_amd_27</f>
        <v>1.5</v>
      </c>
      <c r="E8" s="7" t="n">
        <f aca="false">u_amd_28</f>
        <v>2</v>
      </c>
      <c r="F8" s="14" t="n">
        <f aca="false">E8*(1+g29_amd)</f>
        <v>2.3</v>
      </c>
      <c r="G8" s="15" t="n">
        <f aca="false">g29_amd</f>
        <v>0.15</v>
      </c>
    </row>
    <row r="9" customFormat="false" ht="15" hidden="false" customHeight="false" outlineLevel="0" collapsed="false">
      <c r="A9" s="0" t="s">
        <v>1728</v>
      </c>
      <c r="B9" s="0" t="s">
        <v>1747</v>
      </c>
      <c r="C9" s="7" t="n">
        <f aca="false">u_tpu_26</f>
        <v>3.85</v>
      </c>
      <c r="D9" s="7" t="n">
        <f aca="false">u_tpu_27</f>
        <v>5.5</v>
      </c>
      <c r="E9" s="7" t="n">
        <f aca="false">u_tpu_28</f>
        <v>7</v>
      </c>
      <c r="F9" s="14" t="n">
        <f aca="false">E9*(1+g29_tpu)</f>
        <v>8.05</v>
      </c>
      <c r="G9" s="15" t="n">
        <f aca="false">g29_tpu</f>
        <v>0.15</v>
      </c>
    </row>
    <row r="10" customFormat="false" ht="15" hidden="false" customHeight="false" outlineLevel="0" collapsed="false">
      <c r="A10" s="0" t="s">
        <v>1730</v>
      </c>
      <c r="B10" s="0" t="s">
        <v>1748</v>
      </c>
      <c r="C10" s="7" t="n">
        <f aca="false">u_trn_26</f>
        <v>2</v>
      </c>
      <c r="D10" s="7" t="n">
        <f aca="false">u_trn_27</f>
        <v>2.5</v>
      </c>
      <c r="E10" s="7" t="n">
        <f aca="false">u_trn_28</f>
        <v>3</v>
      </c>
      <c r="F10" s="14" t="n">
        <f aca="false">E10*(1+g29_trn)</f>
        <v>3.45</v>
      </c>
      <c r="G10" s="15" t="n">
        <f aca="false">g29_trn</f>
        <v>0.15</v>
      </c>
    </row>
    <row r="11" customFormat="false" ht="17.15" hidden="false" customHeight="false" outlineLevel="0" collapsed="false">
      <c r="A11" s="6" t="s">
        <v>1733</v>
      </c>
      <c r="B11" s="0" t="s">
        <v>1749</v>
      </c>
      <c r="C11" s="7" t="n">
        <f aca="false">u_oth_26</f>
        <v>1</v>
      </c>
      <c r="D11" s="7" t="n">
        <f aca="false">u_oth_27</f>
        <v>4.5</v>
      </c>
      <c r="E11" s="7" t="n">
        <f aca="false">u_oth_28</f>
        <v>5</v>
      </c>
      <c r="F11" s="14" t="n">
        <f aca="false">E11*(1+g29_oth)</f>
        <v>5.75</v>
      </c>
      <c r="G11" s="15" t="n">
        <f aca="false">g29_oth</f>
        <v>0.15</v>
      </c>
    </row>
    <row r="12" customFormat="false" ht="17.15" hidden="false" customHeight="false" outlineLevel="0" collapsed="false">
      <c r="A12" s="9" t="s">
        <v>1750</v>
      </c>
      <c r="C12" s="16" t="n">
        <f aca="false">SUM(C4:C11)</f>
        <v>15.2</v>
      </c>
      <c r="D12" s="16" t="n">
        <f aca="false">SUM(D4:D11)</f>
        <v>23.7</v>
      </c>
      <c r="E12" s="16" t="n">
        <f aca="false">SUM(E4:E11)</f>
        <v>26.5</v>
      </c>
      <c r="F12" s="16" t="n">
        <f aca="false">SUM(F4:F11)</f>
        <v>30.15</v>
      </c>
      <c r="G12" s="17" t="n">
        <f aca="false">F12/E12-1</f>
        <v>0.137735849056604</v>
      </c>
    </row>
    <row r="13" customFormat="false" ht="17.15" hidden="false" customHeight="false" outlineLevel="0" collapsed="false">
      <c r="A13" s="6" t="s">
        <v>1751</v>
      </c>
      <c r="C13" s="14" t="n">
        <f aca="false">C12</f>
        <v>15.2</v>
      </c>
      <c r="D13" s="14" t="n">
        <f aca="false">D12</f>
        <v>23.7</v>
      </c>
      <c r="E13" s="14" t="n">
        <f aca="false">E12*um28_A</f>
        <v>26.5</v>
      </c>
      <c r="F13" s="14" t="n">
        <f aca="false">F12*um29_A</f>
        <v>30.15</v>
      </c>
    </row>
    <row r="14" customFormat="false" ht="17.15" hidden="false" customHeight="false" outlineLevel="0" collapsed="false">
      <c r="A14" s="6" t="s">
        <v>1752</v>
      </c>
      <c r="C14" s="14" t="n">
        <f aca="false">C12</f>
        <v>15.2</v>
      </c>
      <c r="D14" s="14" t="n">
        <f aca="false">D12</f>
        <v>23.7</v>
      </c>
      <c r="E14" s="14" t="n">
        <f aca="false">E12*um28_B</f>
        <v>21.2</v>
      </c>
      <c r="F14" s="14" t="n">
        <f aca="false">F12*um29_B</f>
        <v>25.6275</v>
      </c>
    </row>
    <row r="15" customFormat="false" ht="17.15" hidden="false" customHeight="false" outlineLevel="0" collapsed="false">
      <c r="A15" s="6" t="s">
        <v>1753</v>
      </c>
      <c r="C15" s="14" t="n">
        <f aca="false">C12</f>
        <v>15.2</v>
      </c>
      <c r="D15" s="14" t="n">
        <f aca="false">D12</f>
        <v>23.7</v>
      </c>
      <c r="E15" s="14" t="n">
        <f aca="false">E12*um28_C</f>
        <v>15.9</v>
      </c>
      <c r="F15" s="14" t="n">
        <f aca="false">F12*um29_C</f>
        <v>18.09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7" min="4" style="0" width="9"/>
  </cols>
  <sheetData>
    <row r="1" customFormat="false" ht="17.15" hidden="false" customHeight="false" outlineLevel="0" collapsed="false">
      <c r="A1" s="0" t="s">
        <v>1754</v>
      </c>
    </row>
    <row r="3" customFormat="false" ht="17.15" hidden="false" customHeight="false" outlineLevel="0" collapsed="false">
      <c r="A3" s="4" t="s">
        <v>1736</v>
      </c>
      <c r="B3" s="4" t="s">
        <v>1755</v>
      </c>
      <c r="C3" s="4" t="s">
        <v>1756</v>
      </c>
      <c r="D3" s="5" t="s">
        <v>1737</v>
      </c>
      <c r="E3" s="5" t="s">
        <v>1738</v>
      </c>
      <c r="F3" s="5" t="s">
        <v>1739</v>
      </c>
      <c r="G3" s="4" t="s">
        <v>40</v>
      </c>
    </row>
    <row r="4" customFormat="false" ht="17.15" hidden="false" customHeight="false" outlineLevel="0" collapsed="false">
      <c r="A4" s="0" t="s">
        <v>1728</v>
      </c>
      <c r="B4" s="0" t="s">
        <v>1757</v>
      </c>
      <c r="C4" s="0" t="s">
        <v>1758</v>
      </c>
      <c r="D4" s="18" t="n">
        <f aca="false">sh_tpu_26</f>
        <v>0.9</v>
      </c>
      <c r="E4" s="18" t="n">
        <f aca="false">sh_tpu_27</f>
        <v>0.8</v>
      </c>
      <c r="F4" s="18" t="n">
        <f aca="false">sh_tpu_28</f>
        <v>0.75</v>
      </c>
    </row>
    <row r="5" customFormat="false" ht="17.15" hidden="false" customHeight="false" outlineLevel="0" collapsed="false">
      <c r="A5" s="0" t="s">
        <v>1728</v>
      </c>
      <c r="B5" s="0" t="s">
        <v>1759</v>
      </c>
      <c r="C5" s="0" t="s">
        <v>1760</v>
      </c>
      <c r="D5" s="18" t="n">
        <f aca="false">msh_tpu_26</f>
        <v>0</v>
      </c>
      <c r="E5" s="18" t="n">
        <f aca="false">msh_tpu_27</f>
        <v>0</v>
      </c>
      <c r="F5" s="18" t="n">
        <f aca="false">msh_tpu_28</f>
        <v>0.05</v>
      </c>
    </row>
    <row r="6" customFormat="false" ht="17.15" hidden="false" customHeight="false" outlineLevel="0" collapsed="false">
      <c r="A6" s="0" t="s">
        <v>1728</v>
      </c>
      <c r="B6" s="6" t="s">
        <v>1761</v>
      </c>
      <c r="C6" s="0" t="s">
        <v>1762</v>
      </c>
      <c r="D6" s="18" t="n">
        <f aca="false">mtk_tpu_26</f>
        <v>0.05</v>
      </c>
      <c r="E6" s="18" t="n">
        <f aca="false">mtk_tpu_27</f>
        <v>0.15</v>
      </c>
      <c r="F6" s="18" t="n">
        <f aca="false">mtk_tpu_28</f>
        <v>0.18</v>
      </c>
    </row>
    <row r="7" customFormat="false" ht="15" hidden="false" customHeight="false" outlineLevel="0" collapsed="false">
      <c r="A7" s="0" t="s">
        <v>1728</v>
      </c>
      <c r="B7" s="9" t="s">
        <v>1763</v>
      </c>
      <c r="D7" s="19" t="n">
        <f aca="false">SUM(D4:D6)</f>
        <v>0.95</v>
      </c>
      <c r="E7" s="19" t="n">
        <f aca="false">SUM(E4:E6)</f>
        <v>0.95</v>
      </c>
      <c r="F7" s="19" t="n">
        <f aca="false">SUM(F4:F6)</f>
        <v>0.98</v>
      </c>
    </row>
    <row r="8" customFormat="false" ht="15" hidden="false" customHeight="false" outlineLevel="0" collapsed="false">
      <c r="A8" s="0" t="s">
        <v>1728</v>
      </c>
      <c r="B8" s="6" t="s">
        <v>1764</v>
      </c>
      <c r="D8" s="15" t="n">
        <f aca="false">1-D7</f>
        <v>0.0499999999999999</v>
      </c>
      <c r="E8" s="15" t="n">
        <f aca="false">1-E7</f>
        <v>0.0499999999999999</v>
      </c>
      <c r="F8" s="15" t="n">
        <f aca="false">1-F7</f>
        <v>0.02</v>
      </c>
    </row>
    <row r="10" customFormat="false" ht="17.15" hidden="false" customHeight="false" outlineLevel="0" collapsed="false">
      <c r="A10" s="6" t="s">
        <v>1765</v>
      </c>
      <c r="B10" s="0" t="s">
        <v>1757</v>
      </c>
      <c r="C10" s="0" t="s">
        <v>1766</v>
      </c>
      <c r="D10" s="18" t="n">
        <f aca="false">sh_oth_26</f>
        <v>0.35</v>
      </c>
      <c r="E10" s="18" t="n">
        <f aca="false">sh_oth_27</f>
        <v>0.55</v>
      </c>
      <c r="F10" s="18" t="n">
        <f aca="false">sh_oth_28</f>
        <v>0.55</v>
      </c>
    </row>
    <row r="11" customFormat="false" ht="17.15" hidden="false" customHeight="false" outlineLevel="0" collapsed="false">
      <c r="A11" s="6" t="s">
        <v>1765</v>
      </c>
      <c r="B11" s="0" t="s">
        <v>1759</v>
      </c>
      <c r="C11" s="0" t="s">
        <v>1767</v>
      </c>
      <c r="D11" s="18" t="n">
        <f aca="false">msh_oth_26</f>
        <v>0.05</v>
      </c>
      <c r="E11" s="18" t="n">
        <f aca="false">msh_oth_27</f>
        <v>0.06</v>
      </c>
      <c r="F11" s="18" t="n">
        <f aca="false">msh_oth_28</f>
        <v>0.15</v>
      </c>
    </row>
    <row r="12" customFormat="false" ht="17.15" hidden="false" customHeight="false" outlineLevel="0" collapsed="false">
      <c r="A12" s="6" t="s">
        <v>1765</v>
      </c>
      <c r="B12" s="6" t="s">
        <v>1761</v>
      </c>
      <c r="C12" s="0" t="s">
        <v>1768</v>
      </c>
      <c r="D12" s="18" t="n">
        <f aca="false">mtk_oth_26</f>
        <v>0</v>
      </c>
      <c r="E12" s="18" t="n">
        <f aca="false">mtk_oth_27</f>
        <v>0</v>
      </c>
      <c r="F12" s="18" t="n">
        <f aca="false">mtk_oth_28</f>
        <v>0</v>
      </c>
    </row>
    <row r="13" customFormat="false" ht="17.15" hidden="false" customHeight="false" outlineLevel="0" collapsed="false">
      <c r="A13" s="6" t="s">
        <v>1765</v>
      </c>
      <c r="B13" s="9" t="s">
        <v>1763</v>
      </c>
      <c r="D13" s="19" t="n">
        <f aca="false">SUM(D10:D12)</f>
        <v>0.4</v>
      </c>
      <c r="E13" s="19" t="n">
        <f aca="false">SUM(E10:E12)</f>
        <v>0.61</v>
      </c>
      <c r="F13" s="19" t="n">
        <f aca="false">SUM(F10:F12)</f>
        <v>0.7</v>
      </c>
    </row>
    <row r="14" customFormat="false" ht="17.15" hidden="false" customHeight="false" outlineLevel="0" collapsed="false">
      <c r="A14" s="6" t="s">
        <v>1765</v>
      </c>
      <c r="B14" s="6" t="s">
        <v>1764</v>
      </c>
      <c r="D14" s="15" t="n">
        <f aca="false">1-D13</f>
        <v>0.6</v>
      </c>
      <c r="E14" s="15" t="n">
        <f aca="false">1-E13</f>
        <v>0.39</v>
      </c>
      <c r="F14" s="15" t="n">
        <f aca="false">1-F13</f>
        <v>0.3</v>
      </c>
    </row>
    <row r="16" customFormat="false" ht="17.15" hidden="false" customHeight="false" outlineLevel="0" collapsed="false">
      <c r="A16" s="0" t="s">
        <v>1769</v>
      </c>
      <c r="B16" s="0" t="s">
        <v>1759</v>
      </c>
      <c r="C16" s="0" t="s">
        <v>1770</v>
      </c>
      <c r="D16" s="18" t="n">
        <f aca="false">msh_trn_26</f>
        <v>0.1</v>
      </c>
      <c r="E16" s="18" t="n">
        <f aca="false">msh_trn_27</f>
        <v>0.1</v>
      </c>
      <c r="F16" s="18" t="n">
        <f aca="false">msh_trn_28</f>
        <v>0.08</v>
      </c>
    </row>
    <row r="17" customFormat="false" ht="17.15" hidden="false" customHeight="false" outlineLevel="0" collapsed="false">
      <c r="A17" s="0" t="s">
        <v>1769</v>
      </c>
      <c r="B17" s="6" t="s">
        <v>1771</v>
      </c>
      <c r="C17" s="0" t="s">
        <v>1772</v>
      </c>
      <c r="D17" s="18" t="n">
        <f aca="false">al_trn_26</f>
        <v>0.3</v>
      </c>
      <c r="E17" s="18" t="n">
        <f aca="false">al27_A</f>
        <v>0.55</v>
      </c>
      <c r="F17" s="18" t="n">
        <f aca="false">al28_A</f>
        <v>0.55</v>
      </c>
    </row>
    <row r="18" customFormat="false" ht="17.15" hidden="false" customHeight="false" outlineLevel="0" collapsed="false">
      <c r="A18" s="0" t="s">
        <v>1769</v>
      </c>
      <c r="B18" s="9" t="s">
        <v>1763</v>
      </c>
      <c r="D18" s="19" t="n">
        <f aca="false">SUM(D16:D17)</f>
        <v>0.4</v>
      </c>
      <c r="E18" s="19" t="n">
        <f aca="false">SUM(E16:E17)</f>
        <v>0.65</v>
      </c>
      <c r="F18" s="19" t="n">
        <f aca="false">SUM(F16:F17)</f>
        <v>0.63</v>
      </c>
    </row>
    <row r="19" customFormat="false" ht="17.15" hidden="false" customHeight="false" outlineLevel="0" collapsed="false">
      <c r="A19" s="0" t="s">
        <v>1769</v>
      </c>
      <c r="B19" s="6" t="s">
        <v>1764</v>
      </c>
      <c r="D19" s="15" t="n">
        <f aca="false">1-D18</f>
        <v>0.6</v>
      </c>
      <c r="E19" s="15" t="n">
        <f aca="false">1-E18</f>
        <v>0.35</v>
      </c>
      <c r="F19" s="15" t="n">
        <f aca="false">1-F18</f>
        <v>0.37</v>
      </c>
    </row>
    <row r="21" customFormat="false" ht="17.15" hidden="false" customHeight="false" outlineLevel="0" collapsed="false">
      <c r="A21" s="0" t="s">
        <v>1773</v>
      </c>
      <c r="B21" s="0" t="s">
        <v>1759</v>
      </c>
      <c r="C21" s="0" t="s">
        <v>1770</v>
      </c>
      <c r="D21" s="18" t="n">
        <f aca="false">msh_trn_26</f>
        <v>0.1</v>
      </c>
      <c r="E21" s="18" t="n">
        <f aca="false">msh_trn_27</f>
        <v>0.1</v>
      </c>
      <c r="F21" s="18" t="n">
        <f aca="false">msh_trn_28</f>
        <v>0.08</v>
      </c>
    </row>
    <row r="22" customFormat="false" ht="17.15" hidden="false" customHeight="false" outlineLevel="0" collapsed="false">
      <c r="A22" s="0" t="s">
        <v>1773</v>
      </c>
      <c r="B22" s="6" t="s">
        <v>1771</v>
      </c>
      <c r="C22" s="0" t="s">
        <v>1774</v>
      </c>
      <c r="D22" s="18" t="n">
        <f aca="false">al_trn_26</f>
        <v>0.3</v>
      </c>
      <c r="E22" s="18" t="n">
        <f aca="false">al27_B</f>
        <v>0.5</v>
      </c>
      <c r="F22" s="18" t="n">
        <f aca="false">al28_B</f>
        <v>0.45</v>
      </c>
    </row>
    <row r="23" customFormat="false" ht="17.15" hidden="false" customHeight="false" outlineLevel="0" collapsed="false">
      <c r="A23" s="0" t="s">
        <v>1773</v>
      </c>
      <c r="B23" s="9" t="s">
        <v>1763</v>
      </c>
      <c r="D23" s="19" t="n">
        <f aca="false">SUM(D21:D22)</f>
        <v>0.4</v>
      </c>
      <c r="E23" s="19" t="n">
        <f aca="false">SUM(E21:E22)</f>
        <v>0.6</v>
      </c>
      <c r="F23" s="19" t="n">
        <f aca="false">SUM(F21:F22)</f>
        <v>0.53</v>
      </c>
    </row>
    <row r="24" customFormat="false" ht="17.15" hidden="false" customHeight="false" outlineLevel="0" collapsed="false">
      <c r="A24" s="0" t="s">
        <v>1773</v>
      </c>
      <c r="B24" s="6" t="s">
        <v>1764</v>
      </c>
      <c r="D24" s="15" t="n">
        <f aca="false">1-D23</f>
        <v>0.6</v>
      </c>
      <c r="E24" s="15" t="n">
        <f aca="false">1-E23</f>
        <v>0.4</v>
      </c>
      <c r="F24" s="15" t="n">
        <f aca="false">1-F23</f>
        <v>0.47</v>
      </c>
    </row>
    <row r="26" customFormat="false" ht="17.15" hidden="false" customHeight="false" outlineLevel="0" collapsed="false">
      <c r="A26" s="0" t="s">
        <v>1775</v>
      </c>
      <c r="B26" s="0" t="s">
        <v>1759</v>
      </c>
      <c r="C26" s="0" t="s">
        <v>1770</v>
      </c>
      <c r="D26" s="18" t="n">
        <f aca="false">msh_trn_26</f>
        <v>0.1</v>
      </c>
      <c r="E26" s="18" t="n">
        <f aca="false">msh_trn_27</f>
        <v>0.1</v>
      </c>
      <c r="F26" s="18" t="n">
        <f aca="false">msh_trn_28</f>
        <v>0.08</v>
      </c>
    </row>
    <row r="27" customFormat="false" ht="17.15" hidden="false" customHeight="false" outlineLevel="0" collapsed="false">
      <c r="A27" s="0" t="s">
        <v>1775</v>
      </c>
      <c r="B27" s="6" t="s">
        <v>1771</v>
      </c>
      <c r="C27" s="0" t="s">
        <v>1776</v>
      </c>
      <c r="D27" s="18" t="n">
        <f aca="false">al_trn_26</f>
        <v>0.3</v>
      </c>
      <c r="E27" s="18" t="n">
        <f aca="false">al27_C</f>
        <v>0.4</v>
      </c>
      <c r="F27" s="18" t="n">
        <f aca="false">al28_C</f>
        <v>0.35</v>
      </c>
    </row>
    <row r="28" customFormat="false" ht="17.15" hidden="false" customHeight="false" outlineLevel="0" collapsed="false">
      <c r="A28" s="0" t="s">
        <v>1775</v>
      </c>
      <c r="B28" s="9" t="s">
        <v>1763</v>
      </c>
      <c r="D28" s="19" t="n">
        <f aca="false">SUM(D26:D27)</f>
        <v>0.4</v>
      </c>
      <c r="E28" s="19" t="n">
        <f aca="false">SUM(E26:E27)</f>
        <v>0.5</v>
      </c>
      <c r="F28" s="19" t="n">
        <f aca="false">SUM(F26:F27)</f>
        <v>0.43</v>
      </c>
    </row>
    <row r="29" customFormat="false" ht="17.15" hidden="false" customHeight="false" outlineLevel="0" collapsed="false">
      <c r="A29" s="0" t="s">
        <v>1775</v>
      </c>
      <c r="B29" s="6" t="s">
        <v>1764</v>
      </c>
      <c r="D29" s="15" t="n">
        <f aca="false">1-D28</f>
        <v>0.6</v>
      </c>
      <c r="E29" s="15" t="n">
        <f aca="false">1-E28</f>
        <v>0.5</v>
      </c>
      <c r="F29" s="15" t="n">
        <f aca="false">1-F28</f>
        <v>0.57</v>
      </c>
    </row>
    <row r="31" customFormat="false" ht="17.15" hidden="false" customHeight="false" outlineLevel="0" collapsed="false">
      <c r="A31" s="10" t="s">
        <v>1777</v>
      </c>
    </row>
    <row r="32" customFormat="false" ht="17.15" hidden="false" customHeight="false" outlineLevel="0" collapsed="false">
      <c r="A32" s="0" t="s">
        <v>1778</v>
      </c>
      <c r="B32" s="0" t="s">
        <v>1779</v>
      </c>
      <c r="C32" s="0" t="s">
        <v>1780</v>
      </c>
      <c r="D32" s="18" t="n">
        <f aca="false">cposh_lite_27</f>
        <v>0.25</v>
      </c>
      <c r="E32" s="18" t="n">
        <f aca="false">cposh_lite_28</f>
        <v>0.25</v>
      </c>
      <c r="F32" s="18" t="n">
        <f aca="false">cposh_lite_29</f>
        <v>0.2</v>
      </c>
    </row>
    <row r="33" customFormat="false" ht="17.15" hidden="false" customHeight="false" outlineLevel="0" collapsed="false">
      <c r="A33" s="0" t="s">
        <v>1778</v>
      </c>
      <c r="B33" s="0" t="s">
        <v>1781</v>
      </c>
      <c r="C33" s="0" t="s">
        <v>1782</v>
      </c>
      <c r="D33" s="18" t="n">
        <f aca="false">cposh_cohr_27</f>
        <v>0.1</v>
      </c>
      <c r="E33" s="18" t="n">
        <f aca="false">cposh_cohr_28</f>
        <v>0.15</v>
      </c>
      <c r="F33" s="18" t="n">
        <f aca="false">cposh_cohr_29</f>
        <v>0.2</v>
      </c>
    </row>
    <row r="34" customFormat="false" ht="17.15" hidden="false" customHeight="false" outlineLevel="0" collapsed="false">
      <c r="A34" s="0" t="s">
        <v>1778</v>
      </c>
      <c r="B34" s="6" t="s">
        <v>1783</v>
      </c>
      <c r="C34" s="0" t="s">
        <v>1784</v>
      </c>
      <c r="D34" s="18" t="n">
        <f aca="false">cposh_innolight_27</f>
        <v>0.1</v>
      </c>
      <c r="E34" s="18" t="n">
        <f aca="false">cposh_innolight_28</f>
        <v>0.15</v>
      </c>
      <c r="F34" s="18" t="n">
        <f aca="false">cposh_innolight_29</f>
        <v>0.2</v>
      </c>
    </row>
    <row r="35" customFormat="false" ht="17.15" hidden="false" customHeight="false" outlineLevel="0" collapsed="false">
      <c r="A35" s="0" t="s">
        <v>1778</v>
      </c>
      <c r="B35" s="6" t="s">
        <v>1785</v>
      </c>
      <c r="C35" s="0" t="s">
        <v>1786</v>
      </c>
      <c r="D35" s="18" t="n">
        <f aca="false">cposh_eoptolink_27</f>
        <v>0.05</v>
      </c>
      <c r="E35" s="18" t="n">
        <f aca="false">cposh_eoptolink_28</f>
        <v>0.1</v>
      </c>
      <c r="F35" s="18" t="n">
        <f aca="false">cposh_eoptolink_29</f>
        <v>0.15</v>
      </c>
    </row>
    <row r="36" customFormat="false" ht="17.15" hidden="false" customHeight="false" outlineLevel="0" collapsed="false">
      <c r="A36" s="0" t="s">
        <v>1778</v>
      </c>
      <c r="B36" s="9" t="s">
        <v>1787</v>
      </c>
      <c r="D36" s="19" t="n">
        <f aca="false">SUM(D32:D35)</f>
        <v>0.5</v>
      </c>
      <c r="E36" s="19" t="n">
        <f aca="false">SUM(E32:E35)</f>
        <v>0.65</v>
      </c>
      <c r="F36" s="19" t="n">
        <f aca="false">SUM(F32:F35)</f>
        <v>0.75</v>
      </c>
    </row>
    <row r="37" customFormat="false" ht="17.15" hidden="false" customHeight="false" outlineLevel="0" collapsed="false">
      <c r="A37" s="0" t="s">
        <v>1778</v>
      </c>
      <c r="B37" s="6" t="s">
        <v>1788</v>
      </c>
      <c r="D37" s="15" t="n">
        <f aca="false">1-D36</f>
        <v>0.5</v>
      </c>
      <c r="E37" s="15" t="n">
        <f aca="false">1-E36</f>
        <v>0.35</v>
      </c>
      <c r="F37" s="15" t="n">
        <f aca="false">1-F36</f>
        <v>0.25</v>
      </c>
    </row>
    <row r="38" customFormat="false" ht="17.15" hidden="false" customHeight="false" outlineLevel="0" collapsed="false">
      <c r="A38" s="0" t="s">
        <v>1778</v>
      </c>
      <c r="B38" s="0" t="s">
        <v>1789</v>
      </c>
      <c r="C38" s="0" t="s">
        <v>1790</v>
      </c>
      <c r="D38" s="18" t="n">
        <f aca="false">cposh_fabrinet_27</f>
        <v>0.05</v>
      </c>
      <c r="E38" s="18" t="n">
        <f aca="false">cposh_fabrinet_28</f>
        <v>0.1</v>
      </c>
      <c r="F38" s="18" t="n">
        <f aca="false">cposh_fabrinet_29</f>
        <v>0.15</v>
      </c>
    </row>
    <row r="40" customFormat="false" ht="17.15" hidden="false" customHeight="false" outlineLevel="0" collapsed="false">
      <c r="A40" s="9" t="s">
        <v>1791</v>
      </c>
    </row>
    <row r="41" customFormat="false" ht="17.15" hidden="false" customHeight="false" outlineLevel="0" collapsed="false">
      <c r="A41" s="0" t="s">
        <v>1792</v>
      </c>
      <c r="B41" s="0" t="s">
        <v>1793</v>
      </c>
      <c r="C41" s="0" t="s">
        <v>1794</v>
      </c>
      <c r="D41" s="17" t="n">
        <f aca="false">abf_ibsh26*1</f>
        <v>0.7</v>
      </c>
      <c r="E41" s="17" t="n">
        <f aca="false">abf_ibsh26*abf_ibrel_27</f>
        <v>0.665</v>
      </c>
      <c r="F41" s="17" t="n">
        <f aca="false">abf_ibsh26*abf_ibrel_28</f>
        <v>0.616</v>
      </c>
      <c r="G41" s="17" t="n">
        <f aca="false">abf_ibsh26*abf_ibrel_29</f>
        <v>0.595</v>
      </c>
    </row>
    <row r="42" customFormat="false" ht="17.15" hidden="false" customHeight="false" outlineLevel="0" collapsed="false">
      <c r="A42" s="0" t="s">
        <v>1792</v>
      </c>
      <c r="B42" s="6" t="s">
        <v>1795</v>
      </c>
      <c r="C42" s="0" t="s">
        <v>1796</v>
      </c>
      <c r="D42" s="20" t="n">
        <f aca="false">abf_un_nv_26</f>
        <v>0.25</v>
      </c>
      <c r="E42" s="20" t="n">
        <f aca="false">abf_un_nv_27</f>
        <v>0.27</v>
      </c>
      <c r="F42" s="20" t="n">
        <f aca="false">abf_un_nv_28</f>
        <v>0.29</v>
      </c>
      <c r="G42" s="20" t="n">
        <f aca="false">abf_un_nv_29</f>
        <v>0.3</v>
      </c>
    </row>
    <row r="43" customFormat="false" ht="17.15" hidden="false" customHeight="false" outlineLevel="0" collapsed="false">
      <c r="A43" s="0" t="s">
        <v>1792</v>
      </c>
      <c r="B43" s="6" t="s">
        <v>1797</v>
      </c>
      <c r="C43" s="0" t="s">
        <v>1798</v>
      </c>
      <c r="D43" s="20" t="n">
        <f aca="false">abf_np_nv_26</f>
        <v>0.02</v>
      </c>
      <c r="E43" s="20" t="n">
        <f aca="false">abf_np_nv_27</f>
        <v>0.03</v>
      </c>
      <c r="F43" s="20" t="n">
        <f aca="false">abf_np_nv_28</f>
        <v>0.04</v>
      </c>
      <c r="G43" s="20" t="n">
        <f aca="false">abf_np_nv_29</f>
        <v>0.04</v>
      </c>
    </row>
    <row r="44" customFormat="false" ht="17.15" hidden="false" customHeight="false" outlineLevel="0" collapsed="false">
      <c r="A44" s="0" t="s">
        <v>1792</v>
      </c>
      <c r="B44" s="6" t="s">
        <v>1799</v>
      </c>
      <c r="C44" s="0" t="s">
        <v>1800</v>
      </c>
      <c r="D44" s="20" t="n">
        <f aca="false">abf_ks_nv_26</f>
        <v>0.02</v>
      </c>
      <c r="E44" s="20" t="n">
        <f aca="false">abf_ks_nv_27</f>
        <v>0.03</v>
      </c>
      <c r="F44" s="20" t="n">
        <f aca="false">abf_ks_nv_28</f>
        <v>0.05</v>
      </c>
      <c r="G44" s="20" t="n">
        <f aca="false">abf_ks_nv_29</f>
        <v>0.06</v>
      </c>
    </row>
    <row r="45" customFormat="false" ht="17.15" hidden="false" customHeight="false" outlineLevel="0" collapsed="false">
      <c r="A45" s="0" t="s">
        <v>1792</v>
      </c>
      <c r="B45" s="9" t="s">
        <v>1763</v>
      </c>
      <c r="D45" s="21" t="n">
        <f aca="false">SUM(D41:D44)</f>
        <v>0.99</v>
      </c>
      <c r="E45" s="21" t="n">
        <f aca="false">SUM(E41:E44)</f>
        <v>0.995</v>
      </c>
      <c r="F45" s="21" t="n">
        <f aca="false">SUM(F41:F44)</f>
        <v>0.996</v>
      </c>
      <c r="G45" s="21" t="n">
        <f aca="false">SUM(G41:G44)</f>
        <v>0.995</v>
      </c>
    </row>
    <row r="46" customFormat="false" ht="17.15" hidden="false" customHeight="false" outlineLevel="0" collapsed="false">
      <c r="A46" s="0" t="s">
        <v>1792</v>
      </c>
      <c r="B46" s="6" t="s">
        <v>1801</v>
      </c>
      <c r="D46" s="17" t="n">
        <f aca="false">1-D45</f>
        <v>0.01</v>
      </c>
      <c r="E46" s="17" t="n">
        <f aca="false">1-E45</f>
        <v>0.005</v>
      </c>
      <c r="F46" s="17" t="n">
        <f aca="false">1-F45</f>
        <v>0.004</v>
      </c>
      <c r="G46" s="17" t="n">
        <f aca="false">1-G45</f>
        <v>0.00500000000000012</v>
      </c>
    </row>
    <row r="48" customFormat="false" ht="17.15" hidden="false" customHeight="false" outlineLevel="0" collapsed="false">
      <c r="A48" s="6" t="s">
        <v>1802</v>
      </c>
      <c r="B48" s="0" t="s">
        <v>1793</v>
      </c>
      <c r="C48" s="0" t="s">
        <v>1803</v>
      </c>
      <c r="D48" s="17" t="n">
        <f aca="false">abf_wot_ib*1/abf_vot</f>
        <v>0.5</v>
      </c>
      <c r="E48" s="17" t="n">
        <f aca="false">abf_wot_ib*abf_ibrel_27/abf_vot</f>
        <v>0.475</v>
      </c>
      <c r="F48" s="17" t="n">
        <f aca="false">abf_wot_ib*abf_ibrel_28/abf_vot</f>
        <v>0.44</v>
      </c>
      <c r="G48" s="17" t="n">
        <f aca="false">abf_wot_ib*abf_ibrel_29/abf_vot</f>
        <v>0.425</v>
      </c>
    </row>
    <row r="49" customFormat="false" ht="17.15" hidden="false" customHeight="false" outlineLevel="0" collapsed="false">
      <c r="A49" s="6" t="s">
        <v>1802</v>
      </c>
      <c r="B49" s="6" t="s">
        <v>1795</v>
      </c>
      <c r="C49" s="0" t="s">
        <v>1804</v>
      </c>
      <c r="D49" s="20" t="n">
        <f aca="false">abf_un_ot_26</f>
        <v>0.3</v>
      </c>
      <c r="E49" s="20" t="n">
        <f aca="false">abf_un_ot_27</f>
        <v>0.31</v>
      </c>
      <c r="F49" s="20" t="n">
        <f aca="false">abf_un_ot_28</f>
        <v>0.32</v>
      </c>
      <c r="G49" s="20" t="n">
        <f aca="false">abf_un_ot_29</f>
        <v>0.33</v>
      </c>
    </row>
    <row r="50" customFormat="false" ht="17.15" hidden="false" customHeight="false" outlineLevel="0" collapsed="false">
      <c r="A50" s="6" t="s">
        <v>1802</v>
      </c>
      <c r="B50" s="6" t="s">
        <v>1797</v>
      </c>
      <c r="C50" s="0" t="s">
        <v>1805</v>
      </c>
      <c r="D50" s="20" t="n">
        <f aca="false">abf_np_ot_26</f>
        <v>0.05</v>
      </c>
      <c r="E50" s="20" t="n">
        <f aca="false">abf_np_ot_27</f>
        <v>0.06</v>
      </c>
      <c r="F50" s="20" t="n">
        <f aca="false">abf_np_ot_28</f>
        <v>0.07</v>
      </c>
      <c r="G50" s="20" t="n">
        <f aca="false">abf_np_ot_29</f>
        <v>0.07</v>
      </c>
    </row>
    <row r="51" customFormat="false" ht="17.15" hidden="false" customHeight="false" outlineLevel="0" collapsed="false">
      <c r="A51" s="6" t="s">
        <v>1802</v>
      </c>
      <c r="B51" s="6" t="s">
        <v>1799</v>
      </c>
      <c r="C51" s="0" t="s">
        <v>1806</v>
      </c>
      <c r="D51" s="20" t="n">
        <f aca="false">abf_ks_ot_26</f>
        <v>0.03</v>
      </c>
      <c r="E51" s="20" t="n">
        <f aca="false">abf_ks_ot_27</f>
        <v>0.05</v>
      </c>
      <c r="F51" s="20" t="n">
        <f aca="false">abf_ks_ot_28</f>
        <v>0.06</v>
      </c>
      <c r="G51" s="20" t="n">
        <f aca="false">abf_ks_ot_29</f>
        <v>0.06</v>
      </c>
    </row>
    <row r="52" customFormat="false" ht="17.15" hidden="false" customHeight="false" outlineLevel="0" collapsed="false">
      <c r="A52" s="6" t="s">
        <v>1802</v>
      </c>
      <c r="B52" s="9" t="s">
        <v>1763</v>
      </c>
      <c r="D52" s="21" t="n">
        <f aca="false">SUM(D48:D51)</f>
        <v>0.88</v>
      </c>
      <c r="E52" s="21" t="n">
        <f aca="false">SUM(E48:E51)</f>
        <v>0.895</v>
      </c>
      <c r="F52" s="21" t="n">
        <f aca="false">SUM(F48:F51)</f>
        <v>0.89</v>
      </c>
      <c r="G52" s="21" t="n">
        <f aca="false">SUM(G48:G51)</f>
        <v>0.885</v>
      </c>
    </row>
    <row r="53" customFormat="false" ht="17.15" hidden="false" customHeight="false" outlineLevel="0" collapsed="false">
      <c r="A53" s="6" t="s">
        <v>1802</v>
      </c>
      <c r="B53" s="6" t="s">
        <v>1801</v>
      </c>
      <c r="D53" s="17" t="n">
        <f aca="false">1-D52</f>
        <v>0.12</v>
      </c>
      <c r="E53" s="17" t="n">
        <f aca="false">1-E52</f>
        <v>0.105</v>
      </c>
      <c r="F53" s="17" t="n">
        <f aca="false">1-F52</f>
        <v>0.11</v>
      </c>
      <c r="G53" s="17" t="n">
        <f aca="false">1-G52</f>
        <v>0.115</v>
      </c>
    </row>
    <row r="55" customFormat="false" ht="17.15" hidden="false" customHeight="false" outlineLevel="0" collapsed="false">
      <c r="A55" s="10" t="s">
        <v>1807</v>
      </c>
    </row>
    <row r="56" customFormat="false" ht="17.15" hidden="false" customHeight="false" outlineLevel="0" collapsed="false">
      <c r="A56" s="0" t="s">
        <v>1808</v>
      </c>
      <c r="B56" s="6" t="s">
        <v>1809</v>
      </c>
      <c r="C56" s="0" t="s">
        <v>1810</v>
      </c>
      <c r="D56" s="17" t="n">
        <f aca="false">pwr_dsh_26</f>
        <v>0.583671939396773</v>
      </c>
      <c r="E56" s="17" t="n">
        <f aca="false">pwr_dsh_26*pwr_drel_27</f>
        <v>0.554488342426934</v>
      </c>
      <c r="F56" s="17" t="n">
        <f aca="false">pwr_dsh_26*pwr_drel_28</f>
        <v>0.525304745457096</v>
      </c>
      <c r="G56" s="17" t="n">
        <f aca="false">pwr_dsh_26*pwr_drel_29</f>
        <v>0.496121148487257</v>
      </c>
    </row>
    <row r="57" customFormat="false" ht="17.15" hidden="false" customHeight="false" outlineLevel="0" collapsed="false">
      <c r="A57" s="0" t="s">
        <v>1808</v>
      </c>
      <c r="B57" s="6" t="s">
        <v>1811</v>
      </c>
      <c r="C57" s="0" t="s">
        <v>1812</v>
      </c>
      <c r="D57" s="17" t="n">
        <f aca="false">pwr_lsh_26</f>
        <v>0.176143316327046</v>
      </c>
      <c r="E57" s="17" t="n">
        <f aca="false">pwr_lsh_26*pwr_lrel_27_hi</f>
        <v>0.193757647959751</v>
      </c>
      <c r="F57" s="17" t="n">
        <f aca="false">pwr_lsh_26*pwr_lrel_28_hi</f>
        <v>0.211371979592455</v>
      </c>
      <c r="G57" s="17" t="n">
        <f aca="false">pwr_lsh_26*pwr_lrel_29_hi</f>
        <v>0.220179145408808</v>
      </c>
    </row>
    <row r="58" customFormat="false" ht="17.15" hidden="false" customHeight="false" outlineLevel="0" collapsed="false">
      <c r="A58" s="0" t="s">
        <v>1808</v>
      </c>
      <c r="B58" s="9" t="s">
        <v>1763</v>
      </c>
      <c r="D58" s="21" t="n">
        <f aca="false">SUM(D56:D57)</f>
        <v>0.759815255723819</v>
      </c>
      <c r="E58" s="21" t="n">
        <f aca="false">SUM(E56:E57)</f>
        <v>0.748245990386685</v>
      </c>
      <c r="F58" s="21" t="n">
        <f aca="false">SUM(F56:F57)</f>
        <v>0.736676725049551</v>
      </c>
      <c r="G58" s="21" t="n">
        <f aca="false">SUM(G56:G57)</f>
        <v>0.716300293896065</v>
      </c>
    </row>
    <row r="59" customFormat="false" ht="17.15" hidden="false" customHeight="false" outlineLevel="0" collapsed="false">
      <c r="A59" s="0" t="s">
        <v>1808</v>
      </c>
      <c r="B59" s="6" t="s">
        <v>1813</v>
      </c>
      <c r="D59" s="17" t="n">
        <f aca="false">1-D58</f>
        <v>0.240184744276181</v>
      </c>
      <c r="E59" s="17" t="n">
        <f aca="false">1-E58</f>
        <v>0.251754009613315</v>
      </c>
      <c r="F59" s="17" t="n">
        <f aca="false">1-F58</f>
        <v>0.263323274950449</v>
      </c>
      <c r="G59" s="17" t="n">
        <f aca="false">1-G58</f>
        <v>0.283699706103935</v>
      </c>
    </row>
    <row r="61" customFormat="false" ht="17.15" hidden="false" customHeight="false" outlineLevel="0" collapsed="false">
      <c r="A61" s="0" t="s">
        <v>1814</v>
      </c>
      <c r="B61" s="6" t="s">
        <v>1809</v>
      </c>
      <c r="C61" s="0" t="s">
        <v>1810</v>
      </c>
      <c r="D61" s="17" t="n">
        <f aca="false">pwr_dsh_26</f>
        <v>0.583671939396773</v>
      </c>
      <c r="E61" s="17" t="n">
        <f aca="false">pwr_dsh_26*pwr_drel_27</f>
        <v>0.554488342426934</v>
      </c>
      <c r="F61" s="17" t="n">
        <f aca="false">pwr_dsh_26*pwr_drel_28</f>
        <v>0.525304745457096</v>
      </c>
      <c r="G61" s="17" t="n">
        <f aca="false">pwr_dsh_26*pwr_drel_29</f>
        <v>0.496121148487257</v>
      </c>
    </row>
    <row r="62" customFormat="false" ht="17.15" hidden="false" customHeight="false" outlineLevel="0" collapsed="false">
      <c r="A62" s="0" t="s">
        <v>1814</v>
      </c>
      <c r="B62" s="6" t="s">
        <v>1811</v>
      </c>
      <c r="C62" s="0" t="s">
        <v>1815</v>
      </c>
      <c r="D62" s="17" t="n">
        <f aca="false">pwr_lsh_26</f>
        <v>0.176143316327046</v>
      </c>
      <c r="E62" s="17" t="n">
        <f aca="false">pwr_lsh_26*pwr_lrel_27</f>
        <v>0.176143316327046</v>
      </c>
      <c r="F62" s="17" t="n">
        <f aca="false">pwr_lsh_26*pwr_lrel_28</f>
        <v>0.176143316327046</v>
      </c>
      <c r="G62" s="17" t="n">
        <f aca="false">pwr_lsh_26*pwr_lrel_29</f>
        <v>0.176143316327046</v>
      </c>
    </row>
    <row r="63" customFormat="false" ht="17.15" hidden="false" customHeight="false" outlineLevel="0" collapsed="false">
      <c r="A63" s="0" t="s">
        <v>1814</v>
      </c>
      <c r="B63" s="9" t="s">
        <v>1763</v>
      </c>
      <c r="D63" s="21" t="n">
        <f aca="false">SUM(D61:D62)</f>
        <v>0.759815255723819</v>
      </c>
      <c r="E63" s="21" t="n">
        <f aca="false">SUM(E61:E62)</f>
        <v>0.73063165875398</v>
      </c>
      <c r="F63" s="21" t="n">
        <f aca="false">SUM(F61:F62)</f>
        <v>0.701448061784142</v>
      </c>
      <c r="G63" s="21" t="n">
        <f aca="false">SUM(G61:G62)</f>
        <v>0.672264464814303</v>
      </c>
    </row>
    <row r="64" customFormat="false" ht="17.15" hidden="false" customHeight="false" outlineLevel="0" collapsed="false">
      <c r="A64" s="0" t="s">
        <v>1814</v>
      </c>
      <c r="B64" s="6" t="s">
        <v>1813</v>
      </c>
      <c r="D64" s="17" t="n">
        <f aca="false">1-D63</f>
        <v>0.240184744276181</v>
      </c>
      <c r="E64" s="17" t="n">
        <f aca="false">1-E63</f>
        <v>0.26936834124602</v>
      </c>
      <c r="F64" s="17" t="n">
        <f aca="false">1-F63</f>
        <v>0.298551938215858</v>
      </c>
      <c r="G64" s="17" t="n">
        <f aca="false">1-G63</f>
        <v>0.327735535185697</v>
      </c>
    </row>
    <row r="66" customFormat="false" ht="17.15" hidden="false" customHeight="false" outlineLevel="0" collapsed="false">
      <c r="A66" s="0" t="s">
        <v>1816</v>
      </c>
      <c r="B66" s="6" t="s">
        <v>1809</v>
      </c>
      <c r="C66" s="0" t="s">
        <v>1810</v>
      </c>
      <c r="D66" s="17" t="n">
        <f aca="false">pwr_dsh_26</f>
        <v>0.583671939396773</v>
      </c>
      <c r="E66" s="17" t="n">
        <f aca="false">pwr_dsh_26*pwr_drel_27</f>
        <v>0.554488342426934</v>
      </c>
      <c r="F66" s="17" t="n">
        <f aca="false">pwr_dsh_26*pwr_drel_28</f>
        <v>0.525304745457096</v>
      </c>
      <c r="G66" s="17" t="n">
        <f aca="false">pwr_dsh_26*pwr_drel_29</f>
        <v>0.496121148487257</v>
      </c>
    </row>
    <row r="67" customFormat="false" ht="17.15" hidden="false" customHeight="false" outlineLevel="0" collapsed="false">
      <c r="A67" s="0" t="s">
        <v>1816</v>
      </c>
      <c r="B67" s="6" t="s">
        <v>1811</v>
      </c>
      <c r="C67" s="0" t="s">
        <v>1817</v>
      </c>
      <c r="D67" s="17" t="n">
        <f aca="false">pwr_lsh_26</f>
        <v>0.176143316327046</v>
      </c>
      <c r="E67" s="17" t="n">
        <f aca="false">pwr_lsh_26*pwr_lrel_27_lo</f>
        <v>0.149721818877989</v>
      </c>
      <c r="F67" s="17" t="n">
        <f aca="false">pwr_lsh_26*pwr_lrel_28_lo</f>
        <v>0.140914653061637</v>
      </c>
      <c r="G67" s="17" t="n">
        <f aca="false">pwr_lsh_26*pwr_lrel_29_lo</f>
        <v>0.132107487245284</v>
      </c>
    </row>
    <row r="68" customFormat="false" ht="17.15" hidden="false" customHeight="false" outlineLevel="0" collapsed="false">
      <c r="A68" s="0" t="s">
        <v>1816</v>
      </c>
      <c r="B68" s="9" t="s">
        <v>1763</v>
      </c>
      <c r="D68" s="21" t="n">
        <f aca="false">SUM(D66:D67)</f>
        <v>0.759815255723819</v>
      </c>
      <c r="E68" s="21" t="n">
        <f aca="false">SUM(E66:E67)</f>
        <v>0.704210161304923</v>
      </c>
      <c r="F68" s="21" t="n">
        <f aca="false">SUM(F66:F67)</f>
        <v>0.666219398518733</v>
      </c>
      <c r="G68" s="21" t="n">
        <f aca="false">SUM(G66:G67)</f>
        <v>0.628228635732542</v>
      </c>
    </row>
    <row r="69" customFormat="false" ht="17.15" hidden="false" customHeight="false" outlineLevel="0" collapsed="false">
      <c r="A69" s="0" t="s">
        <v>1816</v>
      </c>
      <c r="B69" s="6" t="s">
        <v>1813</v>
      </c>
      <c r="D69" s="17" t="n">
        <f aca="false">1-D68</f>
        <v>0.240184744276181</v>
      </c>
      <c r="E69" s="17" t="n">
        <f aca="false">1-E68</f>
        <v>0.295789838695077</v>
      </c>
      <c r="F69" s="17" t="n">
        <f aca="false">1-F68</f>
        <v>0.333780601481267</v>
      </c>
      <c r="G69" s="17" t="n">
        <f aca="false">1-G68</f>
        <v>0.371771364267459</v>
      </c>
    </row>
    <row r="71" customFormat="false" ht="17.15" hidden="false" customHeight="false" outlineLevel="0" collapsed="false">
      <c r="A71" s="10" t="s">
        <v>1818</v>
      </c>
    </row>
    <row r="72" customFormat="false" ht="17.15" hidden="false" customHeight="false" outlineLevel="0" collapsed="false">
      <c r="A72" s="0" t="s">
        <v>1819</v>
      </c>
      <c r="B72" s="6" t="s">
        <v>1820</v>
      </c>
      <c r="C72" s="0" t="s">
        <v>1821</v>
      </c>
      <c r="D72" s="17" t="n">
        <f aca="false">lc_avsh_26</f>
        <v>0.498927641116677</v>
      </c>
      <c r="E72" s="17" t="n">
        <f aca="false">lc_avsh_26*lc_avrel_27</f>
        <v>0.473981259060843</v>
      </c>
      <c r="F72" s="17" t="n">
        <f aca="false">lc_avsh_26*lc_avrel_28</f>
        <v>0.449034877005009</v>
      </c>
      <c r="G72" s="17" t="n">
        <f aca="false">lc_avsh_26*lc_avrel_29</f>
        <v>0.424088494949175</v>
      </c>
    </row>
    <row r="73" customFormat="false" ht="17.15" hidden="false" customHeight="false" outlineLevel="0" collapsed="false">
      <c r="A73" s="0" t="s">
        <v>1819</v>
      </c>
      <c r="B73" s="6" t="s">
        <v>1822</v>
      </c>
      <c r="C73" s="0" t="s">
        <v>1823</v>
      </c>
      <c r="D73" s="17" t="n">
        <f aca="false">lc_aush_26</f>
        <v>0.15870077644017</v>
      </c>
      <c r="E73" s="17" t="n">
        <f aca="false">lc_aush_26*lc_avrel_27_hi</f>
        <v>0.166635815262179</v>
      </c>
      <c r="F73" s="17" t="n">
        <f aca="false">lc_aush_26*lc_avrel_28_hi</f>
        <v>0.166635815262179</v>
      </c>
      <c r="G73" s="17" t="n">
        <f aca="false">lc_aush_26*lc_avrel_29_hi</f>
        <v>0.166635815262179</v>
      </c>
    </row>
    <row r="74" customFormat="false" ht="17.15" hidden="false" customHeight="false" outlineLevel="0" collapsed="false">
      <c r="A74" s="0" t="s">
        <v>1819</v>
      </c>
      <c r="B74" s="6" t="s">
        <v>1824</v>
      </c>
      <c r="C74" s="0" t="s">
        <v>1825</v>
      </c>
      <c r="D74" s="17" t="n">
        <f aca="false">0</f>
        <v>0</v>
      </c>
      <c r="E74" s="17" t="n">
        <f aca="false">lc_jtsh_27_hi</f>
        <v>0.015</v>
      </c>
      <c r="F74" s="17" t="n">
        <f aca="false">lc_jtsh_28_hi</f>
        <v>0.03</v>
      </c>
      <c r="G74" s="17" t="n">
        <f aca="false">lc_jtsh_29_hi</f>
        <v>0.045</v>
      </c>
    </row>
    <row r="75" customFormat="false" ht="17.15" hidden="false" customHeight="false" outlineLevel="0" collapsed="false">
      <c r="A75" s="0" t="s">
        <v>1819</v>
      </c>
      <c r="B75" s="9" t="s">
        <v>1763</v>
      </c>
      <c r="D75" s="21" t="n">
        <f aca="false">SUM(D72:D74)</f>
        <v>0.657628417556847</v>
      </c>
      <c r="E75" s="21" t="n">
        <f aca="false">SUM(E72:E74)</f>
        <v>0.655617074323022</v>
      </c>
      <c r="F75" s="21" t="n">
        <f aca="false">SUM(F72:F74)</f>
        <v>0.645670692267188</v>
      </c>
      <c r="G75" s="21" t="n">
        <f aca="false">SUM(G72:G74)</f>
        <v>0.635724310211354</v>
      </c>
    </row>
    <row r="76" customFormat="false" ht="17.15" hidden="false" customHeight="false" outlineLevel="0" collapsed="false">
      <c r="A76" s="0" t="s">
        <v>1819</v>
      </c>
      <c r="B76" s="6" t="s">
        <v>1826</v>
      </c>
      <c r="D76" s="17" t="n">
        <f aca="false">1-D75</f>
        <v>0.342371582443153</v>
      </c>
      <c r="E76" s="17" t="n">
        <f aca="false">1-E75</f>
        <v>0.344382925676978</v>
      </c>
      <c r="F76" s="17" t="n">
        <f aca="false">1-F75</f>
        <v>0.354329307732812</v>
      </c>
      <c r="G76" s="17" t="n">
        <f aca="false">1-G75</f>
        <v>0.364275689788646</v>
      </c>
    </row>
    <row r="78" customFormat="false" ht="17.15" hidden="false" customHeight="false" outlineLevel="0" collapsed="false">
      <c r="A78" s="0" t="s">
        <v>1827</v>
      </c>
      <c r="B78" s="6" t="s">
        <v>1820</v>
      </c>
      <c r="C78" s="0" t="s">
        <v>1821</v>
      </c>
      <c r="D78" s="17" t="n">
        <f aca="false">lc_avsh_26</f>
        <v>0.498927641116677</v>
      </c>
      <c r="E78" s="17" t="n">
        <f aca="false">lc_avsh_26*lc_avrel_27</f>
        <v>0.473981259060843</v>
      </c>
      <c r="F78" s="17" t="n">
        <f aca="false">lc_avsh_26*lc_avrel_28</f>
        <v>0.449034877005009</v>
      </c>
      <c r="G78" s="17" t="n">
        <f aca="false">lc_avsh_26*lc_avrel_29</f>
        <v>0.424088494949175</v>
      </c>
    </row>
    <row r="79" customFormat="false" ht="17.15" hidden="false" customHeight="false" outlineLevel="0" collapsed="false">
      <c r="A79" s="0" t="s">
        <v>1827</v>
      </c>
      <c r="B79" s="6" t="s">
        <v>1822</v>
      </c>
      <c r="C79" s="0" t="s">
        <v>1828</v>
      </c>
      <c r="D79" s="17" t="n">
        <f aca="false">lc_aush_26</f>
        <v>0.15870077644017</v>
      </c>
      <c r="E79" s="17" t="n">
        <f aca="false">lc_aush_26*lc_avrel_27</f>
        <v>0.150765737618162</v>
      </c>
      <c r="F79" s="17" t="n">
        <f aca="false">lc_aush_26*lc_avrel_28</f>
        <v>0.142830698796153</v>
      </c>
      <c r="G79" s="17" t="n">
        <f aca="false">lc_aush_26*lc_avrel_29</f>
        <v>0.134895659974145</v>
      </c>
    </row>
    <row r="80" customFormat="false" ht="17.15" hidden="false" customHeight="false" outlineLevel="0" collapsed="false">
      <c r="A80" s="0" t="s">
        <v>1827</v>
      </c>
      <c r="B80" s="6" t="s">
        <v>1824</v>
      </c>
      <c r="C80" s="0" t="s">
        <v>1829</v>
      </c>
      <c r="D80" s="17" t="n">
        <f aca="false">0</f>
        <v>0</v>
      </c>
      <c r="E80" s="17" t="n">
        <f aca="false">lc_jtsh_27</f>
        <v>0.008</v>
      </c>
      <c r="F80" s="17" t="n">
        <f aca="false">lc_jtsh_28</f>
        <v>0.015</v>
      </c>
      <c r="G80" s="17" t="n">
        <f aca="false">lc_jtsh_29</f>
        <v>0.025</v>
      </c>
    </row>
    <row r="81" customFormat="false" ht="17.15" hidden="false" customHeight="false" outlineLevel="0" collapsed="false">
      <c r="A81" s="0" t="s">
        <v>1827</v>
      </c>
      <c r="B81" s="9" t="s">
        <v>1763</v>
      </c>
      <c r="D81" s="21" t="n">
        <f aca="false">SUM(D78:D80)</f>
        <v>0.657628417556847</v>
      </c>
      <c r="E81" s="21" t="n">
        <f aca="false">SUM(E78:E80)</f>
        <v>0.632746996679005</v>
      </c>
      <c r="F81" s="21" t="n">
        <f aca="false">SUM(F78:F80)</f>
        <v>0.606865575801162</v>
      </c>
      <c r="G81" s="21" t="n">
        <f aca="false">SUM(G78:G80)</f>
        <v>0.58398415492332</v>
      </c>
    </row>
    <row r="82" customFormat="false" ht="17.15" hidden="false" customHeight="false" outlineLevel="0" collapsed="false">
      <c r="A82" s="0" t="s">
        <v>1827</v>
      </c>
      <c r="B82" s="6" t="s">
        <v>1826</v>
      </c>
      <c r="D82" s="17" t="n">
        <f aca="false">1-D81</f>
        <v>0.342371582443153</v>
      </c>
      <c r="E82" s="17" t="n">
        <f aca="false">1-E81</f>
        <v>0.367253003320995</v>
      </c>
      <c r="F82" s="17" t="n">
        <f aca="false">1-F81</f>
        <v>0.393134424198838</v>
      </c>
      <c r="G82" s="17" t="n">
        <f aca="false">1-G81</f>
        <v>0.41601584507668</v>
      </c>
    </row>
    <row r="84" customFormat="false" ht="17.15" hidden="false" customHeight="false" outlineLevel="0" collapsed="false">
      <c r="A84" s="0" t="s">
        <v>1830</v>
      </c>
      <c r="B84" s="6" t="s">
        <v>1820</v>
      </c>
      <c r="C84" s="0" t="s">
        <v>1821</v>
      </c>
      <c r="D84" s="17" t="n">
        <f aca="false">lc_avsh_26</f>
        <v>0.498927641116677</v>
      </c>
      <c r="E84" s="17" t="n">
        <f aca="false">lc_avsh_26*lc_avrel_27</f>
        <v>0.473981259060843</v>
      </c>
      <c r="F84" s="17" t="n">
        <f aca="false">lc_avsh_26*lc_avrel_28</f>
        <v>0.449034877005009</v>
      </c>
      <c r="G84" s="17" t="n">
        <f aca="false">lc_avsh_26*lc_avrel_29</f>
        <v>0.424088494949175</v>
      </c>
    </row>
    <row r="85" customFormat="false" ht="17.15" hidden="false" customHeight="false" outlineLevel="0" collapsed="false">
      <c r="A85" s="0" t="s">
        <v>1830</v>
      </c>
      <c r="B85" s="6" t="s">
        <v>1822</v>
      </c>
      <c r="C85" s="0" t="s">
        <v>1831</v>
      </c>
      <c r="D85" s="17" t="n">
        <f aca="false">lc_aush_26</f>
        <v>0.15870077644017</v>
      </c>
      <c r="E85" s="17" t="n">
        <f aca="false">lc_aush_26*lc_avrel_27_lo</f>
        <v>0.134895659974145</v>
      </c>
      <c r="F85" s="17" t="n">
        <f aca="false">lc_aush_26*lc_avrel_28_lo</f>
        <v>0.119025582330128</v>
      </c>
      <c r="G85" s="17" t="n">
        <f aca="false">lc_aush_26*lc_avrel_29_lo</f>
        <v>0.111090543508119</v>
      </c>
    </row>
    <row r="86" customFormat="false" ht="17.15" hidden="false" customHeight="false" outlineLevel="0" collapsed="false">
      <c r="A86" s="0" t="s">
        <v>1830</v>
      </c>
      <c r="B86" s="6" t="s">
        <v>1824</v>
      </c>
      <c r="C86" s="0" t="s">
        <v>1832</v>
      </c>
      <c r="D86" s="17" t="n">
        <f aca="false">0</f>
        <v>0</v>
      </c>
      <c r="E86" s="17" t="n">
        <f aca="false">lc_jtsh_27_lo</f>
        <v>0.003</v>
      </c>
      <c r="F86" s="17" t="n">
        <f aca="false">lc_jtsh_28_lo</f>
        <v>0.006</v>
      </c>
      <c r="G86" s="17" t="n">
        <f aca="false">lc_jtsh_29_lo</f>
        <v>0.01</v>
      </c>
    </row>
    <row r="87" customFormat="false" ht="17.15" hidden="false" customHeight="false" outlineLevel="0" collapsed="false">
      <c r="A87" s="0" t="s">
        <v>1830</v>
      </c>
      <c r="B87" s="9" t="s">
        <v>1763</v>
      </c>
      <c r="D87" s="21" t="n">
        <f aca="false">SUM(D84:D86)</f>
        <v>0.657628417556847</v>
      </c>
      <c r="E87" s="21" t="n">
        <f aca="false">SUM(E84:E86)</f>
        <v>0.611876919034988</v>
      </c>
      <c r="F87" s="21" t="n">
        <f aca="false">SUM(F84:F86)</f>
        <v>0.574060459335137</v>
      </c>
      <c r="G87" s="21" t="n">
        <f aca="false">SUM(G84:G86)</f>
        <v>0.545179038457294</v>
      </c>
    </row>
    <row r="88" customFormat="false" ht="17.15" hidden="false" customHeight="false" outlineLevel="0" collapsed="false">
      <c r="A88" s="0" t="s">
        <v>1830</v>
      </c>
      <c r="B88" s="6" t="s">
        <v>1826</v>
      </c>
      <c r="D88" s="17" t="n">
        <f aca="false">1-D87</f>
        <v>0.342371582443153</v>
      </c>
      <c r="E88" s="17" t="n">
        <f aca="false">1-E87</f>
        <v>0.388123080965012</v>
      </c>
      <c r="F88" s="17" t="n">
        <f aca="false">1-F87</f>
        <v>0.425939540664863</v>
      </c>
      <c r="G88" s="17" t="n">
        <f aca="false">1-G87</f>
        <v>0.454820961542706</v>
      </c>
    </row>
    <row r="90" customFormat="false" ht="17.15" hidden="false" customHeight="false" outlineLevel="0" collapsed="false">
      <c r="A90" s="6" t="s">
        <v>1833</v>
      </c>
    </row>
    <row r="92" customFormat="false" ht="17.15" hidden="false" customHeight="false" outlineLevel="0" collapsed="false">
      <c r="A92" s="6" t="s">
        <v>1834</v>
      </c>
      <c r="B92" s="0" t="s">
        <v>1835</v>
      </c>
      <c r="D92" s="17" t="n">
        <f aca="false">pwr_kgi_0701</f>
        <v>0.7</v>
      </c>
      <c r="E92" s="17" t="n">
        <f aca="false">pwr_kgi_0926</f>
        <v>0.625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1836</v>
      </c>
    </row>
    <row r="3" customFormat="false" ht="15" hidden="false" customHeight="false" outlineLevel="0" collapsed="false">
      <c r="A3" s="4" t="s">
        <v>45</v>
      </c>
      <c r="B3" s="4" t="s">
        <v>20</v>
      </c>
      <c r="C3" s="5" t="s">
        <v>1737</v>
      </c>
      <c r="D3" s="5" t="s">
        <v>1738</v>
      </c>
      <c r="E3" s="5" t="s">
        <v>1739</v>
      </c>
      <c r="F3" s="5" t="s">
        <v>1740</v>
      </c>
    </row>
    <row r="4" customFormat="false" ht="17.15" hidden="false" customHeight="false" outlineLevel="0" collapsed="false">
      <c r="A4" s="10" t="s">
        <v>1837</v>
      </c>
      <c r="C4" s="22" t="n">
        <f aca="false">Units!C4*it_GB+Units!C5*it_VR+Units!C6*it_RU+Units!C7*it_HP+Units!C8*it_AMD8+Units!C9*it_TPU+Units!C10*it_TRN+Units!C11*it_ASIC</f>
        <v>781.872916666667</v>
      </c>
      <c r="D4" s="22" t="n">
        <f aca="false">Units!D4*it_GB+Units!D5*it_VR+Units!D6*it_RU+Units!D7*it_HP+Units!D8*it_AMDR+Units!D9*it_TPU+Units!D10*it_TRN+Units!D11*it_ASIC</f>
        <v>1565.35</v>
      </c>
      <c r="E4" s="22" t="n">
        <f aca="false">Units!E4*it_GB+Units!E5*it_VR+Units!E6*it_RU+Units!E7*it_HP+Units!E8*it_AMDR+Units!E9*it_TPU+Units!E10*it_TRN+Units!E11*it_ASIC</f>
        <v>1984.26388888889</v>
      </c>
      <c r="F4" s="22" t="n">
        <f aca="false">Units!F4*it_GB+Units!F5*it_VR+Units!F6*it_RU+Units!F7*it_HP+Units!F8*it_AMDR+Units!F9*it_TPU+Units!F10*it_TRN+Units!F11*it_ASIC</f>
        <v>2260.39027777778</v>
      </c>
    </row>
    <row r="5" customFormat="false" ht="17.15" hidden="false" customHeight="false" outlineLevel="0" collapsed="false">
      <c r="A5" s="0" t="s">
        <v>1838</v>
      </c>
      <c r="B5" s="0" t="s">
        <v>27</v>
      </c>
      <c r="C5" s="22" t="n">
        <f aca="false">C4</f>
        <v>781.872916666667</v>
      </c>
      <c r="D5" s="22" t="n">
        <f aca="false">D4</f>
        <v>1565.35</v>
      </c>
      <c r="E5" s="22" t="n">
        <f aca="false">E4*um28_A</f>
        <v>1984.26388888889</v>
      </c>
      <c r="F5" s="22" t="n">
        <f aca="false">F4*um29_A</f>
        <v>2260.39027777778</v>
      </c>
    </row>
    <row r="6" customFormat="false" ht="17.15" hidden="false" customHeight="false" outlineLevel="0" collapsed="false">
      <c r="A6" s="0" t="s">
        <v>1838</v>
      </c>
      <c r="B6" s="0" t="s">
        <v>32</v>
      </c>
      <c r="C6" s="22" t="n">
        <f aca="false">C4</f>
        <v>781.872916666667</v>
      </c>
      <c r="D6" s="22" t="n">
        <f aca="false">D4</f>
        <v>1565.35</v>
      </c>
      <c r="E6" s="22" t="n">
        <f aca="false">E4*um28_B</f>
        <v>1587.41111111111</v>
      </c>
      <c r="F6" s="22" t="n">
        <f aca="false">F4*um29_B</f>
        <v>1921.33173611111</v>
      </c>
    </row>
    <row r="7" customFormat="false" ht="17.15" hidden="false" customHeight="false" outlineLevel="0" collapsed="false">
      <c r="A7" s="0" t="s">
        <v>1838</v>
      </c>
      <c r="B7" s="0" t="s">
        <v>36</v>
      </c>
      <c r="C7" s="22" t="n">
        <f aca="false">C4</f>
        <v>781.872916666667</v>
      </c>
      <c r="D7" s="22" t="n">
        <f aca="false">D4</f>
        <v>1565.35</v>
      </c>
      <c r="E7" s="22" t="n">
        <f aca="false">E4*um28_C</f>
        <v>1190.55833333333</v>
      </c>
      <c r="F7" s="22" t="n">
        <f aca="false">F4*um29_C</f>
        <v>1356.23416666667</v>
      </c>
    </row>
    <row r="8" customFormat="false" ht="17.15" hidden="false" customHeight="false" outlineLevel="0" collapsed="false">
      <c r="A8" s="6" t="s">
        <v>1839</v>
      </c>
      <c r="C8" s="14" t="n">
        <f aca="false">TK_CapexIT_GB300*(1-vr26)+TK_CapexIT_VR200*vr26</f>
        <v>33.41403216</v>
      </c>
      <c r="D8" s="14" t="n">
        <f aca="false">TK_CapexIT_VR200</f>
        <v>37.586352</v>
      </c>
      <c r="E8" s="14" t="n">
        <f aca="false">TK_CapexIT_VR200</f>
        <v>37.586352</v>
      </c>
      <c r="F8" s="14" t="n">
        <f aca="false">TK_CapexIT_VR200</f>
        <v>37.586352</v>
      </c>
    </row>
    <row r="9" customFormat="false" ht="17.15" hidden="false" customHeight="false" outlineLevel="0" collapsed="false">
      <c r="A9" s="9" t="s">
        <v>1840</v>
      </c>
      <c r="B9" s="12" t="s">
        <v>27</v>
      </c>
      <c r="C9" s="23" t="n">
        <f aca="false">C5/C8</f>
        <v>23.3995380420639</v>
      </c>
      <c r="D9" s="23" t="n">
        <f aca="false">D5/D8</f>
        <v>41.6467658260637</v>
      </c>
      <c r="E9" s="23" t="n">
        <f aca="false">E5/E8</f>
        <v>52.792138191248</v>
      </c>
      <c r="F9" s="23" t="n">
        <f aca="false">F5/F8</f>
        <v>60.1385917361115</v>
      </c>
    </row>
    <row r="10" customFormat="false" ht="17.15" hidden="false" customHeight="false" outlineLevel="0" collapsed="false">
      <c r="A10" s="9" t="s">
        <v>1840</v>
      </c>
      <c r="B10" s="12" t="s">
        <v>32</v>
      </c>
      <c r="C10" s="23" t="n">
        <f aca="false">C6/C8</f>
        <v>23.3995380420639</v>
      </c>
      <c r="D10" s="23" t="n">
        <f aca="false">D6/D8</f>
        <v>41.6467658260637</v>
      </c>
      <c r="E10" s="23" t="n">
        <f aca="false">E6/E8</f>
        <v>42.2337105529984</v>
      </c>
      <c r="F10" s="23" t="n">
        <f aca="false">F6/F8</f>
        <v>51.1178029756948</v>
      </c>
    </row>
    <row r="11" customFormat="false" ht="17.15" hidden="false" customHeight="false" outlineLevel="0" collapsed="false">
      <c r="A11" s="9" t="s">
        <v>1840</v>
      </c>
      <c r="B11" s="12" t="s">
        <v>36</v>
      </c>
      <c r="C11" s="23" t="n">
        <f aca="false">C7/C8</f>
        <v>23.3995380420639</v>
      </c>
      <c r="D11" s="23" t="n">
        <f aca="false">D7/D8</f>
        <v>41.6467658260637</v>
      </c>
      <c r="E11" s="23" t="n">
        <f aca="false">E7/E8</f>
        <v>31.6752829147488</v>
      </c>
      <c r="F11" s="23" t="n">
        <f aca="false">F7/F8</f>
        <v>36.0831550416669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0"/>
    <col collapsed="false" customWidth="true" hidden="false" outlineLevel="0" max="7" min="7" style="0" width="40"/>
  </cols>
  <sheetData>
    <row r="1" customFormat="false" ht="17.15" hidden="false" customHeight="false" outlineLevel="0" collapsed="false">
      <c r="A1" s="0" t="s">
        <v>1841</v>
      </c>
    </row>
    <row r="3" customFormat="false" ht="15" hidden="false" customHeight="false" outlineLevel="0" collapsed="false">
      <c r="A3" s="4" t="s">
        <v>45</v>
      </c>
      <c r="B3" s="4" t="s">
        <v>20</v>
      </c>
      <c r="C3" s="5" t="s">
        <v>1737</v>
      </c>
      <c r="D3" s="5" t="s">
        <v>1738</v>
      </c>
      <c r="E3" s="5" t="s">
        <v>1739</v>
      </c>
      <c r="F3" s="5" t="s">
        <v>1740</v>
      </c>
      <c r="G3" s="4" t="s">
        <v>40</v>
      </c>
    </row>
    <row r="4" customFormat="false" ht="17.15" hidden="false" customHeight="false" outlineLevel="0" collapsed="false">
      <c r="A4" s="10" t="s">
        <v>1842</v>
      </c>
    </row>
    <row r="5" customFormat="false" ht="17.15" hidden="false" customHeight="false" outlineLevel="0" collapsed="false">
      <c r="A5" s="0" t="s">
        <v>1843</v>
      </c>
      <c r="C5" s="14" t="n">
        <f aca="false">abfm_25*(1+abfm_g26)</f>
        <v>10.1904</v>
      </c>
      <c r="G5" s="12" t="s">
        <v>1844</v>
      </c>
    </row>
    <row r="6" customFormat="false" ht="17.15" hidden="false" customHeight="false" outlineLevel="0" collapsed="false">
      <c r="A6" s="0" t="s">
        <v>1845</v>
      </c>
      <c r="C6" s="17" t="n">
        <f aca="false">abf_ai26*abf_accsh26</f>
        <v>0.288</v>
      </c>
    </row>
    <row r="7" customFormat="false" ht="17.15" hidden="false" customHeight="false" outlineLevel="0" collapsed="false">
      <c r="A7" s="0" t="s">
        <v>1846</v>
      </c>
      <c r="C7" s="17" t="n">
        <f aca="false">abf_ai26*(1-abf_accsh26)</f>
        <v>0.162</v>
      </c>
    </row>
    <row r="8" customFormat="false" ht="17.15" hidden="false" customHeight="false" outlineLevel="0" collapsed="false">
      <c r="A8" s="0" t="s">
        <v>1847</v>
      </c>
      <c r="C8" s="17" t="n">
        <f aca="false">1-abf_ai26</f>
        <v>0.55</v>
      </c>
    </row>
    <row r="9" customFormat="false" ht="17.15" hidden="false" customHeight="false" outlineLevel="0" collapsed="false">
      <c r="A9" s="6" t="s">
        <v>1848</v>
      </c>
      <c r="B9" s="0" t="s">
        <v>27</v>
      </c>
      <c r="C9" s="14" t="n">
        <f aca="false">(Units!C4+Units!C5+Units!C6+Units!C7+abf_vot*(Units!C8+Units!C9+Units!C10+Units!C11))</f>
        <v>13.68</v>
      </c>
      <c r="D9" s="14" t="n">
        <f aca="false">(Units!D4+Units!D5+Units!D6+Units!D7+abf_vot*(Units!D8+Units!D9+Units!D10+Units!D11))</f>
        <v>20.9</v>
      </c>
      <c r="E9" s="14" t="n">
        <f aca="false">(Units!E4+Units!E5+Units!E6+Units!E7+abf_vot*(Units!E8+Units!E9+Units!E10+Units!E11))*um28_A</f>
        <v>23.1</v>
      </c>
      <c r="F9" s="14" t="n">
        <f aca="false">(Units!F4+Units!F5+Units!F6+Units!F7+abf_vot*(Units!F8+Units!F9+Units!F10+Units!F11))*um29_A</f>
        <v>26.24</v>
      </c>
    </row>
    <row r="10" customFormat="false" ht="17.15" hidden="false" customHeight="false" outlineLevel="0" collapsed="false">
      <c r="A10" s="6" t="s">
        <v>1848</v>
      </c>
      <c r="B10" s="0" t="s">
        <v>32</v>
      </c>
      <c r="C10" s="14" t="n">
        <f aca="false">(Units!C4+Units!C5+Units!C6+Units!C7+abf_vot*(Units!C8+Units!C9+Units!C10+Units!C11))</f>
        <v>13.68</v>
      </c>
      <c r="D10" s="14" t="n">
        <f aca="false">(Units!D4+Units!D5+Units!D6+Units!D7+abf_vot*(Units!D8+Units!D9+Units!D10+Units!D11))</f>
        <v>20.9</v>
      </c>
      <c r="E10" s="14" t="n">
        <f aca="false">(Units!E4+Units!E5+Units!E6+Units!E7+abf_vot*(Units!E8+Units!E9+Units!E10+Units!E11))*um28_B</f>
        <v>18.48</v>
      </c>
      <c r="F10" s="14" t="n">
        <f aca="false">(Units!F4+Units!F5+Units!F6+Units!F7+abf_vot*(Units!F8+Units!F9+Units!F10+Units!F11))*um29_B</f>
        <v>22.304</v>
      </c>
    </row>
    <row r="11" customFormat="false" ht="17.15" hidden="false" customHeight="false" outlineLevel="0" collapsed="false">
      <c r="A11" s="6" t="s">
        <v>1848</v>
      </c>
      <c r="B11" s="0" t="s">
        <v>36</v>
      </c>
      <c r="C11" s="14" t="n">
        <f aca="false">(Units!C4+Units!C5+Units!C6+Units!C7+abf_vot*(Units!C8+Units!C9+Units!C10+Units!C11))</f>
        <v>13.68</v>
      </c>
      <c r="D11" s="14" t="n">
        <f aca="false">(Units!D4+Units!D5+Units!D6+Units!D7+abf_vot*(Units!D8+Units!D9+Units!D10+Units!D11))</f>
        <v>20.9</v>
      </c>
      <c r="E11" s="14" t="n">
        <f aca="false">(Units!E4+Units!E5+Units!E6+Units!E7+abf_vot*(Units!E8+Units!E9+Units!E10+Units!E11))*um28_C</f>
        <v>13.86</v>
      </c>
      <c r="F11" s="14" t="n">
        <f aca="false">(Units!F4+Units!F5+Units!F6+Units!F7+abf_vot*(Units!F8+Units!F9+Units!F10+Units!F11))*um29_C</f>
        <v>15.744</v>
      </c>
    </row>
    <row r="12" customFormat="false" ht="17.15" hidden="false" customHeight="false" outlineLevel="0" collapsed="false">
      <c r="A12" s="6" t="s">
        <v>1849</v>
      </c>
      <c r="B12" s="0" t="s">
        <v>27</v>
      </c>
      <c r="C12" s="24" t="n">
        <f aca="false">C9/$C9*(1+abf_gasp)^0</f>
        <v>1</v>
      </c>
      <c r="D12" s="24" t="n">
        <f aca="false">D9/$C9*(1+abf_gasp)^1</f>
        <v>1.80277777777778</v>
      </c>
      <c r="E12" s="24" t="n">
        <f aca="false">E9/$C9*(1+abf_gasp)^2</f>
        <v>2.35120175438597</v>
      </c>
      <c r="F12" s="24" t="n">
        <f aca="false">F9/$C9*(1+abf_gasp)^3</f>
        <v>3.15154676023392</v>
      </c>
    </row>
    <row r="13" customFormat="false" ht="17.15" hidden="false" customHeight="false" outlineLevel="0" collapsed="false">
      <c r="A13" s="6" t="s">
        <v>1849</v>
      </c>
      <c r="B13" s="0" t="s">
        <v>32</v>
      </c>
      <c r="C13" s="24" t="n">
        <f aca="false">C10/$C10*(1+abf_gasp)^0</f>
        <v>1</v>
      </c>
      <c r="D13" s="24" t="n">
        <f aca="false">D10/$C10*(1+abf_gasp)^1</f>
        <v>1.80277777777778</v>
      </c>
      <c r="E13" s="24" t="n">
        <f aca="false">E10/$C10*(1+abf_gasp)^2</f>
        <v>1.88096140350877</v>
      </c>
      <c r="F13" s="24" t="n">
        <f aca="false">F10/$C10*(1+abf_gasp)^3</f>
        <v>2.67881474619883</v>
      </c>
    </row>
    <row r="14" customFormat="false" ht="17.15" hidden="false" customHeight="false" outlineLevel="0" collapsed="false">
      <c r="A14" s="6" t="s">
        <v>1849</v>
      </c>
      <c r="B14" s="0" t="s">
        <v>36</v>
      </c>
      <c r="C14" s="24" t="n">
        <f aca="false">C11/$C11*(1+abf_gasp)^0</f>
        <v>1</v>
      </c>
      <c r="D14" s="24" t="n">
        <f aca="false">D11/$C11*(1+abf_gasp)^1</f>
        <v>1.80277777777778</v>
      </c>
      <c r="E14" s="24" t="n">
        <f aca="false">E11/$C11*(1+abf_gasp)^2</f>
        <v>1.41072105263158</v>
      </c>
      <c r="F14" s="24" t="n">
        <f aca="false">F11/$C11*(1+abf_gasp)^3</f>
        <v>1.89092805614035</v>
      </c>
    </row>
    <row r="15" customFormat="false" ht="17.15" hidden="false" customHeight="false" outlineLevel="0" collapsed="false">
      <c r="A15" s="6" t="s">
        <v>1850</v>
      </c>
      <c r="B15" s="0" t="s">
        <v>27</v>
      </c>
      <c r="C15" s="24" t="n">
        <f aca="false">(Deploy!C5/Deploy!$C5)^abf_oai_el</f>
        <v>1</v>
      </c>
      <c r="D15" s="24" t="n">
        <f aca="false">(Deploy!D5/Deploy!$C5)^abf_oai_el</f>
        <v>1.41493876102345</v>
      </c>
      <c r="E15" s="24" t="n">
        <f aca="false">(Deploy!E5/Deploy!$C5)^abf_oai_el</f>
        <v>1.59305815270929</v>
      </c>
      <c r="F15" s="24" t="n">
        <f aca="false">(Deploy!F5/Deploy!$C5)^abf_oai_el</f>
        <v>1.70029246581249</v>
      </c>
    </row>
    <row r="16" customFormat="false" ht="17.15" hidden="false" customHeight="false" outlineLevel="0" collapsed="false">
      <c r="A16" s="6" t="s">
        <v>1850</v>
      </c>
      <c r="B16" s="0" t="s">
        <v>32</v>
      </c>
      <c r="C16" s="24" t="n">
        <f aca="false">(Deploy!C6/Deploy!$C6)^abf_oai_el</f>
        <v>1</v>
      </c>
      <c r="D16" s="24" t="n">
        <f aca="false">(Deploy!D6/Deploy!$C6)^abf_oai_el</f>
        <v>1.41493876102345</v>
      </c>
      <c r="E16" s="24" t="n">
        <f aca="false">(Deploy!E6/Deploy!$C6)^abf_oai_el</f>
        <v>1.42487452862728</v>
      </c>
      <c r="F16" s="24" t="n">
        <f aca="false">(Deploy!F6/Deploy!$C6)^abf_oai_el</f>
        <v>1.56759219789584</v>
      </c>
    </row>
    <row r="17" customFormat="false" ht="17.15" hidden="false" customHeight="false" outlineLevel="0" collapsed="false">
      <c r="A17" s="6" t="s">
        <v>1850</v>
      </c>
      <c r="B17" s="0" t="s">
        <v>36</v>
      </c>
      <c r="C17" s="24" t="n">
        <f aca="false">(Deploy!C7/Deploy!$C7)^abf_oai_el</f>
        <v>1</v>
      </c>
      <c r="D17" s="24" t="n">
        <f aca="false">(Deploy!D7/Deploy!$C7)^abf_oai_el</f>
        <v>1.41493876102345</v>
      </c>
      <c r="E17" s="24" t="n">
        <f aca="false">(Deploy!E7/Deploy!$C7)^abf_oai_el</f>
        <v>1.2339775389966</v>
      </c>
      <c r="F17" s="24" t="n">
        <f aca="false">(Deploy!F7/Deploy!$C7)^abf_oai_el</f>
        <v>1.31704088075474</v>
      </c>
    </row>
    <row r="18" customFormat="false" ht="17.15" hidden="false" customHeight="false" outlineLevel="0" collapsed="false">
      <c r="A18" s="6" t="s">
        <v>1851</v>
      </c>
      <c r="C18" s="24" t="n">
        <f aca="false">(1+abf_gnai)^0</f>
        <v>1</v>
      </c>
      <c r="D18" s="24" t="n">
        <f aca="false">(1+abf_gnai)^1</f>
        <v>1.03</v>
      </c>
      <c r="E18" s="24" t="n">
        <f aca="false">(1+abf_gnai)^2</f>
        <v>1.0609</v>
      </c>
      <c r="F18" s="24" t="n">
        <f aca="false">(1+abf_gnai)^3</f>
        <v>1.092727</v>
      </c>
    </row>
    <row r="19" customFormat="false" ht="17.15" hidden="false" customHeight="false" outlineLevel="0" collapsed="false">
      <c r="A19" s="9" t="s">
        <v>1852</v>
      </c>
      <c r="B19" s="12" t="s">
        <v>27</v>
      </c>
      <c r="C19" s="25" t="n">
        <f aca="false">$C$6*C12+$C$7*C15+$C$8*C18</f>
        <v>1</v>
      </c>
      <c r="D19" s="25" t="n">
        <f aca="false">$C$6*D12+$C$7*D15+$C$8*D18</f>
        <v>1.3149200792858</v>
      </c>
      <c r="E19" s="25" t="n">
        <f aca="false">$C$6*E12+$C$7*E15+$C$8*E18</f>
        <v>1.51871652600206</v>
      </c>
      <c r="F19" s="25" t="n">
        <f aca="false">$C$6*F12+$C$7*F15+$C$8*F18</f>
        <v>1.78409269640899</v>
      </c>
    </row>
    <row r="20" customFormat="false" ht="17.15" hidden="false" customHeight="false" outlineLevel="0" collapsed="false">
      <c r="A20" s="9" t="s">
        <v>1852</v>
      </c>
      <c r="B20" s="12" t="s">
        <v>32</v>
      </c>
      <c r="C20" s="25" t="n">
        <f aca="false">$C$6*C13+$C$7*C16+$C$8*C18</f>
        <v>1</v>
      </c>
      <c r="D20" s="25" t="n">
        <f aca="false">$C$6*D13+$C$7*D16+$C$8*D18</f>
        <v>1.3149200792858</v>
      </c>
      <c r="E20" s="25" t="n">
        <f aca="false">$C$6*E13+$C$7*E16+$C$8*E18</f>
        <v>1.35604155784815</v>
      </c>
      <c r="F20" s="25" t="n">
        <f aca="false">$C$6*F13+$C$7*F16+$C$8*F18</f>
        <v>1.62644843296439</v>
      </c>
    </row>
    <row r="21" customFormat="false" ht="17.15" hidden="false" customHeight="false" outlineLevel="0" collapsed="false">
      <c r="A21" s="9" t="s">
        <v>1852</v>
      </c>
      <c r="B21" s="12" t="s">
        <v>36</v>
      </c>
      <c r="C21" s="25" t="n">
        <f aca="false">$C$6*C14+$C$7*C17+$C$8*C18</f>
        <v>1</v>
      </c>
      <c r="D21" s="25" t="n">
        <f aca="false">$C$6*D14+$C$7*D17+$C$8*D18</f>
        <v>1.3149200792858</v>
      </c>
      <c r="E21" s="25" t="n">
        <f aca="false">$C$6*E14+$C$7*E17+$C$8*E18</f>
        <v>1.18968702447534</v>
      </c>
      <c r="F21" s="25" t="n">
        <f aca="false">$C$6*F14+$C$7*F17+$C$8*F18</f>
        <v>1.35894775285069</v>
      </c>
    </row>
    <row r="23" customFormat="false" ht="17.15" hidden="false" customHeight="false" outlineLevel="0" collapsed="false">
      <c r="A23" s="10" t="s">
        <v>1853</v>
      </c>
    </row>
    <row r="24" customFormat="false" ht="17.15" hidden="false" customHeight="false" outlineLevel="0" collapsed="false">
      <c r="A24" s="0" t="s">
        <v>1854</v>
      </c>
      <c r="C24" s="17" t="n">
        <f aca="false">abfrev_ib26/$C$5</f>
        <v>0.206076307112577</v>
      </c>
    </row>
    <row r="25" customFormat="false" ht="17.15" hidden="false" customHeight="false" outlineLevel="0" collapsed="false">
      <c r="A25" s="0" t="s">
        <v>1855</v>
      </c>
      <c r="C25" s="17" t="n">
        <f aca="false">abfrev_un26/$C$5</f>
        <v>0.301263934683624</v>
      </c>
    </row>
    <row r="26" customFormat="false" ht="17.15" hidden="false" customHeight="false" outlineLevel="0" collapsed="false">
      <c r="A26" s="0" t="s">
        <v>1856</v>
      </c>
      <c r="C26" s="17" t="n">
        <f aca="false">abfrev_np26/$C$5</f>
        <v>0.104019469304443</v>
      </c>
    </row>
    <row r="27" customFormat="false" ht="17.15" hidden="false" customHeight="false" outlineLevel="0" collapsed="false">
      <c r="A27" s="0" t="s">
        <v>1857</v>
      </c>
      <c r="C27" s="17" t="n">
        <f aca="false">abfrev_ks26/$C$5</f>
        <v>0.0686921023708588</v>
      </c>
    </row>
    <row r="28" customFormat="false" ht="17.15" hidden="false" customHeight="false" outlineLevel="0" collapsed="false">
      <c r="A28" s="0" t="s">
        <v>1858</v>
      </c>
      <c r="C28" s="17" t="n">
        <f aca="false">1-C24-C25-C26-C27</f>
        <v>0.319948186528498</v>
      </c>
    </row>
    <row r="29" customFormat="false" ht="17.15" hidden="false" customHeight="false" outlineLevel="0" collapsed="false">
      <c r="A29" s="6" t="s">
        <v>1859</v>
      </c>
      <c r="C29" s="14" t="n">
        <f aca="false">1</f>
        <v>1</v>
      </c>
      <c r="D29" s="14" t="n">
        <f aca="false">abfcap_ib_27</f>
        <v>1.25</v>
      </c>
      <c r="E29" s="14" t="n">
        <f aca="false">abfcap_ib_28</f>
        <v>1.55</v>
      </c>
      <c r="F29" s="14" t="n">
        <f aca="false">abfcap_ib_29</f>
        <v>1.8</v>
      </c>
    </row>
    <row r="30" customFormat="false" ht="15" hidden="false" customHeight="false" outlineLevel="0" collapsed="false">
      <c r="A30" s="6" t="s">
        <v>1860</v>
      </c>
      <c r="C30" s="14" t="n">
        <f aca="false">1</f>
        <v>1</v>
      </c>
      <c r="D30" s="14" t="n">
        <f aca="false">abfcap_un_27</f>
        <v>1.35</v>
      </c>
      <c r="E30" s="14" t="n">
        <f aca="false">abfcap_un_28</f>
        <v>1.7</v>
      </c>
      <c r="F30" s="14" t="n">
        <f aca="false">abfcap_un_29</f>
        <v>2</v>
      </c>
    </row>
    <row r="31" customFormat="false" ht="15" hidden="false" customHeight="false" outlineLevel="0" collapsed="false">
      <c r="A31" s="6" t="s">
        <v>1861</v>
      </c>
      <c r="C31" s="14" t="n">
        <f aca="false">1</f>
        <v>1</v>
      </c>
      <c r="D31" s="14" t="n">
        <f aca="false">abfcap_np_27</f>
        <v>1.2</v>
      </c>
      <c r="E31" s="14" t="n">
        <f aca="false">abfcap_np_28</f>
        <v>1.35</v>
      </c>
      <c r="F31" s="14" t="n">
        <f aca="false">abfcap_np_29</f>
        <v>1.6</v>
      </c>
    </row>
    <row r="32" customFormat="false" ht="15" hidden="false" customHeight="false" outlineLevel="0" collapsed="false">
      <c r="A32" s="6" t="s">
        <v>1862</v>
      </c>
      <c r="C32" s="14" t="n">
        <f aca="false">1</f>
        <v>1</v>
      </c>
      <c r="D32" s="14" t="n">
        <f aca="false">abfcap_ks_27</f>
        <v>1.2</v>
      </c>
      <c r="E32" s="14" t="n">
        <f aca="false">abfcap_ks_28</f>
        <v>1.5</v>
      </c>
      <c r="F32" s="14" t="n">
        <f aca="false">abfcap_ks_29</f>
        <v>1.85</v>
      </c>
    </row>
    <row r="33" customFormat="false" ht="15" hidden="false" customHeight="false" outlineLevel="0" collapsed="false">
      <c r="A33" s="6" t="s">
        <v>1863</v>
      </c>
      <c r="C33" s="14" t="n">
        <f aca="false">1</f>
        <v>1</v>
      </c>
      <c r="D33" s="14" t="n">
        <f aca="false">abfcap_oth_27</f>
        <v>1.15</v>
      </c>
      <c r="E33" s="14" t="n">
        <f aca="false">abfcap_oth_28</f>
        <v>1.3</v>
      </c>
      <c r="F33" s="14" t="n">
        <f aca="false">abfcap_oth_29</f>
        <v>1.45</v>
      </c>
    </row>
    <row r="34" customFormat="false" ht="15" hidden="false" customHeight="false" outlineLevel="0" collapsed="false">
      <c r="A34" s="9" t="s">
        <v>1864</v>
      </c>
      <c r="C34" s="25" t="n">
        <f aca="false">$C$24*C29+$C$25*C30+$C$26*C31+$C$27*C32+$C$28*C33</f>
        <v>1</v>
      </c>
      <c r="D34" s="25" t="n">
        <f aca="false">$C$24*D29+$C$25*D30+$C$26*D31+$C$27*D32+$C$28*D33</f>
        <v>1.23949599623175</v>
      </c>
      <c r="E34" s="25" t="n">
        <f aca="false">$C$24*E29+$C$25*E30+$C$26*E31+$C$27*E32+$C$28*E33</f>
        <v>1.49096404459099</v>
      </c>
      <c r="F34" s="25" t="n">
        <f aca="false">$C$24*F29+$C$25*F30+$C$26*F31+$C$27*F32+$C$28*F33</f>
        <v>1.73090163290941</v>
      </c>
    </row>
    <row r="35" customFormat="false" ht="17.15" hidden="false" customHeight="false" outlineLevel="0" collapsed="false">
      <c r="A35" s="6" t="s">
        <v>1865</v>
      </c>
      <c r="C35" s="14" t="n">
        <f aca="false">1</f>
        <v>1</v>
      </c>
      <c r="D35" s="14" t="n">
        <f aca="false">abffilm_27</f>
        <v>1.3</v>
      </c>
      <c r="E35" s="14" t="n">
        <f aca="false">abffilm_28</f>
        <v>1.55</v>
      </c>
      <c r="F35" s="14" t="n">
        <f aca="false">abffilm_29</f>
        <v>1.8</v>
      </c>
    </row>
    <row r="36" customFormat="false" ht="15" hidden="false" customHeight="false" outlineLevel="0" collapsed="false">
      <c r="A36" s="9" t="s">
        <v>1866</v>
      </c>
      <c r="C36" s="25" t="n">
        <f aca="false">MIN(C34,C35)</f>
        <v>1</v>
      </c>
      <c r="D36" s="25" t="n">
        <f aca="false">MIN(D34,D35)</f>
        <v>1.23949599623175</v>
      </c>
      <c r="E36" s="25" t="n">
        <f aca="false">MIN(E34,E35)</f>
        <v>1.49096404459099</v>
      </c>
      <c r="F36" s="25" t="n">
        <f aca="false">MIN(F34,F35)</f>
        <v>1.73090163290941</v>
      </c>
      <c r="G36" s="6" t="s">
        <v>1867</v>
      </c>
    </row>
    <row r="38" customFormat="false" ht="17.15" hidden="false" customHeight="false" outlineLevel="0" collapsed="false">
      <c r="A38" s="10" t="s">
        <v>1868</v>
      </c>
    </row>
    <row r="39" customFormat="false" ht="17.15" hidden="false" customHeight="false" outlineLevel="0" collapsed="false">
      <c r="A39" s="10" t="s">
        <v>1869</v>
      </c>
      <c r="B39" s="12" t="s">
        <v>27</v>
      </c>
      <c r="C39" s="21" t="n">
        <f aca="false">(1+abf_gap_26)*C19/C36-1</f>
        <v>0.0900000000000001</v>
      </c>
      <c r="D39" s="21" t="n">
        <f aca="false">(1+abf_gap_26)*D19/D36-1</f>
        <v>0.156327161022588</v>
      </c>
      <c r="E39" s="21" t="n">
        <f aca="false">(1+abf_gap_26)*E19/E36-1</f>
        <v>0.110289023633947</v>
      </c>
      <c r="F39" s="21" t="n">
        <f aca="false">(1+abf_gap_26)*F19/F36-1</f>
        <v>0.123495987358389</v>
      </c>
    </row>
    <row r="40" customFormat="false" ht="17.15" hidden="false" customHeight="false" outlineLevel="0" collapsed="false">
      <c r="A40" s="10" t="s">
        <v>1869</v>
      </c>
      <c r="B40" s="12" t="s">
        <v>32</v>
      </c>
      <c r="C40" s="21" t="n">
        <f aca="false">(1+abf_gap_26)*C20/C36-1</f>
        <v>0.0900000000000001</v>
      </c>
      <c r="D40" s="21" t="n">
        <f aca="false">(1+abf_gap_26)*D20/D36-1</f>
        <v>0.156327161022588</v>
      </c>
      <c r="E40" s="21" t="n">
        <f aca="false">(1+abf_gap_26)*E20/E36-1</f>
        <v>-0.00863786526793242</v>
      </c>
      <c r="F40" s="21" t="n">
        <f aca="false">(1+abf_gap_26)*F20/F36-1</f>
        <v>0.0242227277533411</v>
      </c>
    </row>
    <row r="41" customFormat="false" ht="17.15" hidden="false" customHeight="false" outlineLevel="0" collapsed="false">
      <c r="A41" s="10" t="s">
        <v>1869</v>
      </c>
      <c r="B41" s="12" t="s">
        <v>36</v>
      </c>
      <c r="C41" s="21" t="n">
        <f aca="false">(1+abf_gap_26)*C21/C36-1</f>
        <v>0.0900000000000001</v>
      </c>
      <c r="D41" s="21" t="n">
        <f aca="false">(1+abf_gap_26)*D21/D36-1</f>
        <v>0.156327161022588</v>
      </c>
      <c r="E41" s="21" t="n">
        <f aca="false">(1+abf_gap_26)*E21/E36-1</f>
        <v>-0.130254776174792</v>
      </c>
      <c r="F41" s="21" t="n">
        <f aca="false">(1+abf_gap_26)*F21/F36-1</f>
        <v>-0.144230369626799</v>
      </c>
    </row>
    <row r="42" customFormat="false" ht="17.15" hidden="false" customHeight="false" outlineLevel="0" collapsed="false">
      <c r="A42" s="6" t="s">
        <v>1870</v>
      </c>
      <c r="C42" s="17" t="n">
        <f aca="false">abf_gap_26</f>
        <v>0.09</v>
      </c>
      <c r="D42" s="17" t="n">
        <f aca="false">abf_gap_27</f>
        <v>0.24</v>
      </c>
      <c r="E42" s="17" t="n">
        <f aca="false">abf_gap_28</f>
        <v>0.37</v>
      </c>
    </row>
    <row r="43" customFormat="false" ht="15" hidden="false" customHeight="false" outlineLevel="0" collapsed="false">
      <c r="A43" s="6" t="s">
        <v>1871</v>
      </c>
      <c r="C43" s="26" t="str">
        <f aca="false">TEXT(abf_gap_26_lo,"0%")&amp;"–"&amp;TEXT(abf_gap_26_hi,"0%")</f>
        <v>8%–10%</v>
      </c>
      <c r="D43" s="26" t="str">
        <f aca="false">TEXT(abf_gap_27_lo,"0%")&amp;"–"&amp;TEXT(abf_gap_27_hi,"0%")</f>
        <v>21%–27%</v>
      </c>
      <c r="E43" s="26" t="str">
        <f aca="false">TEXT(abf_gap_28_lo,"0%")&amp;"–"&amp;TEXT(abf_gap_28_hi,"0%")</f>
        <v>29%–42%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0"/>
    <col collapsed="false" customWidth="true" hidden="false" outlineLevel="0" max="7" min="7" style="0" width="30"/>
  </cols>
  <sheetData>
    <row r="1" customFormat="false" ht="17.15" hidden="false" customHeight="false" outlineLevel="0" collapsed="false">
      <c r="A1" s="0" t="s">
        <v>1872</v>
      </c>
    </row>
    <row r="3" customFormat="false" ht="15" hidden="false" customHeight="false" outlineLevel="0" collapsed="false">
      <c r="A3" s="4" t="s">
        <v>45</v>
      </c>
      <c r="B3" s="4" t="s">
        <v>20</v>
      </c>
      <c r="C3" s="5" t="s">
        <v>1737</v>
      </c>
      <c r="D3" s="5" t="s">
        <v>1738</v>
      </c>
      <c r="E3" s="5" t="s">
        <v>1739</v>
      </c>
      <c r="F3" s="5" t="s">
        <v>1740</v>
      </c>
      <c r="G3" s="4" t="s">
        <v>40</v>
      </c>
    </row>
    <row r="4" customFormat="false" ht="17.15" hidden="false" customHeight="false" outlineLevel="0" collapsed="false">
      <c r="A4" s="9" t="s">
        <v>1873</v>
      </c>
    </row>
    <row r="5" customFormat="false" ht="17.15" hidden="false" customHeight="false" outlineLevel="0" collapsed="false">
      <c r="A5" s="6" t="s">
        <v>1874</v>
      </c>
      <c r="C5" s="27" t="n">
        <f aca="false">pcb_cmp_26</f>
        <v>280</v>
      </c>
      <c r="D5" s="27" t="n">
        <f aca="false">pcb_cmp_26*pcb_cmpx_27</f>
        <v>420</v>
      </c>
      <c r="E5" s="27" t="n">
        <f aca="false">pcb_cmp_26*pcb_cmpx_28</f>
        <v>462</v>
      </c>
      <c r="F5" s="27" t="n">
        <f aca="false">pcb_cmp_26*pcb_cmpx_29</f>
        <v>504</v>
      </c>
    </row>
    <row r="6" customFormat="false" ht="17.15" hidden="false" customHeight="false" outlineLevel="0" collapsed="false">
      <c r="A6" s="6" t="s">
        <v>1875</v>
      </c>
      <c r="C6" s="27" t="n">
        <f aca="false">pcb_sw_26</f>
        <v>120</v>
      </c>
      <c r="D6" s="27" t="n">
        <f aca="false">pcb_sw_26*pcb_swx_27</f>
        <v>162</v>
      </c>
      <c r="E6" s="27" t="n">
        <f aca="false">pcb_sw_26*pcb_swx_28</f>
        <v>180</v>
      </c>
      <c r="F6" s="27" t="n">
        <f aca="false">pcb_sw_26*pcb_swx_29</f>
        <v>198</v>
      </c>
    </row>
    <row r="7" customFormat="false" ht="17.15" hidden="false" customHeight="false" outlineLevel="0" collapsed="false">
      <c r="A7" s="6" t="s">
        <v>1876</v>
      </c>
      <c r="C7" s="27" t="n">
        <f aca="false">pcb_mid_26</f>
        <v>50</v>
      </c>
      <c r="D7" s="27" t="n">
        <f aca="false">pcb_mid_26*pcb_midx_27</f>
        <v>100</v>
      </c>
      <c r="E7" s="27" t="n">
        <f aca="false">pcb_mid_26*pcb_midx_28</f>
        <v>150</v>
      </c>
      <c r="F7" s="27" t="n">
        <f aca="false">pcb_mid_26*pcb_midx_29</f>
        <v>175</v>
      </c>
    </row>
    <row r="8" customFormat="false" ht="17.15" hidden="false" customHeight="false" outlineLevel="0" collapsed="false">
      <c r="A8" s="9" t="s">
        <v>1877</v>
      </c>
      <c r="C8" s="28" t="n">
        <f aca="false">SUM(C5:C7)</f>
        <v>450</v>
      </c>
      <c r="D8" s="28" t="n">
        <f aca="false">SUM(D5:D7)</f>
        <v>682</v>
      </c>
      <c r="E8" s="28" t="n">
        <f aca="false">SUM(E5:E7)</f>
        <v>792</v>
      </c>
      <c r="F8" s="28" t="n">
        <f aca="false">SUM(F5:F7)</f>
        <v>877</v>
      </c>
    </row>
    <row r="9" customFormat="false" ht="17.15" hidden="false" customHeight="false" outlineLevel="0" collapsed="false">
      <c r="A9" s="0" t="s">
        <v>1878</v>
      </c>
      <c r="B9" s="0" t="s">
        <v>27</v>
      </c>
      <c r="C9" s="22" t="n">
        <f aca="false">C8*Deploy!C9/1000</f>
        <v>10.5297921189288</v>
      </c>
      <c r="D9" s="22" t="n">
        <f aca="false">D8*Deploy!D9/1000</f>
        <v>28.4030942933754</v>
      </c>
      <c r="E9" s="22" t="n">
        <f aca="false">E8*Deploy!E9/1000</f>
        <v>41.8113734474684</v>
      </c>
      <c r="F9" s="22" t="n">
        <f aca="false">F8*Deploy!F9/1000</f>
        <v>52.7415449525698</v>
      </c>
    </row>
    <row r="10" customFormat="false" ht="17.15" hidden="false" customHeight="false" outlineLevel="0" collapsed="false">
      <c r="A10" s="0" t="s">
        <v>1878</v>
      </c>
      <c r="B10" s="0" t="s">
        <v>32</v>
      </c>
      <c r="C10" s="22" t="n">
        <f aca="false">C8*Deploy!C10/1000</f>
        <v>10.5297921189288</v>
      </c>
      <c r="D10" s="22" t="n">
        <f aca="false">D8*Deploy!D10/1000</f>
        <v>28.4030942933754</v>
      </c>
      <c r="E10" s="22" t="n">
        <f aca="false">E8*Deploy!E10/1000</f>
        <v>33.4490987579747</v>
      </c>
      <c r="F10" s="22" t="n">
        <f aca="false">F8*Deploy!F10/1000</f>
        <v>44.8303132096843</v>
      </c>
    </row>
    <row r="11" customFormat="false" ht="17.15" hidden="false" customHeight="false" outlineLevel="0" collapsed="false">
      <c r="A11" s="0" t="s">
        <v>1878</v>
      </c>
      <c r="B11" s="0" t="s">
        <v>36</v>
      </c>
      <c r="C11" s="22" t="n">
        <f aca="false">C8*Deploy!C11/1000</f>
        <v>10.5297921189288</v>
      </c>
      <c r="D11" s="22" t="n">
        <f aca="false">D8*Deploy!D11/1000</f>
        <v>28.4030942933754</v>
      </c>
      <c r="E11" s="22" t="n">
        <f aca="false">E8*Deploy!E11/1000</f>
        <v>25.086824068481</v>
      </c>
      <c r="F11" s="22" t="n">
        <f aca="false">F8*Deploy!F11/1000</f>
        <v>31.6449269715419</v>
      </c>
    </row>
    <row r="13" customFormat="false" ht="17.15" hidden="false" customHeight="false" outlineLevel="0" collapsed="false">
      <c r="A13" s="9" t="s">
        <v>1879</v>
      </c>
    </row>
    <row r="14" customFormat="false" ht="17.15" hidden="false" customHeight="false" outlineLevel="0" collapsed="false">
      <c r="A14" s="6" t="s">
        <v>1880</v>
      </c>
      <c r="C14" s="27" t="n">
        <f aca="false">ccl_cmp_26</f>
        <v>190</v>
      </c>
      <c r="D14" s="27" t="n">
        <f aca="false">ccl_cmp_26*ccl_cmpx_27</f>
        <v>275.5</v>
      </c>
      <c r="E14" s="27" t="n">
        <f aca="false">ccl_cmp_26*ccl_cmpx_28</f>
        <v>304</v>
      </c>
      <c r="F14" s="27" t="n">
        <f aca="false">ccl_cmp_26*ccl_cmpx_29</f>
        <v>323</v>
      </c>
    </row>
    <row r="15" customFormat="false" ht="17.15" hidden="false" customHeight="false" outlineLevel="0" collapsed="false">
      <c r="A15" s="6" t="s">
        <v>1881</v>
      </c>
      <c r="C15" s="27" t="n">
        <f aca="false">ccl_sw_26</f>
        <v>90</v>
      </c>
      <c r="D15" s="27" t="n">
        <f aca="false">ccl_sw_26*ccl_swx_27</f>
        <v>126</v>
      </c>
      <c r="E15" s="27" t="n">
        <f aca="false">ccl_sw_26*ccl_swx_28</f>
        <v>144</v>
      </c>
      <c r="F15" s="27" t="n">
        <f aca="false">ccl_sw_26*ccl_swx_29</f>
        <v>157.5</v>
      </c>
    </row>
    <row r="16" customFormat="false" ht="17.15" hidden="false" customHeight="false" outlineLevel="0" collapsed="false">
      <c r="A16" s="6" t="s">
        <v>1882</v>
      </c>
      <c r="C16" s="27" t="n">
        <f aca="false">ccl_ubb_26</f>
        <v>70</v>
      </c>
      <c r="D16" s="27" t="n">
        <f aca="false">ccl_ubb_26*ccl_ubbx_27</f>
        <v>126</v>
      </c>
      <c r="E16" s="27" t="n">
        <f aca="false">ccl_ubb_26*ccl_ubbx_28</f>
        <v>161</v>
      </c>
      <c r="F16" s="27" t="n">
        <f aca="false">ccl_ubb_26*ccl_ubbx_29</f>
        <v>182</v>
      </c>
    </row>
    <row r="17" customFormat="false" ht="17.15" hidden="false" customHeight="false" outlineLevel="0" collapsed="false">
      <c r="A17" s="9" t="s">
        <v>1883</v>
      </c>
      <c r="C17" s="28" t="n">
        <f aca="false">SUM(C14:C16)</f>
        <v>350</v>
      </c>
      <c r="D17" s="28" t="n">
        <f aca="false">SUM(D14:D16)</f>
        <v>527.5</v>
      </c>
      <c r="E17" s="28" t="n">
        <f aca="false">SUM(E14:E16)</f>
        <v>609</v>
      </c>
      <c r="F17" s="28" t="n">
        <f aca="false">SUM(F14:F16)</f>
        <v>662.5</v>
      </c>
    </row>
    <row r="18" customFormat="false" ht="17.15" hidden="false" customHeight="false" outlineLevel="0" collapsed="false">
      <c r="A18" s="0" t="s">
        <v>1884</v>
      </c>
      <c r="B18" s="0" t="s">
        <v>27</v>
      </c>
      <c r="C18" s="22" t="n">
        <f aca="false">C17*Deploy!C9/1000</f>
        <v>8.18983831472237</v>
      </c>
      <c r="D18" s="22" t="n">
        <f aca="false">D17*Deploy!D9/1000</f>
        <v>21.9686689732486</v>
      </c>
      <c r="E18" s="22" t="n">
        <f aca="false">E17*Deploy!E9/1000</f>
        <v>32.15041215847</v>
      </c>
      <c r="F18" s="22" t="n">
        <f aca="false">F17*Deploy!F9/1000</f>
        <v>39.8418170251739</v>
      </c>
    </row>
    <row r="19" customFormat="false" ht="17.15" hidden="false" customHeight="false" outlineLevel="0" collapsed="false">
      <c r="A19" s="0" t="s">
        <v>1884</v>
      </c>
      <c r="B19" s="0" t="s">
        <v>32</v>
      </c>
      <c r="C19" s="22" t="n">
        <f aca="false">C17*Deploy!C10/1000</f>
        <v>8.18983831472237</v>
      </c>
      <c r="D19" s="22" t="n">
        <f aca="false">D17*Deploy!D10/1000</f>
        <v>21.9686689732486</v>
      </c>
      <c r="E19" s="22" t="n">
        <f aca="false">E17*Deploy!E10/1000</f>
        <v>25.720329726776</v>
      </c>
      <c r="F19" s="22" t="n">
        <f aca="false">F17*Deploy!F10/1000</f>
        <v>33.8655444713978</v>
      </c>
    </row>
    <row r="20" customFormat="false" ht="17.15" hidden="false" customHeight="false" outlineLevel="0" collapsed="false">
      <c r="A20" s="0" t="s">
        <v>1884</v>
      </c>
      <c r="B20" s="0" t="s">
        <v>36</v>
      </c>
      <c r="C20" s="22" t="n">
        <f aca="false">C17*Deploy!C11/1000</f>
        <v>8.18983831472237</v>
      </c>
      <c r="D20" s="22" t="n">
        <f aca="false">D17*Deploy!D11/1000</f>
        <v>21.9686689732486</v>
      </c>
      <c r="E20" s="22" t="n">
        <f aca="false">E17*Deploy!E11/1000</f>
        <v>19.290247295082</v>
      </c>
      <c r="F20" s="22" t="n">
        <f aca="false">F17*Deploy!F11/1000</f>
        <v>23.9050902151043</v>
      </c>
    </row>
    <row r="22" customFormat="false" ht="17.15" hidden="false" customHeight="false" outlineLevel="0" collapsed="false">
      <c r="A22" s="6" t="s">
        <v>1885</v>
      </c>
      <c r="C22" s="14" t="n">
        <f aca="false">C8/C17</f>
        <v>1.28571428571429</v>
      </c>
      <c r="D22" s="14" t="n">
        <f aca="false">D8/D17</f>
        <v>1.29289099526066</v>
      </c>
      <c r="E22" s="14" t="n">
        <f aca="false">E8/E17</f>
        <v>1.30049261083744</v>
      </c>
      <c r="F22" s="14" t="n">
        <f aca="false">F8/F17</f>
        <v>1.32377358490566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0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1886</v>
      </c>
    </row>
    <row r="3" customFormat="false" ht="15" hidden="false" customHeight="false" outlineLevel="0" collapsed="false">
      <c r="A3" s="4" t="s">
        <v>45</v>
      </c>
      <c r="B3" s="4" t="s">
        <v>20</v>
      </c>
      <c r="C3" s="5" t="s">
        <v>1737</v>
      </c>
      <c r="D3" s="5" t="s">
        <v>1738</v>
      </c>
      <c r="E3" s="5" t="s">
        <v>1739</v>
      </c>
      <c r="F3" s="5" t="s">
        <v>1740</v>
      </c>
      <c r="G3" s="4" t="s">
        <v>40</v>
      </c>
    </row>
    <row r="4" customFormat="false" ht="17.15" hidden="false" customHeight="false" outlineLevel="0" collapsed="false">
      <c r="A4" s="10" t="s">
        <v>1887</v>
      </c>
    </row>
    <row r="5" customFormat="false" ht="17.15" hidden="false" customHeight="false" outlineLevel="0" collapsed="false">
      <c r="A5" s="6" t="s">
        <v>1888</v>
      </c>
      <c r="C5" s="29" t="n">
        <f aca="false">(TK_RacksPerGW_GB300*asm_odm_gb*(1-vr26)+TK_RacksPerGW_VR200*asm_odm_vr*vr26)/1000</f>
        <v>27.1209</v>
      </c>
      <c r="D5" s="29" t="n">
        <f aca="false">TK_RacksPerGW_VR200*asm_odm_vr/1000</f>
        <v>27.351</v>
      </c>
      <c r="E5" s="29" t="n">
        <f aca="false">TK_RacksPerGW_VR200*asm_odm_vr/1000</f>
        <v>27.351</v>
      </c>
      <c r="F5" s="29" t="n">
        <f aca="false">TK_RacksPerGW_VR200*asm_odm_vr/1000</f>
        <v>27.351</v>
      </c>
      <c r="G5" s="12" t="s">
        <v>1889</v>
      </c>
    </row>
    <row r="6" customFormat="false" ht="17.15" hidden="false" customHeight="false" outlineLevel="0" collapsed="false">
      <c r="A6" s="10" t="s">
        <v>1890</v>
      </c>
      <c r="B6" s="12" t="s">
        <v>27</v>
      </c>
      <c r="C6" s="30" t="n">
        <f aca="false">Deploy!C9*C5</f>
        <v>634.616531285011</v>
      </c>
      <c r="D6" s="30" t="n">
        <f aca="false">Deploy!D9*D5</f>
        <v>1139.08069210867</v>
      </c>
      <c r="E6" s="30" t="n">
        <f aca="false">Deploy!E9*E5</f>
        <v>1443.91777166882</v>
      </c>
      <c r="F6" s="30" t="n">
        <f aca="false">Deploy!F9*F5</f>
        <v>1644.85062257439</v>
      </c>
    </row>
    <row r="7" customFormat="false" ht="17.15" hidden="false" customHeight="false" outlineLevel="0" collapsed="false">
      <c r="A7" s="10" t="s">
        <v>1890</v>
      </c>
      <c r="B7" s="12" t="s">
        <v>32</v>
      </c>
      <c r="C7" s="30" t="n">
        <f aca="false">Deploy!C10*C5</f>
        <v>634.616531285011</v>
      </c>
      <c r="D7" s="30" t="n">
        <f aca="false">Deploy!D10*D5</f>
        <v>1139.08069210867</v>
      </c>
      <c r="E7" s="30" t="n">
        <f aca="false">Deploy!E10*E5</f>
        <v>1155.13421733506</v>
      </c>
      <c r="F7" s="30" t="n">
        <f aca="false">Deploy!F10*F5</f>
        <v>1398.12302918823</v>
      </c>
    </row>
    <row r="8" customFormat="false" ht="17.15" hidden="false" customHeight="false" outlineLevel="0" collapsed="false">
      <c r="A8" s="10" t="s">
        <v>1890</v>
      </c>
      <c r="B8" s="12" t="s">
        <v>36</v>
      </c>
      <c r="C8" s="30" t="n">
        <f aca="false">Deploy!C11*C5</f>
        <v>634.616531285011</v>
      </c>
      <c r="D8" s="30" t="n">
        <f aca="false">Deploy!D11*D5</f>
        <v>1139.08069210867</v>
      </c>
      <c r="E8" s="30" t="n">
        <f aca="false">Deploy!E11*E5</f>
        <v>866.350663001294</v>
      </c>
      <c r="F8" s="30" t="n">
        <f aca="false">Deploy!F11*F5</f>
        <v>986.910373544631</v>
      </c>
    </row>
    <row r="10" customFormat="false" ht="17.15" hidden="false" customHeight="false" outlineLevel="0" collapsed="false">
      <c r="A10" s="10" t="s">
        <v>1891</v>
      </c>
    </row>
    <row r="11" customFormat="false" ht="17.15" hidden="false" customHeight="false" outlineLevel="0" collapsed="false">
      <c r="A11" s="6" t="s">
        <v>1892</v>
      </c>
      <c r="C11" s="29" t="n">
        <f aca="false">TK_RackPrice_GB300/(TK_GPUsPerGW_GB300/TK_RacksPerGW_GB300)*1000</f>
        <v>59.7222222222222</v>
      </c>
      <c r="D11" s="29" t="n">
        <f aca="false">TK_RackPrice_GB300/(TK_GPUsPerGW_GB300/TK_RacksPerGW_GB300)*1000</f>
        <v>59.7222222222222</v>
      </c>
      <c r="E11" s="29" t="n">
        <f aca="false">TK_RackPrice_GB300/(TK_GPUsPerGW_GB300/TK_RacksPerGW_GB300)*1000</f>
        <v>59.7222222222222</v>
      </c>
      <c r="F11" s="29" t="n">
        <f aca="false">TK_RackPrice_GB300/(TK_GPUsPerGW_GB300/TK_RacksPerGW_GB300)*1000</f>
        <v>59.7222222222222</v>
      </c>
      <c r="G11" s="12" t="s">
        <v>1893</v>
      </c>
    </row>
    <row r="12" customFormat="false" ht="17.15" hidden="false" customHeight="false" outlineLevel="0" collapsed="false">
      <c r="A12" s="6" t="s">
        <v>1894</v>
      </c>
      <c r="C12" s="29" t="n">
        <f aca="false">TK_RackPrice_VR200/(TK_GPUsPerGW_VR200/TK_RacksPerGW_VR200)*1000</f>
        <v>116.666666666667</v>
      </c>
      <c r="D12" s="29" t="n">
        <f aca="false">TK_RackPrice_VR200/(TK_GPUsPerGW_VR200/TK_RacksPerGW_VR200)*1000</f>
        <v>116.666666666667</v>
      </c>
      <c r="E12" s="29" t="n">
        <f aca="false">TK_RackPrice_VR200/(TK_GPUsPerGW_VR200/TK_RacksPerGW_VR200)*1000</f>
        <v>116.666666666667</v>
      </c>
      <c r="F12" s="29" t="n">
        <f aca="false">TK_RackPrice_VR200/(TK_GPUsPerGW_VR200/TK_RacksPerGW_VR200)*1000</f>
        <v>116.666666666667</v>
      </c>
      <c r="G12" s="12" t="s">
        <v>1895</v>
      </c>
    </row>
    <row r="13" customFormat="false" ht="17.15" hidden="false" customHeight="false" outlineLevel="0" collapsed="false">
      <c r="A13" s="0" t="s">
        <v>1896</v>
      </c>
      <c r="C13" s="24" t="n">
        <f aca="false">Units!C4+Units!C7+Units!C8</f>
        <v>6.65</v>
      </c>
      <c r="D13" s="24" t="n">
        <f aca="false">Units!D4+Units!D7</f>
        <v>2.4</v>
      </c>
      <c r="E13" s="24" t="n">
        <f aca="false">Units!E4+Units!E7</f>
        <v>0.5</v>
      </c>
      <c r="F13" s="24" t="n">
        <f aca="false">Units!F4+Units!F7</f>
        <v>0.25</v>
      </c>
      <c r="G13" s="6" t="s">
        <v>1897</v>
      </c>
    </row>
    <row r="14" customFormat="false" ht="17.15" hidden="false" customHeight="false" outlineLevel="0" collapsed="false">
      <c r="A14" s="0" t="s">
        <v>1898</v>
      </c>
      <c r="C14" s="24" t="n">
        <f aca="false">Units!C5+Units!C6</f>
        <v>1.7</v>
      </c>
      <c r="D14" s="24" t="n">
        <f aca="false">Units!D5+Units!D6+Units!D8</f>
        <v>8.8</v>
      </c>
      <c r="E14" s="24" t="n">
        <f aca="false">Units!E5+Units!E6+Units!E8</f>
        <v>11</v>
      </c>
      <c r="F14" s="24" t="n">
        <f aca="false">Units!F5+Units!F6+Units!F8</f>
        <v>12.65</v>
      </c>
    </row>
    <row r="15" customFormat="false" ht="17.15" hidden="false" customHeight="false" outlineLevel="0" collapsed="false">
      <c r="A15" s="9" t="s">
        <v>1899</v>
      </c>
      <c r="B15" s="12" t="s">
        <v>27</v>
      </c>
      <c r="C15" s="30" t="n">
        <f aca="false">(C13*C11+C14*C12)</f>
        <v>595.486111111111</v>
      </c>
      <c r="D15" s="30" t="n">
        <f aca="false">(D13*D11+D14*D12)</f>
        <v>1170</v>
      </c>
      <c r="E15" s="30" t="n">
        <f aca="false">(E13*E11+E14*E12)*um28_A</f>
        <v>1313.19444444444</v>
      </c>
      <c r="F15" s="30" t="n">
        <f aca="false">(F13*F11+F14*F12)*um29_A</f>
        <v>1490.76388888889</v>
      </c>
    </row>
    <row r="16" customFormat="false" ht="17.15" hidden="false" customHeight="false" outlineLevel="0" collapsed="false">
      <c r="A16" s="9" t="s">
        <v>1899</v>
      </c>
      <c r="B16" s="12" t="s">
        <v>32</v>
      </c>
      <c r="C16" s="30" t="n">
        <f aca="false">(C13*C11+C14*C12)</f>
        <v>595.486111111111</v>
      </c>
      <c r="D16" s="30" t="n">
        <f aca="false">(D13*D11+D14*D12)</f>
        <v>1170</v>
      </c>
      <c r="E16" s="30" t="n">
        <f aca="false">(E13*E11+E14*E12)*um28_B</f>
        <v>1050.55555555556</v>
      </c>
      <c r="F16" s="30" t="n">
        <f aca="false">(F13*F11+F14*F12)*um29_B</f>
        <v>1267.14930555556</v>
      </c>
    </row>
    <row r="17" customFormat="false" ht="17.15" hidden="false" customHeight="false" outlineLevel="0" collapsed="false">
      <c r="A17" s="9" t="s">
        <v>1899</v>
      </c>
      <c r="B17" s="12" t="s">
        <v>36</v>
      </c>
      <c r="C17" s="30" t="n">
        <f aca="false">(C13*C11+C14*C12)</f>
        <v>595.486111111111</v>
      </c>
      <c r="D17" s="30" t="n">
        <f aca="false">(D13*D11+D14*D12)</f>
        <v>1170</v>
      </c>
      <c r="E17" s="30" t="n">
        <f aca="false">(E13*E11+E14*E12)*um28_C</f>
        <v>787.916666666667</v>
      </c>
      <c r="F17" s="30" t="n">
        <f aca="false">(F13*F11+F14*F12)*um29_C</f>
        <v>894.458333333333</v>
      </c>
    </row>
    <row r="19" customFormat="false" ht="17.15" hidden="false" customHeight="false" outlineLevel="0" collapsed="false">
      <c r="A19" s="10" t="s">
        <v>1900</v>
      </c>
    </row>
    <row r="20" customFormat="false" ht="17.15" hidden="false" customHeight="false" outlineLevel="0" collapsed="false">
      <c r="A20" s="0" t="s">
        <v>1901</v>
      </c>
      <c r="C20" s="27" t="n">
        <f aca="false">pwr_pkw_26</f>
        <v>450</v>
      </c>
      <c r="D20" s="27" t="n">
        <f aca="false">pwr_pkw_27</f>
        <v>600</v>
      </c>
      <c r="E20" s="27" t="n">
        <f aca="false">pwr_pkw_28</f>
        <v>680</v>
      </c>
      <c r="F20" s="27" t="n">
        <f aca="false">pwr_pkw_29</f>
        <v>720</v>
      </c>
      <c r="G20" s="6" t="s">
        <v>1902</v>
      </c>
    </row>
    <row r="21" customFormat="false" ht="17.15" hidden="false" customHeight="false" outlineLevel="0" collapsed="false">
      <c r="A21" s="10" t="s">
        <v>1903</v>
      </c>
      <c r="B21" s="12" t="s">
        <v>27</v>
      </c>
      <c r="C21" s="31" t="n">
        <f aca="false">Deploy!C9*C20/1000</f>
        <v>10.5297921189288</v>
      </c>
      <c r="D21" s="31" t="n">
        <f aca="false">Deploy!D9*D20/1000</f>
        <v>24.9880594956382</v>
      </c>
      <c r="E21" s="31" t="n">
        <f aca="false">Deploy!E9*E20/1000</f>
        <v>35.8986539700486</v>
      </c>
      <c r="F21" s="31" t="n">
        <f aca="false">Deploy!F9*F20/1000</f>
        <v>43.2997860500003</v>
      </c>
    </row>
    <row r="22" customFormat="false" ht="17.15" hidden="false" customHeight="false" outlineLevel="0" collapsed="false">
      <c r="A22" s="10" t="s">
        <v>1903</v>
      </c>
      <c r="B22" s="12" t="s">
        <v>32</v>
      </c>
      <c r="C22" s="31" t="n">
        <f aca="false">Deploy!C10*C20/1000</f>
        <v>10.5297921189288</v>
      </c>
      <c r="D22" s="31" t="n">
        <f aca="false">Deploy!D10*D20/1000</f>
        <v>24.9880594956382</v>
      </c>
      <c r="E22" s="31" t="n">
        <f aca="false">Deploy!E10*E20/1000</f>
        <v>28.7189231760389</v>
      </c>
      <c r="F22" s="31" t="n">
        <f aca="false">Deploy!F10*F20/1000</f>
        <v>36.8048181425002</v>
      </c>
    </row>
    <row r="23" customFormat="false" ht="17.15" hidden="false" customHeight="false" outlineLevel="0" collapsed="false">
      <c r="A23" s="10" t="s">
        <v>1903</v>
      </c>
      <c r="B23" s="12" t="s">
        <v>36</v>
      </c>
      <c r="C23" s="31" t="n">
        <f aca="false">Deploy!C11*C20/1000</f>
        <v>10.5297921189288</v>
      </c>
      <c r="D23" s="31" t="n">
        <f aca="false">Deploy!D11*D20/1000</f>
        <v>24.9880594956382</v>
      </c>
      <c r="E23" s="31" t="n">
        <f aca="false">Deploy!E11*E20/1000</f>
        <v>21.5391923820292</v>
      </c>
      <c r="F23" s="31" t="n">
        <f aca="false">Deploy!F11*F20/1000</f>
        <v>25.9798716300002</v>
      </c>
    </row>
    <row r="24" customFormat="false" ht="17.15" hidden="false" customHeight="false" outlineLevel="0" collapsed="false">
      <c r="A24" s="6" t="s">
        <v>1904</v>
      </c>
      <c r="C24" s="32" t="n">
        <f aca="false">pwr_ubs_26</f>
        <v>17.7</v>
      </c>
      <c r="D24" s="32" t="n">
        <f aca="false">pwr_ubs_27</f>
        <v>38.2</v>
      </c>
    </row>
    <row r="25" customFormat="false" ht="17.15" hidden="false" customHeight="false" outlineLevel="0" collapsed="false">
      <c r="A25" s="6" t="s">
        <v>1905</v>
      </c>
      <c r="C25" s="14" t="n">
        <f aca="false">C21/C24</f>
        <v>0.594903509543998</v>
      </c>
      <c r="D25" s="14" t="n">
        <f aca="false">D21/D24</f>
        <v>0.65413768313189</v>
      </c>
      <c r="G25" s="12" t="s">
        <v>1906</v>
      </c>
    </row>
    <row r="27" customFormat="false" ht="17.15" hidden="false" customHeight="false" outlineLevel="0" collapsed="false">
      <c r="A27" s="10" t="s">
        <v>1907</v>
      </c>
    </row>
    <row r="28" customFormat="false" ht="17.15" hidden="false" customHeight="false" outlineLevel="0" collapsed="false">
      <c r="A28" s="6" t="s">
        <v>1908</v>
      </c>
      <c r="C28" s="32" t="n">
        <f aca="false">((1-vr26)*TK_RacksPerGW_GB300*(lc_cool_gb+lc_mani)+vr26*TK_RacksPerGW_VR200*(lc_cool_vr+lc_mani))/1000</f>
        <v>350.7208</v>
      </c>
      <c r="D28" s="32" t="n">
        <f aca="false">TK_RacksPerGW_VR200*(lc_cool_vr+lc_mani)*lc_adj_27/1000</f>
        <v>326.5912</v>
      </c>
      <c r="E28" s="32" t="n">
        <f aca="false">TK_RacksPerGW_VR200*(lc_cool_vr+lc_mani)*lc_adj_28/1000</f>
        <v>351.7136</v>
      </c>
      <c r="F28" s="32" t="n">
        <f aca="false">TK_RacksPerGW_VR200*(lc_cool_vr+lc_mani)*lc_adj_29/1000</f>
        <v>351.7136</v>
      </c>
      <c r="G28" s="6" t="s">
        <v>1909</v>
      </c>
    </row>
    <row r="29" customFormat="false" ht="17.15" hidden="false" customHeight="false" outlineLevel="0" collapsed="false">
      <c r="A29" s="6" t="s">
        <v>1910</v>
      </c>
      <c r="B29" s="0" t="s">
        <v>27</v>
      </c>
      <c r="C29" s="17" t="n">
        <f aca="false">lc_pen_26</f>
        <v>0.55</v>
      </c>
      <c r="D29" s="17" t="n">
        <f aca="false">lc_pen_27_hi</f>
        <v>0.85</v>
      </c>
      <c r="E29" s="17" t="n">
        <f aca="false">lc_pen_28_hi</f>
        <v>0.95</v>
      </c>
      <c r="F29" s="17" t="n">
        <f aca="false">lc_pen_29_hi</f>
        <v>0.95</v>
      </c>
    </row>
    <row r="30" customFormat="false" ht="17.15" hidden="false" customHeight="false" outlineLevel="0" collapsed="false">
      <c r="A30" s="6" t="s">
        <v>1910</v>
      </c>
      <c r="B30" s="0" t="s">
        <v>32</v>
      </c>
      <c r="C30" s="17" t="n">
        <f aca="false">lc_pen_26</f>
        <v>0.55</v>
      </c>
      <c r="D30" s="17" t="n">
        <f aca="false">lc_pen_27</f>
        <v>0.75</v>
      </c>
      <c r="E30" s="17" t="n">
        <f aca="false">lc_pen_28</f>
        <v>0.85</v>
      </c>
      <c r="F30" s="17" t="n">
        <f aca="false">lc_pen_29</f>
        <v>0.9</v>
      </c>
    </row>
    <row r="31" customFormat="false" ht="17.15" hidden="false" customHeight="false" outlineLevel="0" collapsed="false">
      <c r="A31" s="6" t="s">
        <v>1910</v>
      </c>
      <c r="B31" s="0" t="s">
        <v>36</v>
      </c>
      <c r="C31" s="17" t="n">
        <f aca="false">lc_pen_26</f>
        <v>0.55</v>
      </c>
      <c r="D31" s="17" t="n">
        <f aca="false">lc_pen_27_lo</f>
        <v>0.6</v>
      </c>
      <c r="E31" s="17" t="n">
        <f aca="false">lc_pen_28_lo</f>
        <v>0.7</v>
      </c>
      <c r="F31" s="17" t="n">
        <f aca="false">lc_pen_29_lo</f>
        <v>0.75</v>
      </c>
    </row>
    <row r="32" customFormat="false" ht="17.15" hidden="false" customHeight="false" outlineLevel="0" collapsed="false">
      <c r="A32" s="10" t="s">
        <v>1911</v>
      </c>
      <c r="B32" s="12" t="s">
        <v>27</v>
      </c>
      <c r="C32" s="31" t="n">
        <f aca="false">Deploy!C9*C29*C28/1000</f>
        <v>4.5136875859587</v>
      </c>
      <c r="D32" s="31" t="n">
        <f aca="false">Deploy!D9*D29*D28/1000</f>
        <v>11.5612471431652</v>
      </c>
      <c r="E32" s="31" t="n">
        <f aca="false">Deploy!E9*E29*E28/1000</f>
        <v>17.6393273261942</v>
      </c>
      <c r="F32" s="31" t="n">
        <f aca="false">Deploy!F9*F29*F28/1000</f>
        <v>20.0939825685161</v>
      </c>
    </row>
    <row r="33" customFormat="false" ht="17.15" hidden="false" customHeight="false" outlineLevel="0" collapsed="false">
      <c r="A33" s="10" t="s">
        <v>1911</v>
      </c>
      <c r="B33" s="12" t="s">
        <v>32</v>
      </c>
      <c r="C33" s="31" t="n">
        <f aca="false">Deploy!C10*C30*C28/1000</f>
        <v>4.5136875859587</v>
      </c>
      <c r="D33" s="31" t="n">
        <f aca="false">Deploy!D10*D30*D28/1000</f>
        <v>10.2011004204398</v>
      </c>
      <c r="E33" s="31" t="n">
        <f aca="false">Deploy!E10*E30*E28/1000</f>
        <v>12.6260448229601</v>
      </c>
      <c r="F33" s="31" t="n">
        <f aca="false">Deploy!F10*F30*F28/1000</f>
        <v>16.1809438578051</v>
      </c>
    </row>
    <row r="34" customFormat="false" ht="17.15" hidden="false" customHeight="false" outlineLevel="0" collapsed="false">
      <c r="A34" s="10" t="s">
        <v>1911</v>
      </c>
      <c r="B34" s="12" t="s">
        <v>36</v>
      </c>
      <c r="C34" s="31" t="n">
        <f aca="false">Deploy!C11*C31*C28/1000</f>
        <v>4.5136875859587</v>
      </c>
      <c r="D34" s="31" t="n">
        <f aca="false">Deploy!D11*D31*D28/1000</f>
        <v>8.16088033635188</v>
      </c>
      <c r="E34" s="31" t="n">
        <f aca="false">Deploy!E11*E31*E28/1000</f>
        <v>7.79843944947535</v>
      </c>
      <c r="F34" s="31" t="n">
        <f aca="false">Deploy!F11*F31*F28/1000</f>
        <v>9.51820226929711</v>
      </c>
    </row>
    <row r="35" customFormat="false" ht="17.15" hidden="false" customHeight="false" outlineLevel="0" collapsed="false">
      <c r="A35" s="6" t="s">
        <v>1912</v>
      </c>
      <c r="C35" s="17" t="n">
        <f aca="false">lc_tf_26</f>
        <v>0.53</v>
      </c>
      <c r="D35" s="17" t="n">
        <f aca="false">lc_tf_27</f>
        <v>0.6</v>
      </c>
      <c r="G35" s="6" t="s">
        <v>1913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1914</v>
      </c>
    </row>
    <row r="3" customFormat="false" ht="15" hidden="false" customHeight="false" outlineLevel="0" collapsed="false">
      <c r="A3" s="4" t="s">
        <v>1915</v>
      </c>
      <c r="B3" s="4" t="s">
        <v>20</v>
      </c>
      <c r="C3" s="5" t="s">
        <v>1916</v>
      </c>
      <c r="D3" s="5" t="s">
        <v>1917</v>
      </c>
      <c r="E3" s="5" t="s">
        <v>1918</v>
      </c>
      <c r="F3" s="5" t="s">
        <v>1919</v>
      </c>
      <c r="G3" s="5" t="s">
        <v>1920</v>
      </c>
      <c r="H3" s="5" t="s">
        <v>1921</v>
      </c>
      <c r="I3" s="5" t="s">
        <v>1922</v>
      </c>
      <c r="J3" s="5" t="s">
        <v>1923</v>
      </c>
      <c r="K3" s="5" t="s">
        <v>1924</v>
      </c>
      <c r="L3" s="5" t="s">
        <v>1925</v>
      </c>
      <c r="M3" s="5" t="s">
        <v>1926</v>
      </c>
      <c r="N3" s="5" t="s">
        <v>1927</v>
      </c>
      <c r="O3" s="5" t="s">
        <v>1928</v>
      </c>
      <c r="P3" s="5" t="s">
        <v>1929</v>
      </c>
      <c r="Q3" s="5" t="s">
        <v>1930</v>
      </c>
      <c r="R3" s="5" t="s">
        <v>1931</v>
      </c>
      <c r="S3" s="5" t="s">
        <v>1932</v>
      </c>
      <c r="T3" s="5" t="s">
        <v>1933</v>
      </c>
      <c r="U3" s="5" t="s">
        <v>1934</v>
      </c>
      <c r="V3" s="5" t="s">
        <v>1935</v>
      </c>
    </row>
    <row r="4" customFormat="false" ht="17.15" hidden="false" customHeight="false" outlineLevel="0" collapsed="false">
      <c r="A4" s="6" t="s">
        <v>1936</v>
      </c>
      <c r="B4" s="0" t="s">
        <v>27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1936</v>
      </c>
      <c r="B5" s="0" t="s">
        <v>32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1936</v>
      </c>
      <c r="B6" s="0" t="s">
        <v>36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1937</v>
      </c>
      <c r="B8" s="0" t="s">
        <v>27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1937</v>
      </c>
      <c r="B9" s="0" t="s">
        <v>32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1937</v>
      </c>
      <c r="B10" s="0" t="s">
        <v>36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9" t="s">
        <v>1938</v>
      </c>
    </row>
    <row r="13" customFormat="false" ht="15" hidden="false" customHeight="false" outlineLevel="0" collapsed="false">
      <c r="A13" s="4" t="s">
        <v>1915</v>
      </c>
      <c r="B13" s="4" t="s">
        <v>20</v>
      </c>
      <c r="C13" s="5" t="s">
        <v>1939</v>
      </c>
      <c r="D13" s="5" t="s">
        <v>1737</v>
      </c>
      <c r="E13" s="5" t="s">
        <v>1738</v>
      </c>
      <c r="F13" s="5" t="s">
        <v>1739</v>
      </c>
      <c r="G13" s="5" t="s">
        <v>1740</v>
      </c>
      <c r="H13" s="5" t="s">
        <v>1940</v>
      </c>
      <c r="I13" s="5" t="s">
        <v>1941</v>
      </c>
      <c r="J13" s="5" t="s">
        <v>1942</v>
      </c>
      <c r="K13" s="5" t="s">
        <v>1943</v>
      </c>
    </row>
    <row r="14" customFormat="false" ht="17.15" hidden="false" customHeight="false" outlineLevel="0" collapsed="false">
      <c r="A14" s="6" t="s">
        <v>1936</v>
      </c>
      <c r="B14" s="0" t="s">
        <v>27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1936</v>
      </c>
      <c r="B15" s="0" t="s">
        <v>32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1936</v>
      </c>
      <c r="B16" s="0" t="s">
        <v>36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1937</v>
      </c>
      <c r="B17" s="0" t="s">
        <v>27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1937</v>
      </c>
      <c r="B18" s="0" t="s">
        <v>32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1937</v>
      </c>
      <c r="B19" s="0" t="s">
        <v>36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1944</v>
      </c>
    </row>
    <row r="2" customFormat="false" ht="17.15" hidden="false" customHeight="false" outlineLevel="0" collapsed="false">
      <c r="A2" s="6" t="s">
        <v>1945</v>
      </c>
    </row>
    <row r="3" customFormat="false" ht="15" hidden="false" customHeight="false" outlineLevel="0" collapsed="false">
      <c r="A3" s="4" t="s">
        <v>45</v>
      </c>
      <c r="B3" s="4" t="s">
        <v>46</v>
      </c>
      <c r="C3" s="5" t="s">
        <v>1939</v>
      </c>
      <c r="D3" s="5" t="s">
        <v>1737</v>
      </c>
      <c r="E3" s="5" t="s">
        <v>1738</v>
      </c>
      <c r="F3" s="5" t="s">
        <v>1739</v>
      </c>
      <c r="G3" s="5" t="s">
        <v>1740</v>
      </c>
      <c r="H3" s="4" t="s">
        <v>40</v>
      </c>
    </row>
    <row r="4" customFormat="false" ht="17.15" hidden="false" customHeight="false" outlineLevel="0" collapsed="false">
      <c r="A4" s="9" t="s">
        <v>1946</v>
      </c>
    </row>
    <row r="5" customFormat="false" ht="17.15" hidden="false" customHeight="false" outlineLevel="0" collapsed="false">
      <c r="A5" s="0" t="s">
        <v>1947</v>
      </c>
      <c r="B5" s="0" t="s">
        <v>1948</v>
      </c>
      <c r="D5" s="33" t="n">
        <f aca="false">u_bw_26*g_bw_26</f>
        <v>1404</v>
      </c>
      <c r="E5" s="33" t="n">
        <f aca="false">u_bw_27*g_bw_27</f>
        <v>672</v>
      </c>
      <c r="F5" s="33" t="n">
        <f aca="false">u_bw_28*g_bw_28</f>
        <v>144</v>
      </c>
    </row>
    <row r="6" customFormat="false" ht="15" hidden="false" customHeight="false" outlineLevel="0" collapsed="false">
      <c r="A6" s="0" t="s">
        <v>1949</v>
      </c>
      <c r="B6" s="0" t="s">
        <v>1948</v>
      </c>
      <c r="D6" s="33" t="n">
        <f aca="false">u_rb_26*g_rb_26</f>
        <v>489.6</v>
      </c>
      <c r="E6" s="33" t="n">
        <f aca="false">u_rb_27*g_rb_27</f>
        <v>2016</v>
      </c>
      <c r="F6" s="33" t="n">
        <f aca="false">u_rb_28*g_rb_28</f>
        <v>2016</v>
      </c>
    </row>
    <row r="7" customFormat="false" ht="15" hidden="false" customHeight="false" outlineLevel="0" collapsed="false">
      <c r="A7" s="0" t="s">
        <v>1950</v>
      </c>
      <c r="B7" s="0" t="s">
        <v>1948</v>
      </c>
      <c r="D7" s="33" t="n">
        <f aca="false">u_ru_26*g_ru_26</f>
        <v>0</v>
      </c>
      <c r="E7" s="33" t="n">
        <f aca="false">u_ru_27*g_ru_27</f>
        <v>307.2</v>
      </c>
      <c r="F7" s="33" t="n">
        <f aca="false">u_ru_28*g_ru_28</f>
        <v>2048</v>
      </c>
    </row>
    <row r="8" customFormat="false" ht="17.15" hidden="false" customHeight="false" outlineLevel="0" collapsed="false">
      <c r="A8" s="0" t="s">
        <v>1951</v>
      </c>
      <c r="B8" s="0" t="s">
        <v>1948</v>
      </c>
      <c r="D8" s="33" t="n">
        <f aca="false">u_hp_26*g_hp_26</f>
        <v>70.5</v>
      </c>
      <c r="E8" s="33" t="n">
        <f aca="false">u_hp_27*g_hp_27</f>
        <v>0</v>
      </c>
      <c r="F8" s="33" t="n">
        <f aca="false">u_hp_28*g_hp_28</f>
        <v>0</v>
      </c>
    </row>
    <row r="9" customFormat="false" ht="15" hidden="false" customHeight="false" outlineLevel="0" collapsed="false">
      <c r="A9" s="0" t="s">
        <v>1952</v>
      </c>
      <c r="B9" s="0" t="s">
        <v>1948</v>
      </c>
      <c r="D9" s="33" t="n">
        <f aca="false">u_amd_26*g_amd_26</f>
        <v>216</v>
      </c>
      <c r="E9" s="33" t="n">
        <f aca="false">u_amd_27*g_amd_27</f>
        <v>540</v>
      </c>
      <c r="F9" s="33" t="n">
        <f aca="false">u_amd_28*g_amd_28</f>
        <v>864</v>
      </c>
    </row>
    <row r="10" customFormat="false" ht="15" hidden="false" customHeight="false" outlineLevel="0" collapsed="false">
      <c r="A10" s="0" t="s">
        <v>1953</v>
      </c>
      <c r="B10" s="0" t="s">
        <v>1948</v>
      </c>
      <c r="D10" s="33" t="n">
        <f aca="false">u_tpu_26*g_tpu_26</f>
        <v>739.2</v>
      </c>
      <c r="E10" s="33" t="n">
        <f aca="false">u_tpu_27*g_tpu_27</f>
        <v>1375</v>
      </c>
      <c r="F10" s="33" t="n">
        <f aca="false">u_tpu_28*g_tpu_28</f>
        <v>2016</v>
      </c>
    </row>
    <row r="11" customFormat="false" ht="15" hidden="false" customHeight="false" outlineLevel="0" collapsed="false">
      <c r="A11" s="0" t="s">
        <v>1954</v>
      </c>
      <c r="B11" s="0" t="s">
        <v>1948</v>
      </c>
      <c r="D11" s="33" t="n">
        <f aca="false">u_trn_26*g_trn_26</f>
        <v>220</v>
      </c>
      <c r="E11" s="33" t="n">
        <f aca="false">u_trn_27*g_trn_27</f>
        <v>360</v>
      </c>
      <c r="F11" s="33" t="n">
        <f aca="false">u_trn_28*g_trn_28</f>
        <v>600</v>
      </c>
    </row>
    <row r="12" customFormat="false" ht="17.15" hidden="false" customHeight="false" outlineLevel="0" collapsed="false">
      <c r="A12" s="6" t="s">
        <v>1955</v>
      </c>
      <c r="B12" s="0" t="s">
        <v>1948</v>
      </c>
      <c r="D12" s="33" t="n">
        <f aca="false">u_oth_26*g_oth_26</f>
        <v>150</v>
      </c>
      <c r="E12" s="33" t="n">
        <f aca="false">u_oth_27*g_oth_27</f>
        <v>900</v>
      </c>
      <c r="F12" s="33" t="n">
        <f aca="false">u_oth_28*g_oth_28</f>
        <v>1250</v>
      </c>
    </row>
    <row r="13" customFormat="false" ht="15" hidden="false" customHeight="false" outlineLevel="0" collapsed="false">
      <c r="A13" s="6" t="s">
        <v>1956</v>
      </c>
      <c r="B13" s="0" t="s">
        <v>1957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1958</v>
      </c>
      <c r="B14" s="0" t="s">
        <v>1957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1959</v>
      </c>
      <c r="B15" s="6" t="s">
        <v>328</v>
      </c>
      <c r="D15" s="22" t="n">
        <f aca="false">u_bw_26+u_rb_26+u_ru_26+u_hp_26+u_amd_26+u_tpu_26+u_trn_26+u_oth_26</f>
        <v>15.2</v>
      </c>
      <c r="E15" s="22" t="n">
        <f aca="false">u_bw_27+u_rb_27+u_ru_27+u_hp_27+u_amd_27+u_tpu_27+u_trn_27+u_oth_27</f>
        <v>23.7</v>
      </c>
      <c r="F15" s="22" t="n">
        <f aca="false">u_bw_28+u_rb_28+u_ru_28+u_hp_28+u_amd_28+u_tpu_28+u_trn_28+u_oth_28</f>
        <v>26.5</v>
      </c>
      <c r="H15" s="12" t="s">
        <v>1960</v>
      </c>
    </row>
    <row r="16" customFormat="false" ht="17.15" hidden="false" customHeight="false" outlineLevel="0" collapsed="false">
      <c r="A16" s="6" t="s">
        <v>1961</v>
      </c>
      <c r="B16" s="0" t="s">
        <v>339</v>
      </c>
      <c r="D16" s="33" t="n">
        <f aca="false">D13*1000/D15</f>
        <v>216.401315789474</v>
      </c>
      <c r="E16" s="33" t="n">
        <f aca="false">E13*1000/E15</f>
        <v>260.345991561181</v>
      </c>
      <c r="F16" s="33" t="n">
        <f aca="false">F13*1000/F15</f>
        <v>337.283018867925</v>
      </c>
    </row>
    <row r="17" customFormat="false" ht="17.15" hidden="false" customHeight="false" outlineLevel="0" collapsed="false">
      <c r="A17" s="6" t="s">
        <v>1962</v>
      </c>
      <c r="B17" s="0" t="s">
        <v>1957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12" t="s">
        <v>1963</v>
      </c>
    </row>
    <row r="18" customFormat="false" ht="17.15" hidden="false" customHeight="false" outlineLevel="0" collapsed="false">
      <c r="A18" s="6" t="s">
        <v>1964</v>
      </c>
      <c r="B18" s="0" t="s">
        <v>486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12" t="s">
        <v>1965</v>
      </c>
    </row>
    <row r="19" customFormat="false" ht="17.15" hidden="false" customHeight="false" outlineLevel="0" collapsed="false">
      <c r="A19" s="6" t="s">
        <v>1966</v>
      </c>
      <c r="B19" s="0" t="s">
        <v>486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12" t="s">
        <v>1965</v>
      </c>
    </row>
    <row r="20" customFormat="false" ht="17.15" hidden="false" customHeight="false" outlineLevel="0" collapsed="false">
      <c r="A20" s="6" t="s">
        <v>1967</v>
      </c>
      <c r="B20" s="0" t="s">
        <v>486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12" t="s">
        <v>1965</v>
      </c>
    </row>
    <row r="21" customFormat="false" ht="17.15" hidden="false" customHeight="false" outlineLevel="0" collapsed="false">
      <c r="A21" s="6" t="s">
        <v>1968</v>
      </c>
      <c r="B21" s="0" t="s">
        <v>1957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1969</v>
      </c>
      <c r="B22" s="0" t="s">
        <v>1957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1970</v>
      </c>
      <c r="B23" s="0" t="s">
        <v>1957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1971</v>
      </c>
      <c r="B24" s="0" t="s">
        <v>1957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1972</v>
      </c>
    </row>
    <row r="25" customFormat="false" ht="17.15" hidden="false" customHeight="false" outlineLevel="0" collapsed="false">
      <c r="A25" s="6" t="s">
        <v>1973</v>
      </c>
      <c r="B25" s="0" t="s">
        <v>1957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1974</v>
      </c>
      <c r="B26" s="0" t="s">
        <v>1957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1975</v>
      </c>
      <c r="B27" s="0" t="s">
        <v>1957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1976</v>
      </c>
      <c r="B28" s="0" t="s">
        <v>1957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1977</v>
      </c>
      <c r="B29" s="0" t="s">
        <v>1957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1978</v>
      </c>
      <c r="B30" s="0" t="s">
        <v>530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12" t="n">
        <f aca="false">F30*(1+hbm_p29_A)</f>
        <v>27.4626</v>
      </c>
    </row>
    <row r="31" customFormat="false" ht="17.15" hidden="false" customHeight="false" outlineLevel="0" collapsed="false">
      <c r="A31" s="0" t="s">
        <v>1979</v>
      </c>
      <c r="B31" s="0" t="s">
        <v>530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12" t="n">
        <f aca="false">F31*(1+hbm_p29_B)</f>
        <v>19.71</v>
      </c>
    </row>
    <row r="32" customFormat="false" ht="17.15" hidden="false" customHeight="false" outlineLevel="0" collapsed="false">
      <c r="A32" s="0" t="s">
        <v>1980</v>
      </c>
      <c r="B32" s="0" t="s">
        <v>530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12" t="n">
        <f aca="false">F32*(1+hbm_p29_C)</f>
        <v>16.5564</v>
      </c>
    </row>
    <row r="33" customFormat="false" ht="17.15" hidden="false" customHeight="false" outlineLevel="0" collapsed="false">
      <c r="A33" s="0" t="s">
        <v>1981</v>
      </c>
      <c r="B33" s="0" t="s">
        <v>508</v>
      </c>
      <c r="C33" s="22" t="n">
        <f aca="false">C24*C30</f>
        <v>35</v>
      </c>
      <c r="D33" s="22" t="n">
        <f aca="false">D24*D30</f>
        <v>55.227347</v>
      </c>
      <c r="E33" s="22" t="n">
        <f aca="false">E24*E30</f>
        <v>154.08429813</v>
      </c>
      <c r="F33" s="22" t="n">
        <f aca="false">F24*F30</f>
        <v>245.76445551735</v>
      </c>
      <c r="G33" s="22" t="n">
        <f aca="false">G24*G30</f>
        <v>315.192914201001</v>
      </c>
    </row>
    <row r="34" customFormat="false" ht="17.15" hidden="false" customHeight="false" outlineLevel="0" collapsed="false">
      <c r="A34" s="0" t="s">
        <v>1982</v>
      </c>
      <c r="B34" s="0" t="s">
        <v>508</v>
      </c>
      <c r="C34" s="22" t="n">
        <f aca="false">C25*C31</f>
        <v>35</v>
      </c>
      <c r="D34" s="22" t="n">
        <f aca="false">D25*D31</f>
        <v>55.227347</v>
      </c>
      <c r="E34" s="22" t="n">
        <f aca="false">E25*E31</f>
        <v>154.08429813</v>
      </c>
      <c r="F34" s="22" t="n">
        <f aca="false">F25*F31</f>
        <v>162.0745416</v>
      </c>
      <c r="G34" s="22" t="n">
        <f aca="false">G25*G31</f>
        <v>223.865460585</v>
      </c>
    </row>
    <row r="35" customFormat="false" ht="17.15" hidden="false" customHeight="false" outlineLevel="0" collapsed="false">
      <c r="A35" s="0" t="s">
        <v>1983</v>
      </c>
      <c r="B35" s="0" t="s">
        <v>508</v>
      </c>
      <c r="C35" s="22" t="n">
        <f aca="false">C26*C32</f>
        <v>35</v>
      </c>
      <c r="D35" s="22" t="n">
        <f aca="false">D26*D32</f>
        <v>55.227347</v>
      </c>
      <c r="E35" s="22" t="n">
        <f aca="false">E26*E32</f>
        <v>154.08429813</v>
      </c>
      <c r="F35" s="22" t="n">
        <f aca="false">F26*F32</f>
        <v>97.24472496</v>
      </c>
      <c r="G35" s="22" t="n">
        <f aca="false">G26*G32</f>
        <v>132.7390495704</v>
      </c>
    </row>
    <row r="37" customFormat="false" ht="17.15" hidden="false" customHeight="false" outlineLevel="0" collapsed="false">
      <c r="A37" s="9" t="s">
        <v>1984</v>
      </c>
    </row>
    <row r="38" customFormat="false" ht="17.15" hidden="false" customHeight="false" outlineLevel="0" collapsed="false">
      <c r="A38" s="6" t="s">
        <v>1985</v>
      </c>
      <c r="B38" s="0" t="s">
        <v>508</v>
      </c>
      <c r="D38" s="22" t="n">
        <f aca="false">(D5+D6+D7+D8)/1000*hbm_p26</f>
        <v>28.67586</v>
      </c>
    </row>
    <row r="39" customFormat="false" ht="17.15" hidden="false" customHeight="false" outlineLevel="0" collapsed="false">
      <c r="A39" s="6" t="s">
        <v>1986</v>
      </c>
      <c r="B39" s="0" t="s">
        <v>508</v>
      </c>
      <c r="D39" s="22" t="n">
        <f aca="false">nv_dc26*nv_hbm/nv_content</f>
        <v>38.9728971962617</v>
      </c>
      <c r="H39" s="6" t="s">
        <v>1987</v>
      </c>
    </row>
    <row r="40" customFormat="false" ht="15" hidden="false" customHeight="false" outlineLevel="0" collapsed="false">
      <c r="A40" s="6" t="s">
        <v>1988</v>
      </c>
      <c r="B40" s="0" t="s">
        <v>57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1989</v>
      </c>
      <c r="B41" s="6" t="s">
        <v>328</v>
      </c>
      <c r="D41" s="22" t="n">
        <f aca="false">nv_dc26/nv_content</f>
        <v>8.73831775700935</v>
      </c>
      <c r="E41" s="22" t="n">
        <f aca="false">u_bw_26+u_rb_26+u_hp_26</f>
        <v>7.6</v>
      </c>
      <c r="H41" s="12" t="s">
        <v>1990</v>
      </c>
    </row>
    <row r="42" customFormat="false" ht="17.15" hidden="false" customHeight="false" outlineLevel="0" collapsed="false">
      <c r="A42" s="6" t="s">
        <v>1991</v>
      </c>
      <c r="B42" s="0" t="s">
        <v>508</v>
      </c>
      <c r="D42" s="22" t="n">
        <f aca="false">pub26_lo</f>
        <v>54.6</v>
      </c>
      <c r="E42" s="22" t="n">
        <f aca="false">pub26_hi</f>
        <v>77.4</v>
      </c>
      <c r="F42" s="22" t="n">
        <f aca="false">pub27</f>
        <v>152.8</v>
      </c>
    </row>
    <row r="43" customFormat="false" ht="17.15" hidden="false" customHeight="false" outlineLevel="0" collapsed="false">
      <c r="A43" s="6" t="s">
        <v>1992</v>
      </c>
      <c r="B43" s="0" t="s">
        <v>57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2" min="10" style="0" width="9"/>
    <col collapsed="false" customWidth="true" hidden="false" outlineLevel="0" max="13" min="13" style="0" width="8"/>
  </cols>
  <sheetData>
    <row r="1" customFormat="false" ht="17.15" hidden="false" customHeight="false" outlineLevel="0" collapsed="false">
      <c r="A1" s="0" t="s">
        <v>1993</v>
      </c>
    </row>
    <row r="2" customFormat="false" ht="17.15" hidden="false" customHeight="false" outlineLevel="0" collapsed="false">
      <c r="A2" s="6" t="s">
        <v>1994</v>
      </c>
    </row>
    <row r="4" customFormat="false" ht="17.15" hidden="false" customHeight="false" outlineLevel="0" collapsed="false">
      <c r="A4" s="4" t="s">
        <v>1995</v>
      </c>
      <c r="B4" s="4" t="s">
        <v>1996</v>
      </c>
      <c r="C4" s="4" t="s">
        <v>1997</v>
      </c>
      <c r="D4" s="4" t="s">
        <v>47</v>
      </c>
      <c r="E4" s="4" t="s">
        <v>48</v>
      </c>
      <c r="F4" s="4" t="s">
        <v>49</v>
      </c>
      <c r="G4" s="4" t="s">
        <v>46</v>
      </c>
      <c r="H4" s="5" t="s">
        <v>1998</v>
      </c>
      <c r="I4" s="4" t="s">
        <v>1999</v>
      </c>
      <c r="J4" s="4" t="s">
        <v>2000</v>
      </c>
      <c r="K4" s="4" t="s">
        <v>2001</v>
      </c>
      <c r="L4" s="4" t="s">
        <v>2002</v>
      </c>
      <c r="M4" s="4" t="s">
        <v>2003</v>
      </c>
    </row>
    <row r="5" customFormat="false" ht="17.15" hidden="false" customHeight="false" outlineLevel="0" collapsed="false">
      <c r="A5" s="0" t="s">
        <v>2004</v>
      </c>
      <c r="B5" s="0" t="s">
        <v>2005</v>
      </c>
      <c r="C5" s="0" t="s">
        <v>2006</v>
      </c>
      <c r="D5" s="34" t="n">
        <v>22439</v>
      </c>
      <c r="E5" s="34" t="n">
        <v>22439</v>
      </c>
      <c r="F5" s="34" t="n">
        <v>22439</v>
      </c>
      <c r="G5" s="6" t="s">
        <v>2007</v>
      </c>
      <c r="H5" s="12" t="s">
        <v>2008</v>
      </c>
      <c r="I5" s="12" t="s">
        <v>2009</v>
      </c>
      <c r="J5" s="0" t="n">
        <v>22439</v>
      </c>
      <c r="K5" s="0" t="n">
        <v>22439</v>
      </c>
      <c r="L5" s="0" t="n">
        <v>22439</v>
      </c>
      <c r="M5" s="12" t="n">
        <f aca="false">(ABS(D5-J5)&gt;0.000000001)+(ABS(E5-K5)&gt;0.000000001)+(ABS(F5-L5)&gt;0.000000001)</f>
        <v>0</v>
      </c>
    </row>
    <row r="6" customFormat="false" ht="17.15" hidden="false" customHeight="false" outlineLevel="0" collapsed="false">
      <c r="A6" s="0" t="s">
        <v>2004</v>
      </c>
      <c r="B6" s="0" t="s">
        <v>2010</v>
      </c>
      <c r="C6" s="0" t="s">
        <v>2011</v>
      </c>
      <c r="D6" s="34" t="n">
        <v>6969</v>
      </c>
      <c r="E6" s="34" t="n">
        <v>6969</v>
      </c>
      <c r="F6" s="34" t="n">
        <v>6969</v>
      </c>
      <c r="G6" s="6" t="s">
        <v>2007</v>
      </c>
      <c r="H6" s="12" t="s">
        <v>2008</v>
      </c>
      <c r="I6" s="12" t="s">
        <v>2009</v>
      </c>
      <c r="J6" s="0" t="n">
        <v>6969</v>
      </c>
      <c r="K6" s="0" t="n">
        <v>6969</v>
      </c>
      <c r="L6" s="0" t="n">
        <v>6969</v>
      </c>
      <c r="M6" s="12" t="n">
        <f aca="false">(ABS(D6-J6)&gt;0.000000001)+(ABS(E6-K6)&gt;0.000000001)+(ABS(F6-L6)&gt;0.000000001)</f>
        <v>0</v>
      </c>
    </row>
    <row r="7" customFormat="false" ht="17.15" hidden="false" customHeight="false" outlineLevel="0" collapsed="false">
      <c r="A7" s="0" t="s">
        <v>2004</v>
      </c>
      <c r="B7" s="0" t="s">
        <v>2012</v>
      </c>
      <c r="C7" s="0" t="s">
        <v>2013</v>
      </c>
      <c r="D7" s="34" t="n">
        <v>6764</v>
      </c>
      <c r="E7" s="34" t="n">
        <v>6764</v>
      </c>
      <c r="F7" s="34" t="n">
        <v>6764</v>
      </c>
      <c r="G7" s="6" t="s">
        <v>2007</v>
      </c>
      <c r="H7" s="12" t="s">
        <v>2008</v>
      </c>
      <c r="I7" s="12" t="s">
        <v>2009</v>
      </c>
      <c r="J7" s="0" t="n">
        <v>6764</v>
      </c>
      <c r="K7" s="0" t="n">
        <v>6764</v>
      </c>
      <c r="L7" s="0" t="n">
        <v>6764</v>
      </c>
      <c r="M7" s="12" t="n">
        <f aca="false">(ABS(D7-J7)&gt;0.000000001)+(ABS(E7-K7)&gt;0.000000001)+(ABS(F7-L7)&gt;0.000000001)</f>
        <v>0</v>
      </c>
    </row>
    <row r="8" customFormat="false" ht="17.15" hidden="false" customHeight="false" outlineLevel="0" collapsed="false">
      <c r="A8" s="0" t="s">
        <v>2004</v>
      </c>
      <c r="B8" s="0" t="s">
        <v>2014</v>
      </c>
      <c r="C8" s="0" t="s">
        <v>2015</v>
      </c>
      <c r="D8" s="34" t="n">
        <v>4052</v>
      </c>
      <c r="E8" s="34" t="n">
        <v>4052</v>
      </c>
      <c r="F8" s="34" t="n">
        <v>4052</v>
      </c>
      <c r="G8" s="6" t="s">
        <v>2007</v>
      </c>
      <c r="H8" s="12" t="s">
        <v>2008</v>
      </c>
      <c r="I8" s="12" t="s">
        <v>2009</v>
      </c>
      <c r="J8" s="0" t="n">
        <v>4052</v>
      </c>
      <c r="K8" s="0" t="n">
        <v>4052</v>
      </c>
      <c r="L8" s="0" t="n">
        <v>4052</v>
      </c>
      <c r="M8" s="12" t="n">
        <f aca="false">(ABS(D8-J8)&gt;0.000000001)+(ABS(E8-K8)&gt;0.000000001)+(ABS(F8-L8)&gt;0.000000001)</f>
        <v>0</v>
      </c>
    </row>
    <row r="9" customFormat="false" ht="17.15" hidden="false" customHeight="false" outlineLevel="0" collapsed="false">
      <c r="A9" s="0" t="s">
        <v>2004</v>
      </c>
      <c r="B9" s="0" t="s">
        <v>2016</v>
      </c>
      <c r="C9" s="0" t="s">
        <v>2017</v>
      </c>
      <c r="D9" s="34" t="n">
        <v>2705</v>
      </c>
      <c r="E9" s="34" t="n">
        <v>2705</v>
      </c>
      <c r="F9" s="34" t="n">
        <v>2705</v>
      </c>
      <c r="G9" s="6" t="s">
        <v>2007</v>
      </c>
      <c r="H9" s="12" t="s">
        <v>2008</v>
      </c>
      <c r="I9" s="12" t="s">
        <v>2009</v>
      </c>
      <c r="J9" s="0" t="n">
        <v>2705</v>
      </c>
      <c r="K9" s="0" t="n">
        <v>2705</v>
      </c>
      <c r="L9" s="0" t="n">
        <v>2705</v>
      </c>
      <c r="M9" s="12" t="n">
        <f aca="false">(ABS(D9-J9)&gt;0.000000001)+(ABS(E9-K9)&gt;0.000000001)+(ABS(F9-L9)&gt;0.000000001)</f>
        <v>0</v>
      </c>
    </row>
    <row r="10" customFormat="false" ht="15" hidden="false" customHeight="false" outlineLevel="0" collapsed="false">
      <c r="A10" s="0" t="s">
        <v>2018</v>
      </c>
      <c r="B10" s="0" t="s">
        <v>2005</v>
      </c>
      <c r="C10" s="0" t="s">
        <v>2019</v>
      </c>
      <c r="D10" s="34" t="n">
        <v>718048</v>
      </c>
      <c r="E10" s="34" t="n">
        <v>718048</v>
      </c>
      <c r="F10" s="34" t="n">
        <v>718048</v>
      </c>
      <c r="G10" s="6" t="s">
        <v>2020</v>
      </c>
      <c r="H10" s="12" t="s">
        <v>2021</v>
      </c>
      <c r="I10" s="12" t="s">
        <v>2022</v>
      </c>
      <c r="J10" s="0" t="n">
        <v>718048</v>
      </c>
      <c r="K10" s="0" t="n">
        <v>718048</v>
      </c>
      <c r="L10" s="0" t="n">
        <v>718048</v>
      </c>
      <c r="M10" s="12" t="n">
        <f aca="false">(ABS(D10-J10)&gt;0.000000001)+(ABS(E10-K10)&gt;0.000000001)+(ABS(F10-L10)&gt;0.000000001)</f>
        <v>0</v>
      </c>
    </row>
    <row r="11" customFormat="false" ht="15" hidden="false" customHeight="false" outlineLevel="0" collapsed="false">
      <c r="A11" s="0" t="s">
        <v>2018</v>
      </c>
      <c r="B11" s="0" t="s">
        <v>2010</v>
      </c>
      <c r="C11" s="0" t="s">
        <v>2023</v>
      </c>
      <c r="D11" s="34" t="n">
        <v>501768</v>
      </c>
      <c r="E11" s="34" t="n">
        <v>501768</v>
      </c>
      <c r="F11" s="34" t="n">
        <v>501768</v>
      </c>
      <c r="G11" s="6" t="s">
        <v>2020</v>
      </c>
      <c r="H11" s="12" t="s">
        <v>2021</v>
      </c>
      <c r="I11" s="12" t="s">
        <v>2022</v>
      </c>
      <c r="J11" s="0" t="n">
        <v>501768</v>
      </c>
      <c r="K11" s="0" t="n">
        <v>501768</v>
      </c>
      <c r="L11" s="0" t="n">
        <v>501768</v>
      </c>
      <c r="M11" s="12" t="n">
        <f aca="false">(ABS(D11-J11)&gt;0.000000001)+(ABS(E11-K11)&gt;0.000000001)+(ABS(F11-L11)&gt;0.000000001)</f>
        <v>0</v>
      </c>
    </row>
    <row r="12" customFormat="false" ht="15" hidden="false" customHeight="false" outlineLevel="0" collapsed="false">
      <c r="A12" s="0" t="s">
        <v>2018</v>
      </c>
      <c r="B12" s="0" t="s">
        <v>2012</v>
      </c>
      <c r="C12" s="0" t="s">
        <v>2024</v>
      </c>
      <c r="D12" s="34" t="n">
        <v>487008</v>
      </c>
      <c r="E12" s="34" t="n">
        <v>487008</v>
      </c>
      <c r="F12" s="34" t="n">
        <v>487008</v>
      </c>
      <c r="G12" s="6" t="s">
        <v>2020</v>
      </c>
      <c r="H12" s="12" t="s">
        <v>2021</v>
      </c>
      <c r="I12" s="12" t="s">
        <v>2022</v>
      </c>
      <c r="J12" s="0" t="n">
        <v>487008</v>
      </c>
      <c r="K12" s="0" t="n">
        <v>487008</v>
      </c>
      <c r="L12" s="0" t="n">
        <v>487008</v>
      </c>
      <c r="M12" s="12" t="n">
        <f aca="false">(ABS(D12-J12)&gt;0.000000001)+(ABS(E12-K12)&gt;0.000000001)+(ABS(F12-L12)&gt;0.000000001)</f>
        <v>0</v>
      </c>
    </row>
    <row r="13" customFormat="false" ht="15" hidden="false" customHeight="false" outlineLevel="0" collapsed="false">
      <c r="A13" s="0" t="s">
        <v>2018</v>
      </c>
      <c r="B13" s="0" t="s">
        <v>2014</v>
      </c>
      <c r="C13" s="0" t="s">
        <v>2025</v>
      </c>
      <c r="D13" s="34" t="n">
        <v>291744</v>
      </c>
      <c r="E13" s="34" t="n">
        <v>291744</v>
      </c>
      <c r="F13" s="34" t="n">
        <v>291744</v>
      </c>
      <c r="G13" s="6" t="s">
        <v>2020</v>
      </c>
      <c r="H13" s="12" t="s">
        <v>2021</v>
      </c>
      <c r="I13" s="12" t="s">
        <v>2022</v>
      </c>
      <c r="J13" s="0" t="n">
        <v>291744</v>
      </c>
      <c r="K13" s="0" t="n">
        <v>291744</v>
      </c>
      <c r="L13" s="0" t="n">
        <v>291744</v>
      </c>
      <c r="M13" s="12" t="n">
        <f aca="false">(ABS(D13-J13)&gt;0.000000001)+(ABS(E13-K13)&gt;0.000000001)+(ABS(F13-L13)&gt;0.000000001)</f>
        <v>0</v>
      </c>
    </row>
    <row r="14" customFormat="false" ht="17.15" hidden="false" customHeight="false" outlineLevel="0" collapsed="false">
      <c r="A14" s="0" t="s">
        <v>2018</v>
      </c>
      <c r="B14" s="0" t="s">
        <v>2016</v>
      </c>
      <c r="C14" s="0" t="s">
        <v>2026</v>
      </c>
      <c r="D14" s="34" t="n">
        <v>194760</v>
      </c>
      <c r="E14" s="34" t="n">
        <v>194760</v>
      </c>
      <c r="F14" s="34" t="n">
        <v>194760</v>
      </c>
      <c r="G14" s="6" t="s">
        <v>2020</v>
      </c>
      <c r="H14" s="12" t="s">
        <v>2021</v>
      </c>
      <c r="I14" s="12" t="s">
        <v>2022</v>
      </c>
      <c r="J14" s="0" t="n">
        <v>194760</v>
      </c>
      <c r="K14" s="0" t="n">
        <v>194760</v>
      </c>
      <c r="L14" s="0" t="n">
        <v>194760</v>
      </c>
      <c r="M14" s="12" t="n">
        <f aca="false">(ABS(D14-J14)&gt;0.000000001)+(ABS(E14-K14)&gt;0.000000001)+(ABS(F14-L14)&gt;0.000000001)</f>
        <v>0</v>
      </c>
    </row>
    <row r="15" customFormat="false" ht="17.15" hidden="false" customHeight="false" outlineLevel="0" collapsed="false">
      <c r="A15" s="0" t="s">
        <v>2027</v>
      </c>
      <c r="B15" s="0" t="s">
        <v>2005</v>
      </c>
      <c r="C15" s="0" t="s">
        <v>2028</v>
      </c>
      <c r="D15" s="34" t="n">
        <v>21.4202694</v>
      </c>
      <c r="E15" s="34" t="n">
        <v>27.510214</v>
      </c>
      <c r="F15" s="34" t="n">
        <v>34.1207434</v>
      </c>
      <c r="G15" s="12" t="s">
        <v>508</v>
      </c>
      <c r="H15" s="12" t="s">
        <v>2029</v>
      </c>
      <c r="I15" s="12" t="s">
        <v>2030</v>
      </c>
      <c r="J15" s="0" t="n">
        <v>21.4202694</v>
      </c>
      <c r="K15" s="0" t="n">
        <v>27.510214</v>
      </c>
      <c r="L15" s="0" t="n">
        <v>34.1207434</v>
      </c>
      <c r="M15" s="12" t="n">
        <f aca="false">(ABS(D15-J15)&gt;0.000000001)+(ABS(E15-K15)&gt;0.000000001)+(ABS(F15-L15)&gt;0.000000001)</f>
        <v>0</v>
      </c>
    </row>
    <row r="16" customFormat="false" ht="17.15" hidden="false" customHeight="false" outlineLevel="0" collapsed="false">
      <c r="A16" s="0" t="s">
        <v>2027</v>
      </c>
      <c r="B16" s="0" t="s">
        <v>2010</v>
      </c>
      <c r="C16" s="0" t="s">
        <v>2031</v>
      </c>
      <c r="D16" s="34" t="n">
        <v>20.6393904</v>
      </c>
      <c r="E16" s="34" t="n">
        <v>24.015174</v>
      </c>
      <c r="F16" s="34" t="n">
        <v>27.6502044</v>
      </c>
      <c r="G16" s="12" t="s">
        <v>508</v>
      </c>
      <c r="H16" s="12" t="s">
        <v>2029</v>
      </c>
      <c r="I16" s="12" t="s">
        <v>2030</v>
      </c>
      <c r="J16" s="0" t="n">
        <v>20.6393904</v>
      </c>
      <c r="K16" s="0" t="n">
        <v>24.015174</v>
      </c>
      <c r="L16" s="0" t="n">
        <v>27.6502044</v>
      </c>
      <c r="M16" s="12" t="n">
        <f aca="false">(ABS(D16-J16)&gt;0.000000001)+(ABS(E16-K16)&gt;0.000000001)+(ABS(F16-L16)&gt;0.000000001)</f>
        <v>0</v>
      </c>
    </row>
    <row r="17" customFormat="false" ht="17.15" hidden="false" customHeight="false" outlineLevel="0" collapsed="false">
      <c r="A17" s="0" t="s">
        <v>2027</v>
      </c>
      <c r="B17" s="0" t="s">
        <v>2012</v>
      </c>
      <c r="C17" s="0" t="s">
        <v>2032</v>
      </c>
      <c r="D17" s="34" t="n">
        <v>28.5549024</v>
      </c>
      <c r="E17" s="34" t="n">
        <v>32.237224</v>
      </c>
      <c r="F17" s="34" t="n">
        <v>39.2826064</v>
      </c>
      <c r="G17" s="12" t="s">
        <v>508</v>
      </c>
      <c r="H17" s="12" t="s">
        <v>2029</v>
      </c>
      <c r="I17" s="12" t="s">
        <v>2030</v>
      </c>
      <c r="J17" s="0" t="n">
        <v>28.5549024</v>
      </c>
      <c r="K17" s="0" t="n">
        <v>32.237224</v>
      </c>
      <c r="L17" s="0" t="n">
        <v>39.2826064</v>
      </c>
      <c r="M17" s="12" t="n">
        <f aca="false">(ABS(D17-J17)&gt;0.000000001)+(ABS(E17-K17)&gt;0.000000001)+(ABS(F17-L17)&gt;0.000000001)</f>
        <v>0</v>
      </c>
    </row>
    <row r="18" customFormat="false" ht="17.15" hidden="false" customHeight="false" outlineLevel="0" collapsed="false">
      <c r="A18" s="0" t="s">
        <v>2027</v>
      </c>
      <c r="B18" s="0" t="s">
        <v>2014</v>
      </c>
      <c r="C18" s="0" t="s">
        <v>2033</v>
      </c>
      <c r="D18" s="34" t="n">
        <v>31.9970232</v>
      </c>
      <c r="E18" s="34" t="n">
        <v>37.586352</v>
      </c>
      <c r="F18" s="34" t="n">
        <v>42.6375752</v>
      </c>
      <c r="G18" s="12" t="s">
        <v>508</v>
      </c>
      <c r="H18" s="12" t="s">
        <v>2029</v>
      </c>
      <c r="I18" s="12" t="s">
        <v>2030</v>
      </c>
      <c r="J18" s="0" t="n">
        <v>31.9970232</v>
      </c>
      <c r="K18" s="0" t="n">
        <v>37.586352</v>
      </c>
      <c r="L18" s="0" t="n">
        <v>42.6375752</v>
      </c>
      <c r="M18" s="12" t="n">
        <f aca="false">(ABS(D18-J18)&gt;0.000000001)+(ABS(E18-K18)&gt;0.000000001)+(ABS(F18-L18)&gt;0.000000001)</f>
        <v>0</v>
      </c>
    </row>
    <row r="19" customFormat="false" ht="17.15" hidden="false" customHeight="false" outlineLevel="0" collapsed="false">
      <c r="A19" s="0" t="s">
        <v>2027</v>
      </c>
      <c r="B19" s="0" t="s">
        <v>2016</v>
      </c>
      <c r="C19" s="0" t="s">
        <v>2034</v>
      </c>
      <c r="D19" s="34" t="n">
        <v>35.845578</v>
      </c>
      <c r="E19" s="34" t="n">
        <v>50.08578</v>
      </c>
      <c r="F19" s="34" t="n">
        <v>65.481558</v>
      </c>
      <c r="G19" s="12" t="s">
        <v>508</v>
      </c>
      <c r="H19" s="12" t="s">
        <v>2029</v>
      </c>
      <c r="I19" s="12" t="s">
        <v>2030</v>
      </c>
      <c r="J19" s="0" t="n">
        <v>35.845578</v>
      </c>
      <c r="K19" s="0" t="n">
        <v>50.08578</v>
      </c>
      <c r="L19" s="0" t="n">
        <v>65.481558</v>
      </c>
      <c r="M19" s="12" t="n">
        <f aca="false">(ABS(D19-J19)&gt;0.000000001)+(ABS(E19-K19)&gt;0.000000001)+(ABS(F19-L19)&gt;0.000000001)</f>
        <v>0</v>
      </c>
    </row>
    <row r="20" customFormat="false" ht="15" hidden="false" customHeight="false" outlineLevel="0" collapsed="false">
      <c r="A20" s="0" t="s">
        <v>2035</v>
      </c>
      <c r="B20" s="0" t="s">
        <v>2005</v>
      </c>
      <c r="C20" s="0" t="s">
        <v>2036</v>
      </c>
      <c r="D20" s="34" t="n">
        <v>10.212</v>
      </c>
      <c r="E20" s="34" t="n">
        <v>12.67</v>
      </c>
      <c r="F20" s="34" t="n">
        <v>16.186</v>
      </c>
      <c r="G20" s="12" t="s">
        <v>508</v>
      </c>
      <c r="H20" s="12" t="s">
        <v>2037</v>
      </c>
      <c r="I20" s="12" t="s">
        <v>2022</v>
      </c>
      <c r="J20" s="0" t="n">
        <v>10.212</v>
      </c>
      <c r="K20" s="0" t="n">
        <v>12.67</v>
      </c>
      <c r="L20" s="0" t="n">
        <v>16.186</v>
      </c>
      <c r="M20" s="12" t="n">
        <f aca="false">(ABS(D20-J20)&gt;0.000000001)+(ABS(E20-K20)&gt;0.000000001)+(ABS(F20-L20)&gt;0.000000001)</f>
        <v>0</v>
      </c>
    </row>
    <row r="21" customFormat="false" ht="15" hidden="false" customHeight="false" outlineLevel="0" collapsed="false">
      <c r="A21" s="0" t="s">
        <v>2035</v>
      </c>
      <c r="B21" s="0" t="s">
        <v>2010</v>
      </c>
      <c r="C21" s="0" t="s">
        <v>2038</v>
      </c>
      <c r="D21" s="34" t="n">
        <v>10.212</v>
      </c>
      <c r="E21" s="34" t="n">
        <v>12.67</v>
      </c>
      <c r="F21" s="34" t="n">
        <v>16.186</v>
      </c>
      <c r="G21" s="12" t="s">
        <v>508</v>
      </c>
      <c r="H21" s="12" t="s">
        <v>2037</v>
      </c>
      <c r="I21" s="12" t="s">
        <v>2022</v>
      </c>
      <c r="J21" s="0" t="n">
        <v>10.212</v>
      </c>
      <c r="K21" s="0" t="n">
        <v>12.67</v>
      </c>
      <c r="L21" s="0" t="n">
        <v>16.186</v>
      </c>
      <c r="M21" s="12" t="n">
        <f aca="false">(ABS(D21-J21)&gt;0.000000001)+(ABS(E21-K21)&gt;0.000000001)+(ABS(F21-L21)&gt;0.000000001)</f>
        <v>0</v>
      </c>
    </row>
    <row r="22" customFormat="false" ht="15" hidden="false" customHeight="false" outlineLevel="0" collapsed="false">
      <c r="A22" s="0" t="s">
        <v>2035</v>
      </c>
      <c r="B22" s="0" t="s">
        <v>2012</v>
      </c>
      <c r="C22" s="0" t="s">
        <v>2039</v>
      </c>
      <c r="D22" s="34" t="n">
        <v>10.212</v>
      </c>
      <c r="E22" s="34" t="n">
        <v>12.67</v>
      </c>
      <c r="F22" s="34" t="n">
        <v>16.186</v>
      </c>
      <c r="G22" s="12" t="s">
        <v>508</v>
      </c>
      <c r="H22" s="12" t="s">
        <v>2037</v>
      </c>
      <c r="I22" s="12" t="s">
        <v>2022</v>
      </c>
      <c r="J22" s="0" t="n">
        <v>10.212</v>
      </c>
      <c r="K22" s="0" t="n">
        <v>12.67</v>
      </c>
      <c r="L22" s="0" t="n">
        <v>16.186</v>
      </c>
      <c r="M22" s="12" t="n">
        <f aca="false">(ABS(D22-J22)&gt;0.000000001)+(ABS(E22-K22)&gt;0.000000001)+(ABS(F22-L22)&gt;0.000000001)</f>
        <v>0</v>
      </c>
    </row>
    <row r="23" customFormat="false" ht="15" hidden="false" customHeight="false" outlineLevel="0" collapsed="false">
      <c r="A23" s="0" t="s">
        <v>2035</v>
      </c>
      <c r="B23" s="0" t="s">
        <v>2014</v>
      </c>
      <c r="C23" s="0" t="s">
        <v>2040</v>
      </c>
      <c r="D23" s="34" t="n">
        <v>10.212</v>
      </c>
      <c r="E23" s="34" t="n">
        <v>12.67</v>
      </c>
      <c r="F23" s="34" t="n">
        <v>16.186</v>
      </c>
      <c r="G23" s="12" t="s">
        <v>508</v>
      </c>
      <c r="H23" s="12" t="s">
        <v>2037</v>
      </c>
      <c r="I23" s="12" t="s">
        <v>2022</v>
      </c>
      <c r="J23" s="0" t="n">
        <v>10.212</v>
      </c>
      <c r="K23" s="0" t="n">
        <v>12.67</v>
      </c>
      <c r="L23" s="0" t="n">
        <v>16.186</v>
      </c>
      <c r="M23" s="12" t="n">
        <f aca="false">(ABS(D23-J23)&gt;0.000000001)+(ABS(E23-K23)&gt;0.000000001)+(ABS(F23-L23)&gt;0.000000001)</f>
        <v>0</v>
      </c>
    </row>
    <row r="24" customFormat="false" ht="17.15" hidden="false" customHeight="false" outlineLevel="0" collapsed="false">
      <c r="A24" s="0" t="s">
        <v>2035</v>
      </c>
      <c r="B24" s="0" t="s">
        <v>2016</v>
      </c>
      <c r="C24" s="0" t="s">
        <v>2041</v>
      </c>
      <c r="D24" s="34" t="n">
        <v>10.212</v>
      </c>
      <c r="E24" s="34" t="n">
        <v>12.67</v>
      </c>
      <c r="F24" s="34" t="n">
        <v>16.186</v>
      </c>
      <c r="G24" s="12" t="s">
        <v>508</v>
      </c>
      <c r="H24" s="12" t="s">
        <v>2037</v>
      </c>
      <c r="I24" s="12" t="s">
        <v>2022</v>
      </c>
      <c r="J24" s="0" t="n">
        <v>10.212</v>
      </c>
      <c r="K24" s="0" t="n">
        <v>12.67</v>
      </c>
      <c r="L24" s="0" t="n">
        <v>16.186</v>
      </c>
      <c r="M24" s="12" t="n">
        <f aca="false">(ABS(D24-J24)&gt;0.000000001)+(ABS(E24-K24)&gt;0.000000001)+(ABS(F24-L24)&gt;0.000000001)</f>
        <v>0</v>
      </c>
    </row>
    <row r="25" customFormat="false" ht="15" hidden="false" customHeight="false" outlineLevel="0" collapsed="false">
      <c r="A25" s="0" t="s">
        <v>2042</v>
      </c>
      <c r="B25" s="0" t="s">
        <v>2005</v>
      </c>
      <c r="C25" s="0" t="s">
        <v>2043</v>
      </c>
      <c r="D25" s="34" t="n">
        <v>31.6322694</v>
      </c>
      <c r="E25" s="34" t="n">
        <v>40.180214</v>
      </c>
      <c r="F25" s="34" t="n">
        <v>50.3067434</v>
      </c>
      <c r="G25" s="12" t="s">
        <v>508</v>
      </c>
      <c r="H25" s="12" t="s">
        <v>2044</v>
      </c>
      <c r="I25" s="12" t="s">
        <v>2022</v>
      </c>
      <c r="J25" s="0" t="n">
        <v>31.6322694</v>
      </c>
      <c r="K25" s="0" t="n">
        <v>40.180214</v>
      </c>
      <c r="L25" s="0" t="n">
        <v>50.3067434</v>
      </c>
      <c r="M25" s="12" t="n">
        <f aca="false">(ABS(D25-J25)&gt;0.000000001)+(ABS(E25-K25)&gt;0.000000001)+(ABS(F25-L25)&gt;0.000000001)</f>
        <v>0</v>
      </c>
    </row>
    <row r="26" customFormat="false" ht="15" hidden="false" customHeight="false" outlineLevel="0" collapsed="false">
      <c r="A26" s="0" t="s">
        <v>2042</v>
      </c>
      <c r="B26" s="0" t="s">
        <v>2010</v>
      </c>
      <c r="C26" s="0" t="s">
        <v>2045</v>
      </c>
      <c r="D26" s="34" t="n">
        <v>30.8513904</v>
      </c>
      <c r="E26" s="34" t="n">
        <v>36.685174</v>
      </c>
      <c r="F26" s="34" t="n">
        <v>43.8362044</v>
      </c>
      <c r="G26" s="12" t="s">
        <v>508</v>
      </c>
      <c r="H26" s="12" t="s">
        <v>2044</v>
      </c>
      <c r="I26" s="12" t="s">
        <v>2022</v>
      </c>
      <c r="J26" s="0" t="n">
        <v>30.8513904</v>
      </c>
      <c r="K26" s="0" t="n">
        <v>36.685174</v>
      </c>
      <c r="L26" s="0" t="n">
        <v>43.8362044</v>
      </c>
      <c r="M26" s="12" t="n">
        <f aca="false">(ABS(D26-J26)&gt;0.000000001)+(ABS(E26-K26)&gt;0.000000001)+(ABS(F26-L26)&gt;0.000000001)</f>
        <v>0</v>
      </c>
    </row>
    <row r="27" customFormat="false" ht="15" hidden="false" customHeight="false" outlineLevel="0" collapsed="false">
      <c r="A27" s="0" t="s">
        <v>2042</v>
      </c>
      <c r="B27" s="0" t="s">
        <v>2012</v>
      </c>
      <c r="C27" s="0" t="s">
        <v>2046</v>
      </c>
      <c r="D27" s="34" t="n">
        <v>38.7669024</v>
      </c>
      <c r="E27" s="34" t="n">
        <v>44.907224</v>
      </c>
      <c r="F27" s="34" t="n">
        <v>55.4686064</v>
      </c>
      <c r="G27" s="12" t="s">
        <v>508</v>
      </c>
      <c r="H27" s="12" t="s">
        <v>2044</v>
      </c>
      <c r="I27" s="12" t="s">
        <v>2022</v>
      </c>
      <c r="J27" s="0" t="n">
        <v>38.7669024</v>
      </c>
      <c r="K27" s="0" t="n">
        <v>44.907224</v>
      </c>
      <c r="L27" s="0" t="n">
        <v>55.4686064</v>
      </c>
      <c r="M27" s="12" t="n">
        <f aca="false">(ABS(D27-J27)&gt;0.000000001)+(ABS(E27-K27)&gt;0.000000001)+(ABS(F27-L27)&gt;0.000000001)</f>
        <v>0</v>
      </c>
    </row>
    <row r="28" customFormat="false" ht="15" hidden="false" customHeight="false" outlineLevel="0" collapsed="false">
      <c r="A28" s="0" t="s">
        <v>2042</v>
      </c>
      <c r="B28" s="0" t="s">
        <v>2014</v>
      </c>
      <c r="C28" s="0" t="s">
        <v>2047</v>
      </c>
      <c r="D28" s="34" t="n">
        <v>42.2090232</v>
      </c>
      <c r="E28" s="34" t="n">
        <v>50.256352</v>
      </c>
      <c r="F28" s="34" t="n">
        <v>58.8235752</v>
      </c>
      <c r="G28" s="12" t="s">
        <v>508</v>
      </c>
      <c r="H28" s="12" t="s">
        <v>2044</v>
      </c>
      <c r="I28" s="12" t="s">
        <v>2022</v>
      </c>
      <c r="J28" s="0" t="n">
        <v>42.2090232</v>
      </c>
      <c r="K28" s="0" t="n">
        <v>50.256352</v>
      </c>
      <c r="L28" s="0" t="n">
        <v>58.8235752</v>
      </c>
      <c r="M28" s="12" t="n">
        <f aca="false">(ABS(D28-J28)&gt;0.000000001)+(ABS(E28-K28)&gt;0.000000001)+(ABS(F28-L28)&gt;0.000000001)</f>
        <v>0</v>
      </c>
    </row>
    <row r="29" customFormat="false" ht="17.15" hidden="false" customHeight="false" outlineLevel="0" collapsed="false">
      <c r="A29" s="0" t="s">
        <v>2042</v>
      </c>
      <c r="B29" s="0" t="s">
        <v>2016</v>
      </c>
      <c r="C29" s="0" t="s">
        <v>2048</v>
      </c>
      <c r="D29" s="34" t="n">
        <v>46.057578</v>
      </c>
      <c r="E29" s="34" t="n">
        <v>62.75578</v>
      </c>
      <c r="F29" s="34" t="n">
        <v>81.667558</v>
      </c>
      <c r="G29" s="12" t="s">
        <v>508</v>
      </c>
      <c r="H29" s="12" t="s">
        <v>2044</v>
      </c>
      <c r="I29" s="12" t="s">
        <v>2022</v>
      </c>
      <c r="J29" s="0" t="n">
        <v>46.057578</v>
      </c>
      <c r="K29" s="0" t="n">
        <v>62.75578</v>
      </c>
      <c r="L29" s="0" t="n">
        <v>81.667558</v>
      </c>
      <c r="M29" s="12" t="n">
        <f aca="false">(ABS(D29-J29)&gt;0.000000001)+(ABS(E29-K29)&gt;0.000000001)+(ABS(F29-L29)&gt;0.000000001)</f>
        <v>0</v>
      </c>
    </row>
    <row r="30" customFormat="false" ht="17.15" hidden="false" customHeight="false" outlineLevel="0" collapsed="false">
      <c r="A30" s="0" t="s">
        <v>2049</v>
      </c>
      <c r="B30" s="0" t="s">
        <v>2005</v>
      </c>
      <c r="C30" s="0" t="s">
        <v>2050</v>
      </c>
      <c r="D30" s="34" t="n">
        <v>0.9</v>
      </c>
      <c r="E30" s="34" t="n">
        <v>1.1</v>
      </c>
      <c r="F30" s="34" t="n">
        <v>1.3</v>
      </c>
      <c r="G30" s="12" t="s">
        <v>2051</v>
      </c>
      <c r="H30" s="12" t="s">
        <v>2052</v>
      </c>
      <c r="I30" s="12" t="s">
        <v>2053</v>
      </c>
      <c r="J30" s="0" t="n">
        <v>0.9</v>
      </c>
      <c r="K30" s="0" t="n">
        <v>1.1</v>
      </c>
      <c r="L30" s="0" t="n">
        <v>1.3</v>
      </c>
      <c r="M30" s="12" t="n">
        <f aca="false">(ABS(D30-J30)&gt;0.000000001)+(ABS(E30-K30)&gt;0.000000001)+(ABS(F30-L30)&gt;0.000000001)</f>
        <v>0</v>
      </c>
    </row>
    <row r="31" customFormat="false" ht="17.15" hidden="false" customHeight="false" outlineLevel="0" collapsed="false">
      <c r="A31" s="0" t="s">
        <v>2049</v>
      </c>
      <c r="B31" s="0" t="s">
        <v>2010</v>
      </c>
      <c r="C31" s="0" t="s">
        <v>2054</v>
      </c>
      <c r="D31" s="34" t="n">
        <v>2.8</v>
      </c>
      <c r="E31" s="34" t="n">
        <v>3.1</v>
      </c>
      <c r="F31" s="34" t="n">
        <v>3.4</v>
      </c>
      <c r="G31" s="12" t="s">
        <v>2051</v>
      </c>
      <c r="H31" s="12" t="s">
        <v>2052</v>
      </c>
      <c r="I31" s="12" t="s">
        <v>2053</v>
      </c>
      <c r="J31" s="0" t="n">
        <v>2.8</v>
      </c>
      <c r="K31" s="0" t="n">
        <v>3.1</v>
      </c>
      <c r="L31" s="0" t="n">
        <v>3.4</v>
      </c>
      <c r="M31" s="12" t="n">
        <f aca="false">(ABS(D31-J31)&gt;0.000000001)+(ABS(E31-K31)&gt;0.000000001)+(ABS(F31-L31)&gt;0.000000001)</f>
        <v>0</v>
      </c>
    </row>
    <row r="32" customFormat="false" ht="17.15" hidden="false" customHeight="false" outlineLevel="0" collapsed="false">
      <c r="A32" s="0" t="s">
        <v>2049</v>
      </c>
      <c r="B32" s="0" t="s">
        <v>2012</v>
      </c>
      <c r="C32" s="0" t="s">
        <v>2055</v>
      </c>
      <c r="D32" s="34" t="n">
        <v>4</v>
      </c>
      <c r="E32" s="34" t="n">
        <v>4.3</v>
      </c>
      <c r="F32" s="34" t="n">
        <v>5</v>
      </c>
      <c r="G32" s="12" t="s">
        <v>2051</v>
      </c>
      <c r="H32" s="12" t="s">
        <v>2052</v>
      </c>
      <c r="I32" s="12" t="s">
        <v>2053</v>
      </c>
      <c r="J32" s="0" t="n">
        <v>4</v>
      </c>
      <c r="K32" s="0" t="n">
        <v>4.3</v>
      </c>
      <c r="L32" s="0" t="n">
        <v>5</v>
      </c>
      <c r="M32" s="12" t="n">
        <f aca="false">(ABS(D32-J32)&gt;0.000000001)+(ABS(E32-K32)&gt;0.000000001)+(ABS(F32-L32)&gt;0.000000001)</f>
        <v>0</v>
      </c>
    </row>
    <row r="33" customFormat="false" ht="17.15" hidden="false" customHeight="false" outlineLevel="0" collapsed="false">
      <c r="A33" s="0" t="s">
        <v>2049</v>
      </c>
      <c r="B33" s="0" t="s">
        <v>2014</v>
      </c>
      <c r="C33" s="0" t="s">
        <v>2056</v>
      </c>
      <c r="D33" s="34" t="n">
        <v>7.5</v>
      </c>
      <c r="E33" s="34" t="n">
        <v>8.4</v>
      </c>
      <c r="F33" s="34" t="n">
        <v>9.1</v>
      </c>
      <c r="G33" s="12" t="s">
        <v>2051</v>
      </c>
      <c r="H33" s="12" t="s">
        <v>2052</v>
      </c>
      <c r="I33" s="12" t="s">
        <v>2053</v>
      </c>
      <c r="J33" s="0" t="n">
        <v>7.5</v>
      </c>
      <c r="K33" s="0" t="n">
        <v>8.4</v>
      </c>
      <c r="L33" s="0" t="n">
        <v>9.1</v>
      </c>
      <c r="M33" s="12" t="n">
        <f aca="false">(ABS(D33-J33)&gt;0.000000001)+(ABS(E33-K33)&gt;0.000000001)+(ABS(F33-L33)&gt;0.000000001)</f>
        <v>0</v>
      </c>
    </row>
    <row r="34" customFormat="false" ht="17.15" hidden="false" customHeight="false" outlineLevel="0" collapsed="false">
      <c r="A34" s="0" t="s">
        <v>2049</v>
      </c>
      <c r="B34" s="0" t="s">
        <v>2016</v>
      </c>
      <c r="C34" s="0" t="s">
        <v>2057</v>
      </c>
      <c r="D34" s="34" t="n">
        <v>12.6</v>
      </c>
      <c r="E34" s="34" t="n">
        <v>16.8</v>
      </c>
      <c r="F34" s="34" t="n">
        <v>21</v>
      </c>
      <c r="G34" s="12" t="s">
        <v>2051</v>
      </c>
      <c r="H34" s="12" t="s">
        <v>2052</v>
      </c>
      <c r="I34" s="12" t="s">
        <v>2053</v>
      </c>
      <c r="J34" s="0" t="n">
        <v>12.6</v>
      </c>
      <c r="K34" s="0" t="n">
        <v>16.8</v>
      </c>
      <c r="L34" s="0" t="n">
        <v>21</v>
      </c>
      <c r="M34" s="12" t="n">
        <f aca="false">(ABS(D34-J34)&gt;0.000000001)+(ABS(E34-K34)&gt;0.000000001)+(ABS(F34-L34)&gt;0.000000001)</f>
        <v>0</v>
      </c>
    </row>
    <row r="35" customFormat="false" ht="17.15" hidden="false" customHeight="false" outlineLevel="0" collapsed="false">
      <c r="A35" s="0" t="s">
        <v>2058</v>
      </c>
      <c r="B35" s="0" t="s">
        <v>2005</v>
      </c>
      <c r="C35" s="0" t="s">
        <v>2059</v>
      </c>
      <c r="D35" s="34" t="n">
        <v>0.05</v>
      </c>
      <c r="E35" s="34" t="n">
        <v>0.1</v>
      </c>
      <c r="F35" s="34" t="n">
        <v>0.15</v>
      </c>
      <c r="G35" s="6" t="s">
        <v>2060</v>
      </c>
      <c r="H35" s="12" t="s">
        <v>2061</v>
      </c>
      <c r="I35" s="12" t="s">
        <v>2062</v>
      </c>
      <c r="J35" s="0" t="n">
        <v>0.05</v>
      </c>
      <c r="K35" s="0" t="n">
        <v>0.1</v>
      </c>
      <c r="L35" s="0" t="n">
        <v>0.15</v>
      </c>
      <c r="M35" s="12" t="n">
        <f aca="false">(ABS(D35-J35)&gt;0.000000001)+(ABS(E35-K35)&gt;0.000000001)+(ABS(F35-L35)&gt;0.000000001)</f>
        <v>0</v>
      </c>
    </row>
    <row r="36" customFormat="false" ht="17.15" hidden="false" customHeight="false" outlineLevel="0" collapsed="false">
      <c r="A36" s="0" t="s">
        <v>2058</v>
      </c>
      <c r="B36" s="0" t="s">
        <v>2010</v>
      </c>
      <c r="C36" s="0" t="s">
        <v>2063</v>
      </c>
      <c r="D36" s="34" t="n">
        <v>0.05</v>
      </c>
      <c r="E36" s="34" t="n">
        <v>0.1</v>
      </c>
      <c r="F36" s="34" t="n">
        <v>0.15</v>
      </c>
      <c r="G36" s="6" t="s">
        <v>2060</v>
      </c>
      <c r="H36" s="12" t="s">
        <v>2061</v>
      </c>
      <c r="I36" s="12" t="s">
        <v>2062</v>
      </c>
      <c r="J36" s="0" t="n">
        <v>0.05</v>
      </c>
      <c r="K36" s="0" t="n">
        <v>0.1</v>
      </c>
      <c r="L36" s="0" t="n">
        <v>0.15</v>
      </c>
      <c r="M36" s="12" t="n">
        <f aca="false">(ABS(D36-J36)&gt;0.000000001)+(ABS(E36-K36)&gt;0.000000001)+(ABS(F36-L36)&gt;0.000000001)</f>
        <v>0</v>
      </c>
    </row>
    <row r="37" customFormat="false" ht="17.15" hidden="false" customHeight="false" outlineLevel="0" collapsed="false">
      <c r="A37" s="0" t="s">
        <v>2058</v>
      </c>
      <c r="B37" s="0" t="s">
        <v>2012</v>
      </c>
      <c r="C37" s="0" t="s">
        <v>2064</v>
      </c>
      <c r="D37" s="34" t="n">
        <v>0.05</v>
      </c>
      <c r="E37" s="34" t="n">
        <v>0.1</v>
      </c>
      <c r="F37" s="34" t="n">
        <v>0.15</v>
      </c>
      <c r="G37" s="6" t="s">
        <v>2060</v>
      </c>
      <c r="H37" s="12" t="s">
        <v>2061</v>
      </c>
      <c r="I37" s="12" t="s">
        <v>2062</v>
      </c>
      <c r="J37" s="0" t="n">
        <v>0.05</v>
      </c>
      <c r="K37" s="0" t="n">
        <v>0.1</v>
      </c>
      <c r="L37" s="0" t="n">
        <v>0.15</v>
      </c>
      <c r="M37" s="12" t="n">
        <f aca="false">(ABS(D37-J37)&gt;0.000000001)+(ABS(E37-K37)&gt;0.000000001)+(ABS(F37-L37)&gt;0.000000001)</f>
        <v>0</v>
      </c>
    </row>
    <row r="38" customFormat="false" ht="17.15" hidden="false" customHeight="false" outlineLevel="0" collapsed="false">
      <c r="A38" s="0" t="s">
        <v>2058</v>
      </c>
      <c r="B38" s="0" t="s">
        <v>2014</v>
      </c>
      <c r="C38" s="0" t="s">
        <v>2065</v>
      </c>
      <c r="D38" s="34" t="n">
        <v>0.05</v>
      </c>
      <c r="E38" s="34" t="n">
        <v>0.1</v>
      </c>
      <c r="F38" s="34" t="n">
        <v>0.15</v>
      </c>
      <c r="G38" s="6" t="s">
        <v>2060</v>
      </c>
      <c r="H38" s="12" t="s">
        <v>2061</v>
      </c>
      <c r="I38" s="12" t="s">
        <v>2062</v>
      </c>
      <c r="J38" s="0" t="n">
        <v>0.05</v>
      </c>
      <c r="K38" s="0" t="n">
        <v>0.1</v>
      </c>
      <c r="L38" s="0" t="n">
        <v>0.15</v>
      </c>
      <c r="M38" s="12" t="n">
        <f aca="false">(ABS(D38-J38)&gt;0.000000001)+(ABS(E38-K38)&gt;0.000000001)+(ABS(F38-L38)&gt;0.000000001)</f>
        <v>0</v>
      </c>
    </row>
    <row r="39" customFormat="false" ht="17.15" hidden="false" customHeight="false" outlineLevel="0" collapsed="false">
      <c r="A39" s="0" t="s">
        <v>2058</v>
      </c>
      <c r="B39" s="0" t="s">
        <v>2016</v>
      </c>
      <c r="C39" s="0" t="s">
        <v>2066</v>
      </c>
      <c r="D39" s="34" t="n">
        <v>0.05</v>
      </c>
      <c r="E39" s="34" t="n">
        <v>0.1</v>
      </c>
      <c r="F39" s="34" t="n">
        <v>0.15</v>
      </c>
      <c r="G39" s="6" t="s">
        <v>2060</v>
      </c>
      <c r="H39" s="12" t="s">
        <v>2061</v>
      </c>
      <c r="I39" s="12" t="s">
        <v>2062</v>
      </c>
      <c r="J39" s="0" t="n">
        <v>0.05</v>
      </c>
      <c r="K39" s="0" t="n">
        <v>0.1</v>
      </c>
      <c r="L39" s="0" t="n">
        <v>0.15</v>
      </c>
      <c r="M39" s="12" t="n">
        <f aca="false">(ABS(D39-J39)&gt;0.000000001)+(ABS(E39-K39)&gt;0.000000001)+(ABS(F39-L39)&gt;0.000000001)</f>
        <v>0</v>
      </c>
    </row>
    <row r="40" customFormat="false" ht="17.15" hidden="false" customHeight="false" outlineLevel="0" collapsed="false">
      <c r="A40" s="0" t="s">
        <v>2067</v>
      </c>
      <c r="B40" s="0" t="s">
        <v>2005</v>
      </c>
      <c r="C40" s="0" t="s">
        <v>2068</v>
      </c>
      <c r="D40" s="34" t="n">
        <v>300</v>
      </c>
      <c r="E40" s="34" t="n">
        <v>500</v>
      </c>
      <c r="F40" s="34" t="n">
        <v>800</v>
      </c>
      <c r="G40" s="12" t="s">
        <v>2069</v>
      </c>
      <c r="H40" s="12" t="s">
        <v>2070</v>
      </c>
      <c r="I40" s="12" t="s">
        <v>2062</v>
      </c>
      <c r="J40" s="0" t="n">
        <v>300</v>
      </c>
      <c r="K40" s="0" t="n">
        <v>500</v>
      </c>
      <c r="L40" s="0" t="n">
        <v>800</v>
      </c>
      <c r="M40" s="12" t="n">
        <f aca="false">(ABS(D40-J40)&gt;0.000000001)+(ABS(E40-K40)&gt;0.000000001)+(ABS(F40-L40)&gt;0.000000001)</f>
        <v>0</v>
      </c>
    </row>
    <row r="41" customFormat="false" ht="17.15" hidden="false" customHeight="false" outlineLevel="0" collapsed="false">
      <c r="A41" s="0" t="s">
        <v>2067</v>
      </c>
      <c r="B41" s="0" t="s">
        <v>2010</v>
      </c>
      <c r="C41" s="0" t="s">
        <v>2071</v>
      </c>
      <c r="D41" s="34" t="n">
        <v>300</v>
      </c>
      <c r="E41" s="34" t="n">
        <v>500</v>
      </c>
      <c r="F41" s="34" t="n">
        <v>800</v>
      </c>
      <c r="G41" s="12" t="s">
        <v>2069</v>
      </c>
      <c r="H41" s="12" t="s">
        <v>2070</v>
      </c>
      <c r="I41" s="12" t="s">
        <v>2062</v>
      </c>
      <c r="J41" s="0" t="n">
        <v>300</v>
      </c>
      <c r="K41" s="0" t="n">
        <v>500</v>
      </c>
      <c r="L41" s="0" t="n">
        <v>800</v>
      </c>
      <c r="M41" s="12" t="n">
        <f aca="false">(ABS(D41-J41)&gt;0.000000001)+(ABS(E41-K41)&gt;0.000000001)+(ABS(F41-L41)&gt;0.000000001)</f>
        <v>0</v>
      </c>
    </row>
    <row r="42" customFormat="false" ht="17.15" hidden="false" customHeight="false" outlineLevel="0" collapsed="false">
      <c r="A42" s="0" t="s">
        <v>2067</v>
      </c>
      <c r="B42" s="0" t="s">
        <v>2012</v>
      </c>
      <c r="C42" s="0" t="s">
        <v>2072</v>
      </c>
      <c r="D42" s="34" t="n">
        <v>300</v>
      </c>
      <c r="E42" s="34" t="n">
        <v>500</v>
      </c>
      <c r="F42" s="34" t="n">
        <v>800</v>
      </c>
      <c r="G42" s="12" t="s">
        <v>2069</v>
      </c>
      <c r="H42" s="12" t="s">
        <v>2070</v>
      </c>
      <c r="I42" s="12" t="s">
        <v>2062</v>
      </c>
      <c r="J42" s="0" t="n">
        <v>300</v>
      </c>
      <c r="K42" s="0" t="n">
        <v>500</v>
      </c>
      <c r="L42" s="0" t="n">
        <v>800</v>
      </c>
      <c r="M42" s="12" t="n">
        <f aca="false">(ABS(D42-J42)&gt;0.000000001)+(ABS(E42-K42)&gt;0.000000001)+(ABS(F42-L42)&gt;0.000000001)</f>
        <v>0</v>
      </c>
    </row>
    <row r="43" customFormat="false" ht="17.15" hidden="false" customHeight="false" outlineLevel="0" collapsed="false">
      <c r="A43" s="0" t="s">
        <v>2067</v>
      </c>
      <c r="B43" s="0" t="s">
        <v>2014</v>
      </c>
      <c r="C43" s="0" t="s">
        <v>2073</v>
      </c>
      <c r="D43" s="34" t="n">
        <v>300</v>
      </c>
      <c r="E43" s="34" t="n">
        <v>500</v>
      </c>
      <c r="F43" s="34" t="n">
        <v>800</v>
      </c>
      <c r="G43" s="12" t="s">
        <v>2069</v>
      </c>
      <c r="H43" s="12" t="s">
        <v>2070</v>
      </c>
      <c r="I43" s="12" t="s">
        <v>2062</v>
      </c>
      <c r="J43" s="0" t="n">
        <v>300</v>
      </c>
      <c r="K43" s="0" t="n">
        <v>500</v>
      </c>
      <c r="L43" s="0" t="n">
        <v>800</v>
      </c>
      <c r="M43" s="12" t="n">
        <f aca="false">(ABS(D43-J43)&gt;0.000000001)+(ABS(E43-K43)&gt;0.000000001)+(ABS(F43-L43)&gt;0.000000001)</f>
        <v>0</v>
      </c>
    </row>
    <row r="44" customFormat="false" ht="17.15" hidden="false" customHeight="false" outlineLevel="0" collapsed="false">
      <c r="A44" s="0" t="s">
        <v>2067</v>
      </c>
      <c r="B44" s="0" t="s">
        <v>2016</v>
      </c>
      <c r="C44" s="0" t="s">
        <v>2074</v>
      </c>
      <c r="D44" s="34" t="n">
        <v>300</v>
      </c>
      <c r="E44" s="34" t="n">
        <v>500</v>
      </c>
      <c r="F44" s="34" t="n">
        <v>800</v>
      </c>
      <c r="G44" s="12" t="s">
        <v>2069</v>
      </c>
      <c r="H44" s="12" t="s">
        <v>2070</v>
      </c>
      <c r="I44" s="12" t="s">
        <v>2062</v>
      </c>
      <c r="J44" s="0" t="n">
        <v>300</v>
      </c>
      <c r="K44" s="0" t="n">
        <v>500</v>
      </c>
      <c r="L44" s="0" t="n">
        <v>800</v>
      </c>
      <c r="M44" s="12" t="n">
        <f aca="false">(ABS(D44-J44)&gt;0.000000001)+(ABS(E44-K44)&gt;0.000000001)+(ABS(F44-L44)&gt;0.000000001)</f>
        <v>0</v>
      </c>
    </row>
    <row r="45" customFormat="false" ht="17.15" hidden="false" customHeight="false" outlineLevel="0" collapsed="false">
      <c r="A45" s="0" t="s">
        <v>2075</v>
      </c>
      <c r="B45" s="0" t="s">
        <v>2076</v>
      </c>
      <c r="C45" s="0" t="s">
        <v>2077</v>
      </c>
      <c r="D45" s="34" t="n">
        <v>0.7</v>
      </c>
      <c r="E45" s="34" t="n">
        <v>0.8</v>
      </c>
      <c r="F45" s="34" t="n">
        <v>1.15</v>
      </c>
      <c r="G45" s="6" t="s">
        <v>2078</v>
      </c>
      <c r="H45" s="12" t="s">
        <v>2079</v>
      </c>
      <c r="I45" s="12" t="s">
        <v>2080</v>
      </c>
    </row>
    <row r="46" customFormat="false" ht="17.15" hidden="false" customHeight="false" outlineLevel="0" collapsed="false">
      <c r="A46" s="0" t="s">
        <v>2081</v>
      </c>
      <c r="B46" s="0" t="s">
        <v>2082</v>
      </c>
      <c r="C46" s="0" t="s">
        <v>2083</v>
      </c>
      <c r="D46" s="34" t="n">
        <v>0.6</v>
      </c>
      <c r="E46" s="34" t="n">
        <v>0.8</v>
      </c>
      <c r="F46" s="34" t="n">
        <v>1.1</v>
      </c>
      <c r="G46" s="6" t="s">
        <v>2078</v>
      </c>
      <c r="H46" s="12" t="s">
        <v>2084</v>
      </c>
      <c r="I46" s="12" t="s">
        <v>2080</v>
      </c>
    </row>
    <row r="47" customFormat="false" ht="17.15" hidden="false" customHeight="false" outlineLevel="0" collapsed="false">
      <c r="A47" s="0" t="s">
        <v>2085</v>
      </c>
      <c r="B47" s="0" t="s">
        <v>2086</v>
      </c>
      <c r="C47" s="0" t="s">
        <v>2087</v>
      </c>
      <c r="D47" s="34" t="n">
        <v>0.3</v>
      </c>
      <c r="E47" s="34" t="n">
        <v>0.5</v>
      </c>
      <c r="F47" s="34" t="n">
        <v>0.8</v>
      </c>
      <c r="G47" s="6" t="s">
        <v>2078</v>
      </c>
      <c r="H47" s="12" t="s">
        <v>2088</v>
      </c>
      <c r="I47" s="12" t="s">
        <v>2080</v>
      </c>
    </row>
    <row r="48" customFormat="false" ht="17.15" hidden="false" customHeight="false" outlineLevel="0" collapsed="false">
      <c r="A48" s="0" t="s">
        <v>2089</v>
      </c>
      <c r="B48" s="0" t="s">
        <v>2090</v>
      </c>
      <c r="C48" s="0" t="s">
        <v>2091</v>
      </c>
      <c r="D48" s="34" t="n">
        <v>0.2</v>
      </c>
      <c r="E48" s="34" t="n">
        <v>0.4</v>
      </c>
      <c r="F48" s="34" t="n">
        <v>0.8</v>
      </c>
      <c r="G48" s="6" t="s">
        <v>2078</v>
      </c>
      <c r="H48" s="12" t="s">
        <v>2092</v>
      </c>
      <c r="I48" s="12" t="s">
        <v>2080</v>
      </c>
    </row>
    <row r="49" customFormat="false" ht="17.15" hidden="false" customHeight="false" outlineLevel="0" collapsed="false">
      <c r="A49" s="0" t="s">
        <v>2093</v>
      </c>
      <c r="B49" s="0" t="s">
        <v>2094</v>
      </c>
      <c r="C49" s="0" t="s">
        <v>2095</v>
      </c>
      <c r="D49" s="34" t="n">
        <v>0.4</v>
      </c>
      <c r="E49" s="34" t="n">
        <v>0.6</v>
      </c>
      <c r="F49" s="34" t="n">
        <v>0.9</v>
      </c>
      <c r="G49" s="6" t="s">
        <v>2078</v>
      </c>
      <c r="H49" s="12" t="s">
        <v>2096</v>
      </c>
      <c r="I49" s="12" t="s">
        <v>2080</v>
      </c>
    </row>
    <row r="50" customFormat="false" ht="17.15" hidden="false" customHeight="false" outlineLevel="0" collapsed="false">
      <c r="A50" s="0" t="s">
        <v>2097</v>
      </c>
      <c r="B50" s="6" t="s">
        <v>2098</v>
      </c>
      <c r="C50" s="0" t="s">
        <v>2099</v>
      </c>
      <c r="D50" s="34" t="n">
        <v>0.05</v>
      </c>
      <c r="E50" s="34" t="n">
        <v>0.08</v>
      </c>
      <c r="F50" s="34" t="n">
        <v>0.15</v>
      </c>
      <c r="G50" s="6" t="s">
        <v>2078</v>
      </c>
      <c r="H50" s="12" t="s">
        <v>2100</v>
      </c>
      <c r="I50" s="12" t="s">
        <v>2080</v>
      </c>
    </row>
    <row r="51" customFormat="false" ht="17.15" hidden="false" customHeight="false" outlineLevel="0" collapsed="false">
      <c r="A51" s="0" t="s">
        <v>2101</v>
      </c>
      <c r="B51" s="0" t="s">
        <v>2102</v>
      </c>
      <c r="C51" s="0" t="s">
        <v>2103</v>
      </c>
      <c r="D51" s="34" t="n">
        <v>0.25</v>
      </c>
      <c r="E51" s="34" t="n">
        <v>0.55</v>
      </c>
      <c r="F51" s="34" t="n">
        <v>0.75</v>
      </c>
      <c r="G51" s="6" t="s">
        <v>2078</v>
      </c>
      <c r="H51" s="12" t="s">
        <v>2104</v>
      </c>
      <c r="I51" s="12" t="s">
        <v>2080</v>
      </c>
    </row>
    <row r="52" customFormat="false" ht="17.15" hidden="false" customHeight="false" outlineLevel="0" collapsed="false">
      <c r="A52" s="0" t="s">
        <v>2105</v>
      </c>
      <c r="B52" s="0" t="s">
        <v>2106</v>
      </c>
      <c r="C52" s="0" t="s">
        <v>2107</v>
      </c>
      <c r="D52" s="34" t="n">
        <v>0.67</v>
      </c>
      <c r="E52" s="34" t="n">
        <v>0.85</v>
      </c>
      <c r="F52" s="34" t="n">
        <v>1.12</v>
      </c>
      <c r="G52" s="6" t="s">
        <v>2078</v>
      </c>
      <c r="H52" s="12" t="s">
        <v>2108</v>
      </c>
      <c r="I52" s="12" t="s">
        <v>2080</v>
      </c>
    </row>
    <row r="53" customFormat="false" ht="17.15" hidden="false" customHeight="false" outlineLevel="0" collapsed="false">
      <c r="A53" s="0" t="s">
        <v>2109</v>
      </c>
      <c r="B53" s="0" t="s">
        <v>2110</v>
      </c>
      <c r="C53" s="0" t="s">
        <v>2111</v>
      </c>
      <c r="D53" s="34" t="n">
        <v>0.65</v>
      </c>
      <c r="E53" s="34" t="n">
        <v>0.7</v>
      </c>
      <c r="F53" s="34" t="n">
        <v>0.9</v>
      </c>
      <c r="G53" s="6" t="s">
        <v>2078</v>
      </c>
      <c r="H53" s="12" t="s">
        <v>2112</v>
      </c>
      <c r="I53" s="12" t="s">
        <v>2080</v>
      </c>
    </row>
    <row r="54" customFormat="false" ht="17.15" hidden="false" customHeight="false" outlineLevel="0" collapsed="false">
      <c r="A54" s="0" t="s">
        <v>2113</v>
      </c>
      <c r="B54" s="0" t="s">
        <v>2114</v>
      </c>
      <c r="C54" s="0" t="s">
        <v>2115</v>
      </c>
      <c r="D54" s="34" t="n">
        <v>0.45</v>
      </c>
      <c r="E54" s="34" t="n">
        <v>0.61</v>
      </c>
      <c r="F54" s="34" t="n">
        <v>0.7</v>
      </c>
      <c r="G54" s="6" t="s">
        <v>2078</v>
      </c>
      <c r="H54" s="12" t="s">
        <v>2116</v>
      </c>
      <c r="I54" s="12" t="s">
        <v>2080</v>
      </c>
    </row>
    <row r="55" customFormat="false" ht="17.15" hidden="false" customHeight="false" outlineLevel="0" collapsed="false">
      <c r="A55" s="0" t="s">
        <v>2117</v>
      </c>
      <c r="B55" s="0" t="s">
        <v>2118</v>
      </c>
      <c r="C55" s="0" t="s">
        <v>2119</v>
      </c>
      <c r="D55" s="34" t="n">
        <v>0.8</v>
      </c>
      <c r="E55" s="34" t="n">
        <v>1</v>
      </c>
      <c r="F55" s="34" t="n">
        <v>1.2</v>
      </c>
      <c r="G55" s="6" t="s">
        <v>2078</v>
      </c>
      <c r="H55" s="12" t="s">
        <v>2120</v>
      </c>
      <c r="I55" s="12" t="s">
        <v>2080</v>
      </c>
    </row>
    <row r="56" customFormat="false" ht="17.15" hidden="false" customHeight="false" outlineLevel="0" collapsed="false">
      <c r="A56" s="0" t="s">
        <v>2121</v>
      </c>
      <c r="B56" s="0" t="s">
        <v>2122</v>
      </c>
      <c r="C56" s="0" t="s">
        <v>2123</v>
      </c>
      <c r="D56" s="34" t="n">
        <v>0.7</v>
      </c>
      <c r="E56" s="34" t="n">
        <v>0.8</v>
      </c>
      <c r="F56" s="34" t="n">
        <v>1</v>
      </c>
      <c r="G56" s="6" t="s">
        <v>2078</v>
      </c>
      <c r="H56" s="12" t="s">
        <v>2124</v>
      </c>
      <c r="I56" s="12" t="s">
        <v>2080</v>
      </c>
    </row>
    <row r="57" customFormat="false" ht="17.15" hidden="false" customHeight="false" outlineLevel="0" collapsed="false">
      <c r="A57" s="0" t="s">
        <v>2125</v>
      </c>
      <c r="B57" s="6" t="s">
        <v>2126</v>
      </c>
      <c r="C57" s="0" t="s">
        <v>2127</v>
      </c>
      <c r="D57" s="34" t="n">
        <v>0.45</v>
      </c>
      <c r="E57" s="34" t="n">
        <v>0.55</v>
      </c>
      <c r="F57" s="34" t="n">
        <v>0.7</v>
      </c>
      <c r="G57" s="6" t="s">
        <v>2078</v>
      </c>
      <c r="H57" s="12" t="s">
        <v>2128</v>
      </c>
      <c r="I57" s="12" t="s">
        <v>2080</v>
      </c>
    </row>
    <row r="58" customFormat="false" ht="17.15" hidden="false" customHeight="false" outlineLevel="0" collapsed="false">
      <c r="A58" s="0" t="s">
        <v>2129</v>
      </c>
      <c r="B58" s="0" t="s">
        <v>2130</v>
      </c>
      <c r="C58" s="0" t="s">
        <v>2131</v>
      </c>
      <c r="D58" s="34" t="n">
        <v>0.4</v>
      </c>
      <c r="E58" s="34" t="n">
        <v>0.5</v>
      </c>
      <c r="F58" s="34" t="n">
        <v>0.6</v>
      </c>
      <c r="G58" s="6" t="s">
        <v>2078</v>
      </c>
      <c r="H58" s="12" t="s">
        <v>2132</v>
      </c>
      <c r="I58" s="12" t="s">
        <v>2080</v>
      </c>
    </row>
    <row r="60" customFormat="false" ht="17.15" hidden="false" customHeight="false" outlineLevel="0" collapsed="false">
      <c r="A60" s="9" t="s">
        <v>2133</v>
      </c>
      <c r="M60" s="35" t="n">
        <f aca="false">SUM(M5:M58)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2134</v>
      </c>
    </row>
    <row r="3" customFormat="false" ht="15" hidden="false" customHeight="false" outlineLevel="0" collapsed="false">
      <c r="A3" s="5" t="s">
        <v>2135</v>
      </c>
      <c r="B3" s="4" t="s">
        <v>2136</v>
      </c>
      <c r="C3" s="4" t="s">
        <v>2137</v>
      </c>
      <c r="D3" s="4" t="s">
        <v>46</v>
      </c>
      <c r="E3" s="4" t="s">
        <v>2138</v>
      </c>
      <c r="F3" s="4" t="s">
        <v>2139</v>
      </c>
      <c r="G3" s="4" t="s">
        <v>2140</v>
      </c>
      <c r="H3" s="4" t="s">
        <v>2141</v>
      </c>
      <c r="I3" s="4" t="s">
        <v>2142</v>
      </c>
      <c r="J3" s="4" t="s">
        <v>2143</v>
      </c>
      <c r="K3" s="4" t="s">
        <v>2144</v>
      </c>
      <c r="L3" s="4" t="s">
        <v>2145</v>
      </c>
      <c r="M3" s="4" t="s">
        <v>2146</v>
      </c>
    </row>
    <row r="4" customFormat="false" ht="32.8" hidden="false" customHeight="false" outlineLevel="0" collapsed="false">
      <c r="A4" s="3" t="s">
        <v>2147</v>
      </c>
      <c r="B4" s="2" t="s">
        <v>2148</v>
      </c>
      <c r="C4" s="2" t="s">
        <v>2149</v>
      </c>
      <c r="D4" s="3" t="s">
        <v>2150</v>
      </c>
      <c r="E4" s="3" t="s">
        <v>2151</v>
      </c>
      <c r="F4" s="3" t="s">
        <v>2152</v>
      </c>
      <c r="G4" s="2" t="s">
        <v>2153</v>
      </c>
      <c r="H4" s="2" t="s">
        <v>2154</v>
      </c>
      <c r="I4" s="2" t="s">
        <v>2155</v>
      </c>
      <c r="J4" s="2" t="s">
        <v>2156</v>
      </c>
      <c r="K4" s="2" t="s">
        <v>2157</v>
      </c>
      <c r="L4" s="2" t="s">
        <v>2158</v>
      </c>
      <c r="M4" s="2" t="s">
        <v>2159</v>
      </c>
    </row>
    <row r="5" customFormat="false" ht="32.8" hidden="false" customHeight="false" outlineLevel="0" collapsed="false">
      <c r="A5" s="3" t="s">
        <v>2160</v>
      </c>
      <c r="B5" s="2" t="s">
        <v>2148</v>
      </c>
      <c r="C5" s="2" t="s">
        <v>2161</v>
      </c>
      <c r="D5" s="3" t="s">
        <v>2150</v>
      </c>
      <c r="E5" s="3" t="s">
        <v>2162</v>
      </c>
      <c r="F5" s="3" t="s">
        <v>2163</v>
      </c>
      <c r="G5" s="3" t="s">
        <v>2164</v>
      </c>
      <c r="H5" s="3" t="s">
        <v>2165</v>
      </c>
      <c r="I5" s="2" t="s">
        <v>2166</v>
      </c>
      <c r="J5" s="2" t="s">
        <v>2167</v>
      </c>
      <c r="K5" s="3" t="s">
        <v>2168</v>
      </c>
      <c r="L5" s="2" t="s">
        <v>2158</v>
      </c>
      <c r="M5" s="2" t="s">
        <v>2169</v>
      </c>
    </row>
    <row r="6" customFormat="false" ht="346.25" hidden="false" customHeight="false" outlineLevel="0" collapsed="false">
      <c r="A6" s="3" t="s">
        <v>2170</v>
      </c>
      <c r="B6" s="2" t="s">
        <v>2148</v>
      </c>
      <c r="C6" s="3" t="s">
        <v>2171</v>
      </c>
      <c r="D6" s="3" t="s">
        <v>57</v>
      </c>
      <c r="E6" s="3" t="s">
        <v>2172</v>
      </c>
      <c r="F6" s="3" t="s">
        <v>2173</v>
      </c>
      <c r="G6" s="3" t="s">
        <v>2174</v>
      </c>
      <c r="H6" s="2" t="s">
        <v>2175</v>
      </c>
      <c r="I6" s="2" t="s">
        <v>2176</v>
      </c>
      <c r="J6" s="2" t="s">
        <v>2177</v>
      </c>
      <c r="K6" s="3" t="s">
        <v>2168</v>
      </c>
      <c r="L6" s="3" t="s">
        <v>2178</v>
      </c>
      <c r="M6" s="2" t="s">
        <v>2179</v>
      </c>
    </row>
    <row r="7" customFormat="false" ht="173.85" hidden="false" customHeight="false" outlineLevel="0" collapsed="false">
      <c r="A7" s="3" t="s">
        <v>2180</v>
      </c>
      <c r="B7" s="2" t="s">
        <v>2181</v>
      </c>
      <c r="C7" s="2" t="s">
        <v>2182</v>
      </c>
      <c r="D7" s="3" t="s">
        <v>57</v>
      </c>
      <c r="E7" s="3" t="s">
        <v>2183</v>
      </c>
      <c r="F7" s="2" t="s">
        <v>2184</v>
      </c>
      <c r="G7" s="3" t="s">
        <v>2185</v>
      </c>
      <c r="H7" s="3" t="s">
        <v>2186</v>
      </c>
      <c r="I7" s="2" t="s">
        <v>2187</v>
      </c>
      <c r="J7" s="2" t="s">
        <v>2188</v>
      </c>
      <c r="K7" s="3" t="s">
        <v>2189</v>
      </c>
      <c r="L7" s="2" t="s">
        <v>2190</v>
      </c>
      <c r="M7" s="2" t="s">
        <v>2191</v>
      </c>
    </row>
    <row r="8" customFormat="false" ht="32.8" hidden="false" customHeight="false" outlineLevel="0" collapsed="false">
      <c r="A8" s="3" t="s">
        <v>2192</v>
      </c>
      <c r="B8" s="2" t="s">
        <v>2193</v>
      </c>
      <c r="C8" s="3" t="s">
        <v>2194</v>
      </c>
      <c r="D8" s="3" t="s">
        <v>672</v>
      </c>
      <c r="E8" s="3" t="s">
        <v>2195</v>
      </c>
      <c r="F8" s="3" t="s">
        <v>2196</v>
      </c>
      <c r="G8" s="3" t="s">
        <v>2197</v>
      </c>
      <c r="H8" s="3" t="s">
        <v>2198</v>
      </c>
      <c r="I8" s="2" t="s">
        <v>2199</v>
      </c>
      <c r="J8" s="3" t="s">
        <v>2200</v>
      </c>
      <c r="K8" s="3" t="s">
        <v>2201</v>
      </c>
      <c r="L8" s="2" t="s">
        <v>2158</v>
      </c>
      <c r="M8" s="2" t="s">
        <v>2202</v>
      </c>
    </row>
    <row r="9" customFormat="false" ht="64.15" hidden="false" customHeight="false" outlineLevel="0" collapsed="false">
      <c r="A9" s="3" t="s">
        <v>2203</v>
      </c>
      <c r="B9" s="2" t="s">
        <v>2204</v>
      </c>
      <c r="C9" s="3" t="s">
        <v>2205</v>
      </c>
      <c r="D9" s="3" t="s">
        <v>672</v>
      </c>
      <c r="E9" s="3" t="s">
        <v>2206</v>
      </c>
      <c r="F9" s="3" t="s">
        <v>2207</v>
      </c>
      <c r="G9" s="3" t="s">
        <v>2208</v>
      </c>
      <c r="H9" s="3" t="s">
        <v>2209</v>
      </c>
      <c r="I9" s="2" t="s">
        <v>2210</v>
      </c>
      <c r="J9" s="3" t="s">
        <v>2211</v>
      </c>
      <c r="K9" s="3" t="s">
        <v>2212</v>
      </c>
      <c r="L9" s="2" t="s">
        <v>2158</v>
      </c>
      <c r="M9" s="2" t="s">
        <v>2213</v>
      </c>
    </row>
    <row r="10" customFormat="false" ht="32.8" hidden="false" customHeight="false" outlineLevel="0" collapsed="false">
      <c r="A10" s="3" t="s">
        <v>2214</v>
      </c>
      <c r="B10" s="2" t="s">
        <v>2204</v>
      </c>
      <c r="C10" s="3" t="s">
        <v>2215</v>
      </c>
      <c r="D10" s="3" t="s">
        <v>672</v>
      </c>
      <c r="E10" s="3" t="s">
        <v>2216</v>
      </c>
      <c r="F10" s="3" t="s">
        <v>2217</v>
      </c>
      <c r="G10" s="3" t="s">
        <v>2218</v>
      </c>
      <c r="H10" s="2" t="s">
        <v>2219</v>
      </c>
      <c r="I10" s="2" t="s">
        <v>2220</v>
      </c>
      <c r="J10" s="3" t="s">
        <v>2221</v>
      </c>
      <c r="K10" s="3" t="s">
        <v>2222</v>
      </c>
      <c r="L10" s="2" t="s">
        <v>2158</v>
      </c>
      <c r="M10" s="2" t="s">
        <v>2223</v>
      </c>
    </row>
    <row r="11" customFormat="false" ht="17.15" hidden="false" customHeight="false" outlineLevel="0" collapsed="false">
      <c r="A11" s="3" t="s">
        <v>2224</v>
      </c>
      <c r="B11" s="2" t="s">
        <v>2204</v>
      </c>
      <c r="C11" s="3" t="s">
        <v>2225</v>
      </c>
      <c r="D11" s="3" t="s">
        <v>486</v>
      </c>
      <c r="E11" s="3" t="s">
        <v>2226</v>
      </c>
      <c r="F11" s="2" t="s">
        <v>2227</v>
      </c>
      <c r="G11" s="3" t="s">
        <v>2228</v>
      </c>
      <c r="H11" s="2" t="s">
        <v>2229</v>
      </c>
      <c r="I11" s="2" t="s">
        <v>2230</v>
      </c>
      <c r="J11" s="2" t="s">
        <v>2231</v>
      </c>
      <c r="K11" s="3" t="s">
        <v>2232</v>
      </c>
      <c r="L11" s="2" t="s">
        <v>2158</v>
      </c>
      <c r="M11" s="2" t="s">
        <v>2233</v>
      </c>
    </row>
    <row r="12" customFormat="false" ht="153.7" hidden="false" customHeight="false" outlineLevel="0" collapsed="false">
      <c r="A12" s="3" t="s">
        <v>2234</v>
      </c>
      <c r="B12" s="2" t="s">
        <v>2235</v>
      </c>
      <c r="C12" s="2" t="s">
        <v>2236</v>
      </c>
      <c r="D12" s="3" t="s">
        <v>2237</v>
      </c>
      <c r="E12" s="3" t="s">
        <v>2238</v>
      </c>
      <c r="F12" s="3" t="s">
        <v>2239</v>
      </c>
      <c r="G12" s="3" t="s">
        <v>2240</v>
      </c>
      <c r="H12" s="3" t="s">
        <v>2241</v>
      </c>
      <c r="I12" s="2" t="s">
        <v>2242</v>
      </c>
      <c r="J12" s="2" t="s">
        <v>2243</v>
      </c>
      <c r="K12" s="3" t="s">
        <v>2189</v>
      </c>
      <c r="L12" s="2" t="s">
        <v>2244</v>
      </c>
      <c r="M12" s="2" t="s">
        <v>2245</v>
      </c>
    </row>
    <row r="13" customFormat="false" ht="267.9" hidden="false" customHeight="false" outlineLevel="0" collapsed="false">
      <c r="A13" s="3" t="s">
        <v>2246</v>
      </c>
      <c r="B13" s="2" t="s">
        <v>2235</v>
      </c>
      <c r="C13" s="3" t="s">
        <v>2247</v>
      </c>
      <c r="D13" s="3" t="s">
        <v>1338</v>
      </c>
      <c r="E13" s="3" t="s">
        <v>2248</v>
      </c>
      <c r="F13" s="3" t="s">
        <v>2249</v>
      </c>
      <c r="G13" s="3" t="s">
        <v>2250</v>
      </c>
      <c r="H13" s="3" t="s">
        <v>2251</v>
      </c>
      <c r="I13" s="2" t="s">
        <v>2252</v>
      </c>
      <c r="J13" s="2" t="s">
        <v>2253</v>
      </c>
      <c r="K13" s="3" t="s">
        <v>2189</v>
      </c>
      <c r="L13" s="2" t="s">
        <v>2254</v>
      </c>
      <c r="M13" s="2" t="s">
        <v>2255</v>
      </c>
    </row>
    <row r="14" customFormat="false" ht="297" hidden="false" customHeight="false" outlineLevel="0" collapsed="false">
      <c r="A14" s="36" t="s">
        <v>2256</v>
      </c>
      <c r="B14" s="37" t="s">
        <v>2257</v>
      </c>
      <c r="C14" s="37" t="s">
        <v>2258</v>
      </c>
      <c r="D14" s="36" t="s">
        <v>57</v>
      </c>
      <c r="E14" s="36" t="s">
        <v>2259</v>
      </c>
      <c r="F14" s="37" t="s">
        <v>2260</v>
      </c>
      <c r="G14" s="36" t="s">
        <v>2261</v>
      </c>
      <c r="H14" s="36" t="s">
        <v>2262</v>
      </c>
      <c r="I14" s="37" t="s">
        <v>2263</v>
      </c>
      <c r="J14" s="37" t="s">
        <v>2264</v>
      </c>
      <c r="K14" s="36" t="s">
        <v>2189</v>
      </c>
      <c r="L14" s="37" t="s">
        <v>2265</v>
      </c>
      <c r="M14" s="37" t="s">
        <v>2266</v>
      </c>
    </row>
    <row r="15" customFormat="false" ht="330.55" hidden="false" customHeight="false" outlineLevel="0" collapsed="false">
      <c r="A15" s="3" t="s">
        <v>2267</v>
      </c>
      <c r="B15" s="2" t="s">
        <v>2181</v>
      </c>
      <c r="C15" s="2" t="s">
        <v>2268</v>
      </c>
      <c r="D15" s="3" t="s">
        <v>2269</v>
      </c>
      <c r="E15" s="2" t="s">
        <v>2270</v>
      </c>
      <c r="F15" s="3" t="s">
        <v>2271</v>
      </c>
      <c r="G15" s="3" t="s">
        <v>2272</v>
      </c>
      <c r="H15" s="3" t="s">
        <v>2273</v>
      </c>
      <c r="I15" s="2" t="s">
        <v>2274</v>
      </c>
      <c r="J15" s="2" t="s">
        <v>2275</v>
      </c>
      <c r="K15" s="3" t="s">
        <v>2189</v>
      </c>
      <c r="L15" s="2" t="s">
        <v>2276</v>
      </c>
      <c r="M15" s="2" t="s">
        <v>2277</v>
      </c>
    </row>
    <row r="16" customFormat="false" ht="111.15" hidden="false" customHeight="false" outlineLevel="0" collapsed="false">
      <c r="A16" s="36" t="s">
        <v>2278</v>
      </c>
      <c r="B16" s="37" t="s">
        <v>2193</v>
      </c>
      <c r="C16" s="36" t="s">
        <v>2279</v>
      </c>
      <c r="D16" s="36" t="s">
        <v>57</v>
      </c>
      <c r="E16" s="36" t="s">
        <v>2280</v>
      </c>
      <c r="F16" s="36" t="s">
        <v>2281</v>
      </c>
      <c r="G16" s="36" t="s">
        <v>2282</v>
      </c>
      <c r="H16" s="36" t="s">
        <v>2283</v>
      </c>
      <c r="I16" s="37" t="s">
        <v>2284</v>
      </c>
      <c r="J16" s="36" t="s">
        <v>2285</v>
      </c>
      <c r="K16" s="36" t="s">
        <v>2286</v>
      </c>
      <c r="L16" s="37" t="s">
        <v>2287</v>
      </c>
      <c r="M16" s="37" t="s">
        <v>2288</v>
      </c>
    </row>
    <row r="17" customFormat="false" ht="64.15" hidden="false" customHeight="false" outlineLevel="0" collapsed="false">
      <c r="A17" s="3" t="s">
        <v>2289</v>
      </c>
      <c r="B17" s="2" t="s">
        <v>2193</v>
      </c>
      <c r="C17" s="3" t="s">
        <v>2290</v>
      </c>
      <c r="D17" s="3" t="s">
        <v>2291</v>
      </c>
      <c r="E17" s="3" t="s">
        <v>2292</v>
      </c>
      <c r="F17" s="3" t="s">
        <v>2293</v>
      </c>
      <c r="G17" s="3" t="s">
        <v>2294</v>
      </c>
      <c r="H17" s="3" t="s">
        <v>2295</v>
      </c>
      <c r="I17" s="2" t="s">
        <v>2296</v>
      </c>
      <c r="J17" s="2" t="s">
        <v>2297</v>
      </c>
      <c r="K17" s="3" t="s">
        <v>2298</v>
      </c>
      <c r="L17" s="2" t="s">
        <v>2299</v>
      </c>
      <c r="M17" s="2" t="s">
        <v>2300</v>
      </c>
    </row>
    <row r="18" customFormat="false" ht="32.8" hidden="false" customHeight="false" outlineLevel="0" collapsed="false">
      <c r="A18" s="3" t="s">
        <v>2301</v>
      </c>
      <c r="B18" s="2" t="s">
        <v>2204</v>
      </c>
      <c r="C18" s="2" t="s">
        <v>2302</v>
      </c>
      <c r="D18" s="3" t="s">
        <v>57</v>
      </c>
      <c r="E18" s="3" t="s">
        <v>2303</v>
      </c>
      <c r="F18" s="3" t="s">
        <v>2304</v>
      </c>
      <c r="G18" s="2" t="s">
        <v>2305</v>
      </c>
      <c r="H18" s="3" t="s">
        <v>2306</v>
      </c>
      <c r="I18" s="2" t="s">
        <v>2307</v>
      </c>
      <c r="J18" s="2" t="s">
        <v>2308</v>
      </c>
      <c r="K18" s="3" t="s">
        <v>2309</v>
      </c>
      <c r="L18" s="2" t="s">
        <v>2158</v>
      </c>
      <c r="M18" s="2" t="s">
        <v>2310</v>
      </c>
    </row>
    <row r="19" customFormat="false" ht="30.55" hidden="false" customHeight="false" outlineLevel="0" collapsed="false">
      <c r="A19" s="3" t="s">
        <v>2311</v>
      </c>
      <c r="B19" s="2" t="s">
        <v>2312</v>
      </c>
      <c r="C19" s="2" t="s">
        <v>2313</v>
      </c>
      <c r="D19" s="3" t="s">
        <v>672</v>
      </c>
      <c r="E19" s="2" t="s">
        <v>2314</v>
      </c>
      <c r="F19" s="3" t="s">
        <v>2315</v>
      </c>
      <c r="G19" s="3" t="s">
        <v>2316</v>
      </c>
      <c r="H19" s="2" t="s">
        <v>2317</v>
      </c>
      <c r="I19" s="2" t="s">
        <v>2220</v>
      </c>
      <c r="J19" s="2" t="s">
        <v>2318</v>
      </c>
      <c r="K19" s="2" t="s">
        <v>2319</v>
      </c>
      <c r="L19" s="2" t="s">
        <v>2158</v>
      </c>
      <c r="M19" s="2" t="s">
        <v>2320</v>
      </c>
    </row>
    <row r="20" customFormat="false" ht="48.5" hidden="false" customHeight="false" outlineLevel="0" collapsed="false">
      <c r="A20" s="3" t="s">
        <v>2321</v>
      </c>
      <c r="B20" s="3" t="s">
        <v>2322</v>
      </c>
      <c r="C20" s="3" t="s">
        <v>2323</v>
      </c>
      <c r="D20" s="3" t="s">
        <v>2324</v>
      </c>
      <c r="E20" s="3" t="s">
        <v>2325</v>
      </c>
      <c r="F20" s="3" t="s">
        <v>2326</v>
      </c>
      <c r="G20" s="3" t="s">
        <v>2327</v>
      </c>
      <c r="H20" s="3" t="s">
        <v>2328</v>
      </c>
      <c r="I20" s="3" t="s">
        <v>2329</v>
      </c>
      <c r="J20" s="2" t="s">
        <v>2330</v>
      </c>
      <c r="K20" s="3" t="s">
        <v>2331</v>
      </c>
      <c r="L20" s="2" t="s">
        <v>2332</v>
      </c>
      <c r="M20" s="3" t="s">
        <v>2333</v>
      </c>
    </row>
    <row r="21" customFormat="false" ht="75.35" hidden="false" customHeight="false" outlineLevel="0" collapsed="false">
      <c r="A21" s="3" t="s">
        <v>2334</v>
      </c>
      <c r="B21" s="2" t="s">
        <v>2335</v>
      </c>
      <c r="C21" s="3" t="s">
        <v>2336</v>
      </c>
      <c r="D21" s="3" t="s">
        <v>57</v>
      </c>
      <c r="E21" s="3" t="s">
        <v>2337</v>
      </c>
      <c r="F21" s="3" t="s">
        <v>2338</v>
      </c>
      <c r="G21" s="3" t="s">
        <v>2339</v>
      </c>
      <c r="H21" s="3" t="s">
        <v>2340</v>
      </c>
      <c r="I21" s="2" t="s">
        <v>2341</v>
      </c>
      <c r="J21" s="3" t="s">
        <v>2342</v>
      </c>
      <c r="K21" s="3" t="s">
        <v>2298</v>
      </c>
      <c r="L21" s="2" t="s">
        <v>2343</v>
      </c>
      <c r="M21" s="3" t="s">
        <v>2344</v>
      </c>
    </row>
    <row r="22" customFormat="false" ht="111.15" hidden="false" customHeight="false" outlineLevel="0" collapsed="false">
      <c r="A22" s="3" t="s">
        <v>2345</v>
      </c>
      <c r="B22" s="2" t="s">
        <v>2346</v>
      </c>
      <c r="C22" s="3" t="s">
        <v>2347</v>
      </c>
      <c r="D22" s="3" t="s">
        <v>57</v>
      </c>
      <c r="E22" s="3" t="s">
        <v>2348</v>
      </c>
      <c r="F22" s="2" t="s">
        <v>2349</v>
      </c>
      <c r="G22" s="2" t="s">
        <v>2350</v>
      </c>
      <c r="H22" s="2" t="s">
        <v>2351</v>
      </c>
      <c r="I22" s="2" t="s">
        <v>2352</v>
      </c>
      <c r="J22" s="3" t="s">
        <v>2353</v>
      </c>
      <c r="K22" s="3" t="s">
        <v>2331</v>
      </c>
      <c r="L22" s="2" t="s">
        <v>2354</v>
      </c>
      <c r="M22" s="3" t="s">
        <v>2355</v>
      </c>
    </row>
    <row r="23" customFormat="false" ht="236.55" hidden="false" customHeight="false" outlineLevel="0" collapsed="false">
      <c r="A23" s="3" t="s">
        <v>2356</v>
      </c>
      <c r="B23" s="2" t="s">
        <v>2148</v>
      </c>
      <c r="C23" s="3" t="s">
        <v>2357</v>
      </c>
      <c r="D23" s="3" t="s">
        <v>57</v>
      </c>
      <c r="E23" s="3" t="s">
        <v>2358</v>
      </c>
      <c r="F23" s="3" t="s">
        <v>2359</v>
      </c>
      <c r="G23" s="3" t="s">
        <v>2360</v>
      </c>
      <c r="H23" s="2" t="s">
        <v>2361</v>
      </c>
      <c r="I23" s="2" t="s">
        <v>2362</v>
      </c>
      <c r="J23" s="2" t="s">
        <v>2363</v>
      </c>
      <c r="K23" s="3" t="s">
        <v>2168</v>
      </c>
      <c r="L23" s="2" t="s">
        <v>2364</v>
      </c>
      <c r="M23" s="3" t="s">
        <v>2365</v>
      </c>
    </row>
    <row r="24" customFormat="false" ht="220.85" hidden="false" customHeight="false" outlineLevel="0" collapsed="false">
      <c r="A24" s="3" t="s">
        <v>2366</v>
      </c>
      <c r="B24" s="2" t="s">
        <v>2367</v>
      </c>
      <c r="C24" s="3" t="s">
        <v>2368</v>
      </c>
      <c r="D24" s="3" t="s">
        <v>57</v>
      </c>
      <c r="E24" s="3" t="s">
        <v>2369</v>
      </c>
      <c r="F24" s="2" t="s">
        <v>2370</v>
      </c>
      <c r="G24" s="3" t="s">
        <v>2371</v>
      </c>
      <c r="H24" s="3" t="s">
        <v>2372</v>
      </c>
      <c r="I24" s="2" t="s">
        <v>2373</v>
      </c>
      <c r="J24" s="2" t="s">
        <v>2374</v>
      </c>
      <c r="K24" s="3" t="s">
        <v>2375</v>
      </c>
      <c r="L24" s="2" t="s">
        <v>2376</v>
      </c>
      <c r="M24" s="3" t="s">
        <v>2377</v>
      </c>
    </row>
    <row r="25" customFormat="false" ht="64.15" hidden="false" customHeight="false" outlineLevel="0" collapsed="false">
      <c r="A25" s="3" t="s">
        <v>2378</v>
      </c>
      <c r="B25" s="2" t="s">
        <v>2379</v>
      </c>
      <c r="C25" s="3" t="s">
        <v>2380</v>
      </c>
      <c r="D25" s="3" t="s">
        <v>2381</v>
      </c>
      <c r="E25" s="3" t="s">
        <v>2382</v>
      </c>
      <c r="F25" s="3" t="s">
        <v>2383</v>
      </c>
      <c r="G25" s="3" t="s">
        <v>2384</v>
      </c>
      <c r="H25" s="3" t="s">
        <v>2385</v>
      </c>
      <c r="I25" s="2" t="s">
        <v>2386</v>
      </c>
      <c r="J25" s="3" t="s">
        <v>2387</v>
      </c>
      <c r="K25" s="3" t="s">
        <v>2298</v>
      </c>
      <c r="L25" s="2" t="s">
        <v>2332</v>
      </c>
      <c r="M25" s="3" t="s">
        <v>2344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0" t="s">
        <v>2388</v>
      </c>
    </row>
    <row r="2" customFormat="false" ht="17.15" hidden="false" customHeight="false" outlineLevel="0" collapsed="false">
      <c r="A2" s="6" t="s">
        <v>2389</v>
      </c>
    </row>
    <row r="4" customFormat="false" ht="15" hidden="false" customHeight="false" outlineLevel="0" collapsed="false">
      <c r="A4" s="4" t="s">
        <v>21</v>
      </c>
      <c r="B4" s="4" t="s">
        <v>45</v>
      </c>
      <c r="C4" s="4" t="s">
        <v>46</v>
      </c>
      <c r="D4" s="4" t="s">
        <v>47</v>
      </c>
      <c r="E4" s="4" t="s">
        <v>48</v>
      </c>
      <c r="F4" s="4" t="s">
        <v>49</v>
      </c>
      <c r="G4" s="4" t="s">
        <v>50</v>
      </c>
      <c r="H4" s="4" t="s">
        <v>2390</v>
      </c>
    </row>
    <row r="5" customFormat="false" ht="17.15" hidden="false" customHeight="false" outlineLevel="0" collapsed="false">
      <c r="A5" s="10" t="s">
        <v>2391</v>
      </c>
    </row>
    <row r="6" customFormat="false" ht="17.15" hidden="false" customHeight="false" outlineLevel="0" collapsed="false">
      <c r="A6" s="0" t="s">
        <v>60</v>
      </c>
      <c r="B6" s="6" t="s">
        <v>56</v>
      </c>
      <c r="C6" s="0" t="s">
        <v>57</v>
      </c>
      <c r="E6" s="20" t="n">
        <f aca="false">In!E6</f>
        <v>-0.025</v>
      </c>
      <c r="G6" s="0" t="str">
        <f aca="false">In!G6</f>
        <v>Interested-party</v>
      </c>
      <c r="H6" s="12" t="s">
        <v>2392</v>
      </c>
    </row>
    <row r="7" customFormat="false" ht="17.15" hidden="false" customHeight="false" outlineLevel="0" collapsed="false">
      <c r="A7" s="0" t="s">
        <v>64</v>
      </c>
      <c r="B7" s="6" t="s">
        <v>62</v>
      </c>
      <c r="C7" s="0" t="s">
        <v>57</v>
      </c>
      <c r="E7" s="20" t="n">
        <f aca="false">In!E7</f>
        <v>0.125</v>
      </c>
      <c r="G7" s="0" t="str">
        <f aca="false">In!G7</f>
        <v>Interested-party</v>
      </c>
      <c r="H7" s="12" t="s">
        <v>2393</v>
      </c>
    </row>
    <row r="8" customFormat="false" ht="17.15" hidden="false" customHeight="false" outlineLevel="0" collapsed="false">
      <c r="A8" s="0" t="s">
        <v>67</v>
      </c>
      <c r="B8" s="6" t="s">
        <v>66</v>
      </c>
      <c r="C8" s="0" t="s">
        <v>57</v>
      </c>
      <c r="E8" s="20" t="n">
        <f aca="false">In!E8</f>
        <v>0.475</v>
      </c>
      <c r="G8" s="0" t="str">
        <f aca="false">In!G8</f>
        <v>Interested-party</v>
      </c>
      <c r="H8" s="12" t="s">
        <v>2394</v>
      </c>
    </row>
    <row r="9" customFormat="false" ht="17.15" hidden="false" customHeight="false" outlineLevel="0" collapsed="false">
      <c r="A9" s="0" t="s">
        <v>70</v>
      </c>
      <c r="B9" s="6" t="s">
        <v>69</v>
      </c>
      <c r="C9" s="0" t="s">
        <v>57</v>
      </c>
      <c r="E9" s="20" t="n">
        <f aca="false">In!E9</f>
        <v>0.95</v>
      </c>
      <c r="G9" s="0" t="str">
        <f aca="false">In!G9</f>
        <v>Interested-party</v>
      </c>
      <c r="H9" s="12" t="s">
        <v>2395</v>
      </c>
    </row>
    <row r="10" customFormat="false" ht="17.15" hidden="false" customHeight="false" outlineLevel="0" collapsed="false">
      <c r="A10" s="0" t="s">
        <v>73</v>
      </c>
      <c r="B10" s="6" t="s">
        <v>72</v>
      </c>
      <c r="C10" s="0" t="s">
        <v>57</v>
      </c>
      <c r="E10" s="20" t="n">
        <f aca="false">In!E10</f>
        <v>0.605</v>
      </c>
      <c r="G10" s="0" t="str">
        <f aca="false">In!G10</f>
        <v>Interested-party</v>
      </c>
      <c r="H10" s="12" t="s">
        <v>2396</v>
      </c>
    </row>
    <row r="11" customFormat="false" ht="17.15" hidden="false" customHeight="false" outlineLevel="0" collapsed="false">
      <c r="A11" s="0" t="s">
        <v>76</v>
      </c>
      <c r="B11" s="6" t="s">
        <v>75</v>
      </c>
      <c r="C11" s="0" t="s">
        <v>57</v>
      </c>
      <c r="E11" s="20" t="n">
        <f aca="false">In!E11</f>
        <v>0.155</v>
      </c>
      <c r="G11" s="0" t="str">
        <f aca="false">In!G11</f>
        <v>Interested-party</v>
      </c>
      <c r="H11" s="12" t="s">
        <v>2397</v>
      </c>
    </row>
    <row r="12" customFormat="false" ht="17.15" hidden="false" customHeight="false" outlineLevel="0" collapsed="false">
      <c r="A12" s="0" t="s">
        <v>79</v>
      </c>
      <c r="B12" s="6" t="s">
        <v>78</v>
      </c>
      <c r="C12" s="0" t="s">
        <v>57</v>
      </c>
      <c r="E12" s="20" t="n">
        <f aca="false">In!E12</f>
        <v>0.125</v>
      </c>
      <c r="G12" s="0" t="str">
        <f aca="false">In!G12</f>
        <v>Interested-party</v>
      </c>
      <c r="H12" s="12" t="s">
        <v>2398</v>
      </c>
    </row>
    <row r="13" customFormat="false" ht="17.15" hidden="false" customHeight="false" outlineLevel="0" collapsed="false">
      <c r="A13" s="0" t="s">
        <v>83</v>
      </c>
      <c r="B13" s="6" t="s">
        <v>81</v>
      </c>
      <c r="C13" s="0" t="s">
        <v>57</v>
      </c>
      <c r="E13" s="20" t="n">
        <f aca="false">In!E13</f>
        <v>0.03</v>
      </c>
      <c r="G13" s="0" t="str">
        <f aca="false">In!G13</f>
        <v>Interested-party</v>
      </c>
      <c r="H13" s="12" t="s">
        <v>2399</v>
      </c>
    </row>
    <row r="14" customFormat="false" ht="17.15" hidden="false" customHeight="false" outlineLevel="0" collapsed="false">
      <c r="A14" s="0" t="s">
        <v>86</v>
      </c>
      <c r="B14" s="6" t="s">
        <v>85</v>
      </c>
      <c r="C14" s="0" t="s">
        <v>57</v>
      </c>
      <c r="E14" s="20" t="n">
        <f aca="false">In!E14</f>
        <v>0</v>
      </c>
      <c r="G14" s="0" t="str">
        <f aca="false">In!G14</f>
        <v>Interested-party</v>
      </c>
      <c r="H14" s="12" t="s">
        <v>2400</v>
      </c>
    </row>
    <row r="15" customFormat="false" ht="17.15" hidden="false" customHeight="false" outlineLevel="0" collapsed="false">
      <c r="A15" s="0" t="s">
        <v>89</v>
      </c>
      <c r="B15" s="6" t="s">
        <v>88</v>
      </c>
      <c r="C15" s="0" t="s">
        <v>57</v>
      </c>
      <c r="E15" s="20" t="n">
        <f aca="false">In!E15</f>
        <v>-0.02</v>
      </c>
      <c r="G15" s="0" t="str">
        <f aca="false">In!G15</f>
        <v>Interested-party</v>
      </c>
      <c r="H15" s="12" t="s">
        <v>2401</v>
      </c>
    </row>
    <row r="16" customFormat="false" ht="17.15" hidden="false" customHeight="false" outlineLevel="0" collapsed="false">
      <c r="A16" s="0" t="s">
        <v>92</v>
      </c>
      <c r="B16" s="6" t="s">
        <v>91</v>
      </c>
      <c r="C16" s="0" t="s">
        <v>57</v>
      </c>
      <c r="E16" s="20" t="n">
        <f aca="false">In!E16</f>
        <v>-0.03</v>
      </c>
      <c r="G16" s="0" t="str">
        <f aca="false">In!G16</f>
        <v>Interested-party</v>
      </c>
      <c r="H16" s="12" t="s">
        <v>2402</v>
      </c>
    </row>
    <row r="17" customFormat="false" ht="17.15" hidden="false" customHeight="false" outlineLevel="0" collapsed="false">
      <c r="A17" s="0" t="s">
        <v>95</v>
      </c>
      <c r="B17" s="6" t="s">
        <v>94</v>
      </c>
      <c r="C17" s="0" t="s">
        <v>57</v>
      </c>
      <c r="E17" s="20" t="n">
        <f aca="false">In!E17</f>
        <v>-0.03</v>
      </c>
      <c r="G17" s="0" t="str">
        <f aca="false">In!G17</f>
        <v>Interested-party</v>
      </c>
      <c r="H17" s="12" t="s">
        <v>2403</v>
      </c>
    </row>
    <row r="18" customFormat="false" ht="17.15" hidden="false" customHeight="false" outlineLevel="0" collapsed="false">
      <c r="A18" s="0" t="s">
        <v>98</v>
      </c>
      <c r="B18" s="6" t="s">
        <v>97</v>
      </c>
      <c r="C18" s="0" t="s">
        <v>57</v>
      </c>
      <c r="E18" s="20" t="n">
        <f aca="false">In!E18</f>
        <v>-0.03</v>
      </c>
      <c r="G18" s="0" t="str">
        <f aca="false">In!G18</f>
        <v>Interested-party</v>
      </c>
      <c r="H18" s="12" t="s">
        <v>2404</v>
      </c>
    </row>
    <row r="19" customFormat="false" ht="17.15" hidden="false" customHeight="false" outlineLevel="0" collapsed="false">
      <c r="A19" s="0" t="s">
        <v>101</v>
      </c>
      <c r="B19" s="6" t="s">
        <v>100</v>
      </c>
      <c r="C19" s="0" t="s">
        <v>57</v>
      </c>
      <c r="E19" s="20" t="n">
        <f aca="false">In!E19</f>
        <v>-0.02</v>
      </c>
      <c r="G19" s="0" t="str">
        <f aca="false">In!G19</f>
        <v>Interested-party</v>
      </c>
      <c r="H19" s="12" t="s">
        <v>2405</v>
      </c>
    </row>
    <row r="20" customFormat="false" ht="17.15" hidden="false" customHeight="false" outlineLevel="0" collapsed="false">
      <c r="A20" s="0" t="s">
        <v>104</v>
      </c>
      <c r="B20" s="6" t="s">
        <v>103</v>
      </c>
      <c r="C20" s="0" t="s">
        <v>57</v>
      </c>
      <c r="E20" s="20" t="n">
        <f aca="false">In!E20</f>
        <v>-0.02</v>
      </c>
      <c r="G20" s="0" t="str">
        <f aca="false">In!G20</f>
        <v>Interested-party</v>
      </c>
      <c r="H20" s="12" t="s">
        <v>2406</v>
      </c>
    </row>
    <row r="21" customFormat="false" ht="17.15" hidden="false" customHeight="false" outlineLevel="0" collapsed="false">
      <c r="A21" s="0" t="s">
        <v>107</v>
      </c>
      <c r="B21" s="6" t="s">
        <v>106</v>
      </c>
      <c r="C21" s="0" t="s">
        <v>57</v>
      </c>
      <c r="E21" s="20" t="n">
        <f aca="false">In!E21</f>
        <v>-0.03</v>
      </c>
      <c r="G21" s="0" t="str">
        <f aca="false">In!G21</f>
        <v>Interested-party</v>
      </c>
      <c r="H21" s="12" t="s">
        <v>2407</v>
      </c>
    </row>
    <row r="22" customFormat="false" ht="17.15" hidden="false" customHeight="false" outlineLevel="0" collapsed="false">
      <c r="A22" s="0" t="s">
        <v>110</v>
      </c>
      <c r="B22" s="6" t="s">
        <v>109</v>
      </c>
      <c r="C22" s="0" t="s">
        <v>57</v>
      </c>
      <c r="E22" s="20" t="n">
        <f aca="false">In!E22</f>
        <v>-0.03</v>
      </c>
      <c r="G22" s="0" t="str">
        <f aca="false">In!G22</f>
        <v>Interested-party</v>
      </c>
      <c r="H22" s="12" t="s">
        <v>2408</v>
      </c>
    </row>
    <row r="23" customFormat="false" ht="17.15" hidden="false" customHeight="false" outlineLevel="0" collapsed="false">
      <c r="A23" s="0" t="s">
        <v>113</v>
      </c>
      <c r="B23" s="6" t="s">
        <v>112</v>
      </c>
      <c r="C23" s="0" t="s">
        <v>57</v>
      </c>
      <c r="E23" s="20" t="n">
        <f aca="false">In!E23</f>
        <v>-0.02</v>
      </c>
      <c r="G23" s="0" t="str">
        <f aca="false">In!G23</f>
        <v>Interested-party</v>
      </c>
      <c r="H23" s="12" t="s">
        <v>2409</v>
      </c>
    </row>
    <row r="24" customFormat="false" ht="17.15" hidden="false" customHeight="false" outlineLevel="0" collapsed="false">
      <c r="A24" s="0" t="s">
        <v>116</v>
      </c>
      <c r="B24" s="6" t="s">
        <v>115</v>
      </c>
      <c r="C24" s="0" t="s">
        <v>57</v>
      </c>
      <c r="E24" s="20" t="n">
        <f aca="false">In!E24</f>
        <v>-0.02</v>
      </c>
      <c r="G24" s="0" t="str">
        <f aca="false">In!G24</f>
        <v>Interested-party</v>
      </c>
      <c r="H24" s="12" t="s">
        <v>2410</v>
      </c>
    </row>
    <row r="25" customFormat="false" ht="17.15" hidden="false" customHeight="false" outlineLevel="0" collapsed="false">
      <c r="A25" s="0" t="s">
        <v>120</v>
      </c>
      <c r="B25" s="6" t="s">
        <v>118</v>
      </c>
      <c r="C25" s="0" t="s">
        <v>57</v>
      </c>
      <c r="E25" s="20" t="n">
        <f aca="false">In!E25</f>
        <v>0.05</v>
      </c>
      <c r="G25" s="0" t="str">
        <f aca="false">In!G25</f>
        <v>Interested-party</v>
      </c>
      <c r="H25" s="12" t="s">
        <v>2411</v>
      </c>
    </row>
    <row r="26" customFormat="false" ht="17.15" hidden="false" customHeight="false" outlineLevel="0" collapsed="false">
      <c r="A26" s="0" t="s">
        <v>123</v>
      </c>
      <c r="B26" s="6" t="s">
        <v>122</v>
      </c>
      <c r="C26" s="0" t="s">
        <v>57</v>
      </c>
      <c r="E26" s="20" t="n">
        <f aca="false">In!E26</f>
        <v>0.02</v>
      </c>
      <c r="G26" s="0" t="str">
        <f aca="false">In!G26</f>
        <v>Interested-party</v>
      </c>
      <c r="H26" s="12" t="s">
        <v>2412</v>
      </c>
    </row>
    <row r="27" customFormat="false" ht="17.15" hidden="false" customHeight="false" outlineLevel="0" collapsed="false">
      <c r="A27" s="0" t="s">
        <v>126</v>
      </c>
      <c r="B27" s="6" t="s">
        <v>125</v>
      </c>
      <c r="C27" s="0" t="s">
        <v>57</v>
      </c>
      <c r="E27" s="20" t="n">
        <f aca="false">In!E27</f>
        <v>-0.08</v>
      </c>
      <c r="G27" s="0" t="str">
        <f aca="false">In!G27</f>
        <v>Interested-party</v>
      </c>
      <c r="H27" s="12" t="s">
        <v>2413</v>
      </c>
    </row>
    <row r="28" customFormat="false" ht="17.15" hidden="false" customHeight="false" outlineLevel="0" collapsed="false">
      <c r="A28" s="0" t="s">
        <v>129</v>
      </c>
      <c r="B28" s="6" t="s">
        <v>128</v>
      </c>
      <c r="C28" s="0" t="s">
        <v>57</v>
      </c>
      <c r="E28" s="20" t="n">
        <f aca="false">In!E28</f>
        <v>-0.15</v>
      </c>
      <c r="G28" s="0" t="str">
        <f aca="false">In!G28</f>
        <v>Interested-party</v>
      </c>
      <c r="H28" s="12" t="s">
        <v>2414</v>
      </c>
    </row>
    <row r="29" customFormat="false" ht="17.15" hidden="false" customHeight="false" outlineLevel="0" collapsed="false">
      <c r="A29" s="0" t="s">
        <v>132</v>
      </c>
      <c r="B29" s="6" t="s">
        <v>131</v>
      </c>
      <c r="C29" s="0" t="s">
        <v>57</v>
      </c>
      <c r="E29" s="20" t="n">
        <f aca="false">In!E29</f>
        <v>-0.25</v>
      </c>
      <c r="G29" s="0" t="str">
        <f aca="false">In!G29</f>
        <v>Interested-party</v>
      </c>
      <c r="H29" s="12" t="s">
        <v>2415</v>
      </c>
    </row>
    <row r="30" customFormat="false" ht="17.15" hidden="false" customHeight="false" outlineLevel="0" collapsed="false">
      <c r="A30" s="0" t="s">
        <v>135</v>
      </c>
      <c r="B30" s="6" t="s">
        <v>134</v>
      </c>
      <c r="C30" s="0" t="s">
        <v>57</v>
      </c>
      <c r="E30" s="20" t="n">
        <f aca="false">In!E30</f>
        <v>-0.15</v>
      </c>
      <c r="G30" s="0" t="str">
        <f aca="false">In!G30</f>
        <v>Interested-party</v>
      </c>
      <c r="H30" s="12" t="s">
        <v>2416</v>
      </c>
    </row>
    <row r="31" customFormat="false" ht="17.15" hidden="false" customHeight="false" outlineLevel="0" collapsed="false">
      <c r="A31" s="0" t="s">
        <v>138</v>
      </c>
      <c r="B31" s="6" t="s">
        <v>137</v>
      </c>
      <c r="C31" s="0" t="s">
        <v>57</v>
      </c>
      <c r="E31" s="20" t="n">
        <f aca="false">In!E31</f>
        <v>-0.1</v>
      </c>
      <c r="G31" s="0" t="str">
        <f aca="false">In!G31</f>
        <v>Interested-party</v>
      </c>
      <c r="H31" s="12" t="s">
        <v>2417</v>
      </c>
    </row>
    <row r="32" customFormat="false" ht="17.15" hidden="false" customHeight="false" outlineLevel="0" collapsed="false">
      <c r="A32" s="0" t="s">
        <v>141</v>
      </c>
      <c r="B32" s="6" t="s">
        <v>140</v>
      </c>
      <c r="C32" s="0" t="s">
        <v>57</v>
      </c>
      <c r="E32" s="20" t="n">
        <f aca="false">In!E32</f>
        <v>-0.05</v>
      </c>
      <c r="G32" s="0" t="str">
        <f aca="false">In!G32</f>
        <v>Interested-party</v>
      </c>
      <c r="H32" s="12" t="s">
        <v>2418</v>
      </c>
    </row>
    <row r="33" customFormat="false" ht="17.15" hidden="false" customHeight="false" outlineLevel="0" collapsed="false">
      <c r="A33" s="0" t="s">
        <v>144</v>
      </c>
      <c r="B33" s="6" t="s">
        <v>143</v>
      </c>
      <c r="C33" s="0" t="s">
        <v>57</v>
      </c>
      <c r="E33" s="20" t="n">
        <f aca="false">In!E33</f>
        <v>0.05</v>
      </c>
      <c r="G33" s="0" t="str">
        <f aca="false">In!G33</f>
        <v>Interested-party</v>
      </c>
      <c r="H33" s="12" t="s">
        <v>2419</v>
      </c>
    </row>
    <row r="34" customFormat="false" ht="17.15" hidden="false" customHeight="false" outlineLevel="0" collapsed="false">
      <c r="A34" s="0" t="s">
        <v>147</v>
      </c>
      <c r="B34" s="6" t="s">
        <v>146</v>
      </c>
      <c r="C34" s="0" t="s">
        <v>57</v>
      </c>
      <c r="E34" s="20" t="n">
        <f aca="false">In!E34</f>
        <v>0.05</v>
      </c>
      <c r="G34" s="0" t="str">
        <f aca="false">In!G34</f>
        <v>Interested-party</v>
      </c>
      <c r="H34" s="12" t="s">
        <v>2420</v>
      </c>
    </row>
    <row r="35" customFormat="false" ht="17.15" hidden="false" customHeight="false" outlineLevel="0" collapsed="false">
      <c r="A35" s="0" t="s">
        <v>150</v>
      </c>
      <c r="B35" s="6" t="s">
        <v>149</v>
      </c>
      <c r="C35" s="0" t="s">
        <v>57</v>
      </c>
      <c r="E35" s="20" t="n">
        <f aca="false">In!E35</f>
        <v>0.03</v>
      </c>
      <c r="G35" s="0" t="str">
        <f aca="false">In!G35</f>
        <v>Interested-party</v>
      </c>
      <c r="H35" s="12" t="s">
        <v>2421</v>
      </c>
    </row>
    <row r="36" customFormat="false" ht="17.15" hidden="false" customHeight="false" outlineLevel="0" collapsed="false">
      <c r="A36" s="0" t="s">
        <v>153</v>
      </c>
      <c r="B36" s="6" t="s">
        <v>152</v>
      </c>
      <c r="C36" s="0" t="s">
        <v>57</v>
      </c>
      <c r="E36" s="20" t="n">
        <f aca="false">In!E36</f>
        <v>0.03</v>
      </c>
      <c r="G36" s="0" t="str">
        <f aca="false">In!G36</f>
        <v>Interested-party</v>
      </c>
      <c r="H36" s="12" t="s">
        <v>2422</v>
      </c>
    </row>
    <row r="37" customFormat="false" ht="17.15" hidden="false" customHeight="false" outlineLevel="0" collapsed="false">
      <c r="A37" s="0" t="s">
        <v>158</v>
      </c>
      <c r="B37" s="6" t="s">
        <v>155</v>
      </c>
      <c r="C37" s="0" t="s">
        <v>57</v>
      </c>
      <c r="D37" s="20" t="n">
        <f aca="false">In!D37</f>
        <v>0</v>
      </c>
      <c r="E37" s="20" t="n">
        <f aca="false">In!E37</f>
        <v>0.05</v>
      </c>
      <c r="F37" s="20" t="n">
        <f aca="false">In!F37</f>
        <v>0.1</v>
      </c>
      <c r="G37" s="0" t="str">
        <f aca="false">In!G37</f>
        <v>Assumed</v>
      </c>
      <c r="H37" s="12" t="s">
        <v>2423</v>
      </c>
    </row>
    <row r="38" customFormat="false" ht="17.15" hidden="false" customHeight="false" outlineLevel="0" collapsed="false">
      <c r="A38" s="0" t="s">
        <v>161</v>
      </c>
      <c r="B38" s="6" t="s">
        <v>160</v>
      </c>
      <c r="C38" s="0" t="s">
        <v>57</v>
      </c>
      <c r="D38" s="20" t="n">
        <f aca="false">In!D38</f>
        <v>-0.03</v>
      </c>
      <c r="E38" s="20" t="n">
        <f aca="false">In!E38</f>
        <v>0.02</v>
      </c>
      <c r="F38" s="20" t="n">
        <f aca="false">In!F38</f>
        <v>0.07</v>
      </c>
      <c r="G38" s="0" t="str">
        <f aca="false">In!G38</f>
        <v>Assumed</v>
      </c>
      <c r="H38" s="12" t="s">
        <v>2424</v>
      </c>
    </row>
    <row r="39" customFormat="false" ht="17.15" hidden="false" customHeight="false" outlineLevel="0" collapsed="false">
      <c r="A39" s="0" t="s">
        <v>164</v>
      </c>
      <c r="B39" s="6" t="s">
        <v>163</v>
      </c>
      <c r="C39" s="0" t="s">
        <v>57</v>
      </c>
      <c r="D39" s="20" t="n">
        <f aca="false">In!D39</f>
        <v>-0.13</v>
      </c>
      <c r="E39" s="20" t="n">
        <f aca="false">In!E39</f>
        <v>-0.08</v>
      </c>
      <c r="F39" s="20" t="n">
        <f aca="false">In!F39</f>
        <v>-0.03</v>
      </c>
      <c r="G39" s="0" t="str">
        <f aca="false">In!G39</f>
        <v>Assumed</v>
      </c>
      <c r="H39" s="12" t="s">
        <v>2425</v>
      </c>
    </row>
    <row r="40" customFormat="false" ht="17.15" hidden="false" customHeight="false" outlineLevel="0" collapsed="false">
      <c r="A40" s="0" t="s">
        <v>167</v>
      </c>
      <c r="B40" s="6" t="s">
        <v>166</v>
      </c>
      <c r="C40" s="0" t="s">
        <v>57</v>
      </c>
      <c r="D40" s="20" t="n">
        <f aca="false">In!D40</f>
        <v>-0.2</v>
      </c>
      <c r="E40" s="20" t="n">
        <f aca="false">In!E40</f>
        <v>-0.15</v>
      </c>
      <c r="F40" s="20" t="n">
        <f aca="false">In!F40</f>
        <v>-0.1</v>
      </c>
      <c r="G40" s="0" t="str">
        <f aca="false">In!G40</f>
        <v>Assumed</v>
      </c>
      <c r="H40" s="12" t="s">
        <v>2426</v>
      </c>
    </row>
    <row r="41" customFormat="false" ht="17.15" hidden="false" customHeight="false" outlineLevel="0" collapsed="false">
      <c r="A41" s="0" t="s">
        <v>170</v>
      </c>
      <c r="B41" s="6" t="s">
        <v>169</v>
      </c>
      <c r="C41" s="0" t="s">
        <v>57</v>
      </c>
      <c r="D41" s="20" t="n">
        <f aca="false">In!D41</f>
        <v>-0.45</v>
      </c>
      <c r="E41" s="20" t="n">
        <f aca="false">In!E41</f>
        <v>-0.35</v>
      </c>
      <c r="F41" s="20" t="n">
        <f aca="false">In!F41</f>
        <v>-0.25</v>
      </c>
      <c r="G41" s="0" t="str">
        <f aca="false">In!G41</f>
        <v>Assumed</v>
      </c>
      <c r="H41" s="12" t="s">
        <v>2427</v>
      </c>
    </row>
    <row r="42" customFormat="false" ht="17.15" hidden="false" customHeight="false" outlineLevel="0" collapsed="false">
      <c r="A42" s="0" t="s">
        <v>173</v>
      </c>
      <c r="B42" s="6" t="s">
        <v>172</v>
      </c>
      <c r="C42" s="0" t="s">
        <v>57</v>
      </c>
      <c r="D42" s="20" t="n">
        <f aca="false">In!D42</f>
        <v>-0.4</v>
      </c>
      <c r="E42" s="20" t="n">
        <f aca="false">In!E42</f>
        <v>-0.3</v>
      </c>
      <c r="F42" s="20" t="n">
        <f aca="false">In!F42</f>
        <v>-0.2</v>
      </c>
      <c r="G42" s="0" t="str">
        <f aca="false">In!G42</f>
        <v>Assumed</v>
      </c>
      <c r="H42" s="12" t="s">
        <v>2428</v>
      </c>
    </row>
    <row r="43" customFormat="false" ht="17.15" hidden="false" customHeight="false" outlineLevel="0" collapsed="false">
      <c r="A43" s="0" t="s">
        <v>176</v>
      </c>
      <c r="B43" s="6" t="s">
        <v>175</v>
      </c>
      <c r="C43" s="0" t="s">
        <v>57</v>
      </c>
      <c r="D43" s="20" t="n">
        <f aca="false">In!D43</f>
        <v>-0.35</v>
      </c>
      <c r="E43" s="20" t="n">
        <f aca="false">In!E43</f>
        <v>-0.25</v>
      </c>
      <c r="F43" s="20" t="n">
        <f aca="false">In!F43</f>
        <v>-0.15</v>
      </c>
      <c r="G43" s="0" t="str">
        <f aca="false">In!G43</f>
        <v>Assumed</v>
      </c>
      <c r="H43" s="12" t="s">
        <v>2429</v>
      </c>
    </row>
    <row r="44" customFormat="false" ht="17.15" hidden="false" customHeight="false" outlineLevel="0" collapsed="false">
      <c r="A44" s="0" t="s">
        <v>179</v>
      </c>
      <c r="B44" s="6" t="s">
        <v>178</v>
      </c>
      <c r="C44" s="0" t="s">
        <v>57</v>
      </c>
      <c r="D44" s="20" t="n">
        <f aca="false">In!D44</f>
        <v>-0.3</v>
      </c>
      <c r="E44" s="20" t="n">
        <f aca="false">In!E44</f>
        <v>-0.2</v>
      </c>
      <c r="F44" s="20" t="n">
        <f aca="false">In!F44</f>
        <v>-0.1</v>
      </c>
      <c r="G44" s="0" t="str">
        <f aca="false">In!G44</f>
        <v>Assumed</v>
      </c>
      <c r="H44" s="12" t="s">
        <v>2430</v>
      </c>
    </row>
    <row r="45" customFormat="false" ht="17.15" hidden="false" customHeight="false" outlineLevel="0" collapsed="false">
      <c r="A45" s="0" t="s">
        <v>182</v>
      </c>
      <c r="B45" s="6" t="s">
        <v>181</v>
      </c>
      <c r="C45" s="0" t="s">
        <v>57</v>
      </c>
      <c r="D45" s="20" t="n">
        <f aca="false">In!D45</f>
        <v>-0.1</v>
      </c>
      <c r="E45" s="20" t="n">
        <f aca="false">In!E45</f>
        <v>0</v>
      </c>
      <c r="F45" s="20" t="n">
        <f aca="false">In!F45</f>
        <v>0.1</v>
      </c>
      <c r="G45" s="0" t="str">
        <f aca="false">In!G45</f>
        <v>Assumed</v>
      </c>
      <c r="H45" s="12" t="s">
        <v>2431</v>
      </c>
    </row>
    <row r="46" customFormat="false" ht="17.15" hidden="false" customHeight="false" outlineLevel="0" collapsed="false">
      <c r="A46" s="0" t="s">
        <v>185</v>
      </c>
      <c r="B46" s="6" t="s">
        <v>184</v>
      </c>
      <c r="C46" s="0" t="s">
        <v>57</v>
      </c>
      <c r="D46" s="20" t="n">
        <f aca="false">In!D46</f>
        <v>-0.05</v>
      </c>
      <c r="E46" s="20" t="n">
        <f aca="false">In!E46</f>
        <v>0.05</v>
      </c>
      <c r="F46" s="20" t="n">
        <f aca="false">In!F46</f>
        <v>0.15</v>
      </c>
      <c r="G46" s="0" t="str">
        <f aca="false">In!G46</f>
        <v>Assumed</v>
      </c>
      <c r="H46" s="12" t="s">
        <v>2432</v>
      </c>
    </row>
    <row r="47" customFormat="false" ht="17.15" hidden="false" customHeight="false" outlineLevel="0" collapsed="false">
      <c r="A47" s="0" t="s">
        <v>188</v>
      </c>
      <c r="B47" s="6" t="s">
        <v>187</v>
      </c>
      <c r="C47" s="0" t="s">
        <v>57</v>
      </c>
      <c r="D47" s="20" t="n">
        <f aca="false">In!D47</f>
        <v>-0.02</v>
      </c>
      <c r="E47" s="20" t="n">
        <f aca="false">In!E47</f>
        <v>0.08</v>
      </c>
      <c r="F47" s="20" t="n">
        <f aca="false">In!F47</f>
        <v>0.18</v>
      </c>
      <c r="G47" s="0" t="str">
        <f aca="false">In!G47</f>
        <v>Assumed</v>
      </c>
      <c r="H47" s="12" t="s">
        <v>2433</v>
      </c>
    </row>
    <row r="48" customFormat="false" ht="17.15" hidden="false" customHeight="false" outlineLevel="0" collapsed="false">
      <c r="A48" s="0" t="s">
        <v>191</v>
      </c>
      <c r="B48" s="6" t="s">
        <v>190</v>
      </c>
      <c r="C48" s="0" t="s">
        <v>57</v>
      </c>
      <c r="D48" s="20" t="n">
        <f aca="false">In!D48</f>
        <v>0</v>
      </c>
      <c r="E48" s="20" t="n">
        <f aca="false">In!E48</f>
        <v>0.1</v>
      </c>
      <c r="F48" s="20" t="n">
        <f aca="false">In!F48</f>
        <v>0.2</v>
      </c>
      <c r="G48" s="0" t="str">
        <f aca="false">In!G48</f>
        <v>Assumed</v>
      </c>
      <c r="H48" s="12" t="s">
        <v>2434</v>
      </c>
    </row>
    <row r="49" customFormat="false" ht="17.15" hidden="false" customHeight="false" outlineLevel="0" collapsed="false">
      <c r="A49" s="0" t="s">
        <v>195</v>
      </c>
      <c r="B49" s="0" t="s">
        <v>193</v>
      </c>
      <c r="C49" s="0" t="s">
        <v>57</v>
      </c>
      <c r="E49" s="20" t="n">
        <f aca="false">In!E49</f>
        <v>0</v>
      </c>
      <c r="G49" s="0" t="str">
        <f aca="false">In!G49</f>
        <v>Interested-party</v>
      </c>
      <c r="H49" s="12" t="s">
        <v>2435</v>
      </c>
    </row>
    <row r="50" customFormat="false" ht="17.15" hidden="false" customHeight="false" outlineLevel="0" collapsed="false">
      <c r="A50" s="0" t="s">
        <v>198</v>
      </c>
      <c r="B50" s="0" t="s">
        <v>197</v>
      </c>
      <c r="C50" s="0" t="s">
        <v>57</v>
      </c>
      <c r="E50" s="20" t="n">
        <f aca="false">In!E50</f>
        <v>0.05</v>
      </c>
      <c r="G50" s="0" t="str">
        <f aca="false">In!G50</f>
        <v>Interested-party</v>
      </c>
      <c r="H50" s="12" t="s">
        <v>2436</v>
      </c>
    </row>
    <row r="51" customFormat="false" ht="17.15" hidden="false" customHeight="false" outlineLevel="0" collapsed="false">
      <c r="A51" s="0" t="s">
        <v>201</v>
      </c>
      <c r="B51" s="0" t="s">
        <v>200</v>
      </c>
      <c r="C51" s="0" t="s">
        <v>57</v>
      </c>
      <c r="E51" s="20" t="n">
        <f aca="false">In!E51</f>
        <v>0.3</v>
      </c>
      <c r="G51" s="0" t="str">
        <f aca="false">In!G51</f>
        <v>Interested-party</v>
      </c>
      <c r="H51" s="12" t="s">
        <v>2437</v>
      </c>
    </row>
    <row r="52" customFormat="false" ht="17.15" hidden="false" customHeight="false" outlineLevel="0" collapsed="false">
      <c r="A52" s="0" t="s">
        <v>204</v>
      </c>
      <c r="B52" s="0" t="s">
        <v>203</v>
      </c>
      <c r="C52" s="0" t="s">
        <v>57</v>
      </c>
      <c r="E52" s="20" t="n">
        <f aca="false">In!E52</f>
        <v>0.875</v>
      </c>
      <c r="G52" s="0" t="str">
        <f aca="false">In!G52</f>
        <v>Interested-party</v>
      </c>
      <c r="H52" s="12" t="s">
        <v>2438</v>
      </c>
    </row>
    <row r="53" customFormat="false" ht="17.15" hidden="false" customHeight="false" outlineLevel="0" collapsed="false">
      <c r="A53" s="0" t="s">
        <v>207</v>
      </c>
      <c r="B53" s="0" t="s">
        <v>206</v>
      </c>
      <c r="C53" s="0" t="s">
        <v>57</v>
      </c>
      <c r="E53" s="20" t="n">
        <f aca="false">In!E53</f>
        <v>0.725</v>
      </c>
      <c r="G53" s="0" t="str">
        <f aca="false">In!G53</f>
        <v>Interested-party</v>
      </c>
      <c r="H53" s="12" t="s">
        <v>2439</v>
      </c>
    </row>
    <row r="54" customFormat="false" ht="17.15" hidden="false" customHeight="false" outlineLevel="0" collapsed="false">
      <c r="A54" s="0" t="s">
        <v>210</v>
      </c>
      <c r="B54" s="0" t="s">
        <v>209</v>
      </c>
      <c r="C54" s="0" t="s">
        <v>57</v>
      </c>
      <c r="E54" s="20" t="n">
        <f aca="false">In!E54</f>
        <v>0.15</v>
      </c>
      <c r="G54" s="0" t="str">
        <f aca="false">In!G54</f>
        <v>Interested-party</v>
      </c>
      <c r="H54" s="12" t="s">
        <v>2440</v>
      </c>
    </row>
    <row r="55" customFormat="false" ht="17.15" hidden="false" customHeight="false" outlineLevel="0" collapsed="false">
      <c r="A55" s="0" t="s">
        <v>213</v>
      </c>
      <c r="B55" s="0" t="s">
        <v>212</v>
      </c>
      <c r="C55" s="0" t="s">
        <v>57</v>
      </c>
      <c r="E55" s="20" t="n">
        <f aca="false">In!E55</f>
        <v>0.175</v>
      </c>
      <c r="G55" s="0" t="str">
        <f aca="false">In!G55</f>
        <v>Interested-party</v>
      </c>
      <c r="H55" s="12" t="s">
        <v>2441</v>
      </c>
    </row>
    <row r="56" customFormat="false" ht="17.15" hidden="false" customHeight="false" outlineLevel="0" collapsed="false">
      <c r="A56" s="0" t="s">
        <v>217</v>
      </c>
      <c r="B56" s="0" t="s">
        <v>215</v>
      </c>
      <c r="C56" s="0" t="s">
        <v>57</v>
      </c>
      <c r="E56" s="20" t="n">
        <f aca="false">In!E56</f>
        <v>0.03</v>
      </c>
      <c r="G56" s="0" t="str">
        <f aca="false">In!G56</f>
        <v>Interested-party</v>
      </c>
      <c r="H56" s="12" t="s">
        <v>2442</v>
      </c>
    </row>
    <row r="57" customFormat="false" ht="17.15" hidden="false" customHeight="false" outlineLevel="0" collapsed="false">
      <c r="A57" s="0" t="s">
        <v>220</v>
      </c>
      <c r="B57" s="0" t="s">
        <v>219</v>
      </c>
      <c r="C57" s="0" t="s">
        <v>57</v>
      </c>
      <c r="E57" s="20" t="n">
        <f aca="false">In!E57</f>
        <v>0</v>
      </c>
      <c r="G57" s="0" t="str">
        <f aca="false">In!G57</f>
        <v>Interested-party</v>
      </c>
      <c r="H57" s="12" t="s">
        <v>2443</v>
      </c>
    </row>
    <row r="58" customFormat="false" ht="17.15" hidden="false" customHeight="false" outlineLevel="0" collapsed="false">
      <c r="A58" s="0" t="s">
        <v>223</v>
      </c>
      <c r="B58" s="0" t="s">
        <v>222</v>
      </c>
      <c r="C58" s="0" t="s">
        <v>57</v>
      </c>
      <c r="E58" s="20" t="n">
        <f aca="false">In!E58</f>
        <v>-0.05</v>
      </c>
      <c r="G58" s="0" t="str">
        <f aca="false">In!G58</f>
        <v>Interested-party</v>
      </c>
      <c r="H58" s="12" t="s">
        <v>2444</v>
      </c>
    </row>
    <row r="59" customFormat="false" ht="17.15" hidden="false" customHeight="false" outlineLevel="0" collapsed="false">
      <c r="A59" s="0" t="s">
        <v>226</v>
      </c>
      <c r="B59" s="0" t="s">
        <v>225</v>
      </c>
      <c r="C59" s="0" t="s">
        <v>57</v>
      </c>
      <c r="E59" s="20" t="n">
        <f aca="false">In!E59</f>
        <v>-0.07</v>
      </c>
      <c r="G59" s="0" t="str">
        <f aca="false">In!G59</f>
        <v>Interested-party</v>
      </c>
      <c r="H59" s="12" t="s">
        <v>2445</v>
      </c>
    </row>
    <row r="60" customFormat="false" ht="17.15" hidden="false" customHeight="false" outlineLevel="0" collapsed="false">
      <c r="A60" s="0" t="s">
        <v>229</v>
      </c>
      <c r="B60" s="0" t="s">
        <v>228</v>
      </c>
      <c r="C60" s="0" t="s">
        <v>57</v>
      </c>
      <c r="E60" s="20" t="n">
        <f aca="false">In!E60</f>
        <v>-0.05</v>
      </c>
      <c r="G60" s="0" t="str">
        <f aca="false">In!G60</f>
        <v>Interested-party</v>
      </c>
      <c r="H60" s="12" t="s">
        <v>2446</v>
      </c>
    </row>
    <row r="61" customFormat="false" ht="17.15" hidden="false" customHeight="false" outlineLevel="0" collapsed="false">
      <c r="A61" s="0" t="s">
        <v>232</v>
      </c>
      <c r="B61" s="0" t="s">
        <v>231</v>
      </c>
      <c r="C61" s="0" t="s">
        <v>57</v>
      </c>
      <c r="E61" s="20" t="n">
        <f aca="false">In!E61</f>
        <v>-0.05</v>
      </c>
      <c r="G61" s="0" t="str">
        <f aca="false">In!G61</f>
        <v>Interested-party</v>
      </c>
      <c r="H61" s="12" t="s">
        <v>2447</v>
      </c>
    </row>
    <row r="62" customFormat="false" ht="17.15" hidden="false" customHeight="false" outlineLevel="0" collapsed="false">
      <c r="A62" s="0" t="s">
        <v>235</v>
      </c>
      <c r="B62" s="0" t="s">
        <v>234</v>
      </c>
      <c r="C62" s="0" t="s">
        <v>57</v>
      </c>
      <c r="E62" s="20" t="n">
        <f aca="false">In!E62</f>
        <v>-0.05</v>
      </c>
      <c r="G62" s="0" t="str">
        <f aca="false">In!G62</f>
        <v>Interested-party</v>
      </c>
      <c r="H62" s="12" t="s">
        <v>2448</v>
      </c>
    </row>
    <row r="63" customFormat="false" ht="17.15" hidden="false" customHeight="false" outlineLevel="0" collapsed="false">
      <c r="A63" s="0" t="s">
        <v>238</v>
      </c>
      <c r="B63" s="0" t="s">
        <v>237</v>
      </c>
      <c r="C63" s="0" t="s">
        <v>57</v>
      </c>
      <c r="E63" s="20" t="n">
        <f aca="false">In!E63</f>
        <v>-0.05</v>
      </c>
      <c r="G63" s="0" t="str">
        <f aca="false">In!G63</f>
        <v>Interested-party</v>
      </c>
      <c r="H63" s="12" t="s">
        <v>2449</v>
      </c>
    </row>
    <row r="64" customFormat="false" ht="17.15" hidden="false" customHeight="false" outlineLevel="0" collapsed="false">
      <c r="A64" s="0" t="s">
        <v>241</v>
      </c>
      <c r="B64" s="0" t="s">
        <v>240</v>
      </c>
      <c r="C64" s="0" t="s">
        <v>57</v>
      </c>
      <c r="E64" s="20" t="n">
        <f aca="false">In!E64</f>
        <v>-0.03</v>
      </c>
      <c r="G64" s="0" t="str">
        <f aca="false">In!G64</f>
        <v>Interested-party</v>
      </c>
      <c r="H64" s="12" t="s">
        <v>2450</v>
      </c>
    </row>
    <row r="65" customFormat="false" ht="17.15" hidden="false" customHeight="false" outlineLevel="0" collapsed="false">
      <c r="A65" s="0" t="s">
        <v>244</v>
      </c>
      <c r="B65" s="0" t="s">
        <v>243</v>
      </c>
      <c r="C65" s="0" t="s">
        <v>57</v>
      </c>
      <c r="E65" s="20" t="n">
        <f aca="false">In!E65</f>
        <v>-0.03</v>
      </c>
      <c r="G65" s="0" t="str">
        <f aca="false">In!G65</f>
        <v>Interested-party</v>
      </c>
      <c r="H65" s="12" t="s">
        <v>2451</v>
      </c>
    </row>
    <row r="66" customFormat="false" ht="17.15" hidden="false" customHeight="false" outlineLevel="0" collapsed="false">
      <c r="A66" s="0" t="s">
        <v>247</v>
      </c>
      <c r="B66" s="0" t="s">
        <v>246</v>
      </c>
      <c r="C66" s="0" t="s">
        <v>57</v>
      </c>
      <c r="E66" s="20" t="n">
        <f aca="false">In!E66</f>
        <v>-0.03</v>
      </c>
      <c r="G66" s="0" t="str">
        <f aca="false">In!G66</f>
        <v>Interested-party</v>
      </c>
      <c r="H66" s="12" t="s">
        <v>2452</v>
      </c>
    </row>
    <row r="67" customFormat="false" ht="17.15" hidden="false" customHeight="false" outlineLevel="0" collapsed="false">
      <c r="A67" s="0" t="s">
        <v>250</v>
      </c>
      <c r="B67" s="0" t="s">
        <v>249</v>
      </c>
      <c r="C67" s="0" t="s">
        <v>57</v>
      </c>
      <c r="E67" s="20" t="n">
        <f aca="false">In!E67</f>
        <v>-0.03</v>
      </c>
      <c r="G67" s="0" t="str">
        <f aca="false">In!G67</f>
        <v>Interested-party</v>
      </c>
      <c r="H67" s="12" t="s">
        <v>2453</v>
      </c>
    </row>
    <row r="68" customFormat="false" ht="17.15" hidden="false" customHeight="false" outlineLevel="0" collapsed="false">
      <c r="A68" s="0" t="s">
        <v>254</v>
      </c>
      <c r="B68" s="0" t="s">
        <v>252</v>
      </c>
      <c r="C68" s="0" t="s">
        <v>57</v>
      </c>
      <c r="E68" s="20" t="n">
        <f aca="false">In!E68</f>
        <v>0.05</v>
      </c>
      <c r="G68" s="0" t="str">
        <f aca="false">In!G68</f>
        <v>Interested-party</v>
      </c>
      <c r="H68" s="12" t="s">
        <v>2454</v>
      </c>
    </row>
    <row r="69" customFormat="false" ht="17.15" hidden="false" customHeight="false" outlineLevel="0" collapsed="false">
      <c r="A69" s="0" t="s">
        <v>257</v>
      </c>
      <c r="B69" s="0" t="s">
        <v>256</v>
      </c>
      <c r="C69" s="0" t="s">
        <v>57</v>
      </c>
      <c r="E69" s="20" t="n">
        <f aca="false">In!E69</f>
        <v>0.02</v>
      </c>
      <c r="G69" s="0" t="str">
        <f aca="false">In!G69</f>
        <v>Interested-party</v>
      </c>
      <c r="H69" s="12" t="s">
        <v>2455</v>
      </c>
    </row>
    <row r="70" customFormat="false" ht="17.15" hidden="false" customHeight="false" outlineLevel="0" collapsed="false">
      <c r="A70" s="0" t="s">
        <v>260</v>
      </c>
      <c r="B70" s="0" t="s">
        <v>259</v>
      </c>
      <c r="C70" s="0" t="s">
        <v>57</v>
      </c>
      <c r="E70" s="20" t="n">
        <f aca="false">In!E70</f>
        <v>-0.1</v>
      </c>
      <c r="G70" s="0" t="str">
        <f aca="false">In!G70</f>
        <v>Interested-party</v>
      </c>
      <c r="H70" s="12" t="s">
        <v>2456</v>
      </c>
    </row>
    <row r="71" customFormat="false" ht="17.15" hidden="false" customHeight="false" outlineLevel="0" collapsed="false">
      <c r="A71" s="0" t="s">
        <v>263</v>
      </c>
      <c r="B71" s="0" t="s">
        <v>262</v>
      </c>
      <c r="C71" s="0" t="s">
        <v>57</v>
      </c>
      <c r="E71" s="20" t="n">
        <f aca="false">In!E71</f>
        <v>-0.2</v>
      </c>
      <c r="G71" s="0" t="str">
        <f aca="false">In!G71</f>
        <v>Interested-party</v>
      </c>
      <c r="H71" s="12" t="s">
        <v>2457</v>
      </c>
    </row>
    <row r="72" customFormat="false" ht="17.15" hidden="false" customHeight="false" outlineLevel="0" collapsed="false">
      <c r="A72" s="0" t="s">
        <v>266</v>
      </c>
      <c r="B72" s="0" t="s">
        <v>265</v>
      </c>
      <c r="C72" s="0" t="s">
        <v>57</v>
      </c>
      <c r="E72" s="20" t="n">
        <f aca="false">In!E72</f>
        <v>-0.3</v>
      </c>
      <c r="G72" s="0" t="str">
        <f aca="false">In!G72</f>
        <v>Interested-party</v>
      </c>
      <c r="H72" s="12" t="s">
        <v>2458</v>
      </c>
    </row>
    <row r="73" customFormat="false" ht="17.15" hidden="false" customHeight="false" outlineLevel="0" collapsed="false">
      <c r="A73" s="0" t="s">
        <v>269</v>
      </c>
      <c r="B73" s="0" t="s">
        <v>268</v>
      </c>
      <c r="C73" s="0" t="s">
        <v>57</v>
      </c>
      <c r="E73" s="20" t="n">
        <f aca="false">In!E73</f>
        <v>-0.25</v>
      </c>
      <c r="G73" s="0" t="str">
        <f aca="false">In!G73</f>
        <v>Interested-party</v>
      </c>
      <c r="H73" s="12" t="s">
        <v>2459</v>
      </c>
    </row>
    <row r="74" customFormat="false" ht="17.15" hidden="false" customHeight="false" outlineLevel="0" collapsed="false">
      <c r="A74" s="0" t="s">
        <v>272</v>
      </c>
      <c r="B74" s="0" t="s">
        <v>271</v>
      </c>
      <c r="C74" s="0" t="s">
        <v>57</v>
      </c>
      <c r="E74" s="20" t="n">
        <f aca="false">In!E74</f>
        <v>-0.2</v>
      </c>
      <c r="G74" s="0" t="str">
        <f aca="false">In!G74</f>
        <v>Interested-party</v>
      </c>
      <c r="H74" s="12" t="s">
        <v>2460</v>
      </c>
    </row>
    <row r="75" customFormat="false" ht="17.15" hidden="false" customHeight="false" outlineLevel="0" collapsed="false">
      <c r="A75" s="0" t="s">
        <v>275</v>
      </c>
      <c r="B75" s="0" t="s">
        <v>274</v>
      </c>
      <c r="C75" s="0" t="s">
        <v>57</v>
      </c>
      <c r="E75" s="20" t="n">
        <f aca="false">In!E75</f>
        <v>-0.1</v>
      </c>
      <c r="G75" s="0" t="str">
        <f aca="false">In!G75</f>
        <v>Interested-party</v>
      </c>
      <c r="H75" s="12" t="s">
        <v>2461</v>
      </c>
    </row>
    <row r="76" customFormat="false" ht="17.15" hidden="false" customHeight="false" outlineLevel="0" collapsed="false">
      <c r="A76" s="0" t="s">
        <v>278</v>
      </c>
      <c r="B76" s="0" t="s">
        <v>277</v>
      </c>
      <c r="C76" s="0" t="s">
        <v>57</v>
      </c>
      <c r="E76" s="20" t="n">
        <f aca="false">In!E76</f>
        <v>0.05</v>
      </c>
      <c r="G76" s="0" t="str">
        <f aca="false">In!G76</f>
        <v>Interested-party</v>
      </c>
      <c r="H76" s="12" t="s">
        <v>2462</v>
      </c>
    </row>
    <row r="77" customFormat="false" ht="17.15" hidden="false" customHeight="false" outlineLevel="0" collapsed="false">
      <c r="A77" s="0" t="s">
        <v>281</v>
      </c>
      <c r="B77" s="0" t="s">
        <v>280</v>
      </c>
      <c r="C77" s="0" t="s">
        <v>57</v>
      </c>
      <c r="E77" s="20" t="n">
        <f aca="false">In!E77</f>
        <v>0.05</v>
      </c>
      <c r="G77" s="0" t="str">
        <f aca="false">In!G77</f>
        <v>Interested-party</v>
      </c>
      <c r="H77" s="12" t="s">
        <v>2463</v>
      </c>
    </row>
    <row r="78" customFormat="false" ht="17.15" hidden="false" customHeight="false" outlineLevel="0" collapsed="false">
      <c r="A78" s="0" t="s">
        <v>284</v>
      </c>
      <c r="B78" s="0" t="s">
        <v>283</v>
      </c>
      <c r="C78" s="0" t="s">
        <v>57</v>
      </c>
      <c r="E78" s="20" t="n">
        <f aca="false">In!E78</f>
        <v>0.03</v>
      </c>
      <c r="G78" s="0" t="str">
        <f aca="false">In!G78</f>
        <v>Interested-party</v>
      </c>
      <c r="H78" s="12" t="s">
        <v>2464</v>
      </c>
    </row>
    <row r="79" customFormat="false" ht="17.15" hidden="false" customHeight="false" outlineLevel="0" collapsed="false">
      <c r="A79" s="0" t="s">
        <v>287</v>
      </c>
      <c r="B79" s="0" t="s">
        <v>286</v>
      </c>
      <c r="C79" s="0" t="s">
        <v>57</v>
      </c>
      <c r="E79" s="20" t="n">
        <f aca="false">In!E79</f>
        <v>0.03</v>
      </c>
      <c r="G79" s="0" t="str">
        <f aca="false">In!G79</f>
        <v>Interested-party</v>
      </c>
      <c r="H79" s="12" t="s">
        <v>2465</v>
      </c>
    </row>
    <row r="80" customFormat="false" ht="17.15" hidden="false" customHeight="false" outlineLevel="0" collapsed="false">
      <c r="A80" s="0" t="s">
        <v>291</v>
      </c>
      <c r="B80" s="0" t="s">
        <v>289</v>
      </c>
      <c r="C80" s="0" t="s">
        <v>57</v>
      </c>
      <c r="D80" s="20" t="n">
        <f aca="false">In!D80</f>
        <v>0</v>
      </c>
      <c r="E80" s="20" t="n">
        <f aca="false">In!E80</f>
        <v>0.05</v>
      </c>
      <c r="F80" s="20" t="n">
        <f aca="false">In!F80</f>
        <v>0.1</v>
      </c>
      <c r="G80" s="0" t="str">
        <f aca="false">In!G80</f>
        <v>Assumed</v>
      </c>
      <c r="H80" s="12" t="s">
        <v>2466</v>
      </c>
    </row>
    <row r="81" customFormat="false" ht="17.15" hidden="false" customHeight="false" outlineLevel="0" collapsed="false">
      <c r="A81" s="0" t="s">
        <v>294</v>
      </c>
      <c r="B81" s="0" t="s">
        <v>293</v>
      </c>
      <c r="C81" s="0" t="s">
        <v>57</v>
      </c>
      <c r="D81" s="20" t="n">
        <f aca="false">In!D81</f>
        <v>-0.03</v>
      </c>
      <c r="E81" s="20" t="n">
        <f aca="false">In!E81</f>
        <v>0.02</v>
      </c>
      <c r="F81" s="20" t="n">
        <f aca="false">In!F81</f>
        <v>0.07</v>
      </c>
      <c r="G81" s="0" t="str">
        <f aca="false">In!G81</f>
        <v>Assumed</v>
      </c>
      <c r="H81" s="12" t="s">
        <v>2467</v>
      </c>
    </row>
    <row r="82" customFormat="false" ht="17.15" hidden="false" customHeight="false" outlineLevel="0" collapsed="false">
      <c r="A82" s="0" t="s">
        <v>297</v>
      </c>
      <c r="B82" s="0" t="s">
        <v>296</v>
      </c>
      <c r="C82" s="0" t="s">
        <v>57</v>
      </c>
      <c r="D82" s="20" t="n">
        <f aca="false">In!D82</f>
        <v>-0.15</v>
      </c>
      <c r="E82" s="20" t="n">
        <f aca="false">In!E82</f>
        <v>-0.1</v>
      </c>
      <c r="F82" s="20" t="n">
        <f aca="false">In!F82</f>
        <v>-0.05</v>
      </c>
      <c r="G82" s="0" t="str">
        <f aca="false">In!G82</f>
        <v>Assumed</v>
      </c>
      <c r="H82" s="12" t="s">
        <v>2468</v>
      </c>
    </row>
    <row r="83" customFormat="false" ht="17.15" hidden="false" customHeight="false" outlineLevel="0" collapsed="false">
      <c r="A83" s="0" t="s">
        <v>300</v>
      </c>
      <c r="B83" s="0" t="s">
        <v>299</v>
      </c>
      <c r="C83" s="0" t="s">
        <v>57</v>
      </c>
      <c r="D83" s="20" t="n">
        <f aca="false">In!D83</f>
        <v>-0.25</v>
      </c>
      <c r="E83" s="20" t="n">
        <f aca="false">In!E83</f>
        <v>-0.2</v>
      </c>
      <c r="F83" s="20" t="n">
        <f aca="false">In!F83</f>
        <v>-0.15</v>
      </c>
      <c r="G83" s="0" t="str">
        <f aca="false">In!G83</f>
        <v>Assumed</v>
      </c>
      <c r="H83" s="12" t="s">
        <v>2469</v>
      </c>
    </row>
    <row r="84" customFormat="false" ht="17.15" hidden="false" customHeight="false" outlineLevel="0" collapsed="false">
      <c r="A84" s="0" t="s">
        <v>303</v>
      </c>
      <c r="B84" s="0" t="s">
        <v>302</v>
      </c>
      <c r="C84" s="0" t="s">
        <v>57</v>
      </c>
      <c r="D84" s="20" t="n">
        <f aca="false">In!D84</f>
        <v>-0.45</v>
      </c>
      <c r="E84" s="20" t="n">
        <f aca="false">In!E84</f>
        <v>-0.35</v>
      </c>
      <c r="F84" s="20" t="n">
        <f aca="false">In!F84</f>
        <v>-0.25</v>
      </c>
      <c r="G84" s="0" t="str">
        <f aca="false">In!G84</f>
        <v>Assumed</v>
      </c>
      <c r="H84" s="12" t="s">
        <v>2470</v>
      </c>
    </row>
    <row r="85" customFormat="false" ht="17.15" hidden="false" customHeight="false" outlineLevel="0" collapsed="false">
      <c r="A85" s="0" t="s">
        <v>306</v>
      </c>
      <c r="B85" s="0" t="s">
        <v>305</v>
      </c>
      <c r="C85" s="0" t="s">
        <v>57</v>
      </c>
      <c r="D85" s="20" t="n">
        <f aca="false">In!D85</f>
        <v>-0.45</v>
      </c>
      <c r="E85" s="20" t="n">
        <f aca="false">In!E85</f>
        <v>-0.35</v>
      </c>
      <c r="F85" s="20" t="n">
        <f aca="false">In!F85</f>
        <v>-0.25</v>
      </c>
      <c r="G85" s="0" t="str">
        <f aca="false">In!G85</f>
        <v>Assumed</v>
      </c>
      <c r="H85" s="12" t="s">
        <v>2471</v>
      </c>
    </row>
    <row r="86" customFormat="false" ht="17.15" hidden="false" customHeight="false" outlineLevel="0" collapsed="false">
      <c r="A86" s="0" t="s">
        <v>309</v>
      </c>
      <c r="B86" s="0" t="s">
        <v>308</v>
      </c>
      <c r="C86" s="0" t="s">
        <v>57</v>
      </c>
      <c r="D86" s="20" t="n">
        <f aca="false">In!D86</f>
        <v>-0.35</v>
      </c>
      <c r="E86" s="20" t="n">
        <f aca="false">In!E86</f>
        <v>-0.25</v>
      </c>
      <c r="F86" s="20" t="n">
        <f aca="false">In!F86</f>
        <v>-0.15</v>
      </c>
      <c r="G86" s="0" t="str">
        <f aca="false">In!G86</f>
        <v>Assumed</v>
      </c>
      <c r="H86" s="12" t="s">
        <v>2472</v>
      </c>
    </row>
    <row r="87" customFormat="false" ht="17.15" hidden="false" customHeight="false" outlineLevel="0" collapsed="false">
      <c r="A87" s="0" t="s">
        <v>312</v>
      </c>
      <c r="B87" s="0" t="s">
        <v>311</v>
      </c>
      <c r="C87" s="0" t="s">
        <v>57</v>
      </c>
      <c r="D87" s="20" t="n">
        <f aca="false">In!D87</f>
        <v>-0.3</v>
      </c>
      <c r="E87" s="20" t="n">
        <f aca="false">In!E87</f>
        <v>-0.2</v>
      </c>
      <c r="F87" s="20" t="n">
        <f aca="false">In!F87</f>
        <v>-0.1</v>
      </c>
      <c r="G87" s="0" t="str">
        <f aca="false">In!G87</f>
        <v>Assumed</v>
      </c>
      <c r="H87" s="12" t="s">
        <v>2473</v>
      </c>
    </row>
    <row r="88" customFormat="false" ht="17.15" hidden="false" customHeight="false" outlineLevel="0" collapsed="false">
      <c r="A88" s="0" t="s">
        <v>315</v>
      </c>
      <c r="B88" s="0" t="s">
        <v>314</v>
      </c>
      <c r="C88" s="0" t="s">
        <v>57</v>
      </c>
      <c r="D88" s="20" t="n">
        <f aca="false">In!D88</f>
        <v>-0.1</v>
      </c>
      <c r="E88" s="20" t="n">
        <f aca="false">In!E88</f>
        <v>0</v>
      </c>
      <c r="F88" s="20" t="n">
        <f aca="false">In!F88</f>
        <v>0.1</v>
      </c>
      <c r="G88" s="0" t="str">
        <f aca="false">In!G88</f>
        <v>Assumed</v>
      </c>
      <c r="H88" s="12" t="s">
        <v>2474</v>
      </c>
    </row>
    <row r="89" customFormat="false" ht="17.15" hidden="false" customHeight="false" outlineLevel="0" collapsed="false">
      <c r="A89" s="0" t="s">
        <v>318</v>
      </c>
      <c r="B89" s="0" t="s">
        <v>317</v>
      </c>
      <c r="C89" s="0" t="s">
        <v>57</v>
      </c>
      <c r="D89" s="20" t="n">
        <f aca="false">In!D89</f>
        <v>-0.05</v>
      </c>
      <c r="E89" s="20" t="n">
        <f aca="false">In!E89</f>
        <v>0.05</v>
      </c>
      <c r="F89" s="20" t="n">
        <f aca="false">In!F89</f>
        <v>0.15</v>
      </c>
      <c r="G89" s="0" t="str">
        <f aca="false">In!G89</f>
        <v>Assumed</v>
      </c>
      <c r="H89" s="12" t="s">
        <v>2475</v>
      </c>
    </row>
    <row r="90" customFormat="false" ht="17.15" hidden="false" customHeight="false" outlineLevel="0" collapsed="false">
      <c r="A90" s="0" t="s">
        <v>321</v>
      </c>
      <c r="B90" s="0" t="s">
        <v>320</v>
      </c>
      <c r="C90" s="0" t="s">
        <v>57</v>
      </c>
      <c r="D90" s="20" t="n">
        <f aca="false">In!D90</f>
        <v>-0.02</v>
      </c>
      <c r="E90" s="20" t="n">
        <f aca="false">In!E90</f>
        <v>0.08</v>
      </c>
      <c r="F90" s="20" t="n">
        <f aca="false">In!F90</f>
        <v>0.18</v>
      </c>
      <c r="G90" s="0" t="str">
        <f aca="false">In!G90</f>
        <v>Assumed</v>
      </c>
      <c r="H90" s="12" t="s">
        <v>2476</v>
      </c>
    </row>
    <row r="91" customFormat="false" ht="17.15" hidden="false" customHeight="false" outlineLevel="0" collapsed="false">
      <c r="A91" s="0" t="s">
        <v>324</v>
      </c>
      <c r="B91" s="0" t="s">
        <v>323</v>
      </c>
      <c r="C91" s="0" t="s">
        <v>57</v>
      </c>
      <c r="D91" s="20" t="n">
        <f aca="false">In!D91</f>
        <v>0</v>
      </c>
      <c r="E91" s="20" t="n">
        <f aca="false">In!E91</f>
        <v>0.1</v>
      </c>
      <c r="F91" s="20" t="n">
        <f aca="false">In!F91</f>
        <v>0.2</v>
      </c>
      <c r="G91" s="0" t="str">
        <f aca="false">In!G91</f>
        <v>Assumed</v>
      </c>
      <c r="H91" s="12" t="s">
        <v>2477</v>
      </c>
    </row>
    <row r="92" customFormat="false" ht="17.15" hidden="false" customHeight="false" outlineLevel="0" collapsed="false">
      <c r="A92" s="0" t="s">
        <v>330</v>
      </c>
      <c r="B92" s="0" t="s">
        <v>327</v>
      </c>
      <c r="C92" s="6" t="s">
        <v>328</v>
      </c>
      <c r="E92" s="34" t="n">
        <f aca="false">In!E93</f>
        <v>5.4</v>
      </c>
      <c r="G92" s="0" t="str">
        <f aca="false">In!G93</f>
        <v>Interested-party</v>
      </c>
      <c r="H92" s="12" t="s">
        <v>2478</v>
      </c>
    </row>
    <row r="93" customFormat="false" ht="17.15" hidden="false" customHeight="false" outlineLevel="0" collapsed="false">
      <c r="A93" s="0" t="s">
        <v>333</v>
      </c>
      <c r="B93" s="0" t="s">
        <v>332</v>
      </c>
      <c r="C93" s="6" t="s">
        <v>328</v>
      </c>
      <c r="E93" s="34" t="n">
        <f aca="false">In!E94</f>
        <v>2.4</v>
      </c>
      <c r="G93" s="0" t="str">
        <f aca="false">In!G94</f>
        <v>Interested-party</v>
      </c>
      <c r="H93" s="12" t="s">
        <v>2479</v>
      </c>
    </row>
    <row r="94" customFormat="false" ht="17.15" hidden="false" customHeight="false" outlineLevel="0" collapsed="false">
      <c r="A94" s="0" t="s">
        <v>336</v>
      </c>
      <c r="B94" s="0" t="s">
        <v>335</v>
      </c>
      <c r="C94" s="6" t="s">
        <v>328</v>
      </c>
      <c r="E94" s="34" t="n">
        <f aca="false">In!E95</f>
        <v>0.5</v>
      </c>
      <c r="G94" s="0" t="str">
        <f aca="false">In!G95</f>
        <v>Interested-party</v>
      </c>
      <c r="H94" s="12" t="s">
        <v>2480</v>
      </c>
    </row>
    <row r="95" customFormat="false" ht="17.15" hidden="false" customHeight="false" outlineLevel="0" collapsed="false">
      <c r="A95" s="0" t="s">
        <v>340</v>
      </c>
      <c r="B95" s="0" t="s">
        <v>338</v>
      </c>
      <c r="C95" s="0" t="s">
        <v>339</v>
      </c>
      <c r="E95" s="34" t="n">
        <f aca="false">In!E96</f>
        <v>260</v>
      </c>
      <c r="G95" s="0" t="str">
        <f aca="false">In!G96</f>
        <v>Interested-party</v>
      </c>
      <c r="H95" s="12" t="s">
        <v>2481</v>
      </c>
    </row>
    <row r="96" customFormat="false" ht="17.15" hidden="false" customHeight="false" outlineLevel="0" collapsed="false">
      <c r="A96" s="0" t="s">
        <v>343</v>
      </c>
      <c r="B96" s="0" t="s">
        <v>342</v>
      </c>
      <c r="C96" s="0" t="s">
        <v>339</v>
      </c>
      <c r="E96" s="34" t="n">
        <f aca="false">In!E97</f>
        <v>280</v>
      </c>
      <c r="G96" s="0" t="str">
        <f aca="false">In!G97</f>
        <v>Interested-party</v>
      </c>
      <c r="H96" s="12" t="s">
        <v>2482</v>
      </c>
    </row>
    <row r="97" customFormat="false" ht="17.15" hidden="false" customHeight="false" outlineLevel="0" collapsed="false">
      <c r="A97" s="0" t="s">
        <v>346</v>
      </c>
      <c r="B97" s="0" t="s">
        <v>345</v>
      </c>
      <c r="C97" s="0" t="s">
        <v>339</v>
      </c>
      <c r="E97" s="34" t="n">
        <f aca="false">In!E98</f>
        <v>288</v>
      </c>
      <c r="G97" s="0" t="str">
        <f aca="false">In!G98</f>
        <v>Interested-party</v>
      </c>
      <c r="H97" s="12" t="s">
        <v>2483</v>
      </c>
    </row>
    <row r="98" customFormat="false" ht="17.15" hidden="false" customHeight="false" outlineLevel="0" collapsed="false">
      <c r="A98" s="0" t="s">
        <v>350</v>
      </c>
      <c r="B98" s="0" t="s">
        <v>348</v>
      </c>
      <c r="C98" s="6" t="s">
        <v>328</v>
      </c>
      <c r="E98" s="34" t="n">
        <f aca="false">In!E99</f>
        <v>1.7</v>
      </c>
      <c r="G98" s="0" t="str">
        <f aca="false">In!G99</f>
        <v>Interested-party</v>
      </c>
      <c r="H98" s="12" t="s">
        <v>2484</v>
      </c>
    </row>
    <row r="99" customFormat="false" ht="17.15" hidden="false" customHeight="false" outlineLevel="0" collapsed="false">
      <c r="A99" s="0" t="s">
        <v>353</v>
      </c>
      <c r="B99" s="0" t="s">
        <v>352</v>
      </c>
      <c r="C99" s="6" t="s">
        <v>328</v>
      </c>
      <c r="E99" s="34" t="n">
        <f aca="false">In!E100</f>
        <v>7</v>
      </c>
      <c r="G99" s="0" t="str">
        <f aca="false">In!G100</f>
        <v>Interested-party</v>
      </c>
      <c r="H99" s="12" t="s">
        <v>2485</v>
      </c>
    </row>
    <row r="100" customFormat="false" ht="17.15" hidden="false" customHeight="false" outlineLevel="0" collapsed="false">
      <c r="A100" s="0" t="s">
        <v>356</v>
      </c>
      <c r="B100" s="0" t="s">
        <v>355</v>
      </c>
      <c r="C100" s="6" t="s">
        <v>328</v>
      </c>
      <c r="E100" s="34" t="n">
        <f aca="false">In!E101</f>
        <v>7</v>
      </c>
      <c r="G100" s="0" t="str">
        <f aca="false">In!G101</f>
        <v>Interested-party</v>
      </c>
      <c r="H100" s="12" t="s">
        <v>2486</v>
      </c>
    </row>
    <row r="101" customFormat="false" ht="17.15" hidden="false" customHeight="false" outlineLevel="0" collapsed="false">
      <c r="A101" s="0" t="s">
        <v>359</v>
      </c>
      <c r="B101" s="0" t="s">
        <v>358</v>
      </c>
      <c r="C101" s="0" t="s">
        <v>339</v>
      </c>
      <c r="E101" s="34" t="n">
        <f aca="false">In!E102</f>
        <v>288</v>
      </c>
      <c r="G101" s="0" t="str">
        <f aca="false">In!G102</f>
        <v>Interested-party</v>
      </c>
      <c r="H101" s="12" t="s">
        <v>2487</v>
      </c>
    </row>
    <row r="102" customFormat="false" ht="17.15" hidden="false" customHeight="false" outlineLevel="0" collapsed="false">
      <c r="A102" s="0" t="s">
        <v>362</v>
      </c>
      <c r="B102" s="0" t="s">
        <v>361</v>
      </c>
      <c r="C102" s="0" t="s">
        <v>339</v>
      </c>
      <c r="E102" s="34" t="n">
        <f aca="false">In!E103</f>
        <v>288</v>
      </c>
      <c r="G102" s="0" t="str">
        <f aca="false">In!G103</f>
        <v>Interested-party</v>
      </c>
      <c r="H102" s="12" t="s">
        <v>2488</v>
      </c>
    </row>
    <row r="103" customFormat="false" ht="17.15" hidden="false" customHeight="false" outlineLevel="0" collapsed="false">
      <c r="A103" s="0" t="s">
        <v>365</v>
      </c>
      <c r="B103" s="0" t="s">
        <v>364</v>
      </c>
      <c r="C103" s="0" t="s">
        <v>339</v>
      </c>
      <c r="E103" s="34" t="n">
        <f aca="false">In!E104</f>
        <v>288</v>
      </c>
      <c r="G103" s="0" t="str">
        <f aca="false">In!G104</f>
        <v>Interested-party</v>
      </c>
      <c r="H103" s="12" t="s">
        <v>2489</v>
      </c>
    </row>
    <row r="104" customFormat="false" ht="17.15" hidden="false" customHeight="false" outlineLevel="0" collapsed="false">
      <c r="A104" s="0" t="s">
        <v>369</v>
      </c>
      <c r="B104" s="0" t="s">
        <v>367</v>
      </c>
      <c r="C104" s="6" t="s">
        <v>328</v>
      </c>
      <c r="D104" s="34" t="n">
        <f aca="false">In!D105</f>
        <v>0</v>
      </c>
      <c r="E104" s="34" t="n">
        <f aca="false">In!E105</f>
        <v>0</v>
      </c>
      <c r="F104" s="34" t="n">
        <f aca="false">In!F105</f>
        <v>0</v>
      </c>
      <c r="G104" s="0" t="str">
        <f aca="false">In!G105</f>
        <v>Assumed</v>
      </c>
      <c r="H104" s="12" t="s">
        <v>2490</v>
      </c>
    </row>
    <row r="105" customFormat="false" ht="17.15" hidden="false" customHeight="false" outlineLevel="0" collapsed="false">
      <c r="A105" s="0" t="s">
        <v>372</v>
      </c>
      <c r="B105" s="0" t="s">
        <v>371</v>
      </c>
      <c r="C105" s="6" t="s">
        <v>328</v>
      </c>
      <c r="D105" s="34" t="n">
        <f aca="false">In!D106</f>
        <v>0</v>
      </c>
      <c r="E105" s="34" t="n">
        <f aca="false">In!E106</f>
        <v>0.3</v>
      </c>
      <c r="F105" s="34" t="n">
        <f aca="false">In!F106</f>
        <v>0.6</v>
      </c>
      <c r="G105" s="0" t="str">
        <f aca="false">In!G106</f>
        <v>Assumed</v>
      </c>
      <c r="H105" s="12" t="s">
        <v>2491</v>
      </c>
    </row>
    <row r="106" customFormat="false" ht="17.15" hidden="false" customHeight="false" outlineLevel="0" collapsed="false">
      <c r="A106" s="0" t="s">
        <v>375</v>
      </c>
      <c r="B106" s="0" t="s">
        <v>374</v>
      </c>
      <c r="C106" s="6" t="s">
        <v>328</v>
      </c>
      <c r="D106" s="34" t="n">
        <f aca="false">In!D107</f>
        <v>1</v>
      </c>
      <c r="E106" s="34" t="n">
        <f aca="false">In!E107</f>
        <v>2</v>
      </c>
      <c r="F106" s="34" t="n">
        <f aca="false">In!F107</f>
        <v>3</v>
      </c>
      <c r="G106" s="0" t="str">
        <f aca="false">In!G107</f>
        <v>Assumed</v>
      </c>
      <c r="H106" s="12" t="s">
        <v>2492</v>
      </c>
    </row>
    <row r="107" customFormat="false" ht="17.15" hidden="false" customHeight="false" outlineLevel="0" collapsed="false">
      <c r="A107" s="0" t="s">
        <v>379</v>
      </c>
      <c r="B107" s="0" t="s">
        <v>377</v>
      </c>
      <c r="C107" s="0" t="s">
        <v>339</v>
      </c>
      <c r="E107" s="34" t="n">
        <f aca="false">In!E108</f>
        <v>1024</v>
      </c>
      <c r="G107" s="0" t="str">
        <f aca="false">In!G108</f>
        <v>Interested-party</v>
      </c>
      <c r="H107" s="12" t="s">
        <v>2493</v>
      </c>
    </row>
    <row r="108" customFormat="false" ht="17.15" hidden="false" customHeight="false" outlineLevel="0" collapsed="false">
      <c r="A108" s="0" t="s">
        <v>382</v>
      </c>
      <c r="B108" s="0" t="s">
        <v>381</v>
      </c>
      <c r="C108" s="0" t="s">
        <v>339</v>
      </c>
      <c r="E108" s="34" t="n">
        <f aca="false">In!E109</f>
        <v>1024</v>
      </c>
      <c r="G108" s="0" t="str">
        <f aca="false">In!G109</f>
        <v>Interested-party</v>
      </c>
      <c r="H108" s="12" t="s">
        <v>2494</v>
      </c>
    </row>
    <row r="109" customFormat="false" ht="17.15" hidden="false" customHeight="false" outlineLevel="0" collapsed="false">
      <c r="A109" s="0" t="s">
        <v>385</v>
      </c>
      <c r="B109" s="0" t="s">
        <v>384</v>
      </c>
      <c r="C109" s="0" t="s">
        <v>339</v>
      </c>
      <c r="E109" s="34" t="n">
        <f aca="false">In!E110</f>
        <v>1024</v>
      </c>
      <c r="G109" s="0" t="str">
        <f aca="false">In!G110</f>
        <v>Interested-party</v>
      </c>
      <c r="H109" s="12" t="s">
        <v>2495</v>
      </c>
    </row>
    <row r="110" customFormat="false" ht="17.15" hidden="false" customHeight="false" outlineLevel="0" collapsed="false">
      <c r="A110" s="0" t="s">
        <v>389</v>
      </c>
      <c r="B110" s="0" t="s">
        <v>387</v>
      </c>
      <c r="C110" s="6" t="s">
        <v>328</v>
      </c>
      <c r="E110" s="34" t="n">
        <f aca="false">In!E111</f>
        <v>0.5</v>
      </c>
      <c r="G110" s="0" t="str">
        <f aca="false">In!G111</f>
        <v>Interested-party</v>
      </c>
      <c r="H110" s="12" t="s">
        <v>2496</v>
      </c>
    </row>
    <row r="111" customFormat="false" ht="17.15" hidden="false" customHeight="false" outlineLevel="0" collapsed="false">
      <c r="A111" s="0" t="s">
        <v>392</v>
      </c>
      <c r="B111" s="0" t="s">
        <v>391</v>
      </c>
      <c r="C111" s="6" t="s">
        <v>328</v>
      </c>
      <c r="E111" s="34" t="n">
        <f aca="false">In!E112</f>
        <v>0</v>
      </c>
      <c r="G111" s="0" t="str">
        <f aca="false">In!G112</f>
        <v>Interested-party</v>
      </c>
      <c r="H111" s="12" t="s">
        <v>2497</v>
      </c>
    </row>
    <row r="112" customFormat="false" ht="17.15" hidden="false" customHeight="false" outlineLevel="0" collapsed="false">
      <c r="A112" s="0" t="s">
        <v>395</v>
      </c>
      <c r="B112" s="0" t="s">
        <v>394</v>
      </c>
      <c r="C112" s="6" t="s">
        <v>328</v>
      </c>
      <c r="E112" s="34" t="n">
        <f aca="false">In!E113</f>
        <v>0</v>
      </c>
      <c r="G112" s="0" t="str">
        <f aca="false">In!G113</f>
        <v>Interested-party</v>
      </c>
      <c r="H112" s="12" t="s">
        <v>2498</v>
      </c>
    </row>
    <row r="113" customFormat="false" ht="17.15" hidden="false" customHeight="false" outlineLevel="0" collapsed="false">
      <c r="A113" s="0" t="s">
        <v>398</v>
      </c>
      <c r="B113" s="0" t="s">
        <v>397</v>
      </c>
      <c r="C113" s="0" t="s">
        <v>339</v>
      </c>
      <c r="E113" s="34" t="n">
        <f aca="false">In!E114</f>
        <v>141</v>
      </c>
      <c r="G113" s="0" t="str">
        <f aca="false">In!G114</f>
        <v>Interested-party</v>
      </c>
      <c r="H113" s="12" t="s">
        <v>2499</v>
      </c>
    </row>
    <row r="114" customFormat="false" ht="17.15" hidden="false" customHeight="false" outlineLevel="0" collapsed="false">
      <c r="A114" s="0" t="s">
        <v>401</v>
      </c>
      <c r="B114" s="0" t="s">
        <v>400</v>
      </c>
      <c r="C114" s="0" t="s">
        <v>339</v>
      </c>
      <c r="E114" s="34" t="n">
        <f aca="false">In!E115</f>
        <v>141</v>
      </c>
      <c r="G114" s="0" t="str">
        <f aca="false">In!G115</f>
        <v>Interested-party</v>
      </c>
      <c r="H114" s="12" t="s">
        <v>2500</v>
      </c>
    </row>
    <row r="115" customFormat="false" ht="17.15" hidden="false" customHeight="false" outlineLevel="0" collapsed="false">
      <c r="A115" s="0" t="s">
        <v>404</v>
      </c>
      <c r="B115" s="0" t="s">
        <v>403</v>
      </c>
      <c r="C115" s="0" t="s">
        <v>339</v>
      </c>
      <c r="E115" s="34" t="n">
        <f aca="false">In!E116</f>
        <v>141</v>
      </c>
      <c r="G115" s="0" t="str">
        <f aca="false">In!G116</f>
        <v>Interested-party</v>
      </c>
      <c r="H115" s="12" t="s">
        <v>2501</v>
      </c>
    </row>
    <row r="116" customFormat="false" ht="17.15" hidden="false" customHeight="false" outlineLevel="0" collapsed="false">
      <c r="A116" s="0" t="s">
        <v>409</v>
      </c>
      <c r="B116" s="0" t="s">
        <v>406</v>
      </c>
      <c r="C116" s="6" t="s">
        <v>328</v>
      </c>
      <c r="D116" s="34" t="n">
        <f aca="false">In!D117</f>
        <v>0.6</v>
      </c>
      <c r="E116" s="34" t="n">
        <f aca="false">In!E117</f>
        <v>0.75</v>
      </c>
      <c r="F116" s="34" t="n">
        <f aca="false">In!F117</f>
        <v>0.9</v>
      </c>
      <c r="G116" s="0" t="str">
        <f aca="false">In!G117</f>
        <v>Interested-party／Assumed</v>
      </c>
      <c r="H116" s="12" t="s">
        <v>2502</v>
      </c>
    </row>
    <row r="117" customFormat="false" ht="17.15" hidden="false" customHeight="false" outlineLevel="0" collapsed="false">
      <c r="A117" s="0" t="s">
        <v>412</v>
      </c>
      <c r="B117" s="0" t="s">
        <v>411</v>
      </c>
      <c r="C117" s="6" t="s">
        <v>328</v>
      </c>
      <c r="D117" s="34" t="n">
        <f aca="false">In!D118</f>
        <v>1.2</v>
      </c>
      <c r="E117" s="34" t="n">
        <f aca="false">In!E118</f>
        <v>1.5</v>
      </c>
      <c r="F117" s="34" t="n">
        <f aca="false">In!F118</f>
        <v>1.8</v>
      </c>
      <c r="G117" s="0" t="str">
        <f aca="false">In!G118</f>
        <v>Interested-party／Assumed</v>
      </c>
      <c r="H117" s="12" t="s">
        <v>2503</v>
      </c>
    </row>
    <row r="118" customFormat="false" ht="17.15" hidden="false" customHeight="false" outlineLevel="0" collapsed="false">
      <c r="A118" s="0" t="s">
        <v>415</v>
      </c>
      <c r="B118" s="0" t="s">
        <v>414</v>
      </c>
      <c r="C118" s="6" t="s">
        <v>328</v>
      </c>
      <c r="D118" s="34" t="n">
        <f aca="false">In!D119</f>
        <v>1.5</v>
      </c>
      <c r="E118" s="34" t="n">
        <f aca="false">In!E119</f>
        <v>2</v>
      </c>
      <c r="F118" s="34" t="n">
        <f aca="false">In!F119</f>
        <v>2.5</v>
      </c>
      <c r="G118" s="0" t="str">
        <f aca="false">In!G119</f>
        <v>Interested-party／Assumed</v>
      </c>
      <c r="H118" s="12" t="s">
        <v>2504</v>
      </c>
    </row>
    <row r="119" customFormat="false" ht="17.15" hidden="false" customHeight="false" outlineLevel="0" collapsed="false">
      <c r="A119" s="0" t="s">
        <v>418</v>
      </c>
      <c r="B119" s="0" t="s">
        <v>417</v>
      </c>
      <c r="C119" s="0" t="s">
        <v>339</v>
      </c>
      <c r="D119" s="34" t="n">
        <f aca="false">In!D120</f>
        <v>288</v>
      </c>
      <c r="E119" s="34" t="n">
        <f aca="false">In!E120</f>
        <v>288</v>
      </c>
      <c r="F119" s="34" t="n">
        <f aca="false">In!F120</f>
        <v>288</v>
      </c>
      <c r="G119" s="0" t="str">
        <f aca="false">In!G120</f>
        <v>Interested-party／Assumed</v>
      </c>
      <c r="H119" s="12" t="s">
        <v>2505</v>
      </c>
    </row>
    <row r="120" customFormat="false" ht="17.15" hidden="false" customHeight="false" outlineLevel="0" collapsed="false">
      <c r="A120" s="0" t="s">
        <v>421</v>
      </c>
      <c r="B120" s="0" t="s">
        <v>420</v>
      </c>
      <c r="C120" s="0" t="s">
        <v>339</v>
      </c>
      <c r="D120" s="34" t="n">
        <f aca="false">In!D121</f>
        <v>288</v>
      </c>
      <c r="E120" s="34" t="n">
        <f aca="false">In!E121</f>
        <v>360</v>
      </c>
      <c r="F120" s="34" t="n">
        <f aca="false">In!F121</f>
        <v>432</v>
      </c>
      <c r="G120" s="0" t="str">
        <f aca="false">In!G121</f>
        <v>Interested-party／Assumed</v>
      </c>
      <c r="H120" s="12" t="s">
        <v>2506</v>
      </c>
    </row>
    <row r="121" customFormat="false" ht="17.15" hidden="false" customHeight="false" outlineLevel="0" collapsed="false">
      <c r="A121" s="0" t="s">
        <v>424</v>
      </c>
      <c r="B121" s="0" t="s">
        <v>423</v>
      </c>
      <c r="C121" s="0" t="s">
        <v>339</v>
      </c>
      <c r="D121" s="34" t="n">
        <f aca="false">In!D122</f>
        <v>432</v>
      </c>
      <c r="E121" s="34" t="n">
        <f aca="false">In!E122</f>
        <v>432</v>
      </c>
      <c r="F121" s="34" t="n">
        <f aca="false">In!F122</f>
        <v>432</v>
      </c>
      <c r="G121" s="0" t="str">
        <f aca="false">In!G122</f>
        <v>Interested-party／Assumed</v>
      </c>
      <c r="H121" s="12" t="s">
        <v>2507</v>
      </c>
    </row>
    <row r="122" customFormat="false" ht="17.15" hidden="false" customHeight="false" outlineLevel="0" collapsed="false">
      <c r="A122" s="0" t="s">
        <v>428</v>
      </c>
      <c r="B122" s="0" t="s">
        <v>426</v>
      </c>
      <c r="C122" s="6" t="s">
        <v>328</v>
      </c>
      <c r="E122" s="34" t="n">
        <f aca="false">In!E123</f>
        <v>3.85</v>
      </c>
      <c r="G122" s="0" t="str">
        <f aca="false">In!G123</f>
        <v>Interested-party</v>
      </c>
      <c r="H122" s="12" t="s">
        <v>2508</v>
      </c>
    </row>
    <row r="123" customFormat="false" ht="17.15" hidden="false" customHeight="false" outlineLevel="0" collapsed="false">
      <c r="A123" s="0" t="s">
        <v>431</v>
      </c>
      <c r="B123" s="0" t="s">
        <v>430</v>
      </c>
      <c r="C123" s="6" t="s">
        <v>328</v>
      </c>
      <c r="E123" s="34" t="n">
        <f aca="false">In!E124</f>
        <v>5.5</v>
      </c>
      <c r="G123" s="0" t="str">
        <f aca="false">In!G124</f>
        <v>Interested-party</v>
      </c>
      <c r="H123" s="12" t="s">
        <v>2509</v>
      </c>
    </row>
    <row r="124" customFormat="false" ht="17.15" hidden="false" customHeight="false" outlineLevel="0" collapsed="false">
      <c r="A124" s="0" t="s">
        <v>434</v>
      </c>
      <c r="B124" s="0" t="s">
        <v>433</v>
      </c>
      <c r="C124" s="6" t="s">
        <v>328</v>
      </c>
      <c r="E124" s="34" t="n">
        <f aca="false">In!E125</f>
        <v>7</v>
      </c>
      <c r="G124" s="0" t="str">
        <f aca="false">In!G125</f>
        <v>Interested-party</v>
      </c>
      <c r="H124" s="12" t="s">
        <v>2510</v>
      </c>
    </row>
    <row r="125" customFormat="false" ht="17.15" hidden="false" customHeight="false" outlineLevel="0" collapsed="false">
      <c r="A125" s="0" t="s">
        <v>437</v>
      </c>
      <c r="B125" s="0" t="s">
        <v>436</v>
      </c>
      <c r="C125" s="0" t="s">
        <v>339</v>
      </c>
      <c r="E125" s="34" t="n">
        <f aca="false">In!E126</f>
        <v>192</v>
      </c>
      <c r="G125" s="0" t="str">
        <f aca="false">In!G126</f>
        <v>Interested-party</v>
      </c>
      <c r="H125" s="12" t="s">
        <v>2511</v>
      </c>
    </row>
    <row r="126" customFormat="false" ht="17.15" hidden="false" customHeight="false" outlineLevel="0" collapsed="false">
      <c r="A126" s="0" t="s">
        <v>440</v>
      </c>
      <c r="B126" s="0" t="s">
        <v>439</v>
      </c>
      <c r="C126" s="0" t="s">
        <v>339</v>
      </c>
      <c r="E126" s="34" t="n">
        <f aca="false">In!E127</f>
        <v>250</v>
      </c>
      <c r="G126" s="0" t="str">
        <f aca="false">In!G127</f>
        <v>Interested-party</v>
      </c>
      <c r="H126" s="12" t="s">
        <v>2512</v>
      </c>
    </row>
    <row r="127" customFormat="false" ht="17.15" hidden="false" customHeight="false" outlineLevel="0" collapsed="false">
      <c r="A127" s="0" t="s">
        <v>443</v>
      </c>
      <c r="B127" s="0" t="s">
        <v>442</v>
      </c>
      <c r="C127" s="0" t="s">
        <v>339</v>
      </c>
      <c r="E127" s="34" t="n">
        <f aca="false">In!E128</f>
        <v>288</v>
      </c>
      <c r="G127" s="0" t="str">
        <f aca="false">In!G128</f>
        <v>Interested-party</v>
      </c>
      <c r="H127" s="12" t="s">
        <v>2513</v>
      </c>
    </row>
    <row r="128" customFormat="false" ht="17.15" hidden="false" customHeight="false" outlineLevel="0" collapsed="false">
      <c r="A128" s="0" t="s">
        <v>447</v>
      </c>
      <c r="B128" s="0" t="s">
        <v>445</v>
      </c>
      <c r="C128" s="6" t="s">
        <v>328</v>
      </c>
      <c r="D128" s="34" t="n">
        <f aca="false">In!D129</f>
        <v>1.5</v>
      </c>
      <c r="E128" s="34" t="n">
        <f aca="false">In!E129</f>
        <v>2</v>
      </c>
      <c r="F128" s="34" t="n">
        <f aca="false">In!F129</f>
        <v>2.5</v>
      </c>
      <c r="G128" s="0" t="str">
        <f aca="false">In!G129</f>
        <v>Assumed</v>
      </c>
      <c r="H128" s="12" t="s">
        <v>2514</v>
      </c>
    </row>
    <row r="129" customFormat="false" ht="17.15" hidden="false" customHeight="false" outlineLevel="0" collapsed="false">
      <c r="A129" s="0" t="s">
        <v>450</v>
      </c>
      <c r="B129" s="0" t="s">
        <v>449</v>
      </c>
      <c r="C129" s="6" t="s">
        <v>328</v>
      </c>
      <c r="D129" s="34" t="n">
        <f aca="false">In!D130</f>
        <v>2</v>
      </c>
      <c r="E129" s="34" t="n">
        <f aca="false">In!E130</f>
        <v>2.5</v>
      </c>
      <c r="F129" s="34" t="n">
        <f aca="false">In!F130</f>
        <v>3.5</v>
      </c>
      <c r="G129" s="0" t="str">
        <f aca="false">In!G130</f>
        <v>Assumed</v>
      </c>
      <c r="H129" s="12" t="s">
        <v>2515</v>
      </c>
    </row>
    <row r="130" customFormat="false" ht="17.15" hidden="false" customHeight="false" outlineLevel="0" collapsed="false">
      <c r="A130" s="0" t="s">
        <v>453</v>
      </c>
      <c r="B130" s="0" t="s">
        <v>452</v>
      </c>
      <c r="C130" s="6" t="s">
        <v>328</v>
      </c>
      <c r="D130" s="34" t="n">
        <f aca="false">In!D131</f>
        <v>2</v>
      </c>
      <c r="E130" s="34" t="n">
        <f aca="false">In!E131</f>
        <v>3</v>
      </c>
      <c r="F130" s="34" t="n">
        <f aca="false">In!F131</f>
        <v>4</v>
      </c>
      <c r="G130" s="0" t="str">
        <f aca="false">In!G131</f>
        <v>Assumed</v>
      </c>
      <c r="H130" s="12" t="s">
        <v>2516</v>
      </c>
    </row>
    <row r="131" customFormat="false" ht="17.15" hidden="false" customHeight="false" outlineLevel="0" collapsed="false">
      <c r="A131" s="0" t="s">
        <v>456</v>
      </c>
      <c r="B131" s="0" t="s">
        <v>455</v>
      </c>
      <c r="C131" s="0" t="s">
        <v>339</v>
      </c>
      <c r="D131" s="34" t="n">
        <f aca="false">In!D132</f>
        <v>96</v>
      </c>
      <c r="E131" s="34" t="n">
        <f aca="false">In!E132</f>
        <v>110</v>
      </c>
      <c r="F131" s="34" t="n">
        <f aca="false">In!F132</f>
        <v>144</v>
      </c>
      <c r="G131" s="0" t="str">
        <f aca="false">In!G132</f>
        <v>Assumed</v>
      </c>
      <c r="H131" s="12" t="s">
        <v>2517</v>
      </c>
    </row>
    <row r="132" customFormat="false" ht="17.15" hidden="false" customHeight="false" outlineLevel="0" collapsed="false">
      <c r="A132" s="0" t="s">
        <v>459</v>
      </c>
      <c r="B132" s="0" t="s">
        <v>458</v>
      </c>
      <c r="C132" s="0" t="s">
        <v>339</v>
      </c>
      <c r="D132" s="34" t="n">
        <f aca="false">In!D133</f>
        <v>120</v>
      </c>
      <c r="E132" s="34" t="n">
        <f aca="false">In!E133</f>
        <v>144</v>
      </c>
      <c r="F132" s="34" t="n">
        <f aca="false">In!F133</f>
        <v>144</v>
      </c>
      <c r="G132" s="0" t="str">
        <f aca="false">In!G133</f>
        <v>Assumed</v>
      </c>
      <c r="H132" s="12" t="s">
        <v>2518</v>
      </c>
    </row>
    <row r="133" customFormat="false" ht="17.15" hidden="false" customHeight="false" outlineLevel="0" collapsed="false">
      <c r="A133" s="0" t="s">
        <v>462</v>
      </c>
      <c r="B133" s="0" t="s">
        <v>461</v>
      </c>
      <c r="C133" s="0" t="s">
        <v>339</v>
      </c>
      <c r="D133" s="34" t="n">
        <f aca="false">In!D134</f>
        <v>144</v>
      </c>
      <c r="E133" s="34" t="n">
        <f aca="false">In!E134</f>
        <v>200</v>
      </c>
      <c r="F133" s="34" t="n">
        <f aca="false">In!F134</f>
        <v>256</v>
      </c>
      <c r="G133" s="0" t="str">
        <f aca="false">In!G134</f>
        <v>Assumed</v>
      </c>
      <c r="H133" s="12" t="s">
        <v>2519</v>
      </c>
    </row>
    <row r="134" customFormat="false" ht="17.15" hidden="false" customHeight="false" outlineLevel="0" collapsed="false">
      <c r="A134" s="0" t="s">
        <v>467</v>
      </c>
      <c r="B134" s="6" t="s">
        <v>464</v>
      </c>
      <c r="C134" s="6" t="s">
        <v>328</v>
      </c>
      <c r="D134" s="34" t="n">
        <f aca="false">In!D135</f>
        <v>0.5</v>
      </c>
      <c r="E134" s="34" t="n">
        <f aca="false">In!E135</f>
        <v>1</v>
      </c>
      <c r="F134" s="34" t="n">
        <f aca="false">In!F135</f>
        <v>1.5</v>
      </c>
      <c r="G134" s="0" t="str">
        <f aca="false">In!G135</f>
        <v>Derived／Assumed</v>
      </c>
      <c r="H134" s="12" t="s">
        <v>2520</v>
      </c>
    </row>
    <row r="135" customFormat="false" ht="17.15" hidden="false" customHeight="false" outlineLevel="0" collapsed="false">
      <c r="A135" s="0" t="s">
        <v>470</v>
      </c>
      <c r="B135" s="6" t="s">
        <v>469</v>
      </c>
      <c r="C135" s="6" t="s">
        <v>328</v>
      </c>
      <c r="D135" s="34" t="n">
        <f aca="false">In!D136</f>
        <v>3</v>
      </c>
      <c r="E135" s="34" t="n">
        <f aca="false">In!E136</f>
        <v>4.5</v>
      </c>
      <c r="F135" s="34" t="n">
        <f aca="false">In!F136</f>
        <v>6</v>
      </c>
      <c r="G135" s="0" t="str">
        <f aca="false">In!G136</f>
        <v>Derived／Assumed</v>
      </c>
      <c r="H135" s="12" t="s">
        <v>2521</v>
      </c>
    </row>
    <row r="136" customFormat="false" ht="17.15" hidden="false" customHeight="false" outlineLevel="0" collapsed="false">
      <c r="A136" s="0" t="s">
        <v>473</v>
      </c>
      <c r="B136" s="6" t="s">
        <v>472</v>
      </c>
      <c r="C136" s="6" t="s">
        <v>328</v>
      </c>
      <c r="D136" s="34" t="n">
        <f aca="false">In!D137</f>
        <v>3.5</v>
      </c>
      <c r="E136" s="34" t="n">
        <f aca="false">In!E137</f>
        <v>5</v>
      </c>
      <c r="F136" s="34" t="n">
        <f aca="false">In!F137</f>
        <v>7</v>
      </c>
      <c r="G136" s="0" t="str">
        <f aca="false">In!G137</f>
        <v>Derived／Assumed</v>
      </c>
      <c r="H136" s="12" t="s">
        <v>2522</v>
      </c>
    </row>
    <row r="137" customFormat="false" ht="17.15" hidden="false" customHeight="false" outlineLevel="0" collapsed="false">
      <c r="A137" s="0" t="s">
        <v>476</v>
      </c>
      <c r="B137" s="6" t="s">
        <v>475</v>
      </c>
      <c r="C137" s="0" t="s">
        <v>339</v>
      </c>
      <c r="D137" s="34" t="n">
        <f aca="false">In!D138</f>
        <v>100</v>
      </c>
      <c r="E137" s="34" t="n">
        <f aca="false">In!E138</f>
        <v>150</v>
      </c>
      <c r="F137" s="34" t="n">
        <f aca="false">In!F138</f>
        <v>200</v>
      </c>
      <c r="G137" s="0" t="str">
        <f aca="false">In!G138</f>
        <v>Derived／Assumed</v>
      </c>
      <c r="H137" s="12" t="s">
        <v>2523</v>
      </c>
    </row>
    <row r="138" customFormat="false" ht="17.15" hidden="false" customHeight="false" outlineLevel="0" collapsed="false">
      <c r="A138" s="0" t="s">
        <v>479</v>
      </c>
      <c r="B138" s="6" t="s">
        <v>478</v>
      </c>
      <c r="C138" s="0" t="s">
        <v>339</v>
      </c>
      <c r="D138" s="34" t="n">
        <f aca="false">In!D139</f>
        <v>150</v>
      </c>
      <c r="E138" s="34" t="n">
        <f aca="false">In!E139</f>
        <v>200</v>
      </c>
      <c r="F138" s="34" t="n">
        <f aca="false">In!F139</f>
        <v>250</v>
      </c>
      <c r="G138" s="0" t="str">
        <f aca="false">In!G139</f>
        <v>Derived／Assumed</v>
      </c>
      <c r="H138" s="12" t="s">
        <v>2524</v>
      </c>
    </row>
    <row r="139" customFormat="false" ht="17.15" hidden="false" customHeight="false" outlineLevel="0" collapsed="false">
      <c r="A139" s="0" t="s">
        <v>482</v>
      </c>
      <c r="B139" s="6" t="s">
        <v>481</v>
      </c>
      <c r="C139" s="0" t="s">
        <v>339</v>
      </c>
      <c r="D139" s="34" t="n">
        <f aca="false">In!D140</f>
        <v>200</v>
      </c>
      <c r="E139" s="34" t="n">
        <f aca="false">In!E140</f>
        <v>250</v>
      </c>
      <c r="F139" s="34" t="n">
        <f aca="false">In!F140</f>
        <v>300</v>
      </c>
      <c r="G139" s="0" t="str">
        <f aca="false">In!G140</f>
        <v>Derived／Assumed</v>
      </c>
      <c r="H139" s="12" t="s">
        <v>2525</v>
      </c>
    </row>
    <row r="140" customFormat="false" ht="17.15" hidden="false" customHeight="false" outlineLevel="0" collapsed="false">
      <c r="A140" s="0" t="s">
        <v>489</v>
      </c>
      <c r="B140" s="6" t="s">
        <v>485</v>
      </c>
      <c r="C140" s="0" t="s">
        <v>486</v>
      </c>
      <c r="E140" s="34" t="n">
        <f aca="false">In!E142</f>
        <v>1</v>
      </c>
      <c r="G140" s="0" t="str">
        <f aca="false">In!G142</f>
        <v>Derived</v>
      </c>
      <c r="H140" s="12" t="s">
        <v>2526</v>
      </c>
    </row>
    <row r="141" customFormat="false" ht="17.15" hidden="false" customHeight="false" outlineLevel="0" collapsed="false">
      <c r="A141" s="0" t="s">
        <v>492</v>
      </c>
      <c r="B141" s="6" t="s">
        <v>491</v>
      </c>
      <c r="C141" s="0" t="s">
        <v>486</v>
      </c>
      <c r="E141" s="34" t="n">
        <f aca="false">In!E143</f>
        <v>1</v>
      </c>
      <c r="G141" s="0" t="str">
        <f aca="false">In!G143</f>
        <v>Derived</v>
      </c>
      <c r="H141" s="12" t="s">
        <v>2527</v>
      </c>
    </row>
    <row r="142" customFormat="false" ht="17.15" hidden="false" customHeight="false" outlineLevel="0" collapsed="false">
      <c r="A142" s="0" t="s">
        <v>495</v>
      </c>
      <c r="B142" s="6" t="s">
        <v>494</v>
      </c>
      <c r="C142" s="0" t="s">
        <v>486</v>
      </c>
      <c r="D142" s="34" t="n">
        <f aca="false">In!D144</f>
        <v>0.7</v>
      </c>
      <c r="E142" s="34" t="n">
        <f aca="false">In!E144</f>
        <v>0.8</v>
      </c>
      <c r="F142" s="34" t="n">
        <f aca="false">In!F144</f>
        <v>0.9</v>
      </c>
      <c r="G142" s="0" t="str">
        <f aca="false">In!G144</f>
        <v>Assumed</v>
      </c>
      <c r="H142" s="12" t="s">
        <v>2528</v>
      </c>
    </row>
    <row r="143" customFormat="false" ht="17.15" hidden="false" customHeight="false" outlineLevel="0" collapsed="false">
      <c r="A143" s="0" t="s">
        <v>498</v>
      </c>
      <c r="B143" s="6" t="s">
        <v>497</v>
      </c>
      <c r="C143" s="0" t="s">
        <v>486</v>
      </c>
      <c r="D143" s="34" t="n">
        <f aca="false">In!D145</f>
        <v>0.75</v>
      </c>
      <c r="E143" s="34" t="n">
        <f aca="false">In!E145</f>
        <v>0.85</v>
      </c>
      <c r="F143" s="34" t="n">
        <f aca="false">In!F145</f>
        <v>0.95</v>
      </c>
      <c r="G143" s="0" t="str">
        <f aca="false">In!G145</f>
        <v>Assumed</v>
      </c>
      <c r="H143" s="12" t="s">
        <v>2529</v>
      </c>
    </row>
    <row r="144" customFormat="false" ht="17.15" hidden="false" customHeight="false" outlineLevel="0" collapsed="false">
      <c r="A144" s="0" t="s">
        <v>501</v>
      </c>
      <c r="B144" s="6" t="s">
        <v>500</v>
      </c>
      <c r="C144" s="0" t="s">
        <v>486</v>
      </c>
      <c r="D144" s="34" t="n">
        <f aca="false">In!D146</f>
        <v>0.5</v>
      </c>
      <c r="E144" s="34" t="n">
        <f aca="false">In!E146</f>
        <v>0.6</v>
      </c>
      <c r="F144" s="34" t="n">
        <f aca="false">In!F146</f>
        <v>0.7</v>
      </c>
      <c r="G144" s="0" t="str">
        <f aca="false">In!G146</f>
        <v>Assumed</v>
      </c>
      <c r="H144" s="12" t="s">
        <v>2530</v>
      </c>
    </row>
    <row r="145" customFormat="false" ht="17.15" hidden="false" customHeight="false" outlineLevel="0" collapsed="false">
      <c r="A145" s="0" t="s">
        <v>504</v>
      </c>
      <c r="B145" s="6" t="s">
        <v>503</v>
      </c>
      <c r="C145" s="0" t="s">
        <v>486</v>
      </c>
      <c r="D145" s="34" t="n">
        <f aca="false">In!D147</f>
        <v>0.5</v>
      </c>
      <c r="E145" s="34" t="n">
        <f aca="false">In!E147</f>
        <v>0.6</v>
      </c>
      <c r="F145" s="34" t="n">
        <f aca="false">In!F147</f>
        <v>0.7</v>
      </c>
      <c r="G145" s="0" t="str">
        <f aca="false">In!G147</f>
        <v>Assumed</v>
      </c>
      <c r="H145" s="12" t="s">
        <v>2531</v>
      </c>
    </row>
    <row r="146" customFormat="false" ht="17.15" hidden="false" customHeight="false" outlineLevel="0" collapsed="false">
      <c r="A146" s="0" t="s">
        <v>511</v>
      </c>
      <c r="B146" s="0" t="s">
        <v>507</v>
      </c>
      <c r="C146" s="0" t="s">
        <v>508</v>
      </c>
      <c r="D146" s="34" t="n">
        <f aca="false">In!D149</f>
        <v>34</v>
      </c>
      <c r="E146" s="34" t="n">
        <f aca="false">In!E149</f>
        <v>35</v>
      </c>
      <c r="F146" s="34" t="n">
        <f aca="false">In!F149</f>
        <v>35</v>
      </c>
      <c r="G146" s="0" t="str">
        <f aca="false">In!G149</f>
        <v>Verified</v>
      </c>
      <c r="H146" s="12" t="s">
        <v>2532</v>
      </c>
    </row>
    <row r="147" customFormat="false" ht="17.15" hidden="false" customHeight="false" outlineLevel="0" collapsed="false">
      <c r="A147" s="0" t="s">
        <v>515</v>
      </c>
      <c r="B147" s="0" t="s">
        <v>513</v>
      </c>
      <c r="C147" s="0" t="s">
        <v>57</v>
      </c>
      <c r="D147" s="20" t="n">
        <f aca="false">In!D150</f>
        <v>0.6</v>
      </c>
      <c r="E147" s="20" t="n">
        <f aca="false">In!E150</f>
        <v>0.7</v>
      </c>
      <c r="F147" s="20" t="n">
        <f aca="false">In!F150</f>
        <v>0.8</v>
      </c>
      <c r="G147" s="0" t="str">
        <f aca="false">In!G150</f>
        <v>Interested-party</v>
      </c>
      <c r="H147" s="12" t="s">
        <v>2533</v>
      </c>
    </row>
    <row r="148" customFormat="false" ht="17.15" hidden="false" customHeight="false" outlineLevel="0" collapsed="false">
      <c r="A148" s="0" t="s">
        <v>519</v>
      </c>
      <c r="B148" s="6" t="s">
        <v>517</v>
      </c>
      <c r="C148" s="0" t="s">
        <v>486</v>
      </c>
      <c r="D148" s="34" t="n">
        <f aca="false">In!D151</f>
        <v>1</v>
      </c>
      <c r="E148" s="34" t="n">
        <f aca="false">In!E151</f>
        <v>1.15</v>
      </c>
      <c r="F148" s="34" t="n">
        <f aca="false">In!F151</f>
        <v>1.3</v>
      </c>
      <c r="G148" s="0" t="str">
        <f aca="false">In!G151</f>
        <v>Assumed</v>
      </c>
      <c r="H148" s="12" t="s">
        <v>2534</v>
      </c>
    </row>
    <row r="149" customFormat="false" ht="17.15" hidden="false" customHeight="false" outlineLevel="0" collapsed="false">
      <c r="A149" s="0" t="s">
        <v>523</v>
      </c>
      <c r="B149" s="0" t="s">
        <v>521</v>
      </c>
      <c r="C149" s="0" t="s">
        <v>57</v>
      </c>
      <c r="D149" s="20" t="n">
        <f aca="false">In!D152</f>
        <v>0.5</v>
      </c>
      <c r="E149" s="20" t="n">
        <f aca="false">In!E152</f>
        <v>0.55</v>
      </c>
      <c r="F149" s="20" t="n">
        <f aca="false">In!F152</f>
        <v>0.63</v>
      </c>
      <c r="G149" s="0" t="str">
        <f aca="false">In!G152</f>
        <v>Interested-party</v>
      </c>
      <c r="H149" s="12" t="s">
        <v>2535</v>
      </c>
    </row>
    <row r="150" customFormat="false" ht="17.15" hidden="false" customHeight="false" outlineLevel="0" collapsed="false">
      <c r="A150" s="0" t="s">
        <v>527</v>
      </c>
      <c r="B150" s="0" t="s">
        <v>525</v>
      </c>
      <c r="C150" s="0" t="s">
        <v>57</v>
      </c>
      <c r="D150" s="20" t="n">
        <f aca="false">In!D153</f>
        <v>0.3</v>
      </c>
      <c r="E150" s="20" t="n">
        <f aca="false">In!E153</f>
        <v>0.45</v>
      </c>
      <c r="F150" s="20" t="n">
        <f aca="false">In!F153</f>
        <v>0.63</v>
      </c>
      <c r="G150" s="0" t="str">
        <f aca="false">In!G153</f>
        <v>Assumed</v>
      </c>
      <c r="H150" s="12" t="s">
        <v>2536</v>
      </c>
    </row>
    <row r="151" customFormat="false" ht="17.15" hidden="false" customHeight="false" outlineLevel="0" collapsed="false">
      <c r="A151" s="0" t="s">
        <v>532</v>
      </c>
      <c r="B151" s="0" t="s">
        <v>529</v>
      </c>
      <c r="C151" s="0" t="s">
        <v>530</v>
      </c>
      <c r="D151" s="34" t="n">
        <f aca="false">In!D154</f>
        <v>12.5</v>
      </c>
      <c r="E151" s="34" t="n">
        <f aca="false">In!E154</f>
        <v>14.6</v>
      </c>
      <c r="F151" s="34" t="n">
        <f aca="false">In!F154</f>
        <v>16</v>
      </c>
      <c r="G151" s="0" t="str">
        <f aca="false">In!G154</f>
        <v>Interested-party</v>
      </c>
      <c r="H151" s="12" t="s">
        <v>2537</v>
      </c>
    </row>
    <row r="152" customFormat="false" ht="17.15" hidden="false" customHeight="false" outlineLevel="0" collapsed="false">
      <c r="A152" s="0" t="s">
        <v>536</v>
      </c>
      <c r="B152" s="0" t="s">
        <v>534</v>
      </c>
      <c r="C152" s="0" t="s">
        <v>57</v>
      </c>
      <c r="D152" s="20" t="n">
        <f aca="false">In!D155</f>
        <v>0.38</v>
      </c>
      <c r="E152" s="20" t="n">
        <f aca="false">In!E155</f>
        <v>0.8</v>
      </c>
      <c r="F152" s="20" t="n">
        <f aca="false">In!F155</f>
        <v>1.21</v>
      </c>
      <c r="G152" s="0" t="str">
        <f aca="false">In!G155</f>
        <v>Interested-party</v>
      </c>
      <c r="H152" s="12" t="s">
        <v>2538</v>
      </c>
    </row>
    <row r="153" customFormat="false" ht="17.15" hidden="false" customHeight="false" outlineLevel="0" collapsed="false">
      <c r="A153" s="0" t="s">
        <v>540</v>
      </c>
      <c r="B153" s="0" t="s">
        <v>538</v>
      </c>
      <c r="C153" s="0" t="s">
        <v>57</v>
      </c>
      <c r="D153" s="20" t="n">
        <f aca="false">In!D156</f>
        <v>0</v>
      </c>
      <c r="E153" s="20" t="n">
        <f aca="false">In!E156</f>
        <v>0.1</v>
      </c>
      <c r="F153" s="20" t="n">
        <f aca="false">In!F156</f>
        <v>0.25</v>
      </c>
      <c r="G153" s="0" t="str">
        <f aca="false">In!G156</f>
        <v>Interested-party</v>
      </c>
      <c r="H153" s="12" t="s">
        <v>2539</v>
      </c>
    </row>
    <row r="154" customFormat="false" ht="17.15" hidden="false" customHeight="false" outlineLevel="0" collapsed="false">
      <c r="A154" s="0" t="s">
        <v>544</v>
      </c>
      <c r="B154" s="0" t="s">
        <v>542</v>
      </c>
      <c r="C154" s="0" t="s">
        <v>57</v>
      </c>
      <c r="D154" s="20" t="n">
        <f aca="false">In!D157</f>
        <v>-0.4</v>
      </c>
      <c r="E154" s="20" t="n">
        <f aca="false">In!E157</f>
        <v>-0.25</v>
      </c>
      <c r="F154" s="20" t="n">
        <f aca="false">In!F157</f>
        <v>-0.1</v>
      </c>
      <c r="G154" s="0" t="str">
        <f aca="false">In!G157</f>
        <v>Assumed</v>
      </c>
      <c r="H154" s="12" t="s">
        <v>2540</v>
      </c>
    </row>
    <row r="155" customFormat="false" ht="17.15" hidden="false" customHeight="false" outlineLevel="0" collapsed="false">
      <c r="A155" s="0" t="s">
        <v>548</v>
      </c>
      <c r="B155" s="0" t="s">
        <v>546</v>
      </c>
      <c r="C155" s="0" t="s">
        <v>57</v>
      </c>
      <c r="D155" s="20" t="n">
        <f aca="false">In!D158</f>
        <v>-0.55</v>
      </c>
      <c r="E155" s="20" t="n">
        <f aca="false">In!E158</f>
        <v>-0.4</v>
      </c>
      <c r="F155" s="20" t="n">
        <f aca="false">In!F158</f>
        <v>-0.25</v>
      </c>
      <c r="G155" s="0" t="str">
        <f aca="false">In!G158</f>
        <v>Assumed</v>
      </c>
      <c r="H155" s="12" t="s">
        <v>2541</v>
      </c>
    </row>
    <row r="156" customFormat="false" ht="17.15" hidden="false" customHeight="false" outlineLevel="0" collapsed="false">
      <c r="A156" s="0" t="s">
        <v>552</v>
      </c>
      <c r="B156" s="0" t="s">
        <v>550</v>
      </c>
      <c r="C156" s="0" t="s">
        <v>57</v>
      </c>
      <c r="D156" s="20" t="n">
        <f aca="false">In!D159</f>
        <v>0.2</v>
      </c>
      <c r="E156" s="20" t="n">
        <f aca="false">In!E159</f>
        <v>0.3</v>
      </c>
      <c r="F156" s="20" t="n">
        <f aca="false">In!F159</f>
        <v>0.45</v>
      </c>
      <c r="G156" s="0" t="str">
        <f aca="false">In!G159</f>
        <v>Assumed</v>
      </c>
      <c r="H156" s="12" t="s">
        <v>2542</v>
      </c>
    </row>
    <row r="157" customFormat="false" ht="17.15" hidden="false" customHeight="false" outlineLevel="0" collapsed="false">
      <c r="A157" s="0" t="s">
        <v>556</v>
      </c>
      <c r="B157" s="0" t="s">
        <v>554</v>
      </c>
      <c r="C157" s="0" t="s">
        <v>57</v>
      </c>
      <c r="D157" s="20" t="n">
        <f aca="false">In!D160</f>
        <v>0.25</v>
      </c>
      <c r="E157" s="20" t="n">
        <f aca="false">In!E160</f>
        <v>0.35</v>
      </c>
      <c r="F157" s="20" t="n">
        <f aca="false">In!F160</f>
        <v>0.5</v>
      </c>
      <c r="G157" s="0" t="str">
        <f aca="false">In!G160</f>
        <v>Assumed</v>
      </c>
      <c r="H157" s="12" t="s">
        <v>2543</v>
      </c>
    </row>
    <row r="158" customFormat="false" ht="17.15" hidden="false" customHeight="false" outlineLevel="0" collapsed="false">
      <c r="A158" s="0" t="s">
        <v>560</v>
      </c>
      <c r="B158" s="0" t="s">
        <v>558</v>
      </c>
      <c r="C158" s="0" t="s">
        <v>57</v>
      </c>
      <c r="D158" s="20" t="n">
        <f aca="false">In!D161</f>
        <v>-0.15</v>
      </c>
      <c r="E158" s="20" t="n">
        <f aca="false">In!E161</f>
        <v>-0.05</v>
      </c>
      <c r="F158" s="20" t="n">
        <f aca="false">In!F161</f>
        <v>0.05</v>
      </c>
      <c r="G158" s="0" t="str">
        <f aca="false">In!G161</f>
        <v>Assumed</v>
      </c>
      <c r="H158" s="12" t="s">
        <v>2544</v>
      </c>
    </row>
    <row r="159" customFormat="false" ht="17.15" hidden="false" customHeight="false" outlineLevel="0" collapsed="false">
      <c r="A159" s="0" t="s">
        <v>564</v>
      </c>
      <c r="B159" s="0" t="s">
        <v>562</v>
      </c>
      <c r="C159" s="0" t="s">
        <v>57</v>
      </c>
      <c r="D159" s="20" t="n">
        <f aca="false">In!D162</f>
        <v>-0.1</v>
      </c>
      <c r="E159" s="20" t="n">
        <f aca="false">In!E162</f>
        <v>0</v>
      </c>
      <c r="F159" s="20" t="n">
        <f aca="false">In!F162</f>
        <v>0.1</v>
      </c>
      <c r="G159" s="0" t="str">
        <f aca="false">In!G162</f>
        <v>Assumed</v>
      </c>
      <c r="H159" s="12" t="s">
        <v>2545</v>
      </c>
    </row>
    <row r="160" customFormat="false" ht="17.15" hidden="false" customHeight="false" outlineLevel="0" collapsed="false">
      <c r="A160" s="0" t="s">
        <v>568</v>
      </c>
      <c r="B160" s="0" t="s">
        <v>566</v>
      </c>
      <c r="C160" s="0" t="s">
        <v>57</v>
      </c>
      <c r="D160" s="20" t="n">
        <f aca="false">In!D163</f>
        <v>-0.1</v>
      </c>
      <c r="E160" s="20" t="n">
        <f aca="false">In!E163</f>
        <v>0.05</v>
      </c>
      <c r="F160" s="20" t="n">
        <f aca="false">In!F163</f>
        <v>0.15</v>
      </c>
      <c r="G160" s="0" t="str">
        <f aca="false">In!G163</f>
        <v>Assumed</v>
      </c>
      <c r="H160" s="12" t="s">
        <v>2546</v>
      </c>
    </row>
    <row r="161" customFormat="false" ht="17.15" hidden="false" customHeight="false" outlineLevel="0" collapsed="false">
      <c r="A161" s="0" t="s">
        <v>574</v>
      </c>
      <c r="B161" s="0" t="s">
        <v>571</v>
      </c>
      <c r="C161" s="0" t="s">
        <v>508</v>
      </c>
      <c r="D161" s="34" t="n">
        <f aca="false">In!D165</f>
        <v>340</v>
      </c>
      <c r="E161" s="34" t="n">
        <f aca="false">In!E165</f>
        <v>374</v>
      </c>
      <c r="F161" s="34" t="n">
        <f aca="false">In!F165</f>
        <v>400</v>
      </c>
      <c r="G161" s="0" t="str">
        <f aca="false">In!G165</f>
        <v>Verified／Assumed</v>
      </c>
      <c r="H161" s="12" t="s">
        <v>2547</v>
      </c>
    </row>
    <row r="162" customFormat="false" ht="17.15" hidden="false" customHeight="false" outlineLevel="0" collapsed="false">
      <c r="A162" s="0" t="s">
        <v>579</v>
      </c>
      <c r="B162" s="6" t="s">
        <v>576</v>
      </c>
      <c r="C162" s="0" t="s">
        <v>577</v>
      </c>
      <c r="D162" s="34" t="n">
        <f aca="false">In!D166</f>
        <v>38</v>
      </c>
      <c r="E162" s="34" t="n">
        <f aca="false">In!E166</f>
        <v>42.8</v>
      </c>
      <c r="F162" s="34" t="n">
        <f aca="false">In!F166</f>
        <v>48</v>
      </c>
      <c r="G162" s="0" t="str">
        <f aca="false">In!G166</f>
        <v>Derived</v>
      </c>
      <c r="H162" s="12" t="s">
        <v>2548</v>
      </c>
    </row>
    <row r="163" customFormat="false" ht="17.15" hidden="false" customHeight="false" outlineLevel="0" collapsed="false">
      <c r="A163" s="0" t="s">
        <v>583</v>
      </c>
      <c r="B163" s="6" t="s">
        <v>581</v>
      </c>
      <c r="C163" s="0" t="s">
        <v>577</v>
      </c>
      <c r="D163" s="34" t="n">
        <f aca="false">In!D167</f>
        <v>3.5</v>
      </c>
      <c r="E163" s="34" t="n">
        <f aca="false">In!E167</f>
        <v>4.46</v>
      </c>
      <c r="F163" s="34" t="n">
        <f aca="false">In!F167</f>
        <v>4.9</v>
      </c>
      <c r="G163" s="0" t="str">
        <f aca="false">In!G167</f>
        <v>Derived</v>
      </c>
      <c r="H163" s="12" t="s">
        <v>2549</v>
      </c>
    </row>
    <row r="164" customFormat="false" ht="17.15" hidden="false" customHeight="false" outlineLevel="0" collapsed="false">
      <c r="A164" s="0" t="s">
        <v>587</v>
      </c>
      <c r="B164" s="6" t="s">
        <v>585</v>
      </c>
      <c r="C164" s="0" t="s">
        <v>508</v>
      </c>
      <c r="E164" s="34" t="n">
        <f aca="false">In!E168</f>
        <v>54.6</v>
      </c>
      <c r="G164" s="0" t="str">
        <f aca="false">In!G168</f>
        <v>Interested-party</v>
      </c>
      <c r="H164" s="12" t="s">
        <v>2550</v>
      </c>
    </row>
    <row r="165" customFormat="false" ht="17.15" hidden="false" customHeight="false" outlineLevel="0" collapsed="false">
      <c r="A165" s="0" t="s">
        <v>591</v>
      </c>
      <c r="B165" s="6" t="s">
        <v>589</v>
      </c>
      <c r="C165" s="0" t="s">
        <v>508</v>
      </c>
      <c r="E165" s="34" t="n">
        <f aca="false">In!E169</f>
        <v>77.4</v>
      </c>
      <c r="G165" s="0" t="str">
        <f aca="false">In!G169</f>
        <v>Interested-party</v>
      </c>
      <c r="H165" s="12" t="s">
        <v>2551</v>
      </c>
    </row>
    <row r="166" customFormat="false" ht="17.15" hidden="false" customHeight="false" outlineLevel="0" collapsed="false">
      <c r="A166" s="0" t="s">
        <v>595</v>
      </c>
      <c r="B166" s="6" t="s">
        <v>593</v>
      </c>
      <c r="C166" s="0" t="s">
        <v>508</v>
      </c>
      <c r="E166" s="34" t="n">
        <f aca="false">In!E170</f>
        <v>152.8</v>
      </c>
      <c r="G166" s="0" t="str">
        <f aca="false">In!G170</f>
        <v>Interested-party</v>
      </c>
      <c r="H166" s="12" t="s">
        <v>2552</v>
      </c>
    </row>
    <row r="167" customFormat="false" ht="17.15" hidden="false" customHeight="false" outlineLevel="0" collapsed="false">
      <c r="A167" s="0" t="s">
        <v>600</v>
      </c>
      <c r="B167" s="0" t="s">
        <v>598</v>
      </c>
      <c r="C167" s="0" t="s">
        <v>57</v>
      </c>
      <c r="D167" s="20" t="n">
        <f aca="false">In!D172</f>
        <v>-0.7</v>
      </c>
      <c r="E167" s="20" t="n">
        <f aca="false">In!E172</f>
        <v>-0.5</v>
      </c>
      <c r="F167" s="20" t="n">
        <f aca="false">In!F172</f>
        <v>-0.3</v>
      </c>
      <c r="G167" s="0" t="str">
        <f aca="false">In!G172</f>
        <v>Assumed</v>
      </c>
      <c r="H167" s="12" t="s">
        <v>2553</v>
      </c>
    </row>
    <row r="168" customFormat="false" ht="17.15" hidden="false" customHeight="false" outlineLevel="0" collapsed="false">
      <c r="A168" s="0" t="s">
        <v>603</v>
      </c>
      <c r="B168" s="0" t="s">
        <v>602</v>
      </c>
      <c r="C168" s="0" t="s">
        <v>57</v>
      </c>
      <c r="D168" s="20" t="n">
        <f aca="false">In!D173</f>
        <v>0.05</v>
      </c>
      <c r="E168" s="20" t="n">
        <f aca="false">In!E173</f>
        <v>0.15</v>
      </c>
      <c r="F168" s="20" t="n">
        <f aca="false">In!F173</f>
        <v>0.25</v>
      </c>
      <c r="G168" s="0" t="str">
        <f aca="false">In!G173</f>
        <v>Assumed</v>
      </c>
      <c r="H168" s="12" t="s">
        <v>2554</v>
      </c>
    </row>
    <row r="169" customFormat="false" ht="17.15" hidden="false" customHeight="false" outlineLevel="0" collapsed="false">
      <c r="A169" s="0" t="s">
        <v>606</v>
      </c>
      <c r="B169" s="0" t="s">
        <v>605</v>
      </c>
      <c r="C169" s="0" t="s">
        <v>57</v>
      </c>
      <c r="D169" s="20" t="n">
        <f aca="false">In!D174</f>
        <v>0.05</v>
      </c>
      <c r="E169" s="20" t="n">
        <f aca="false">In!E174</f>
        <v>0.15</v>
      </c>
      <c r="F169" s="20" t="n">
        <f aca="false">In!F174</f>
        <v>0.25</v>
      </c>
      <c r="G169" s="0" t="str">
        <f aca="false">In!G174</f>
        <v>Assumed</v>
      </c>
      <c r="H169" s="12" t="s">
        <v>2555</v>
      </c>
    </row>
    <row r="170" customFormat="false" ht="17.15" hidden="false" customHeight="false" outlineLevel="0" collapsed="false">
      <c r="A170" s="0" t="s">
        <v>609</v>
      </c>
      <c r="B170" s="0" t="s">
        <v>608</v>
      </c>
      <c r="C170" s="0" t="s">
        <v>57</v>
      </c>
      <c r="D170" s="20" t="n">
        <f aca="false">In!D175</f>
        <v>0</v>
      </c>
      <c r="E170" s="20" t="n">
        <f aca="false">In!E175</f>
        <v>0</v>
      </c>
      <c r="F170" s="20" t="n">
        <f aca="false">In!F175</f>
        <v>0</v>
      </c>
      <c r="G170" s="0" t="str">
        <f aca="false">In!G175</f>
        <v>Assumed</v>
      </c>
      <c r="H170" s="12" t="s">
        <v>2556</v>
      </c>
    </row>
    <row r="171" customFormat="false" ht="17.15" hidden="false" customHeight="false" outlineLevel="0" collapsed="false">
      <c r="A171" s="0" t="s">
        <v>612</v>
      </c>
      <c r="B171" s="0" t="s">
        <v>611</v>
      </c>
      <c r="C171" s="0" t="s">
        <v>57</v>
      </c>
      <c r="D171" s="20" t="n">
        <f aca="false">In!D176</f>
        <v>0.05</v>
      </c>
      <c r="E171" s="20" t="n">
        <f aca="false">In!E176</f>
        <v>0.15</v>
      </c>
      <c r="F171" s="20" t="n">
        <f aca="false">In!F176</f>
        <v>0.25</v>
      </c>
      <c r="G171" s="0" t="str">
        <f aca="false">In!G176</f>
        <v>Assumed</v>
      </c>
      <c r="H171" s="12" t="s">
        <v>2557</v>
      </c>
    </row>
    <row r="172" customFormat="false" ht="17.15" hidden="false" customHeight="false" outlineLevel="0" collapsed="false">
      <c r="A172" s="0" t="s">
        <v>615</v>
      </c>
      <c r="B172" s="0" t="s">
        <v>614</v>
      </c>
      <c r="C172" s="0" t="s">
        <v>57</v>
      </c>
      <c r="D172" s="20" t="n">
        <f aca="false">In!D177</f>
        <v>0.05</v>
      </c>
      <c r="E172" s="20" t="n">
        <f aca="false">In!E177</f>
        <v>0.15</v>
      </c>
      <c r="F172" s="20" t="n">
        <f aca="false">In!F177</f>
        <v>0.25</v>
      </c>
      <c r="G172" s="0" t="str">
        <f aca="false">In!G177</f>
        <v>Assumed</v>
      </c>
      <c r="H172" s="12" t="s">
        <v>2558</v>
      </c>
    </row>
    <row r="173" customFormat="false" ht="17.15" hidden="false" customHeight="false" outlineLevel="0" collapsed="false">
      <c r="A173" s="0" t="s">
        <v>618</v>
      </c>
      <c r="B173" s="0" t="s">
        <v>617</v>
      </c>
      <c r="C173" s="0" t="s">
        <v>57</v>
      </c>
      <c r="D173" s="20" t="n">
        <f aca="false">In!D178</f>
        <v>0.05</v>
      </c>
      <c r="E173" s="20" t="n">
        <f aca="false">In!E178</f>
        <v>0.15</v>
      </c>
      <c r="F173" s="20" t="n">
        <f aca="false">In!F178</f>
        <v>0.25</v>
      </c>
      <c r="G173" s="0" t="str">
        <f aca="false">In!G178</f>
        <v>Assumed</v>
      </c>
      <c r="H173" s="12" t="s">
        <v>2559</v>
      </c>
    </row>
    <row r="174" customFormat="false" ht="17.15" hidden="false" customHeight="false" outlineLevel="0" collapsed="false">
      <c r="A174" s="0" t="s">
        <v>621</v>
      </c>
      <c r="B174" s="6" t="s">
        <v>620</v>
      </c>
      <c r="C174" s="0" t="s">
        <v>57</v>
      </c>
      <c r="D174" s="20" t="n">
        <f aca="false">In!D179</f>
        <v>0.05</v>
      </c>
      <c r="E174" s="20" t="n">
        <f aca="false">In!E179</f>
        <v>0.15</v>
      </c>
      <c r="F174" s="20" t="n">
        <f aca="false">In!F179</f>
        <v>0.25</v>
      </c>
      <c r="G174" s="0" t="str">
        <f aca="false">In!G179</f>
        <v>Assumed</v>
      </c>
      <c r="H174" s="12" t="s">
        <v>2560</v>
      </c>
    </row>
    <row r="175" customFormat="false" ht="17.15" hidden="false" customHeight="false" outlineLevel="0" collapsed="false">
      <c r="A175" s="0" t="s">
        <v>627</v>
      </c>
      <c r="B175" s="0" t="s">
        <v>624</v>
      </c>
      <c r="C175" s="0" t="s">
        <v>625</v>
      </c>
      <c r="D175" s="34" t="n">
        <f aca="false">In!D181</f>
        <v>20</v>
      </c>
      <c r="E175" s="34" t="n">
        <f aca="false">In!E181</f>
        <v>30</v>
      </c>
      <c r="F175" s="34" t="n">
        <f aca="false">In!F181</f>
        <v>45</v>
      </c>
      <c r="G175" s="0" t="str">
        <f aca="false">In!G181</f>
        <v>Interested-party</v>
      </c>
      <c r="H175" s="12" t="s">
        <v>2561</v>
      </c>
    </row>
    <row r="176" customFormat="false" ht="17.15" hidden="false" customHeight="false" outlineLevel="0" collapsed="false">
      <c r="A176" s="0" t="s">
        <v>632</v>
      </c>
      <c r="B176" s="0" t="s">
        <v>630</v>
      </c>
      <c r="C176" s="0" t="s">
        <v>625</v>
      </c>
      <c r="D176" s="34" t="n">
        <f aca="false">In!D182</f>
        <v>8</v>
      </c>
      <c r="E176" s="34" t="n">
        <f aca="false">In!E182</f>
        <v>12</v>
      </c>
      <c r="F176" s="34" t="n">
        <f aca="false">In!F182</f>
        <v>18</v>
      </c>
      <c r="G176" s="0" t="str">
        <f aca="false">In!G182</f>
        <v>Assumed</v>
      </c>
      <c r="H176" s="12" t="s">
        <v>2562</v>
      </c>
    </row>
    <row r="177" customFormat="false" ht="17.15" hidden="false" customHeight="false" outlineLevel="0" collapsed="false">
      <c r="A177" s="0" t="s">
        <v>637</v>
      </c>
      <c r="B177" s="0" t="s">
        <v>635</v>
      </c>
      <c r="C177" s="0" t="s">
        <v>625</v>
      </c>
      <c r="D177" s="34" t="n">
        <f aca="false">In!D183</f>
        <v>5</v>
      </c>
      <c r="E177" s="34" t="n">
        <f aca="false">In!E183</f>
        <v>8</v>
      </c>
      <c r="F177" s="34" t="n">
        <f aca="false">In!F183</f>
        <v>12</v>
      </c>
      <c r="G177" s="0" t="str">
        <f aca="false">In!G183</f>
        <v>Assumed</v>
      </c>
      <c r="H177" s="12" t="s">
        <v>2563</v>
      </c>
    </row>
    <row r="178" customFormat="false" ht="17.15" hidden="false" customHeight="false" outlineLevel="0" collapsed="false">
      <c r="A178" s="0" t="s">
        <v>642</v>
      </c>
      <c r="B178" s="6" t="s">
        <v>640</v>
      </c>
      <c r="C178" s="0" t="s">
        <v>625</v>
      </c>
      <c r="D178" s="34" t="n">
        <f aca="false">In!D184</f>
        <v>5</v>
      </c>
      <c r="E178" s="34" t="n">
        <f aca="false">In!E184</f>
        <v>8</v>
      </c>
      <c r="F178" s="34" t="n">
        <f aca="false">In!F184</f>
        <v>12</v>
      </c>
      <c r="G178" s="0" t="str">
        <f aca="false">In!G184</f>
        <v>Assumed</v>
      </c>
      <c r="H178" s="12" t="s">
        <v>2564</v>
      </c>
    </row>
    <row r="179" customFormat="false" ht="17.15" hidden="false" customHeight="false" outlineLevel="0" collapsed="false">
      <c r="A179" s="0" t="s">
        <v>646</v>
      </c>
      <c r="B179" s="0" t="s">
        <v>644</v>
      </c>
      <c r="C179" s="0" t="s">
        <v>625</v>
      </c>
      <c r="D179" s="34" t="n">
        <f aca="false">In!D185</f>
        <v>6</v>
      </c>
      <c r="E179" s="34" t="n">
        <f aca="false">In!E185</f>
        <v>8</v>
      </c>
      <c r="F179" s="34" t="n">
        <f aca="false">In!F185</f>
        <v>11</v>
      </c>
      <c r="G179" s="0" t="str">
        <f aca="false">In!G185</f>
        <v>Assumed</v>
      </c>
      <c r="H179" s="12" t="s">
        <v>2565</v>
      </c>
    </row>
    <row r="180" customFormat="false" ht="17.15" hidden="false" customHeight="false" outlineLevel="0" collapsed="false">
      <c r="A180" s="0" t="s">
        <v>651</v>
      </c>
      <c r="B180" s="6" t="s">
        <v>649</v>
      </c>
      <c r="C180" s="0" t="s">
        <v>625</v>
      </c>
      <c r="D180" s="34" t="n">
        <f aca="false">In!D186</f>
        <v>4</v>
      </c>
      <c r="E180" s="34" t="n">
        <f aca="false">In!E186</f>
        <v>6</v>
      </c>
      <c r="F180" s="34" t="n">
        <f aca="false">In!F186</f>
        <v>9</v>
      </c>
      <c r="G180" s="0" t="str">
        <f aca="false">In!G186</f>
        <v>Assumed</v>
      </c>
      <c r="H180" s="12" t="s">
        <v>2566</v>
      </c>
    </row>
    <row r="181" customFormat="false" ht="17.15" hidden="false" customHeight="false" outlineLevel="0" collapsed="false">
      <c r="A181" s="0" t="s">
        <v>656</v>
      </c>
      <c r="B181" s="0" t="s">
        <v>654</v>
      </c>
      <c r="C181" s="0" t="s">
        <v>486</v>
      </c>
      <c r="D181" s="34" t="n">
        <f aca="false">In!D187</f>
        <v>0.3</v>
      </c>
      <c r="E181" s="34" t="n">
        <f aca="false">In!E187</f>
        <v>0.6</v>
      </c>
      <c r="F181" s="34" t="n">
        <f aca="false">In!F187</f>
        <v>1</v>
      </c>
      <c r="G181" s="0" t="str">
        <f aca="false">In!G187</f>
        <v>Assumed</v>
      </c>
      <c r="H181" s="12" t="s">
        <v>2567</v>
      </c>
    </row>
    <row r="182" customFormat="false" ht="17.15" hidden="false" customHeight="false" outlineLevel="0" collapsed="false">
      <c r="A182" s="0" t="s">
        <v>662</v>
      </c>
      <c r="B182" s="0" t="s">
        <v>660</v>
      </c>
      <c r="C182" s="0" t="s">
        <v>57</v>
      </c>
      <c r="D182" s="20" t="n">
        <f aca="false">In!D189</f>
        <v>0.8</v>
      </c>
      <c r="E182" s="20" t="n">
        <f aca="false">In!E189</f>
        <v>0.9</v>
      </c>
      <c r="F182" s="20" t="n">
        <f aca="false">In!F189</f>
        <v>1</v>
      </c>
      <c r="G182" s="0" t="str">
        <f aca="false">In!G189</f>
        <v>Assumed</v>
      </c>
      <c r="H182" s="12" t="s">
        <v>2568</v>
      </c>
    </row>
    <row r="183" customFormat="false" ht="17.15" hidden="false" customHeight="false" outlineLevel="0" collapsed="false">
      <c r="A183" s="0" t="s">
        <v>667</v>
      </c>
      <c r="B183" s="0" t="s">
        <v>665</v>
      </c>
      <c r="C183" s="0" t="s">
        <v>57</v>
      </c>
      <c r="D183" s="20" t="n">
        <f aca="false">In!D190</f>
        <v>0.6</v>
      </c>
      <c r="E183" s="20" t="n">
        <f aca="false">In!E190</f>
        <v>0.8</v>
      </c>
      <c r="F183" s="20" t="n">
        <f aca="false">In!F190</f>
        <v>0.9</v>
      </c>
      <c r="G183" s="0" t="str">
        <f aca="false">In!G190</f>
        <v>Assumed</v>
      </c>
      <c r="H183" s="12" t="s">
        <v>2569</v>
      </c>
    </row>
    <row r="184" customFormat="false" ht="17.15" hidden="false" customHeight="false" outlineLevel="0" collapsed="false">
      <c r="A184" s="0" t="s">
        <v>671</v>
      </c>
      <c r="B184" s="0" t="s">
        <v>670</v>
      </c>
      <c r="C184" s="0" t="s">
        <v>57</v>
      </c>
      <c r="D184" s="20" t="n">
        <f aca="false">In!D191</f>
        <v>0.5</v>
      </c>
      <c r="E184" s="20" t="n">
        <f aca="false">In!E191</f>
        <v>0.75</v>
      </c>
      <c r="F184" s="20" t="n">
        <f aca="false">In!F191</f>
        <v>0.9</v>
      </c>
      <c r="G184" s="0" t="str">
        <f aca="false">In!G191</f>
        <v>Assumed</v>
      </c>
      <c r="H184" s="12" t="s">
        <v>2570</v>
      </c>
    </row>
    <row r="185" customFormat="false" ht="17.15" hidden="false" customHeight="false" outlineLevel="0" collapsed="false">
      <c r="A185" s="0" t="s">
        <v>676</v>
      </c>
      <c r="B185" s="0" t="s">
        <v>674</v>
      </c>
      <c r="C185" s="0" t="s">
        <v>57</v>
      </c>
      <c r="D185" s="20" t="n">
        <f aca="false">In!D192</f>
        <v>0.2</v>
      </c>
      <c r="E185" s="20" t="n">
        <f aca="false">In!E192</f>
        <v>0.35</v>
      </c>
      <c r="F185" s="20" t="n">
        <f aca="false">In!F192</f>
        <v>0.5</v>
      </c>
      <c r="G185" s="0" t="str">
        <f aca="false">In!G192</f>
        <v>Assumed</v>
      </c>
      <c r="H185" s="12" t="s">
        <v>2571</v>
      </c>
    </row>
    <row r="186" customFormat="false" ht="17.15" hidden="false" customHeight="false" outlineLevel="0" collapsed="false">
      <c r="A186" s="0" t="s">
        <v>681</v>
      </c>
      <c r="B186" s="0" t="s">
        <v>679</v>
      </c>
      <c r="C186" s="0" t="s">
        <v>57</v>
      </c>
      <c r="D186" s="20" t="n">
        <f aca="false">In!D193</f>
        <v>0.4</v>
      </c>
      <c r="E186" s="20" t="n">
        <f aca="false">In!E193</f>
        <v>0.55</v>
      </c>
      <c r="F186" s="20" t="n">
        <f aca="false">In!F193</f>
        <v>0.7</v>
      </c>
      <c r="G186" s="0" t="str">
        <f aca="false">In!G193</f>
        <v>Assumed</v>
      </c>
      <c r="H186" s="12" t="s">
        <v>2572</v>
      </c>
    </row>
    <row r="187" customFormat="false" ht="17.15" hidden="false" customHeight="false" outlineLevel="0" collapsed="false">
      <c r="A187" s="0" t="s">
        <v>685</v>
      </c>
      <c r="B187" s="0" t="s">
        <v>683</v>
      </c>
      <c r="C187" s="0" t="s">
        <v>57</v>
      </c>
      <c r="D187" s="20" t="n">
        <f aca="false">In!D194</f>
        <v>0.4</v>
      </c>
      <c r="E187" s="20" t="n">
        <f aca="false">In!E194</f>
        <v>0.55</v>
      </c>
      <c r="F187" s="20" t="n">
        <f aca="false">In!F194</f>
        <v>0.7</v>
      </c>
      <c r="G187" s="0" t="str">
        <f aca="false">In!G194</f>
        <v>Assumed</v>
      </c>
      <c r="H187" s="12" t="s">
        <v>2573</v>
      </c>
    </row>
    <row r="188" customFormat="false" ht="17.15" hidden="false" customHeight="false" outlineLevel="0" collapsed="false">
      <c r="A188" s="0" t="s">
        <v>689</v>
      </c>
      <c r="B188" s="0" t="s">
        <v>687</v>
      </c>
      <c r="C188" s="0" t="s">
        <v>57</v>
      </c>
      <c r="D188" s="20" t="n">
        <f aca="false">In!D195</f>
        <v>0.05</v>
      </c>
      <c r="E188" s="20" t="n">
        <f aca="false">In!E195</f>
        <v>0.1</v>
      </c>
      <c r="F188" s="20" t="n">
        <f aca="false">In!F195</f>
        <v>0.2</v>
      </c>
      <c r="G188" s="0" t="str">
        <f aca="false">In!G195</f>
        <v>Assumed</v>
      </c>
      <c r="H188" s="12" t="s">
        <v>2574</v>
      </c>
    </row>
    <row r="189" customFormat="false" ht="17.15" hidden="false" customHeight="false" outlineLevel="0" collapsed="false">
      <c r="A189" s="0" t="s">
        <v>693</v>
      </c>
      <c r="B189" s="0" t="s">
        <v>692</v>
      </c>
      <c r="C189" s="0" t="s">
        <v>57</v>
      </c>
      <c r="D189" s="20" t="n">
        <f aca="false">In!D196</f>
        <v>0.05</v>
      </c>
      <c r="E189" s="20" t="n">
        <f aca="false">In!E196</f>
        <v>0.1</v>
      </c>
      <c r="F189" s="20" t="n">
        <f aca="false">In!F196</f>
        <v>0.2</v>
      </c>
      <c r="G189" s="0" t="str">
        <f aca="false">In!G196</f>
        <v>Assumed</v>
      </c>
      <c r="H189" s="12" t="s">
        <v>2575</v>
      </c>
    </row>
    <row r="190" customFormat="false" ht="17.15" hidden="false" customHeight="false" outlineLevel="0" collapsed="false">
      <c r="A190" s="0" t="s">
        <v>696</v>
      </c>
      <c r="B190" s="0" t="s">
        <v>695</v>
      </c>
      <c r="C190" s="0" t="s">
        <v>57</v>
      </c>
      <c r="D190" s="20" t="n">
        <f aca="false">In!D197</f>
        <v>0</v>
      </c>
      <c r="E190" s="20" t="n">
        <f aca="false">In!E197</f>
        <v>0.08</v>
      </c>
      <c r="F190" s="20" t="n">
        <f aca="false">In!F197</f>
        <v>0.2</v>
      </c>
      <c r="G190" s="0" t="str">
        <f aca="false">In!G197</f>
        <v>Assumed</v>
      </c>
      <c r="H190" s="12" t="s">
        <v>2576</v>
      </c>
    </row>
    <row r="191" customFormat="false" ht="17.15" hidden="false" customHeight="false" outlineLevel="0" collapsed="false">
      <c r="A191" s="0" t="s">
        <v>700</v>
      </c>
      <c r="B191" s="0" t="s">
        <v>698</v>
      </c>
      <c r="C191" s="0" t="s">
        <v>57</v>
      </c>
      <c r="D191" s="20" t="n">
        <f aca="false">In!D198</f>
        <v>0.02</v>
      </c>
      <c r="E191" s="20" t="n">
        <f aca="false">In!E198</f>
        <v>0.05</v>
      </c>
      <c r="F191" s="20" t="n">
        <f aca="false">In!F198</f>
        <v>0.1</v>
      </c>
      <c r="G191" s="0" t="str">
        <f aca="false">In!G198</f>
        <v>Assumed</v>
      </c>
      <c r="H191" s="12" t="s">
        <v>2577</v>
      </c>
    </row>
    <row r="192" customFormat="false" ht="17.15" hidden="false" customHeight="false" outlineLevel="0" collapsed="false">
      <c r="A192" s="0" t="s">
        <v>704</v>
      </c>
      <c r="B192" s="0" t="s">
        <v>703</v>
      </c>
      <c r="C192" s="0" t="s">
        <v>57</v>
      </c>
      <c r="D192" s="20" t="n">
        <f aca="false">In!D199</f>
        <v>0.03</v>
      </c>
      <c r="E192" s="20" t="n">
        <f aca="false">In!E199</f>
        <v>0.06</v>
      </c>
      <c r="F192" s="20" t="n">
        <f aca="false">In!F199</f>
        <v>0.12</v>
      </c>
      <c r="G192" s="0" t="str">
        <f aca="false">In!G199</f>
        <v>Assumed</v>
      </c>
      <c r="H192" s="12" t="s">
        <v>2578</v>
      </c>
    </row>
    <row r="193" customFormat="false" ht="17.15" hidden="false" customHeight="false" outlineLevel="0" collapsed="false">
      <c r="A193" s="0" t="s">
        <v>707</v>
      </c>
      <c r="B193" s="0" t="s">
        <v>706</v>
      </c>
      <c r="C193" s="0" t="s">
        <v>57</v>
      </c>
      <c r="D193" s="20" t="n">
        <f aca="false">In!D200</f>
        <v>0.08</v>
      </c>
      <c r="E193" s="20" t="n">
        <f aca="false">In!E200</f>
        <v>0.15</v>
      </c>
      <c r="F193" s="20" t="n">
        <f aca="false">In!F200</f>
        <v>0.25</v>
      </c>
      <c r="G193" s="0" t="str">
        <f aca="false">In!G200</f>
        <v>Assumed</v>
      </c>
      <c r="H193" s="12" t="s">
        <v>2579</v>
      </c>
    </row>
    <row r="194" customFormat="false" ht="17.15" hidden="false" customHeight="false" outlineLevel="0" collapsed="false">
      <c r="A194" s="0" t="s">
        <v>711</v>
      </c>
      <c r="B194" s="0" t="s">
        <v>709</v>
      </c>
      <c r="C194" s="0" t="s">
        <v>57</v>
      </c>
      <c r="D194" s="20" t="n">
        <f aca="false">In!D201</f>
        <v>0</v>
      </c>
      <c r="E194" s="20" t="n">
        <f aca="false">In!E201</f>
        <v>0</v>
      </c>
      <c r="F194" s="20" t="n">
        <f aca="false">In!F201</f>
        <v>0.02</v>
      </c>
      <c r="G194" s="0" t="str">
        <f aca="false">In!G201</f>
        <v>Assumed</v>
      </c>
      <c r="H194" s="12" t="s">
        <v>2580</v>
      </c>
    </row>
    <row r="195" customFormat="false" ht="17.15" hidden="false" customHeight="false" outlineLevel="0" collapsed="false">
      <c r="A195" s="0" t="s">
        <v>715</v>
      </c>
      <c r="B195" s="0" t="s">
        <v>714</v>
      </c>
      <c r="C195" s="0" t="s">
        <v>57</v>
      </c>
      <c r="D195" s="20" t="n">
        <f aca="false">In!D202</f>
        <v>0</v>
      </c>
      <c r="E195" s="20" t="n">
        <f aca="false">In!E202</f>
        <v>0</v>
      </c>
      <c r="F195" s="20" t="n">
        <f aca="false">In!F202</f>
        <v>0.05</v>
      </c>
      <c r="G195" s="0" t="str">
        <f aca="false">In!G202</f>
        <v>Assumed</v>
      </c>
      <c r="H195" s="12" t="s">
        <v>2581</v>
      </c>
    </row>
    <row r="196" customFormat="false" ht="17.15" hidden="false" customHeight="false" outlineLevel="0" collapsed="false">
      <c r="A196" s="0" t="s">
        <v>718</v>
      </c>
      <c r="B196" s="0" t="s">
        <v>717</v>
      </c>
      <c r="C196" s="0" t="s">
        <v>57</v>
      </c>
      <c r="D196" s="20" t="n">
        <f aca="false">In!D203</f>
        <v>0</v>
      </c>
      <c r="E196" s="20" t="n">
        <f aca="false">In!E203</f>
        <v>0.05</v>
      </c>
      <c r="F196" s="20" t="n">
        <f aca="false">In!F203</f>
        <v>0.15</v>
      </c>
      <c r="G196" s="0" t="str">
        <f aca="false">In!G203</f>
        <v>Assumed</v>
      </c>
      <c r="H196" s="12" t="s">
        <v>2582</v>
      </c>
    </row>
    <row r="197" customFormat="false" ht="17.15" hidden="false" customHeight="false" outlineLevel="0" collapsed="false">
      <c r="A197" s="0" t="s">
        <v>722</v>
      </c>
      <c r="B197" s="6" t="s">
        <v>720</v>
      </c>
      <c r="C197" s="0" t="s">
        <v>57</v>
      </c>
      <c r="D197" s="20" t="n">
        <f aca="false">In!D204</f>
        <v>0.03</v>
      </c>
      <c r="E197" s="20" t="n">
        <f aca="false">In!E204</f>
        <v>0.05</v>
      </c>
      <c r="F197" s="20" t="n">
        <f aca="false">In!F204</f>
        <v>0.1</v>
      </c>
      <c r="G197" s="0" t="str">
        <f aca="false">In!G204</f>
        <v>Assumed</v>
      </c>
      <c r="H197" s="12" t="s">
        <v>2583</v>
      </c>
    </row>
    <row r="198" customFormat="false" ht="17.15" hidden="false" customHeight="false" outlineLevel="0" collapsed="false">
      <c r="A198" s="0" t="s">
        <v>726</v>
      </c>
      <c r="B198" s="6" t="s">
        <v>725</v>
      </c>
      <c r="C198" s="0" t="s">
        <v>57</v>
      </c>
      <c r="D198" s="20" t="n">
        <f aca="false">In!D205</f>
        <v>0.08</v>
      </c>
      <c r="E198" s="20" t="n">
        <f aca="false">In!E205</f>
        <v>0.15</v>
      </c>
      <c r="F198" s="20" t="n">
        <f aca="false">In!F205</f>
        <v>0.2</v>
      </c>
      <c r="G198" s="0" t="str">
        <f aca="false">In!G205</f>
        <v>Assumed</v>
      </c>
      <c r="H198" s="12" t="s">
        <v>2584</v>
      </c>
    </row>
    <row r="199" customFormat="false" ht="17.15" hidden="false" customHeight="false" outlineLevel="0" collapsed="false">
      <c r="A199" s="0" t="s">
        <v>729</v>
      </c>
      <c r="B199" s="6" t="s">
        <v>728</v>
      </c>
      <c r="C199" s="0" t="s">
        <v>57</v>
      </c>
      <c r="D199" s="20" t="n">
        <f aca="false">In!D206</f>
        <v>0.1</v>
      </c>
      <c r="E199" s="20" t="n">
        <f aca="false">In!E206</f>
        <v>0.18</v>
      </c>
      <c r="F199" s="20" t="n">
        <f aca="false">In!F206</f>
        <v>0.2</v>
      </c>
      <c r="G199" s="0" t="str">
        <f aca="false">In!G206</f>
        <v>Assumed</v>
      </c>
      <c r="H199" s="12" t="s">
        <v>2585</v>
      </c>
    </row>
    <row r="200" customFormat="false" ht="17.15" hidden="false" customHeight="false" outlineLevel="0" collapsed="false">
      <c r="A200" s="0" t="s">
        <v>733</v>
      </c>
      <c r="B200" s="6" t="s">
        <v>731</v>
      </c>
      <c r="C200" s="0" t="s">
        <v>57</v>
      </c>
      <c r="D200" s="20" t="n">
        <f aca="false">In!D207</f>
        <v>0</v>
      </c>
      <c r="E200" s="20" t="n">
        <f aca="false">In!E207</f>
        <v>0</v>
      </c>
      <c r="F200" s="20" t="n">
        <f aca="false">In!F207</f>
        <v>0.02</v>
      </c>
      <c r="G200" s="0" t="str">
        <f aca="false">In!G207</f>
        <v>Assumed</v>
      </c>
      <c r="H200" s="12" t="s">
        <v>2586</v>
      </c>
    </row>
    <row r="201" customFormat="false" ht="17.15" hidden="false" customHeight="false" outlineLevel="0" collapsed="false">
      <c r="A201" s="0" t="s">
        <v>737</v>
      </c>
      <c r="B201" s="6" t="s">
        <v>736</v>
      </c>
      <c r="C201" s="0" t="s">
        <v>57</v>
      </c>
      <c r="D201" s="20" t="n">
        <f aca="false">In!D208</f>
        <v>0</v>
      </c>
      <c r="E201" s="20" t="n">
        <f aca="false">In!E208</f>
        <v>0</v>
      </c>
      <c r="F201" s="20" t="n">
        <f aca="false">In!F208</f>
        <v>0.03</v>
      </c>
      <c r="G201" s="0" t="str">
        <f aca="false">In!G208</f>
        <v>Assumed</v>
      </c>
      <c r="H201" s="12" t="s">
        <v>2587</v>
      </c>
    </row>
    <row r="202" customFormat="false" ht="17.15" hidden="false" customHeight="false" outlineLevel="0" collapsed="false">
      <c r="A202" s="0" t="s">
        <v>740</v>
      </c>
      <c r="B202" s="6" t="s">
        <v>739</v>
      </c>
      <c r="C202" s="0" t="s">
        <v>57</v>
      </c>
      <c r="D202" s="20" t="n">
        <f aca="false">In!D209</f>
        <v>0</v>
      </c>
      <c r="E202" s="20" t="n">
        <f aca="false">In!E209</f>
        <v>0</v>
      </c>
      <c r="F202" s="20" t="n">
        <f aca="false">In!F209</f>
        <v>0.05</v>
      </c>
      <c r="G202" s="0" t="str">
        <f aca="false">In!G209</f>
        <v>Assumed</v>
      </c>
      <c r="H202" s="12" t="s">
        <v>2588</v>
      </c>
    </row>
    <row r="203" customFormat="false" ht="17.15" hidden="false" customHeight="false" outlineLevel="0" collapsed="false">
      <c r="A203" s="0" t="s">
        <v>744</v>
      </c>
      <c r="B203" s="6" t="s">
        <v>742</v>
      </c>
      <c r="C203" s="0" t="s">
        <v>57</v>
      </c>
      <c r="D203" s="20" t="n">
        <f aca="false">In!D210</f>
        <v>0.2</v>
      </c>
      <c r="E203" s="20" t="n">
        <f aca="false">In!E210</f>
        <v>0.3</v>
      </c>
      <c r="F203" s="20" t="n">
        <f aca="false">In!F210</f>
        <v>0.4</v>
      </c>
      <c r="G203" s="0" t="str">
        <f aca="false">In!G210</f>
        <v>Assumed</v>
      </c>
      <c r="H203" s="12" t="s">
        <v>2589</v>
      </c>
    </row>
    <row r="204" customFormat="false" ht="17.15" hidden="false" customHeight="false" outlineLevel="0" collapsed="false">
      <c r="A204" s="0" t="s">
        <v>748</v>
      </c>
      <c r="B204" s="6" t="s">
        <v>747</v>
      </c>
      <c r="C204" s="0" t="s">
        <v>57</v>
      </c>
      <c r="D204" s="20" t="n">
        <f aca="false">In!D211</f>
        <v>0.4</v>
      </c>
      <c r="E204" s="20" t="n">
        <f aca="false">In!E211</f>
        <v>0.55</v>
      </c>
      <c r="F204" s="20" t="n">
        <f aca="false">In!F211</f>
        <v>0.75</v>
      </c>
      <c r="G204" s="0" t="str">
        <f aca="false">In!G211</f>
        <v>Assumed</v>
      </c>
      <c r="H204" s="12" t="s">
        <v>2590</v>
      </c>
    </row>
    <row r="205" customFormat="false" ht="17.15" hidden="false" customHeight="false" outlineLevel="0" collapsed="false">
      <c r="A205" s="0" t="s">
        <v>751</v>
      </c>
      <c r="B205" s="6" t="s">
        <v>750</v>
      </c>
      <c r="C205" s="0" t="s">
        <v>57</v>
      </c>
      <c r="D205" s="20" t="n">
        <f aca="false">In!D212</f>
        <v>0.4</v>
      </c>
      <c r="E205" s="20" t="n">
        <f aca="false">In!E212</f>
        <v>0.5</v>
      </c>
      <c r="F205" s="20" t="n">
        <f aca="false">In!F212</f>
        <v>0.75</v>
      </c>
      <c r="G205" s="0" t="str">
        <f aca="false">In!G212</f>
        <v>Assumed</v>
      </c>
      <c r="H205" s="12" t="s">
        <v>2591</v>
      </c>
    </row>
    <row r="206" customFormat="false" ht="17.15" hidden="false" customHeight="false" outlineLevel="0" collapsed="false">
      <c r="A206" s="0" t="s">
        <v>754</v>
      </c>
      <c r="B206" s="6" t="s">
        <v>753</v>
      </c>
      <c r="C206" s="0" t="s">
        <v>57</v>
      </c>
      <c r="D206" s="20" t="n">
        <f aca="false">In!D213</f>
        <v>0.3</v>
      </c>
      <c r="E206" s="20" t="n">
        <f aca="false">In!E213</f>
        <v>0.4</v>
      </c>
      <c r="F206" s="20" t="n">
        <f aca="false">In!F213</f>
        <v>0.75</v>
      </c>
      <c r="G206" s="0" t="str">
        <f aca="false">In!G213</f>
        <v>Assumed</v>
      </c>
      <c r="H206" s="12" t="s">
        <v>2592</v>
      </c>
    </row>
    <row r="207" customFormat="false" ht="17.15" hidden="false" customHeight="false" outlineLevel="0" collapsed="false">
      <c r="A207" s="0" t="s">
        <v>757</v>
      </c>
      <c r="B207" s="6" t="s">
        <v>756</v>
      </c>
      <c r="C207" s="0" t="s">
        <v>57</v>
      </c>
      <c r="D207" s="20" t="n">
        <f aca="false">In!D214</f>
        <v>0.35</v>
      </c>
      <c r="E207" s="20" t="n">
        <f aca="false">In!E214</f>
        <v>0.55</v>
      </c>
      <c r="F207" s="20" t="n">
        <f aca="false">In!F214</f>
        <v>0.85</v>
      </c>
      <c r="G207" s="0" t="str">
        <f aca="false">In!G214</f>
        <v>Assumed</v>
      </c>
      <c r="H207" s="12" t="s">
        <v>2593</v>
      </c>
    </row>
    <row r="208" customFormat="false" ht="17.15" hidden="false" customHeight="false" outlineLevel="0" collapsed="false">
      <c r="A208" s="0" t="s">
        <v>760</v>
      </c>
      <c r="B208" s="6" t="s">
        <v>759</v>
      </c>
      <c r="C208" s="0" t="s">
        <v>57</v>
      </c>
      <c r="D208" s="20" t="n">
        <f aca="false">In!D215</f>
        <v>0.3</v>
      </c>
      <c r="E208" s="20" t="n">
        <f aca="false">In!E215</f>
        <v>0.45</v>
      </c>
      <c r="F208" s="20" t="n">
        <f aca="false">In!F215</f>
        <v>0.85</v>
      </c>
      <c r="G208" s="0" t="str">
        <f aca="false">In!G215</f>
        <v>Assumed</v>
      </c>
      <c r="H208" s="12" t="s">
        <v>2594</v>
      </c>
    </row>
    <row r="209" customFormat="false" ht="17.15" hidden="false" customHeight="false" outlineLevel="0" collapsed="false">
      <c r="A209" s="0" t="s">
        <v>764</v>
      </c>
      <c r="B209" s="6" t="s">
        <v>763</v>
      </c>
      <c r="C209" s="0" t="s">
        <v>57</v>
      </c>
      <c r="D209" s="20" t="n">
        <f aca="false">In!D216</f>
        <v>0.2</v>
      </c>
      <c r="E209" s="20" t="n">
        <f aca="false">In!E216</f>
        <v>0.35</v>
      </c>
      <c r="F209" s="20" t="n">
        <f aca="false">In!F216</f>
        <v>0.85</v>
      </c>
      <c r="G209" s="0" t="str">
        <f aca="false">In!G216</f>
        <v>Assumed</v>
      </c>
      <c r="H209" s="12" t="s">
        <v>2595</v>
      </c>
    </row>
    <row r="210" customFormat="false" ht="17.15" hidden="false" customHeight="false" outlineLevel="0" collapsed="false">
      <c r="A210" s="0" t="s">
        <v>770</v>
      </c>
      <c r="B210" s="0" t="s">
        <v>767</v>
      </c>
      <c r="C210" s="0" t="s">
        <v>768</v>
      </c>
      <c r="D210" s="34" t="n">
        <f aca="false">In!D218</f>
        <v>1194</v>
      </c>
      <c r="E210" s="34" t="n">
        <f aca="false">In!E218</f>
        <v>1493</v>
      </c>
      <c r="F210" s="34" t="n">
        <f aca="false">In!F218</f>
        <v>1792</v>
      </c>
      <c r="G210" s="0" t="str">
        <f aca="false">In!G218</f>
        <v>Derived</v>
      </c>
      <c r="H210" s="12" t="s">
        <v>2596</v>
      </c>
    </row>
    <row r="211" customFormat="false" ht="17.15" hidden="false" customHeight="false" outlineLevel="0" collapsed="false">
      <c r="A211" s="0" t="s">
        <v>773</v>
      </c>
      <c r="B211" s="0" t="s">
        <v>772</v>
      </c>
      <c r="C211" s="0" t="s">
        <v>768</v>
      </c>
      <c r="D211" s="34" t="n">
        <f aca="false">In!D219</f>
        <v>1194</v>
      </c>
      <c r="E211" s="34" t="n">
        <f aca="false">In!E219</f>
        <v>1493</v>
      </c>
      <c r="F211" s="34" t="n">
        <f aca="false">In!F219</f>
        <v>1792</v>
      </c>
      <c r="G211" s="0" t="str">
        <f aca="false">In!G219</f>
        <v>Derived</v>
      </c>
      <c r="H211" s="12" t="s">
        <v>2597</v>
      </c>
    </row>
    <row r="212" customFormat="false" ht="17.15" hidden="false" customHeight="false" outlineLevel="0" collapsed="false">
      <c r="A212" s="0" t="s">
        <v>776</v>
      </c>
      <c r="B212" s="0" t="s">
        <v>775</v>
      </c>
      <c r="C212" s="0" t="s">
        <v>768</v>
      </c>
      <c r="D212" s="34" t="n">
        <f aca="false">In!D220</f>
        <v>2150</v>
      </c>
      <c r="E212" s="34" t="n">
        <f aca="false">In!E220</f>
        <v>2688</v>
      </c>
      <c r="F212" s="34" t="n">
        <f aca="false">In!F220</f>
        <v>3226</v>
      </c>
      <c r="G212" s="0" t="str">
        <f aca="false">In!G220</f>
        <v>Derived</v>
      </c>
      <c r="H212" s="12" t="s">
        <v>2598</v>
      </c>
    </row>
    <row r="213" customFormat="false" ht="17.15" hidden="false" customHeight="false" outlineLevel="0" collapsed="false">
      <c r="A213" s="0" t="s">
        <v>779</v>
      </c>
      <c r="B213" s="0" t="s">
        <v>778</v>
      </c>
      <c r="C213" s="0" t="s">
        <v>768</v>
      </c>
      <c r="D213" s="34" t="n">
        <f aca="false">In!D221</f>
        <v>1672</v>
      </c>
      <c r="E213" s="34" t="n">
        <f aca="false">In!E221</f>
        <v>2090</v>
      </c>
      <c r="F213" s="34" t="n">
        <f aca="false">In!F221</f>
        <v>2508</v>
      </c>
      <c r="G213" s="0" t="str">
        <f aca="false">In!G221</f>
        <v>Derived</v>
      </c>
      <c r="H213" s="12" t="s">
        <v>2599</v>
      </c>
    </row>
    <row r="214" customFormat="false" ht="17.15" hidden="false" customHeight="false" outlineLevel="0" collapsed="false">
      <c r="A214" s="0" t="s">
        <v>782</v>
      </c>
      <c r="B214" s="0" t="s">
        <v>781</v>
      </c>
      <c r="C214" s="0" t="s">
        <v>768</v>
      </c>
      <c r="D214" s="34" t="n">
        <f aca="false">In!D222</f>
        <v>956</v>
      </c>
      <c r="E214" s="34" t="n">
        <f aca="false">In!E222</f>
        <v>1195</v>
      </c>
      <c r="F214" s="34" t="n">
        <f aca="false">In!F222</f>
        <v>1434</v>
      </c>
      <c r="G214" s="0" t="str">
        <f aca="false">In!G222</f>
        <v>Derived</v>
      </c>
      <c r="H214" s="12" t="s">
        <v>2600</v>
      </c>
    </row>
    <row r="215" customFormat="false" ht="17.15" hidden="false" customHeight="false" outlineLevel="0" collapsed="false">
      <c r="A215" s="0" t="s">
        <v>785</v>
      </c>
      <c r="B215" s="0" t="s">
        <v>784</v>
      </c>
      <c r="C215" s="0" t="s">
        <v>768</v>
      </c>
      <c r="D215" s="34" t="n">
        <f aca="false">In!D223</f>
        <v>2099</v>
      </c>
      <c r="E215" s="34" t="n">
        <f aca="false">In!E223</f>
        <v>2624</v>
      </c>
      <c r="F215" s="34" t="n">
        <f aca="false">In!F223</f>
        <v>3149</v>
      </c>
      <c r="G215" s="0" t="str">
        <f aca="false">In!G223</f>
        <v>Derived</v>
      </c>
      <c r="H215" s="12" t="s">
        <v>2601</v>
      </c>
    </row>
    <row r="216" customFormat="false" ht="17.15" hidden="false" customHeight="false" outlineLevel="0" collapsed="false">
      <c r="A216" s="0" t="s">
        <v>789</v>
      </c>
      <c r="B216" s="0" t="s">
        <v>787</v>
      </c>
      <c r="C216" s="0" t="s">
        <v>768</v>
      </c>
      <c r="D216" s="34" t="n">
        <f aca="false">In!D224</f>
        <v>2334</v>
      </c>
      <c r="E216" s="34" t="n">
        <f aca="false">In!E224</f>
        <v>2917</v>
      </c>
      <c r="F216" s="34" t="n">
        <f aca="false">In!F224</f>
        <v>3500</v>
      </c>
      <c r="G216" s="0" t="str">
        <f aca="false">In!G224</f>
        <v>Derived</v>
      </c>
      <c r="H216" s="12" t="s">
        <v>2602</v>
      </c>
    </row>
    <row r="217" customFormat="false" ht="17.15" hidden="false" customHeight="false" outlineLevel="0" collapsed="false">
      <c r="A217" s="0" t="s">
        <v>792</v>
      </c>
      <c r="B217" s="0" t="s">
        <v>791</v>
      </c>
      <c r="C217" s="0" t="s">
        <v>768</v>
      </c>
      <c r="D217" s="34" t="n">
        <f aca="false">In!D225</f>
        <v>2334</v>
      </c>
      <c r="E217" s="34" t="n">
        <f aca="false">In!E225</f>
        <v>2917</v>
      </c>
      <c r="F217" s="34" t="n">
        <f aca="false">In!F225</f>
        <v>3500</v>
      </c>
      <c r="G217" s="0" t="str">
        <f aca="false">In!G225</f>
        <v>Derived</v>
      </c>
      <c r="H217" s="12" t="s">
        <v>2603</v>
      </c>
    </row>
    <row r="218" customFormat="false" ht="17.15" hidden="false" customHeight="false" outlineLevel="0" collapsed="false">
      <c r="A218" s="0" t="s">
        <v>795</v>
      </c>
      <c r="B218" s="0" t="s">
        <v>794</v>
      </c>
      <c r="C218" s="0" t="s">
        <v>768</v>
      </c>
      <c r="D218" s="34" t="n">
        <f aca="false">In!D226</f>
        <v>4201</v>
      </c>
      <c r="E218" s="34" t="n">
        <f aca="false">In!E226</f>
        <v>5251</v>
      </c>
      <c r="F218" s="34" t="n">
        <f aca="false">In!F226</f>
        <v>6301</v>
      </c>
      <c r="G218" s="0" t="str">
        <f aca="false">In!G226</f>
        <v>Derived</v>
      </c>
      <c r="H218" s="12" t="s">
        <v>2604</v>
      </c>
    </row>
    <row r="219" customFormat="false" ht="17.15" hidden="false" customHeight="false" outlineLevel="0" collapsed="false">
      <c r="A219" s="0" t="s">
        <v>798</v>
      </c>
      <c r="B219" s="0" t="s">
        <v>797</v>
      </c>
      <c r="C219" s="0" t="s">
        <v>768</v>
      </c>
      <c r="D219" s="34" t="n">
        <f aca="false">In!D227</f>
        <v>3267</v>
      </c>
      <c r="E219" s="34" t="n">
        <f aca="false">In!E227</f>
        <v>4084</v>
      </c>
      <c r="F219" s="34" t="n">
        <f aca="false">In!F227</f>
        <v>4901</v>
      </c>
      <c r="G219" s="0" t="str">
        <f aca="false">In!G227</f>
        <v>Derived</v>
      </c>
      <c r="H219" s="12" t="s">
        <v>2605</v>
      </c>
    </row>
    <row r="220" customFormat="false" ht="17.15" hidden="false" customHeight="false" outlineLevel="0" collapsed="false">
      <c r="A220" s="0" t="s">
        <v>801</v>
      </c>
      <c r="B220" s="0" t="s">
        <v>800</v>
      </c>
      <c r="C220" s="0" t="s">
        <v>768</v>
      </c>
      <c r="D220" s="34" t="n">
        <f aca="false">In!D228</f>
        <v>1867</v>
      </c>
      <c r="E220" s="34" t="n">
        <f aca="false">In!E228</f>
        <v>2334</v>
      </c>
      <c r="F220" s="34" t="n">
        <f aca="false">In!F228</f>
        <v>2801</v>
      </c>
      <c r="G220" s="0" t="str">
        <f aca="false">In!G228</f>
        <v>Derived</v>
      </c>
      <c r="H220" s="12" t="s">
        <v>2606</v>
      </c>
    </row>
    <row r="221" customFormat="false" ht="17.15" hidden="false" customHeight="false" outlineLevel="0" collapsed="false">
      <c r="A221" s="0" t="s">
        <v>804</v>
      </c>
      <c r="B221" s="0" t="s">
        <v>803</v>
      </c>
      <c r="C221" s="0" t="s">
        <v>768</v>
      </c>
      <c r="D221" s="34" t="n">
        <f aca="false">In!D229</f>
        <v>5600</v>
      </c>
      <c r="E221" s="34" t="n">
        <f aca="false">In!E229</f>
        <v>7000</v>
      </c>
      <c r="F221" s="34" t="n">
        <f aca="false">In!F229</f>
        <v>8400</v>
      </c>
      <c r="G221" s="0" t="str">
        <f aca="false">In!G229</f>
        <v>Derived</v>
      </c>
      <c r="H221" s="12" t="s">
        <v>2607</v>
      </c>
    </row>
    <row r="222" customFormat="false" ht="17.15" hidden="false" customHeight="false" outlineLevel="0" collapsed="false">
      <c r="A222" s="0" t="s">
        <v>808</v>
      </c>
      <c r="B222" s="0" t="s">
        <v>806</v>
      </c>
      <c r="C222" s="0" t="s">
        <v>768</v>
      </c>
      <c r="D222" s="34" t="n">
        <f aca="false">In!D230</f>
        <v>3500</v>
      </c>
      <c r="E222" s="34" t="n">
        <f aca="false">In!E230</f>
        <v>4375</v>
      </c>
      <c r="F222" s="34" t="n">
        <f aca="false">In!F230</f>
        <v>5250</v>
      </c>
      <c r="G222" s="0" t="str">
        <f aca="false">In!G230</f>
        <v>Assumed</v>
      </c>
      <c r="H222" s="12" t="s">
        <v>2608</v>
      </c>
    </row>
    <row r="223" customFormat="false" ht="17.15" hidden="false" customHeight="false" outlineLevel="0" collapsed="false">
      <c r="A223" s="0" t="s">
        <v>811</v>
      </c>
      <c r="B223" s="0" t="s">
        <v>810</v>
      </c>
      <c r="C223" s="0" t="s">
        <v>768</v>
      </c>
      <c r="D223" s="34" t="n">
        <f aca="false">In!D231</f>
        <v>3500</v>
      </c>
      <c r="E223" s="34" t="n">
        <f aca="false">In!E231</f>
        <v>4375</v>
      </c>
      <c r="F223" s="34" t="n">
        <f aca="false">In!F231</f>
        <v>5250</v>
      </c>
      <c r="G223" s="0" t="str">
        <f aca="false">In!G231</f>
        <v>Assumed</v>
      </c>
      <c r="H223" s="12" t="s">
        <v>2609</v>
      </c>
    </row>
    <row r="224" customFormat="false" ht="17.15" hidden="false" customHeight="false" outlineLevel="0" collapsed="false">
      <c r="A224" s="0" t="s">
        <v>814</v>
      </c>
      <c r="B224" s="0" t="s">
        <v>813</v>
      </c>
      <c r="C224" s="0" t="s">
        <v>768</v>
      </c>
      <c r="D224" s="34" t="n">
        <f aca="false">In!D232</f>
        <v>4201</v>
      </c>
      <c r="E224" s="34" t="n">
        <f aca="false">In!E232</f>
        <v>5251</v>
      </c>
      <c r="F224" s="34" t="n">
        <f aca="false">In!F232</f>
        <v>6301</v>
      </c>
      <c r="G224" s="0" t="str">
        <f aca="false">In!G232</f>
        <v>Assumed</v>
      </c>
      <c r="H224" s="12" t="s">
        <v>2610</v>
      </c>
    </row>
    <row r="225" customFormat="false" ht="17.15" hidden="false" customHeight="false" outlineLevel="0" collapsed="false">
      <c r="A225" s="0" t="s">
        <v>817</v>
      </c>
      <c r="B225" s="0" t="s">
        <v>816</v>
      </c>
      <c r="C225" s="0" t="s">
        <v>768</v>
      </c>
      <c r="D225" s="34" t="n">
        <f aca="false">In!D233</f>
        <v>3267</v>
      </c>
      <c r="E225" s="34" t="n">
        <f aca="false">In!E233</f>
        <v>4084</v>
      </c>
      <c r="F225" s="34" t="n">
        <f aca="false">In!F233</f>
        <v>4901</v>
      </c>
      <c r="G225" s="0" t="str">
        <f aca="false">In!G233</f>
        <v>Assumed</v>
      </c>
      <c r="H225" s="12" t="s">
        <v>2611</v>
      </c>
    </row>
    <row r="226" customFormat="false" ht="17.15" hidden="false" customHeight="false" outlineLevel="0" collapsed="false">
      <c r="A226" s="0" t="s">
        <v>820</v>
      </c>
      <c r="B226" s="0" t="s">
        <v>819</v>
      </c>
      <c r="C226" s="0" t="s">
        <v>768</v>
      </c>
      <c r="D226" s="34" t="n">
        <f aca="false">In!D234</f>
        <v>1867</v>
      </c>
      <c r="E226" s="34" t="n">
        <f aca="false">In!E234</f>
        <v>2334</v>
      </c>
      <c r="F226" s="34" t="n">
        <f aca="false">In!F234</f>
        <v>2801</v>
      </c>
      <c r="G226" s="0" t="str">
        <f aca="false">In!G234</f>
        <v>Assumed</v>
      </c>
      <c r="H226" s="12" t="s">
        <v>2612</v>
      </c>
    </row>
    <row r="227" customFormat="false" ht="17.15" hidden="false" customHeight="false" outlineLevel="0" collapsed="false">
      <c r="A227" s="0" t="s">
        <v>823</v>
      </c>
      <c r="B227" s="0" t="s">
        <v>822</v>
      </c>
      <c r="C227" s="0" t="s">
        <v>768</v>
      </c>
      <c r="D227" s="34" t="n">
        <f aca="false">In!D235</f>
        <v>5600</v>
      </c>
      <c r="E227" s="34" t="n">
        <f aca="false">In!E235</f>
        <v>7000</v>
      </c>
      <c r="F227" s="34" t="n">
        <f aca="false">In!F235</f>
        <v>8400</v>
      </c>
      <c r="G227" s="0" t="str">
        <f aca="false">In!G235</f>
        <v>Assumed</v>
      </c>
      <c r="H227" s="12" t="s">
        <v>2613</v>
      </c>
    </row>
    <row r="228" customFormat="false" ht="17.15" hidden="false" customHeight="false" outlineLevel="0" collapsed="false">
      <c r="A228" s="0" t="s">
        <v>827</v>
      </c>
      <c r="B228" s="0" t="s">
        <v>825</v>
      </c>
      <c r="C228" s="0" t="s">
        <v>768</v>
      </c>
      <c r="D228" s="34" t="n">
        <f aca="false">In!D236</f>
        <v>240</v>
      </c>
      <c r="E228" s="34" t="n">
        <f aca="false">In!E236</f>
        <v>300</v>
      </c>
      <c r="F228" s="34" t="n">
        <f aca="false">In!F236</f>
        <v>360</v>
      </c>
      <c r="G228" s="0" t="str">
        <f aca="false">In!G236</f>
        <v>Assumed</v>
      </c>
      <c r="H228" s="12" t="s">
        <v>2614</v>
      </c>
    </row>
    <row r="229" customFormat="false" ht="17.15" hidden="false" customHeight="false" outlineLevel="0" collapsed="false">
      <c r="A229" s="0" t="s">
        <v>830</v>
      </c>
      <c r="B229" s="0" t="s">
        <v>829</v>
      </c>
      <c r="C229" s="0" t="s">
        <v>768</v>
      </c>
      <c r="D229" s="34" t="n">
        <f aca="false">In!D237</f>
        <v>80</v>
      </c>
      <c r="E229" s="34" t="n">
        <f aca="false">In!E237</f>
        <v>100</v>
      </c>
      <c r="F229" s="34" t="n">
        <f aca="false">In!F237</f>
        <v>120</v>
      </c>
      <c r="G229" s="0" t="str">
        <f aca="false">In!G237</f>
        <v>Assumed</v>
      </c>
      <c r="H229" s="12" t="s">
        <v>2615</v>
      </c>
    </row>
    <row r="230" customFormat="false" ht="17.15" hidden="false" customHeight="false" outlineLevel="0" collapsed="false">
      <c r="A230" s="0" t="s">
        <v>833</v>
      </c>
      <c r="B230" s="0" t="s">
        <v>832</v>
      </c>
      <c r="C230" s="0" t="s">
        <v>768</v>
      </c>
      <c r="D230" s="34" t="n">
        <f aca="false">In!D238</f>
        <v>2016</v>
      </c>
      <c r="E230" s="34" t="n">
        <f aca="false">In!E238</f>
        <v>2520</v>
      </c>
      <c r="F230" s="34" t="n">
        <f aca="false">In!F238</f>
        <v>3024</v>
      </c>
      <c r="G230" s="0" t="str">
        <f aca="false">In!G238</f>
        <v>Assumed</v>
      </c>
      <c r="H230" s="12" t="s">
        <v>2616</v>
      </c>
    </row>
    <row r="231" customFormat="false" ht="17.15" hidden="false" customHeight="false" outlineLevel="0" collapsed="false">
      <c r="A231" s="0" t="s">
        <v>836</v>
      </c>
      <c r="B231" s="0" t="s">
        <v>835</v>
      </c>
      <c r="C231" s="0" t="s">
        <v>768</v>
      </c>
      <c r="D231" s="34" t="n">
        <f aca="false">In!D239</f>
        <v>1568</v>
      </c>
      <c r="E231" s="34" t="n">
        <f aca="false">In!E239</f>
        <v>1960</v>
      </c>
      <c r="F231" s="34" t="n">
        <f aca="false">In!F239</f>
        <v>2352</v>
      </c>
      <c r="G231" s="0" t="str">
        <f aca="false">In!G239</f>
        <v>Assumed</v>
      </c>
      <c r="H231" s="12" t="s">
        <v>2617</v>
      </c>
    </row>
    <row r="232" customFormat="false" ht="17.15" hidden="false" customHeight="false" outlineLevel="0" collapsed="false">
      <c r="A232" s="0" t="s">
        <v>839</v>
      </c>
      <c r="B232" s="0" t="s">
        <v>838</v>
      </c>
      <c r="C232" s="0" t="s">
        <v>768</v>
      </c>
      <c r="D232" s="34" t="n">
        <f aca="false">In!D240</f>
        <v>896</v>
      </c>
      <c r="E232" s="34" t="n">
        <f aca="false">In!E240</f>
        <v>1120</v>
      </c>
      <c r="F232" s="34" t="n">
        <f aca="false">In!F240</f>
        <v>1344</v>
      </c>
      <c r="G232" s="0" t="str">
        <f aca="false">In!G240</f>
        <v>Assumed</v>
      </c>
      <c r="H232" s="12" t="s">
        <v>2618</v>
      </c>
    </row>
    <row r="233" customFormat="false" ht="17.15" hidden="false" customHeight="false" outlineLevel="0" collapsed="false">
      <c r="A233" s="0" t="s">
        <v>842</v>
      </c>
      <c r="B233" s="0" t="s">
        <v>841</v>
      </c>
      <c r="C233" s="0" t="s">
        <v>768</v>
      </c>
      <c r="D233" s="34" t="n">
        <f aca="false">In!D241</f>
        <v>1600</v>
      </c>
      <c r="E233" s="34" t="n">
        <f aca="false">In!E241</f>
        <v>2000</v>
      </c>
      <c r="F233" s="34" t="n">
        <f aca="false">In!F241</f>
        <v>2400</v>
      </c>
      <c r="G233" s="0" t="str">
        <f aca="false">In!G241</f>
        <v>Assumed</v>
      </c>
      <c r="H233" s="12" t="s">
        <v>2619</v>
      </c>
    </row>
    <row r="234" customFormat="false" ht="17.15" hidden="false" customHeight="false" outlineLevel="0" collapsed="false">
      <c r="A234" s="0" t="s">
        <v>847</v>
      </c>
      <c r="B234" s="0" t="s">
        <v>844</v>
      </c>
      <c r="C234" s="0" t="s">
        <v>768</v>
      </c>
      <c r="D234" s="34" t="n">
        <f aca="false">In!D242</f>
        <v>240</v>
      </c>
      <c r="E234" s="34" t="n">
        <f aca="false">In!E242</f>
        <v>300</v>
      </c>
      <c r="F234" s="34" t="n">
        <f aca="false">In!F242</f>
        <v>360</v>
      </c>
      <c r="G234" s="0" t="str">
        <f aca="false">In!G242</f>
        <v>Analogy</v>
      </c>
      <c r="H234" s="12" t="s">
        <v>2620</v>
      </c>
    </row>
    <row r="235" customFormat="false" ht="17.15" hidden="false" customHeight="false" outlineLevel="0" collapsed="false">
      <c r="A235" s="0" t="s">
        <v>850</v>
      </c>
      <c r="B235" s="0" t="s">
        <v>849</v>
      </c>
      <c r="C235" s="0" t="s">
        <v>768</v>
      </c>
      <c r="D235" s="34" t="n">
        <f aca="false">In!D243</f>
        <v>80</v>
      </c>
      <c r="E235" s="34" t="n">
        <f aca="false">In!E243</f>
        <v>100</v>
      </c>
      <c r="F235" s="34" t="n">
        <f aca="false">In!F243</f>
        <v>120</v>
      </c>
      <c r="G235" s="0" t="str">
        <f aca="false">In!G243</f>
        <v>Analogy</v>
      </c>
      <c r="H235" s="12" t="s">
        <v>2621</v>
      </c>
    </row>
    <row r="236" customFormat="false" ht="17.15" hidden="false" customHeight="false" outlineLevel="0" collapsed="false">
      <c r="A236" s="0" t="s">
        <v>853</v>
      </c>
      <c r="B236" s="0" t="s">
        <v>852</v>
      </c>
      <c r="C236" s="0" t="s">
        <v>768</v>
      </c>
      <c r="D236" s="34" t="n">
        <f aca="false">In!D244</f>
        <v>2016</v>
      </c>
      <c r="E236" s="34" t="n">
        <f aca="false">In!E244</f>
        <v>2520</v>
      </c>
      <c r="F236" s="34" t="n">
        <f aca="false">In!F244</f>
        <v>3024</v>
      </c>
      <c r="G236" s="0" t="str">
        <f aca="false">In!G244</f>
        <v>Analogy</v>
      </c>
      <c r="H236" s="12" t="s">
        <v>2622</v>
      </c>
    </row>
    <row r="237" customFormat="false" ht="17.15" hidden="false" customHeight="false" outlineLevel="0" collapsed="false">
      <c r="A237" s="0" t="s">
        <v>856</v>
      </c>
      <c r="B237" s="0" t="s">
        <v>855</v>
      </c>
      <c r="C237" s="0" t="s">
        <v>768</v>
      </c>
      <c r="D237" s="34" t="n">
        <f aca="false">In!D245</f>
        <v>1568</v>
      </c>
      <c r="E237" s="34" t="n">
        <f aca="false">In!E245</f>
        <v>1960</v>
      </c>
      <c r="F237" s="34" t="n">
        <f aca="false">In!F245</f>
        <v>2352</v>
      </c>
      <c r="G237" s="0" t="str">
        <f aca="false">In!G245</f>
        <v>Analogy</v>
      </c>
      <c r="H237" s="12" t="s">
        <v>2623</v>
      </c>
    </row>
    <row r="238" customFormat="false" ht="17.15" hidden="false" customHeight="false" outlineLevel="0" collapsed="false">
      <c r="A238" s="0" t="s">
        <v>859</v>
      </c>
      <c r="B238" s="0" t="s">
        <v>858</v>
      </c>
      <c r="C238" s="0" t="s">
        <v>768</v>
      </c>
      <c r="D238" s="34" t="n">
        <f aca="false">In!D246</f>
        <v>896</v>
      </c>
      <c r="E238" s="34" t="n">
        <f aca="false">In!E246</f>
        <v>1120</v>
      </c>
      <c r="F238" s="34" t="n">
        <f aca="false">In!F246</f>
        <v>1344</v>
      </c>
      <c r="G238" s="0" t="str">
        <f aca="false">In!G246</f>
        <v>Analogy</v>
      </c>
      <c r="H238" s="12" t="s">
        <v>2624</v>
      </c>
    </row>
    <row r="239" customFormat="false" ht="17.15" hidden="false" customHeight="false" outlineLevel="0" collapsed="false">
      <c r="A239" s="0" t="s">
        <v>862</v>
      </c>
      <c r="B239" s="0" t="s">
        <v>861</v>
      </c>
      <c r="C239" s="0" t="s">
        <v>768</v>
      </c>
      <c r="D239" s="34" t="n">
        <f aca="false">In!D247</f>
        <v>1600</v>
      </c>
      <c r="E239" s="34" t="n">
        <f aca="false">In!E247</f>
        <v>2000</v>
      </c>
      <c r="F239" s="34" t="n">
        <f aca="false">In!F247</f>
        <v>2400</v>
      </c>
      <c r="G239" s="0" t="str">
        <f aca="false">In!G247</f>
        <v>Analogy</v>
      </c>
      <c r="H239" s="12" t="s">
        <v>2625</v>
      </c>
    </row>
    <row r="240" customFormat="false" ht="17.15" hidden="false" customHeight="false" outlineLevel="0" collapsed="false">
      <c r="A240" s="0" t="s">
        <v>866</v>
      </c>
      <c r="B240" s="0" t="s">
        <v>864</v>
      </c>
      <c r="C240" s="0" t="s">
        <v>768</v>
      </c>
      <c r="D240" s="34" t="n">
        <f aca="false">In!D248</f>
        <v>1867</v>
      </c>
      <c r="E240" s="34" t="n">
        <f aca="false">In!E248</f>
        <v>2334</v>
      </c>
      <c r="F240" s="34" t="n">
        <f aca="false">In!F248</f>
        <v>2801</v>
      </c>
      <c r="G240" s="0" t="str">
        <f aca="false">In!G248</f>
        <v>Analogy</v>
      </c>
      <c r="H240" s="12" t="s">
        <v>2626</v>
      </c>
    </row>
    <row r="241" customFormat="false" ht="17.15" hidden="false" customHeight="false" outlineLevel="0" collapsed="false">
      <c r="A241" s="0" t="s">
        <v>869</v>
      </c>
      <c r="B241" s="0" t="s">
        <v>868</v>
      </c>
      <c r="C241" s="0" t="s">
        <v>768</v>
      </c>
      <c r="D241" s="34" t="n">
        <f aca="false">In!D249</f>
        <v>1867</v>
      </c>
      <c r="E241" s="34" t="n">
        <f aca="false">In!E249</f>
        <v>2334</v>
      </c>
      <c r="F241" s="34" t="n">
        <f aca="false">In!F249</f>
        <v>2801</v>
      </c>
      <c r="G241" s="0" t="str">
        <f aca="false">In!G249</f>
        <v>Analogy</v>
      </c>
      <c r="H241" s="12" t="s">
        <v>2627</v>
      </c>
    </row>
    <row r="242" customFormat="false" ht="17.15" hidden="false" customHeight="false" outlineLevel="0" collapsed="false">
      <c r="A242" s="0" t="s">
        <v>872</v>
      </c>
      <c r="B242" s="0" t="s">
        <v>871</v>
      </c>
      <c r="C242" s="0" t="s">
        <v>768</v>
      </c>
      <c r="D242" s="34" t="n">
        <f aca="false">In!D250</f>
        <v>3361</v>
      </c>
      <c r="E242" s="34" t="n">
        <f aca="false">In!E250</f>
        <v>4201</v>
      </c>
      <c r="F242" s="34" t="n">
        <f aca="false">In!F250</f>
        <v>5041</v>
      </c>
      <c r="G242" s="0" t="str">
        <f aca="false">In!G250</f>
        <v>Analogy</v>
      </c>
      <c r="H242" s="12" t="s">
        <v>2628</v>
      </c>
    </row>
    <row r="243" customFormat="false" ht="17.15" hidden="false" customHeight="false" outlineLevel="0" collapsed="false">
      <c r="A243" s="0" t="s">
        <v>875</v>
      </c>
      <c r="B243" s="0" t="s">
        <v>874</v>
      </c>
      <c r="C243" s="0" t="s">
        <v>768</v>
      </c>
      <c r="D243" s="34" t="n">
        <f aca="false">In!D251</f>
        <v>2614</v>
      </c>
      <c r="E243" s="34" t="n">
        <f aca="false">In!E251</f>
        <v>3267</v>
      </c>
      <c r="F243" s="34" t="n">
        <f aca="false">In!F251</f>
        <v>3920</v>
      </c>
      <c r="G243" s="0" t="str">
        <f aca="false">In!G251</f>
        <v>Analogy</v>
      </c>
      <c r="H243" s="12" t="s">
        <v>2629</v>
      </c>
    </row>
    <row r="244" customFormat="false" ht="17.15" hidden="false" customHeight="false" outlineLevel="0" collapsed="false">
      <c r="A244" s="0" t="s">
        <v>878</v>
      </c>
      <c r="B244" s="0" t="s">
        <v>877</v>
      </c>
      <c r="C244" s="0" t="s">
        <v>768</v>
      </c>
      <c r="D244" s="34" t="n">
        <f aca="false">In!D252</f>
        <v>1494</v>
      </c>
      <c r="E244" s="34" t="n">
        <f aca="false">In!E252</f>
        <v>1867</v>
      </c>
      <c r="F244" s="34" t="n">
        <f aca="false">In!F252</f>
        <v>2240</v>
      </c>
      <c r="G244" s="0" t="str">
        <f aca="false">In!G252</f>
        <v>Analogy</v>
      </c>
      <c r="H244" s="12" t="s">
        <v>2630</v>
      </c>
    </row>
    <row r="245" customFormat="false" ht="17.15" hidden="false" customHeight="false" outlineLevel="0" collapsed="false">
      <c r="A245" s="0" t="s">
        <v>881</v>
      </c>
      <c r="B245" s="0" t="s">
        <v>880</v>
      </c>
      <c r="C245" s="0" t="s">
        <v>768</v>
      </c>
      <c r="D245" s="34" t="n">
        <f aca="false">In!D253</f>
        <v>4480</v>
      </c>
      <c r="E245" s="34" t="n">
        <f aca="false">In!E253</f>
        <v>5600</v>
      </c>
      <c r="F245" s="34" t="n">
        <f aca="false">In!F253</f>
        <v>6720</v>
      </c>
      <c r="G245" s="0" t="str">
        <f aca="false">In!G253</f>
        <v>Analogy</v>
      </c>
      <c r="H245" s="12" t="s">
        <v>2631</v>
      </c>
    </row>
    <row r="246" customFormat="false" ht="17.15" hidden="false" customHeight="false" outlineLevel="0" collapsed="false">
      <c r="A246" s="0" t="s">
        <v>885</v>
      </c>
      <c r="B246" s="0" t="s">
        <v>883</v>
      </c>
      <c r="C246" s="0" t="s">
        <v>768</v>
      </c>
      <c r="D246" s="34" t="n">
        <f aca="false">In!D254</f>
        <v>640</v>
      </c>
      <c r="E246" s="34" t="n">
        <f aca="false">In!E254</f>
        <v>800</v>
      </c>
      <c r="F246" s="34" t="n">
        <f aca="false">In!F254</f>
        <v>960</v>
      </c>
      <c r="G246" s="0" t="str">
        <f aca="false">In!G254</f>
        <v>Assumed</v>
      </c>
      <c r="H246" s="12" t="s">
        <v>2632</v>
      </c>
    </row>
    <row r="247" customFormat="false" ht="17.15" hidden="false" customHeight="false" outlineLevel="0" collapsed="false">
      <c r="A247" s="0" t="s">
        <v>888</v>
      </c>
      <c r="B247" s="0" t="s">
        <v>887</v>
      </c>
      <c r="C247" s="0" t="s">
        <v>768</v>
      </c>
      <c r="D247" s="34" t="n">
        <f aca="false">In!D255</f>
        <v>960</v>
      </c>
      <c r="E247" s="34" t="n">
        <f aca="false">In!E255</f>
        <v>1200</v>
      </c>
      <c r="F247" s="34" t="n">
        <f aca="false">In!F255</f>
        <v>1440</v>
      </c>
      <c r="G247" s="0" t="str">
        <f aca="false">In!G255</f>
        <v>Assumed</v>
      </c>
      <c r="H247" s="12" t="s">
        <v>2633</v>
      </c>
    </row>
    <row r="248" customFormat="false" ht="17.15" hidden="false" customHeight="false" outlineLevel="0" collapsed="false">
      <c r="A248" s="0" t="s">
        <v>891</v>
      </c>
      <c r="B248" s="0" t="s">
        <v>890</v>
      </c>
      <c r="C248" s="0" t="s">
        <v>768</v>
      </c>
      <c r="D248" s="34" t="n">
        <f aca="false">In!D256</f>
        <v>640</v>
      </c>
      <c r="E248" s="34" t="n">
        <f aca="false">In!E256</f>
        <v>800</v>
      </c>
      <c r="F248" s="34" t="n">
        <f aca="false">In!F256</f>
        <v>960</v>
      </c>
      <c r="G248" s="0" t="str">
        <f aca="false">In!G256</f>
        <v>Assumed</v>
      </c>
      <c r="H248" s="12" t="s">
        <v>2634</v>
      </c>
    </row>
    <row r="249" customFormat="false" ht="17.15" hidden="false" customHeight="false" outlineLevel="0" collapsed="false">
      <c r="A249" s="0" t="s">
        <v>894</v>
      </c>
      <c r="B249" s="0" t="s">
        <v>893</v>
      </c>
      <c r="C249" s="0" t="s">
        <v>768</v>
      </c>
      <c r="D249" s="34" t="n">
        <f aca="false">In!D257</f>
        <v>1200</v>
      </c>
      <c r="E249" s="34" t="n">
        <f aca="false">In!E257</f>
        <v>1500</v>
      </c>
      <c r="F249" s="34" t="n">
        <f aca="false">In!F257</f>
        <v>1800</v>
      </c>
      <c r="G249" s="0" t="str">
        <f aca="false">In!G257</f>
        <v>Assumed</v>
      </c>
      <c r="H249" s="12" t="s">
        <v>2635</v>
      </c>
    </row>
    <row r="250" customFormat="false" ht="17.15" hidden="false" customHeight="false" outlineLevel="0" collapsed="false">
      <c r="A250" s="0" t="s">
        <v>897</v>
      </c>
      <c r="B250" s="0" t="s">
        <v>896</v>
      </c>
      <c r="C250" s="0" t="s">
        <v>768</v>
      </c>
      <c r="D250" s="34" t="n">
        <f aca="false">In!D258</f>
        <v>240</v>
      </c>
      <c r="E250" s="34" t="n">
        <f aca="false">In!E258</f>
        <v>300</v>
      </c>
      <c r="F250" s="34" t="n">
        <f aca="false">In!F258</f>
        <v>360</v>
      </c>
      <c r="G250" s="0" t="str">
        <f aca="false">In!G258</f>
        <v>Assumed</v>
      </c>
      <c r="H250" s="12" t="s">
        <v>2636</v>
      </c>
    </row>
    <row r="251" customFormat="false" ht="17.15" hidden="false" customHeight="false" outlineLevel="0" collapsed="false">
      <c r="A251" s="0" t="s">
        <v>900</v>
      </c>
      <c r="B251" s="0" t="s">
        <v>899</v>
      </c>
      <c r="C251" s="0" t="s">
        <v>768</v>
      </c>
      <c r="D251" s="34" t="n">
        <f aca="false">In!D259</f>
        <v>320</v>
      </c>
      <c r="E251" s="34" t="n">
        <f aca="false">In!E259</f>
        <v>400</v>
      </c>
      <c r="F251" s="34" t="n">
        <f aca="false">In!F259</f>
        <v>480</v>
      </c>
      <c r="G251" s="0" t="str">
        <f aca="false">In!G259</f>
        <v>Assumed</v>
      </c>
      <c r="H251" s="12" t="s">
        <v>2637</v>
      </c>
    </row>
    <row r="252" customFormat="false" ht="17.15" hidden="false" customHeight="false" outlineLevel="0" collapsed="false">
      <c r="A252" s="0" t="s">
        <v>904</v>
      </c>
      <c r="B252" s="0" t="s">
        <v>902</v>
      </c>
      <c r="C252" s="0" t="s">
        <v>768</v>
      </c>
      <c r="D252" s="34" t="n">
        <f aca="false">In!D260</f>
        <v>480</v>
      </c>
      <c r="E252" s="34" t="n">
        <f aca="false">In!E260</f>
        <v>600</v>
      </c>
      <c r="F252" s="34" t="n">
        <f aca="false">In!F260</f>
        <v>720</v>
      </c>
      <c r="G252" s="0" t="str">
        <f aca="false">In!G260</f>
        <v>Assumed</v>
      </c>
      <c r="H252" s="12" t="s">
        <v>2638</v>
      </c>
    </row>
    <row r="253" customFormat="false" ht="17.15" hidden="false" customHeight="false" outlineLevel="0" collapsed="false">
      <c r="A253" s="0" t="s">
        <v>907</v>
      </c>
      <c r="B253" s="0" t="s">
        <v>906</v>
      </c>
      <c r="C253" s="0" t="s">
        <v>768</v>
      </c>
      <c r="D253" s="34" t="n">
        <f aca="false">In!D261</f>
        <v>640</v>
      </c>
      <c r="E253" s="34" t="n">
        <f aca="false">In!E261</f>
        <v>800</v>
      </c>
      <c r="F253" s="34" t="n">
        <f aca="false">In!F261</f>
        <v>960</v>
      </c>
      <c r="G253" s="0" t="str">
        <f aca="false">In!G261</f>
        <v>Assumed</v>
      </c>
      <c r="H253" s="12" t="s">
        <v>2639</v>
      </c>
    </row>
    <row r="254" customFormat="false" ht="17.15" hidden="false" customHeight="false" outlineLevel="0" collapsed="false">
      <c r="A254" s="0" t="s">
        <v>910</v>
      </c>
      <c r="B254" s="0" t="s">
        <v>909</v>
      </c>
      <c r="C254" s="0" t="s">
        <v>768</v>
      </c>
      <c r="D254" s="34" t="n">
        <f aca="false">In!D262</f>
        <v>640</v>
      </c>
      <c r="E254" s="34" t="n">
        <f aca="false">In!E262</f>
        <v>800</v>
      </c>
      <c r="F254" s="34" t="n">
        <f aca="false">In!F262</f>
        <v>960</v>
      </c>
      <c r="G254" s="0" t="str">
        <f aca="false">In!G262</f>
        <v>Assumed</v>
      </c>
      <c r="H254" s="12" t="s">
        <v>2640</v>
      </c>
    </row>
    <row r="255" customFormat="false" ht="17.15" hidden="false" customHeight="false" outlineLevel="0" collapsed="false">
      <c r="A255" s="0" t="s">
        <v>913</v>
      </c>
      <c r="B255" s="0" t="s">
        <v>912</v>
      </c>
      <c r="C255" s="0" t="s">
        <v>768</v>
      </c>
      <c r="D255" s="34" t="n">
        <f aca="false">In!D263</f>
        <v>960</v>
      </c>
      <c r="E255" s="34" t="n">
        <f aca="false">In!E263</f>
        <v>1200</v>
      </c>
      <c r="F255" s="34" t="n">
        <f aca="false">In!F263</f>
        <v>1440</v>
      </c>
      <c r="G255" s="0" t="str">
        <f aca="false">In!G263</f>
        <v>Assumed</v>
      </c>
      <c r="H255" s="12" t="s">
        <v>2641</v>
      </c>
    </row>
    <row r="256" customFormat="false" ht="17.15" hidden="false" customHeight="false" outlineLevel="0" collapsed="false">
      <c r="A256" s="0" t="s">
        <v>916</v>
      </c>
      <c r="B256" s="0" t="s">
        <v>915</v>
      </c>
      <c r="C256" s="0" t="s">
        <v>768</v>
      </c>
      <c r="D256" s="34" t="n">
        <f aca="false">In!D264</f>
        <v>240</v>
      </c>
      <c r="E256" s="34" t="n">
        <f aca="false">In!E264</f>
        <v>300</v>
      </c>
      <c r="F256" s="34" t="n">
        <f aca="false">In!F264</f>
        <v>360</v>
      </c>
      <c r="G256" s="0" t="str">
        <f aca="false">In!G264</f>
        <v>Assumed</v>
      </c>
      <c r="H256" s="12" t="s">
        <v>2642</v>
      </c>
    </row>
    <row r="257" customFormat="false" ht="17.15" hidden="false" customHeight="false" outlineLevel="0" collapsed="false">
      <c r="A257" s="0" t="s">
        <v>919</v>
      </c>
      <c r="B257" s="0" t="s">
        <v>918</v>
      </c>
      <c r="C257" s="0" t="s">
        <v>768</v>
      </c>
      <c r="D257" s="34" t="n">
        <f aca="false">In!D265</f>
        <v>240</v>
      </c>
      <c r="E257" s="34" t="n">
        <f aca="false">In!E265</f>
        <v>300</v>
      </c>
      <c r="F257" s="34" t="n">
        <f aca="false">In!F265</f>
        <v>360</v>
      </c>
      <c r="G257" s="0" t="str">
        <f aca="false">In!G265</f>
        <v>Assumed</v>
      </c>
      <c r="H257" s="12" t="s">
        <v>2643</v>
      </c>
    </row>
    <row r="258" customFormat="false" ht="17.15" hidden="false" customHeight="false" outlineLevel="0" collapsed="false">
      <c r="A258" s="0" t="s">
        <v>923</v>
      </c>
      <c r="B258" s="6" t="s">
        <v>921</v>
      </c>
      <c r="C258" s="0" t="s">
        <v>768</v>
      </c>
      <c r="D258" s="34" t="n">
        <f aca="false">In!D266</f>
        <v>480</v>
      </c>
      <c r="E258" s="34" t="n">
        <f aca="false">In!E266</f>
        <v>600</v>
      </c>
      <c r="F258" s="34" t="n">
        <f aca="false">In!F266</f>
        <v>720</v>
      </c>
      <c r="G258" s="0" t="str">
        <f aca="false">In!G266</f>
        <v>Assumed</v>
      </c>
      <c r="H258" s="12" t="s">
        <v>2644</v>
      </c>
    </row>
    <row r="259" customFormat="false" ht="17.15" hidden="false" customHeight="false" outlineLevel="0" collapsed="false">
      <c r="A259" s="0" t="s">
        <v>926</v>
      </c>
      <c r="B259" s="6" t="s">
        <v>925</v>
      </c>
      <c r="C259" s="0" t="s">
        <v>768</v>
      </c>
      <c r="D259" s="34" t="n">
        <f aca="false">In!D267</f>
        <v>640</v>
      </c>
      <c r="E259" s="34" t="n">
        <f aca="false">In!E267</f>
        <v>800</v>
      </c>
      <c r="F259" s="34" t="n">
        <f aca="false">In!F267</f>
        <v>960</v>
      </c>
      <c r="G259" s="0" t="str">
        <f aca="false">In!G267</f>
        <v>Assumed</v>
      </c>
      <c r="H259" s="12" t="s">
        <v>2645</v>
      </c>
    </row>
    <row r="260" customFormat="false" ht="17.15" hidden="false" customHeight="false" outlineLevel="0" collapsed="false">
      <c r="A260" s="0" t="s">
        <v>929</v>
      </c>
      <c r="B260" s="6" t="s">
        <v>928</v>
      </c>
      <c r="C260" s="0" t="s">
        <v>768</v>
      </c>
      <c r="D260" s="34" t="n">
        <f aca="false">In!D268</f>
        <v>640</v>
      </c>
      <c r="E260" s="34" t="n">
        <f aca="false">In!E268</f>
        <v>800</v>
      </c>
      <c r="F260" s="34" t="n">
        <f aca="false">In!F268</f>
        <v>960</v>
      </c>
      <c r="G260" s="0" t="str">
        <f aca="false">In!G268</f>
        <v>Assumed</v>
      </c>
      <c r="H260" s="12" t="s">
        <v>2646</v>
      </c>
    </row>
    <row r="261" customFormat="false" ht="17.15" hidden="false" customHeight="false" outlineLevel="0" collapsed="false">
      <c r="A261" s="0" t="s">
        <v>932</v>
      </c>
      <c r="B261" s="6" t="s">
        <v>931</v>
      </c>
      <c r="C261" s="0" t="s">
        <v>768</v>
      </c>
      <c r="D261" s="34" t="n">
        <f aca="false">In!D269</f>
        <v>960</v>
      </c>
      <c r="E261" s="34" t="n">
        <f aca="false">In!E269</f>
        <v>1200</v>
      </c>
      <c r="F261" s="34" t="n">
        <f aca="false">In!F269</f>
        <v>1440</v>
      </c>
      <c r="G261" s="0" t="str">
        <f aca="false">In!G269</f>
        <v>Assumed</v>
      </c>
      <c r="H261" s="12" t="s">
        <v>2647</v>
      </c>
    </row>
    <row r="262" customFormat="false" ht="17.15" hidden="false" customHeight="false" outlineLevel="0" collapsed="false">
      <c r="A262" s="0" t="s">
        <v>935</v>
      </c>
      <c r="B262" s="6" t="s">
        <v>934</v>
      </c>
      <c r="C262" s="0" t="s">
        <v>768</v>
      </c>
      <c r="D262" s="34" t="n">
        <f aca="false">In!D270</f>
        <v>240</v>
      </c>
      <c r="E262" s="34" t="n">
        <f aca="false">In!E270</f>
        <v>300</v>
      </c>
      <c r="F262" s="34" t="n">
        <f aca="false">In!F270</f>
        <v>360</v>
      </c>
      <c r="G262" s="0" t="str">
        <f aca="false">In!G270</f>
        <v>Assumed</v>
      </c>
      <c r="H262" s="12" t="s">
        <v>2648</v>
      </c>
    </row>
    <row r="263" customFormat="false" ht="17.15" hidden="false" customHeight="false" outlineLevel="0" collapsed="false">
      <c r="A263" s="0" t="s">
        <v>938</v>
      </c>
      <c r="B263" s="6" t="s">
        <v>937</v>
      </c>
      <c r="C263" s="0" t="s">
        <v>768</v>
      </c>
      <c r="D263" s="34" t="n">
        <f aca="false">In!D271</f>
        <v>240</v>
      </c>
      <c r="E263" s="34" t="n">
        <f aca="false">In!E271</f>
        <v>300</v>
      </c>
      <c r="F263" s="34" t="n">
        <f aca="false">In!F271</f>
        <v>360</v>
      </c>
      <c r="G263" s="0" t="str">
        <f aca="false">In!G271</f>
        <v>Assumed</v>
      </c>
      <c r="H263" s="12" t="s">
        <v>2649</v>
      </c>
    </row>
    <row r="264" customFormat="false" ht="17.15" hidden="false" customHeight="false" outlineLevel="0" collapsed="false">
      <c r="A264" s="0" t="s">
        <v>944</v>
      </c>
      <c r="B264" s="0" t="s">
        <v>941</v>
      </c>
      <c r="C264" s="0" t="s">
        <v>942</v>
      </c>
      <c r="E264" s="34" t="n">
        <f aca="false">In!E273</f>
        <v>66.1944444444444</v>
      </c>
      <c r="G264" s="0" t="str">
        <f aca="false">In!G273</f>
        <v>Derived</v>
      </c>
      <c r="H264" s="12" t="s">
        <v>2650</v>
      </c>
    </row>
    <row r="265" customFormat="false" ht="17.15" hidden="false" customHeight="false" outlineLevel="0" collapsed="false">
      <c r="A265" s="0" t="s">
        <v>948</v>
      </c>
      <c r="B265" s="0" t="s">
        <v>946</v>
      </c>
      <c r="C265" s="0" t="s">
        <v>942</v>
      </c>
      <c r="E265" s="34" t="n">
        <f aca="false">In!E274</f>
        <v>128.833333333333</v>
      </c>
      <c r="G265" s="0" t="str">
        <f aca="false">In!G274</f>
        <v>Derived</v>
      </c>
      <c r="H265" s="12" t="s">
        <v>2651</v>
      </c>
    </row>
    <row r="266" customFormat="false" ht="17.15" hidden="false" customHeight="false" outlineLevel="0" collapsed="false">
      <c r="A266" s="0" t="s">
        <v>952</v>
      </c>
      <c r="B266" s="0" t="s">
        <v>950</v>
      </c>
      <c r="C266" s="0" t="s">
        <v>942</v>
      </c>
      <c r="E266" s="34" t="n">
        <f aca="false">In!E275</f>
        <v>257.166666666667</v>
      </c>
      <c r="G266" s="0" t="str">
        <f aca="false">In!G275</f>
        <v>Derived</v>
      </c>
      <c r="H266" s="12" t="s">
        <v>2652</v>
      </c>
    </row>
    <row r="267" customFormat="false" ht="17.15" hidden="false" customHeight="false" outlineLevel="0" collapsed="false">
      <c r="A267" s="0" t="s">
        <v>956</v>
      </c>
      <c r="B267" s="0" t="s">
        <v>954</v>
      </c>
      <c r="C267" s="0" t="s">
        <v>942</v>
      </c>
      <c r="E267" s="34" t="n">
        <f aca="false">In!E276</f>
        <v>38.3125</v>
      </c>
      <c r="G267" s="0" t="str">
        <f aca="false">In!G276</f>
        <v>Derived</v>
      </c>
      <c r="H267" s="12" t="s">
        <v>2653</v>
      </c>
    </row>
    <row r="268" customFormat="false" ht="17.15" hidden="false" customHeight="false" outlineLevel="0" collapsed="false">
      <c r="A268" s="0" t="s">
        <v>960</v>
      </c>
      <c r="B268" s="0" t="s">
        <v>958</v>
      </c>
      <c r="C268" s="0" t="s">
        <v>942</v>
      </c>
      <c r="D268" s="34" t="n">
        <f aca="false">In!D277</f>
        <v>30</v>
      </c>
      <c r="E268" s="34" t="n">
        <f aca="false">In!E277</f>
        <v>40</v>
      </c>
      <c r="F268" s="34" t="n">
        <f aca="false">In!F277</f>
        <v>50</v>
      </c>
      <c r="G268" s="0" t="str">
        <f aca="false">In!G277</f>
        <v>Assumed</v>
      </c>
      <c r="H268" s="12" t="s">
        <v>2654</v>
      </c>
    </row>
    <row r="269" customFormat="false" ht="17.15" hidden="false" customHeight="false" outlineLevel="0" collapsed="false">
      <c r="A269" s="0" t="s">
        <v>964</v>
      </c>
      <c r="B269" s="0" t="s">
        <v>962</v>
      </c>
      <c r="C269" s="0" t="s">
        <v>942</v>
      </c>
      <c r="D269" s="34" t="n">
        <f aca="false">In!D278</f>
        <v>80</v>
      </c>
      <c r="E269" s="34" t="n">
        <f aca="false">In!E278</f>
        <v>100</v>
      </c>
      <c r="F269" s="34" t="n">
        <f aca="false">In!F278</f>
        <v>120</v>
      </c>
      <c r="G269" s="0" t="str">
        <f aca="false">In!G278</f>
        <v>Assumed</v>
      </c>
      <c r="H269" s="12" t="s">
        <v>2655</v>
      </c>
    </row>
    <row r="270" customFormat="false" ht="17.15" hidden="false" customHeight="false" outlineLevel="0" collapsed="false">
      <c r="A270" s="0" t="s">
        <v>968</v>
      </c>
      <c r="B270" s="0" t="s">
        <v>966</v>
      </c>
      <c r="C270" s="0" t="s">
        <v>942</v>
      </c>
      <c r="D270" s="34" t="n">
        <f aca="false">In!D279</f>
        <v>15</v>
      </c>
      <c r="E270" s="34" t="n">
        <f aca="false">In!E279</f>
        <v>25</v>
      </c>
      <c r="F270" s="34" t="n">
        <f aca="false">In!F279</f>
        <v>35</v>
      </c>
      <c r="G270" s="0" t="str">
        <f aca="false">In!G279</f>
        <v>Assumed</v>
      </c>
      <c r="H270" s="12" t="s">
        <v>2656</v>
      </c>
    </row>
    <row r="271" customFormat="false" ht="17.15" hidden="false" customHeight="false" outlineLevel="0" collapsed="false">
      <c r="A271" s="0" t="s">
        <v>971</v>
      </c>
      <c r="B271" s="0" t="s">
        <v>970</v>
      </c>
      <c r="C271" s="0" t="s">
        <v>942</v>
      </c>
      <c r="D271" s="34" t="n">
        <f aca="false">In!D280</f>
        <v>12</v>
      </c>
      <c r="E271" s="34" t="n">
        <f aca="false">In!E280</f>
        <v>20</v>
      </c>
      <c r="F271" s="34" t="n">
        <f aca="false">In!F280</f>
        <v>30</v>
      </c>
      <c r="G271" s="0" t="str">
        <f aca="false">In!G280</f>
        <v>Assumed</v>
      </c>
      <c r="H271" s="12" t="s">
        <v>2657</v>
      </c>
    </row>
    <row r="272" customFormat="false" ht="17.15" hidden="false" customHeight="false" outlineLevel="0" collapsed="false">
      <c r="A272" s="0" t="s">
        <v>974</v>
      </c>
      <c r="B272" s="6" t="s">
        <v>973</v>
      </c>
      <c r="C272" s="0" t="s">
        <v>942</v>
      </c>
      <c r="D272" s="34" t="n">
        <f aca="false">In!D281</f>
        <v>12</v>
      </c>
      <c r="E272" s="34" t="n">
        <f aca="false">In!E281</f>
        <v>20</v>
      </c>
      <c r="F272" s="34" t="n">
        <f aca="false">In!F281</f>
        <v>30</v>
      </c>
      <c r="G272" s="0" t="str">
        <f aca="false">In!G281</f>
        <v>Assumed</v>
      </c>
      <c r="H272" s="12" t="s">
        <v>2658</v>
      </c>
    </row>
    <row r="273" customFormat="false" ht="17.15" hidden="false" customHeight="false" outlineLevel="0" collapsed="false">
      <c r="A273" s="0" t="s">
        <v>979</v>
      </c>
      <c r="B273" s="0" t="s">
        <v>977</v>
      </c>
      <c r="C273" s="0" t="s">
        <v>57</v>
      </c>
      <c r="D273" s="20" t="n">
        <f aca="false">In!D283</f>
        <v>0</v>
      </c>
      <c r="E273" s="20" t="n">
        <f aca="false">In!E283</f>
        <v>0</v>
      </c>
      <c r="F273" s="20" t="n">
        <f aca="false">In!F283</f>
        <v>0</v>
      </c>
      <c r="G273" s="0" t="str">
        <f aca="false">In!G283</f>
        <v>Interested-party／Assumed</v>
      </c>
      <c r="H273" s="12" t="s">
        <v>2659</v>
      </c>
    </row>
    <row r="274" customFormat="false" ht="17.15" hidden="false" customHeight="false" outlineLevel="0" collapsed="false">
      <c r="A274" s="0" t="s">
        <v>982</v>
      </c>
      <c r="B274" s="0" t="s">
        <v>981</v>
      </c>
      <c r="C274" s="0" t="s">
        <v>57</v>
      </c>
      <c r="D274" s="20" t="n">
        <f aca="false">In!D284</f>
        <v>0</v>
      </c>
      <c r="E274" s="20" t="n">
        <f aca="false">In!E284</f>
        <v>0</v>
      </c>
      <c r="F274" s="20" t="n">
        <f aca="false">In!F284</f>
        <v>0</v>
      </c>
      <c r="G274" s="0" t="str">
        <f aca="false">In!G284</f>
        <v>Interested-party／Assumed</v>
      </c>
      <c r="H274" s="12" t="s">
        <v>2660</v>
      </c>
    </row>
    <row r="275" customFormat="false" ht="17.15" hidden="false" customHeight="false" outlineLevel="0" collapsed="false">
      <c r="A275" s="0" t="s">
        <v>985</v>
      </c>
      <c r="B275" s="0" t="s">
        <v>984</v>
      </c>
      <c r="C275" s="0" t="s">
        <v>57</v>
      </c>
      <c r="D275" s="20" t="n">
        <f aca="false">In!D285</f>
        <v>0</v>
      </c>
      <c r="E275" s="20" t="n">
        <f aca="false">In!E285</f>
        <v>0</v>
      </c>
      <c r="F275" s="20" t="n">
        <f aca="false">In!F285</f>
        <v>0.05</v>
      </c>
      <c r="G275" s="0" t="str">
        <f aca="false">In!G285</f>
        <v>Interested-party／Assumed</v>
      </c>
      <c r="H275" s="12" t="s">
        <v>2661</v>
      </c>
    </row>
    <row r="276" customFormat="false" ht="17.15" hidden="false" customHeight="false" outlineLevel="0" collapsed="false">
      <c r="A276" s="0" t="s">
        <v>988</v>
      </c>
      <c r="B276" s="0" t="s">
        <v>987</v>
      </c>
      <c r="C276" s="0" t="s">
        <v>57</v>
      </c>
      <c r="D276" s="20" t="n">
        <f aca="false">In!D286</f>
        <v>0.1</v>
      </c>
      <c r="E276" s="20" t="n">
        <f aca="false">In!E286</f>
        <v>0.2</v>
      </c>
      <c r="F276" s="20" t="n">
        <f aca="false">In!F286</f>
        <v>0.3</v>
      </c>
      <c r="G276" s="0" t="str">
        <f aca="false">In!G286</f>
        <v>Interested-party／Assumed</v>
      </c>
      <c r="H276" s="12" t="s">
        <v>2662</v>
      </c>
    </row>
    <row r="277" customFormat="false" ht="17.15" hidden="false" customHeight="false" outlineLevel="0" collapsed="false">
      <c r="A277" s="0" t="s">
        <v>992</v>
      </c>
      <c r="B277" s="0" t="s">
        <v>990</v>
      </c>
      <c r="C277" s="0" t="s">
        <v>57</v>
      </c>
      <c r="D277" s="20" t="n">
        <f aca="false">In!D287</f>
        <v>0.4</v>
      </c>
      <c r="E277" s="20" t="n">
        <f aca="false">In!E287</f>
        <v>0.6</v>
      </c>
      <c r="F277" s="20" t="n">
        <f aca="false">In!F287</f>
        <v>0.8</v>
      </c>
      <c r="G277" s="0" t="str">
        <f aca="false">In!G287</f>
        <v>Assumed</v>
      </c>
      <c r="H277" s="12" t="s">
        <v>2663</v>
      </c>
    </row>
    <row r="278" customFormat="false" ht="17.15" hidden="false" customHeight="false" outlineLevel="0" collapsed="false">
      <c r="A278" s="0" t="s">
        <v>997</v>
      </c>
      <c r="B278" s="6" t="s">
        <v>994</v>
      </c>
      <c r="C278" s="0" t="s">
        <v>57</v>
      </c>
      <c r="D278" s="20" t="n">
        <f aca="false">In!D288</f>
        <v>0.007</v>
      </c>
      <c r="E278" s="20" t="n">
        <f aca="false">In!E288</f>
        <v>0.01</v>
      </c>
      <c r="F278" s="20" t="n">
        <f aca="false">In!F288</f>
        <v>0.014</v>
      </c>
      <c r="G278" s="0" t="str">
        <f aca="false">In!G288</f>
        <v>Assumed（Interested-party 錨）</v>
      </c>
      <c r="H278" s="12" t="s">
        <v>2664</v>
      </c>
    </row>
    <row r="279" customFormat="false" ht="17.15" hidden="false" customHeight="false" outlineLevel="0" collapsed="false">
      <c r="A279" s="0" t="s">
        <v>1000</v>
      </c>
      <c r="B279" s="6" t="s">
        <v>999</v>
      </c>
      <c r="C279" s="0" t="s">
        <v>57</v>
      </c>
      <c r="D279" s="20" t="n">
        <f aca="false">In!D289</f>
        <v>0.035</v>
      </c>
      <c r="E279" s="20" t="n">
        <f aca="false">In!E289</f>
        <v>0.05</v>
      </c>
      <c r="F279" s="20" t="n">
        <f aca="false">In!F289</f>
        <v>0.07</v>
      </c>
      <c r="G279" s="0" t="str">
        <f aca="false">In!G289</f>
        <v>Assumed（Interested-party 錨）</v>
      </c>
      <c r="H279" s="12" t="s">
        <v>2665</v>
      </c>
    </row>
    <row r="280" customFormat="false" ht="17.15" hidden="false" customHeight="false" outlineLevel="0" collapsed="false">
      <c r="A280" s="0" t="s">
        <v>1003</v>
      </c>
      <c r="B280" s="6" t="s">
        <v>1002</v>
      </c>
      <c r="C280" s="0" t="s">
        <v>57</v>
      </c>
      <c r="D280" s="20" t="n">
        <f aca="false">In!D290</f>
        <v>0.07</v>
      </c>
      <c r="E280" s="20" t="n">
        <f aca="false">In!E290</f>
        <v>0.1</v>
      </c>
      <c r="F280" s="20" t="n">
        <f aca="false">In!F290</f>
        <v>0.14</v>
      </c>
      <c r="G280" s="0" t="str">
        <f aca="false">In!G290</f>
        <v>Assumed（Interested-party 錨）</v>
      </c>
      <c r="H280" s="12" t="s">
        <v>2666</v>
      </c>
    </row>
    <row r="281" customFormat="false" ht="17.15" hidden="false" customHeight="false" outlineLevel="0" collapsed="false">
      <c r="A281" s="0" t="s">
        <v>1006</v>
      </c>
      <c r="B281" s="6" t="s">
        <v>1005</v>
      </c>
      <c r="C281" s="0" t="s">
        <v>57</v>
      </c>
      <c r="D281" s="20" t="n">
        <f aca="false">In!D291</f>
        <v>0.112</v>
      </c>
      <c r="E281" s="20" t="n">
        <f aca="false">In!E291</f>
        <v>0.16</v>
      </c>
      <c r="F281" s="20" t="n">
        <f aca="false">In!F291</f>
        <v>0.224</v>
      </c>
      <c r="G281" s="0" t="str">
        <f aca="false">In!G291</f>
        <v>Assumed（Interested-party 錨）</v>
      </c>
      <c r="H281" s="12" t="s">
        <v>2667</v>
      </c>
    </row>
    <row r="282" customFormat="false" ht="17.15" hidden="false" customHeight="false" outlineLevel="0" collapsed="false">
      <c r="A282" s="0" t="s">
        <v>1010</v>
      </c>
      <c r="B282" s="6" t="s">
        <v>1008</v>
      </c>
      <c r="C282" s="0" t="s">
        <v>57</v>
      </c>
      <c r="D282" s="20" t="n">
        <f aca="false">In!D292</f>
        <v>0.007</v>
      </c>
      <c r="E282" s="20" t="n">
        <f aca="false">In!E292</f>
        <v>0.01</v>
      </c>
      <c r="F282" s="20" t="n">
        <f aca="false">In!F292</f>
        <v>0.014</v>
      </c>
      <c r="G282" s="0" t="str">
        <f aca="false">In!G292</f>
        <v>Assumed（Interested-party 錨）</v>
      </c>
      <c r="H282" s="12" t="s">
        <v>2668</v>
      </c>
    </row>
    <row r="283" customFormat="false" ht="17.15" hidden="false" customHeight="false" outlineLevel="0" collapsed="false">
      <c r="A283" s="0" t="s">
        <v>1013</v>
      </c>
      <c r="B283" s="6" t="s">
        <v>1012</v>
      </c>
      <c r="C283" s="0" t="s">
        <v>57</v>
      </c>
      <c r="D283" s="20" t="n">
        <f aca="false">In!D293</f>
        <v>0.021</v>
      </c>
      <c r="E283" s="20" t="n">
        <f aca="false">In!E293</f>
        <v>0.03</v>
      </c>
      <c r="F283" s="20" t="n">
        <f aca="false">In!F293</f>
        <v>0.042</v>
      </c>
      <c r="G283" s="0" t="str">
        <f aca="false">In!G293</f>
        <v>Assumed（Interested-party 錨）</v>
      </c>
      <c r="H283" s="12" t="s">
        <v>2669</v>
      </c>
    </row>
    <row r="284" customFormat="false" ht="17.15" hidden="false" customHeight="false" outlineLevel="0" collapsed="false">
      <c r="A284" s="0" t="s">
        <v>1016</v>
      </c>
      <c r="B284" s="6" t="s">
        <v>1015</v>
      </c>
      <c r="C284" s="0" t="s">
        <v>57</v>
      </c>
      <c r="D284" s="20" t="n">
        <f aca="false">In!D294</f>
        <v>0.035</v>
      </c>
      <c r="E284" s="20" t="n">
        <f aca="false">In!E294</f>
        <v>0.05</v>
      </c>
      <c r="F284" s="20" t="n">
        <f aca="false">In!F294</f>
        <v>0.07</v>
      </c>
      <c r="G284" s="0" t="str">
        <f aca="false">In!G294</f>
        <v>Assumed（Interested-party 錨）</v>
      </c>
      <c r="H284" s="12" t="s">
        <v>2670</v>
      </c>
    </row>
    <row r="285" customFormat="false" ht="17.15" hidden="false" customHeight="false" outlineLevel="0" collapsed="false">
      <c r="A285" s="0" t="s">
        <v>1019</v>
      </c>
      <c r="B285" s="6" t="s">
        <v>1018</v>
      </c>
      <c r="C285" s="0" t="s">
        <v>57</v>
      </c>
      <c r="D285" s="20" t="n">
        <f aca="false">In!D295</f>
        <v>0.056</v>
      </c>
      <c r="E285" s="20" t="n">
        <f aca="false">In!E295</f>
        <v>0.08</v>
      </c>
      <c r="F285" s="20" t="n">
        <f aca="false">In!F295</f>
        <v>0.112</v>
      </c>
      <c r="G285" s="0" t="str">
        <f aca="false">In!G295</f>
        <v>Assumed（Interested-party 錨）</v>
      </c>
      <c r="H285" s="12" t="s">
        <v>2671</v>
      </c>
    </row>
    <row r="286" customFormat="false" ht="17.15" hidden="false" customHeight="false" outlineLevel="0" collapsed="false">
      <c r="A286" s="0" t="s">
        <v>1023</v>
      </c>
      <c r="B286" s="6" t="s">
        <v>1021</v>
      </c>
      <c r="C286" s="0" t="s">
        <v>57</v>
      </c>
      <c r="D286" s="20" t="n">
        <f aca="false">In!D296</f>
        <v>0.007</v>
      </c>
      <c r="E286" s="20" t="n">
        <f aca="false">In!E296</f>
        <v>0.01</v>
      </c>
      <c r="F286" s="20" t="n">
        <f aca="false">In!F296</f>
        <v>0.014</v>
      </c>
      <c r="G286" s="0" t="str">
        <f aca="false">In!G296</f>
        <v>Assumed</v>
      </c>
      <c r="H286" s="12" t="s">
        <v>2672</v>
      </c>
    </row>
    <row r="287" customFormat="false" ht="17.15" hidden="false" customHeight="false" outlineLevel="0" collapsed="false">
      <c r="A287" s="0" t="s">
        <v>1026</v>
      </c>
      <c r="B287" s="6" t="s">
        <v>1025</v>
      </c>
      <c r="C287" s="0" t="s">
        <v>57</v>
      </c>
      <c r="D287" s="20" t="n">
        <f aca="false">In!D297</f>
        <v>0.014</v>
      </c>
      <c r="E287" s="20" t="n">
        <f aca="false">In!E297</f>
        <v>0.02</v>
      </c>
      <c r="F287" s="20" t="n">
        <f aca="false">In!F297</f>
        <v>0.028</v>
      </c>
      <c r="G287" s="0" t="str">
        <f aca="false">In!G297</f>
        <v>Assumed</v>
      </c>
      <c r="H287" s="12" t="s">
        <v>2673</v>
      </c>
    </row>
    <row r="288" customFormat="false" ht="17.15" hidden="false" customHeight="false" outlineLevel="0" collapsed="false">
      <c r="A288" s="0" t="s">
        <v>1029</v>
      </c>
      <c r="B288" s="6" t="s">
        <v>1028</v>
      </c>
      <c r="C288" s="0" t="s">
        <v>57</v>
      </c>
      <c r="D288" s="20" t="n">
        <f aca="false">In!D298</f>
        <v>0.021</v>
      </c>
      <c r="E288" s="20" t="n">
        <f aca="false">In!E298</f>
        <v>0.03</v>
      </c>
      <c r="F288" s="20" t="n">
        <f aca="false">In!F298</f>
        <v>0.042</v>
      </c>
      <c r="G288" s="0" t="str">
        <f aca="false">In!G298</f>
        <v>Assumed</v>
      </c>
      <c r="H288" s="12" t="s">
        <v>2674</v>
      </c>
    </row>
    <row r="289" customFormat="false" ht="17.15" hidden="false" customHeight="false" outlineLevel="0" collapsed="false">
      <c r="A289" s="0" t="s">
        <v>1032</v>
      </c>
      <c r="B289" s="6" t="s">
        <v>1031</v>
      </c>
      <c r="C289" s="0" t="s">
        <v>57</v>
      </c>
      <c r="D289" s="20" t="n">
        <f aca="false">In!D299</f>
        <v>0.035</v>
      </c>
      <c r="E289" s="20" t="n">
        <f aca="false">In!E299</f>
        <v>0.05</v>
      </c>
      <c r="F289" s="20" t="n">
        <f aca="false">In!F299</f>
        <v>0.07</v>
      </c>
      <c r="G289" s="0" t="str">
        <f aca="false">In!G299</f>
        <v>Assumed</v>
      </c>
      <c r="H289" s="12" t="s">
        <v>2675</v>
      </c>
    </row>
    <row r="290" customFormat="false" ht="17.15" hidden="false" customHeight="false" outlineLevel="0" collapsed="false">
      <c r="A290" s="0" t="s">
        <v>1037</v>
      </c>
      <c r="B290" s="0" t="s">
        <v>1035</v>
      </c>
      <c r="C290" s="0" t="s">
        <v>57</v>
      </c>
      <c r="D290" s="20" t="n">
        <f aca="false">In!D301</f>
        <v>0.15</v>
      </c>
      <c r="E290" s="20" t="n">
        <f aca="false">In!E301</f>
        <v>0.22</v>
      </c>
      <c r="F290" s="20" t="n">
        <f aca="false">In!F301</f>
        <v>0.3</v>
      </c>
      <c r="G290" s="0" t="str">
        <f aca="false">In!G301</f>
        <v>Interested-party</v>
      </c>
      <c r="H290" s="12" t="s">
        <v>2676</v>
      </c>
    </row>
    <row r="291" customFormat="false" ht="17.15" hidden="false" customHeight="false" outlineLevel="0" collapsed="false">
      <c r="A291" s="0" t="s">
        <v>1043</v>
      </c>
      <c r="B291" s="0" t="s">
        <v>1041</v>
      </c>
      <c r="C291" s="0" t="s">
        <v>57</v>
      </c>
      <c r="D291" s="20" t="n">
        <f aca="false">In!D303</f>
        <v>0.1</v>
      </c>
      <c r="E291" s="20" t="n">
        <f aca="false">In!E303</f>
        <v>0.25</v>
      </c>
      <c r="F291" s="20" t="n">
        <f aca="false">In!F303</f>
        <v>0.35</v>
      </c>
      <c r="G291" s="0" t="str">
        <f aca="false">In!G303</f>
        <v>Assumed</v>
      </c>
      <c r="H291" s="12" t="s">
        <v>2677</v>
      </c>
    </row>
    <row r="292" customFormat="false" ht="17.15" hidden="false" customHeight="false" outlineLevel="0" collapsed="false">
      <c r="A292" s="0" t="s">
        <v>1048</v>
      </c>
      <c r="B292" s="0" t="s">
        <v>1046</v>
      </c>
      <c r="C292" s="0" t="s">
        <v>57</v>
      </c>
      <c r="D292" s="20" t="n">
        <f aca="false">In!D304</f>
        <v>0.1</v>
      </c>
      <c r="E292" s="20" t="n">
        <f aca="false">In!E304</f>
        <v>0.25</v>
      </c>
      <c r="F292" s="20" t="n">
        <f aca="false">In!F304</f>
        <v>0.35</v>
      </c>
      <c r="G292" s="0" t="str">
        <f aca="false">In!G304</f>
        <v>Assumed</v>
      </c>
      <c r="H292" s="12" t="s">
        <v>2678</v>
      </c>
    </row>
    <row r="293" customFormat="false" ht="17.15" hidden="false" customHeight="false" outlineLevel="0" collapsed="false">
      <c r="A293" s="0" t="s">
        <v>1052</v>
      </c>
      <c r="B293" s="0" t="s">
        <v>1051</v>
      </c>
      <c r="C293" s="0" t="s">
        <v>57</v>
      </c>
      <c r="D293" s="20" t="n">
        <f aca="false">In!D305</f>
        <v>0.1</v>
      </c>
      <c r="E293" s="20" t="n">
        <f aca="false">In!E305</f>
        <v>0.2</v>
      </c>
      <c r="F293" s="20" t="n">
        <f aca="false">In!F305</f>
        <v>0.3</v>
      </c>
      <c r="G293" s="0" t="str">
        <f aca="false">In!G305</f>
        <v>Assumed</v>
      </c>
      <c r="H293" s="12" t="s">
        <v>2679</v>
      </c>
    </row>
    <row r="294" customFormat="false" ht="17.15" hidden="false" customHeight="false" outlineLevel="0" collapsed="false">
      <c r="A294" s="0" t="s">
        <v>1056</v>
      </c>
      <c r="B294" s="0" t="s">
        <v>1054</v>
      </c>
      <c r="C294" s="0" t="s">
        <v>57</v>
      </c>
      <c r="D294" s="20" t="n">
        <f aca="false">In!D306</f>
        <v>0</v>
      </c>
      <c r="E294" s="20" t="n">
        <f aca="false">In!E306</f>
        <v>0.1</v>
      </c>
      <c r="F294" s="20" t="n">
        <f aca="false">In!F306</f>
        <v>0.25</v>
      </c>
      <c r="G294" s="0" t="str">
        <f aca="false">In!G306</f>
        <v>Assumed</v>
      </c>
      <c r="H294" s="12" t="s">
        <v>2680</v>
      </c>
    </row>
    <row r="295" customFormat="false" ht="17.15" hidden="false" customHeight="false" outlineLevel="0" collapsed="false">
      <c r="A295" s="0" t="s">
        <v>1060</v>
      </c>
      <c r="B295" s="0" t="s">
        <v>1059</v>
      </c>
      <c r="C295" s="0" t="s">
        <v>57</v>
      </c>
      <c r="D295" s="20" t="n">
        <f aca="false">In!D307</f>
        <v>0</v>
      </c>
      <c r="E295" s="20" t="n">
        <f aca="false">In!E307</f>
        <v>0.15</v>
      </c>
      <c r="F295" s="20" t="n">
        <f aca="false">In!F307</f>
        <v>0.3</v>
      </c>
      <c r="G295" s="0" t="str">
        <f aca="false">In!G307</f>
        <v>Assumed</v>
      </c>
      <c r="H295" s="12" t="s">
        <v>2681</v>
      </c>
    </row>
    <row r="296" customFormat="false" ht="17.15" hidden="false" customHeight="false" outlineLevel="0" collapsed="false">
      <c r="A296" s="0" t="s">
        <v>1063</v>
      </c>
      <c r="B296" s="0" t="s">
        <v>1062</v>
      </c>
      <c r="C296" s="0" t="s">
        <v>57</v>
      </c>
      <c r="D296" s="20" t="n">
        <f aca="false">In!D308</f>
        <v>0</v>
      </c>
      <c r="E296" s="20" t="n">
        <f aca="false">In!E308</f>
        <v>0.2</v>
      </c>
      <c r="F296" s="20" t="n">
        <f aca="false">In!F308</f>
        <v>0.35</v>
      </c>
      <c r="G296" s="0" t="str">
        <f aca="false">In!G308</f>
        <v>Assumed</v>
      </c>
      <c r="H296" s="12" t="s">
        <v>2682</v>
      </c>
    </row>
    <row r="297" customFormat="false" ht="17.15" hidden="false" customHeight="false" outlineLevel="0" collapsed="false">
      <c r="A297" s="0" t="s">
        <v>1067</v>
      </c>
      <c r="B297" s="6" t="s">
        <v>1065</v>
      </c>
      <c r="C297" s="0" t="s">
        <v>57</v>
      </c>
      <c r="D297" s="20" t="n">
        <f aca="false">In!D309</f>
        <v>0</v>
      </c>
      <c r="E297" s="20" t="n">
        <f aca="false">In!E309</f>
        <v>0.1</v>
      </c>
      <c r="F297" s="20" t="n">
        <f aca="false">In!F309</f>
        <v>0.3</v>
      </c>
      <c r="G297" s="0" t="str">
        <f aca="false">In!G309</f>
        <v>Assumed</v>
      </c>
      <c r="H297" s="12" t="s">
        <v>2683</v>
      </c>
    </row>
    <row r="298" customFormat="false" ht="17.15" hidden="false" customHeight="false" outlineLevel="0" collapsed="false">
      <c r="A298" s="0" t="s">
        <v>1071</v>
      </c>
      <c r="B298" s="6" t="s">
        <v>1070</v>
      </c>
      <c r="C298" s="0" t="s">
        <v>57</v>
      </c>
      <c r="D298" s="20" t="n">
        <f aca="false">In!D310</f>
        <v>0</v>
      </c>
      <c r="E298" s="20" t="n">
        <f aca="false">In!E310</f>
        <v>0.15</v>
      </c>
      <c r="F298" s="20" t="n">
        <f aca="false">In!F310</f>
        <v>0.35</v>
      </c>
      <c r="G298" s="0" t="str">
        <f aca="false">In!G310</f>
        <v>Assumed</v>
      </c>
      <c r="H298" s="12" t="s">
        <v>2684</v>
      </c>
    </row>
    <row r="299" customFormat="false" ht="17.15" hidden="false" customHeight="false" outlineLevel="0" collapsed="false">
      <c r="A299" s="0" t="s">
        <v>1074</v>
      </c>
      <c r="B299" s="6" t="s">
        <v>1073</v>
      </c>
      <c r="C299" s="0" t="s">
        <v>57</v>
      </c>
      <c r="D299" s="20" t="n">
        <f aca="false">In!D311</f>
        <v>0</v>
      </c>
      <c r="E299" s="20" t="n">
        <f aca="false">In!E311</f>
        <v>0.2</v>
      </c>
      <c r="F299" s="20" t="n">
        <f aca="false">In!F311</f>
        <v>0.4</v>
      </c>
      <c r="G299" s="0" t="str">
        <f aca="false">In!G311</f>
        <v>Assumed</v>
      </c>
      <c r="H299" s="12" t="s">
        <v>2685</v>
      </c>
    </row>
    <row r="300" customFormat="false" ht="17.15" hidden="false" customHeight="false" outlineLevel="0" collapsed="false">
      <c r="A300" s="0" t="s">
        <v>1078</v>
      </c>
      <c r="B300" s="6" t="s">
        <v>1076</v>
      </c>
      <c r="C300" s="0" t="s">
        <v>57</v>
      </c>
      <c r="D300" s="20" t="n">
        <f aca="false">In!D312</f>
        <v>0</v>
      </c>
      <c r="E300" s="20" t="n">
        <f aca="false">In!E312</f>
        <v>0.05</v>
      </c>
      <c r="F300" s="20" t="n">
        <f aca="false">In!F312</f>
        <v>0.2</v>
      </c>
      <c r="G300" s="0" t="str">
        <f aca="false">In!G312</f>
        <v>Assumed</v>
      </c>
      <c r="H300" s="12" t="s">
        <v>2686</v>
      </c>
    </row>
    <row r="301" customFormat="false" ht="17.15" hidden="false" customHeight="false" outlineLevel="0" collapsed="false">
      <c r="A301" s="0" t="s">
        <v>1082</v>
      </c>
      <c r="B301" s="6" t="s">
        <v>1081</v>
      </c>
      <c r="C301" s="0" t="s">
        <v>57</v>
      </c>
      <c r="D301" s="20" t="n">
        <f aca="false">In!D313</f>
        <v>0</v>
      </c>
      <c r="E301" s="20" t="n">
        <f aca="false">In!E313</f>
        <v>0.1</v>
      </c>
      <c r="F301" s="20" t="n">
        <f aca="false">In!F313</f>
        <v>0.25</v>
      </c>
      <c r="G301" s="0" t="str">
        <f aca="false">In!G313</f>
        <v>Assumed</v>
      </c>
      <c r="H301" s="12" t="s">
        <v>2687</v>
      </c>
    </row>
    <row r="302" customFormat="false" ht="17.15" hidden="false" customHeight="false" outlineLevel="0" collapsed="false">
      <c r="A302" s="0" t="s">
        <v>1085</v>
      </c>
      <c r="B302" s="6" t="s">
        <v>1084</v>
      </c>
      <c r="C302" s="0" t="s">
        <v>57</v>
      </c>
      <c r="D302" s="20" t="n">
        <f aca="false">In!D314</f>
        <v>0</v>
      </c>
      <c r="E302" s="20" t="n">
        <f aca="false">In!E314</f>
        <v>0.15</v>
      </c>
      <c r="F302" s="20" t="n">
        <f aca="false">In!F314</f>
        <v>0.3</v>
      </c>
      <c r="G302" s="0" t="str">
        <f aca="false">In!G314</f>
        <v>Assumed</v>
      </c>
      <c r="H302" s="12" t="s">
        <v>2688</v>
      </c>
    </row>
    <row r="303" customFormat="false" ht="17.15" hidden="false" customHeight="false" outlineLevel="0" collapsed="false">
      <c r="A303" s="0" t="s">
        <v>1089</v>
      </c>
      <c r="B303" s="0" t="s">
        <v>1087</v>
      </c>
      <c r="C303" s="0" t="s">
        <v>57</v>
      </c>
      <c r="D303" s="20" t="n">
        <f aca="false">In!D315</f>
        <v>0</v>
      </c>
      <c r="E303" s="20" t="n">
        <f aca="false">In!E315</f>
        <v>0.05</v>
      </c>
      <c r="F303" s="20" t="n">
        <f aca="false">In!F315</f>
        <v>0.15</v>
      </c>
      <c r="G303" s="0" t="str">
        <f aca="false">In!G315</f>
        <v>Assumed</v>
      </c>
      <c r="H303" s="12" t="s">
        <v>2689</v>
      </c>
    </row>
    <row r="304" customFormat="false" ht="17.15" hidden="false" customHeight="false" outlineLevel="0" collapsed="false">
      <c r="A304" s="0" t="s">
        <v>1093</v>
      </c>
      <c r="B304" s="0" t="s">
        <v>1092</v>
      </c>
      <c r="C304" s="0" t="s">
        <v>57</v>
      </c>
      <c r="D304" s="20" t="n">
        <f aca="false">In!D316</f>
        <v>0.02</v>
      </c>
      <c r="E304" s="20" t="n">
        <f aca="false">In!E316</f>
        <v>0.1</v>
      </c>
      <c r="F304" s="20" t="n">
        <f aca="false">In!F316</f>
        <v>0.2</v>
      </c>
      <c r="G304" s="0" t="str">
        <f aca="false">In!G316</f>
        <v>Assumed</v>
      </c>
      <c r="H304" s="12" t="s">
        <v>2690</v>
      </c>
    </row>
    <row r="305" customFormat="false" ht="17.15" hidden="false" customHeight="false" outlineLevel="0" collapsed="false">
      <c r="A305" s="0" t="s">
        <v>1097</v>
      </c>
      <c r="B305" s="0" t="s">
        <v>1096</v>
      </c>
      <c r="C305" s="0" t="s">
        <v>57</v>
      </c>
      <c r="D305" s="20" t="n">
        <f aca="false">In!D317</f>
        <v>0.05</v>
      </c>
      <c r="E305" s="20" t="n">
        <f aca="false">In!E317</f>
        <v>0.15</v>
      </c>
      <c r="F305" s="20" t="n">
        <f aca="false">In!F317</f>
        <v>0.25</v>
      </c>
      <c r="G305" s="0" t="str">
        <f aca="false">In!G317</f>
        <v>Assumed</v>
      </c>
      <c r="H305" s="12" t="s">
        <v>2691</v>
      </c>
    </row>
    <row r="306" customFormat="false" ht="17.15" hidden="false" customHeight="false" outlineLevel="0" collapsed="false">
      <c r="A306" s="0" t="s">
        <v>1102</v>
      </c>
      <c r="B306" s="0" t="s">
        <v>1100</v>
      </c>
      <c r="C306" s="0" t="s">
        <v>57</v>
      </c>
      <c r="D306" s="20" t="n">
        <f aca="false">In!D319</f>
        <v>0.7</v>
      </c>
      <c r="E306" s="20" t="n">
        <f aca="false">In!E319</f>
        <v>0.7</v>
      </c>
      <c r="F306" s="20" t="n">
        <f aca="false">In!F319</f>
        <v>0.8</v>
      </c>
      <c r="G306" s="0" t="str">
        <f aca="false">In!G319</f>
        <v>Interested-party</v>
      </c>
      <c r="H306" s="12" t="s">
        <v>2692</v>
      </c>
    </row>
    <row r="307" customFormat="false" ht="17.15" hidden="false" customHeight="false" outlineLevel="0" collapsed="false">
      <c r="A307" s="0" t="s">
        <v>1107</v>
      </c>
      <c r="B307" s="0" t="s">
        <v>1105</v>
      </c>
      <c r="C307" s="0" t="s">
        <v>486</v>
      </c>
      <c r="D307" s="34" t="n">
        <f aca="false">In!D320</f>
        <v>0.85</v>
      </c>
      <c r="E307" s="34" t="n">
        <f aca="false">In!E320</f>
        <v>0.95</v>
      </c>
      <c r="F307" s="34" t="n">
        <f aca="false">In!F320</f>
        <v>1</v>
      </c>
      <c r="G307" s="0" t="str">
        <f aca="false">In!G320</f>
        <v>Assumed</v>
      </c>
      <c r="H307" s="12" t="s">
        <v>2693</v>
      </c>
    </row>
    <row r="308" customFormat="false" ht="17.15" hidden="false" customHeight="false" outlineLevel="0" collapsed="false">
      <c r="A308" s="0" t="s">
        <v>1112</v>
      </c>
      <c r="B308" s="0" t="s">
        <v>1110</v>
      </c>
      <c r="C308" s="0" t="s">
        <v>486</v>
      </c>
      <c r="D308" s="34" t="n">
        <f aca="false">In!D321</f>
        <v>0.75</v>
      </c>
      <c r="E308" s="34" t="n">
        <f aca="false">In!E321</f>
        <v>0.88</v>
      </c>
      <c r="F308" s="34" t="n">
        <f aca="false">In!F321</f>
        <v>1</v>
      </c>
      <c r="G308" s="0" t="str">
        <f aca="false">In!G321</f>
        <v>Assumed</v>
      </c>
      <c r="H308" s="12" t="s">
        <v>2694</v>
      </c>
    </row>
    <row r="309" customFormat="false" ht="17.15" hidden="false" customHeight="false" outlineLevel="0" collapsed="false">
      <c r="A309" s="0" t="s">
        <v>1115</v>
      </c>
      <c r="B309" s="0" t="s">
        <v>1114</v>
      </c>
      <c r="C309" s="0" t="s">
        <v>486</v>
      </c>
      <c r="D309" s="34" t="n">
        <f aca="false">In!D322</f>
        <v>0.7</v>
      </c>
      <c r="E309" s="34" t="n">
        <f aca="false">In!E322</f>
        <v>0.85</v>
      </c>
      <c r="F309" s="34" t="n">
        <f aca="false">In!F322</f>
        <v>1</v>
      </c>
      <c r="G309" s="0" t="str">
        <f aca="false">In!G322</f>
        <v>Assumed</v>
      </c>
      <c r="H309" s="12" t="s">
        <v>2695</v>
      </c>
    </row>
    <row r="310" customFormat="false" ht="17.15" hidden="false" customHeight="false" outlineLevel="0" collapsed="false">
      <c r="A310" s="0" t="s">
        <v>1119</v>
      </c>
      <c r="B310" s="6" t="s">
        <v>1117</v>
      </c>
      <c r="C310" s="0" t="s">
        <v>486</v>
      </c>
      <c r="D310" s="34" t="n">
        <f aca="false">In!D323</f>
        <v>0.2</v>
      </c>
      <c r="E310" s="34" t="n">
        <f aca="false">In!E323</f>
        <v>0.4</v>
      </c>
      <c r="F310" s="34" t="n">
        <f aca="false">In!F323</f>
        <v>0.6</v>
      </c>
      <c r="G310" s="0" t="str">
        <f aca="false">In!G323</f>
        <v>Assumed</v>
      </c>
      <c r="H310" s="12" t="s">
        <v>2696</v>
      </c>
    </row>
    <row r="311" customFormat="false" ht="17.15" hidden="false" customHeight="false" outlineLevel="0" collapsed="false">
      <c r="A311" s="0" t="s">
        <v>1124</v>
      </c>
      <c r="B311" s="6" t="s">
        <v>1122</v>
      </c>
      <c r="C311" s="0" t="s">
        <v>486</v>
      </c>
      <c r="D311" s="34" t="n">
        <f aca="false">In!D324</f>
        <v>0.6</v>
      </c>
      <c r="E311" s="34" t="n">
        <f aca="false">In!E324</f>
        <v>0.8</v>
      </c>
      <c r="F311" s="34" t="n">
        <f aca="false">In!F324</f>
        <v>1</v>
      </c>
      <c r="G311" s="0" t="str">
        <f aca="false">In!G324</f>
        <v>Assumed</v>
      </c>
      <c r="H311" s="12" t="s">
        <v>2697</v>
      </c>
    </row>
    <row r="312" customFormat="false" ht="15" hidden="false" customHeight="false" outlineLevel="0" collapsed="false">
      <c r="A312" s="0" t="s">
        <v>1129</v>
      </c>
      <c r="B312" s="6" t="s">
        <v>1127</v>
      </c>
      <c r="C312" s="0" t="s">
        <v>57</v>
      </c>
      <c r="D312" s="20" t="n">
        <f aca="false">In!D325</f>
        <v>0.1</v>
      </c>
      <c r="E312" s="20" t="n">
        <f aca="false">In!E325</f>
        <v>0.18</v>
      </c>
      <c r="F312" s="20" t="n">
        <f aca="false">In!F325</f>
        <v>0.22</v>
      </c>
      <c r="G312" s="0" t="str">
        <f aca="false">In!G325</f>
        <v>Analogy</v>
      </c>
      <c r="H312" s="12" t="s">
        <v>2698</v>
      </c>
    </row>
    <row r="313" customFormat="false" ht="17.15" hidden="false" customHeight="false" outlineLevel="0" collapsed="false">
      <c r="A313" s="0" t="s">
        <v>1134</v>
      </c>
      <c r="B313" s="6" t="s">
        <v>1132</v>
      </c>
      <c r="C313" s="0" t="s">
        <v>486</v>
      </c>
      <c r="D313" s="34" t="n">
        <f aca="false">In!D326</f>
        <v>0.95</v>
      </c>
      <c r="E313" s="34" t="n">
        <f aca="false">In!E326</f>
        <v>1</v>
      </c>
      <c r="F313" s="34" t="n">
        <f aca="false">In!F326</f>
        <v>1.05</v>
      </c>
      <c r="G313" s="0" t="str">
        <f aca="false">In!G326</f>
        <v>Assumed</v>
      </c>
      <c r="H313" s="12" t="s">
        <v>2699</v>
      </c>
    </row>
    <row r="314" customFormat="false" ht="17.15" hidden="false" customHeight="false" outlineLevel="0" collapsed="false">
      <c r="A314" s="0" t="s">
        <v>1139</v>
      </c>
      <c r="B314" s="6" t="s">
        <v>1137</v>
      </c>
      <c r="C314" s="0" t="s">
        <v>486</v>
      </c>
      <c r="D314" s="34" t="n">
        <f aca="false">In!D327</f>
        <v>0.85</v>
      </c>
      <c r="E314" s="34" t="n">
        <f aca="false">In!E327</f>
        <v>0.95</v>
      </c>
      <c r="F314" s="34" t="n">
        <f aca="false">In!F327</f>
        <v>1.05</v>
      </c>
      <c r="G314" s="0" t="str">
        <f aca="false">In!G327</f>
        <v>Assumed</v>
      </c>
      <c r="H314" s="12" t="s">
        <v>2700</v>
      </c>
    </row>
    <row r="315" customFormat="false" ht="17.15" hidden="false" customHeight="false" outlineLevel="0" collapsed="false">
      <c r="A315" s="0" t="s">
        <v>1144</v>
      </c>
      <c r="B315" s="6" t="s">
        <v>1142</v>
      </c>
      <c r="C315" s="0" t="s">
        <v>486</v>
      </c>
      <c r="D315" s="34" t="n">
        <f aca="false">In!D328</f>
        <v>0.75</v>
      </c>
      <c r="E315" s="34" t="n">
        <f aca="false">In!E328</f>
        <v>0.9</v>
      </c>
      <c r="F315" s="34" t="n">
        <f aca="false">In!F328</f>
        <v>1</v>
      </c>
      <c r="G315" s="0" t="str">
        <f aca="false">In!G328</f>
        <v>Assumed</v>
      </c>
      <c r="H315" s="12" t="s">
        <v>2701</v>
      </c>
    </row>
    <row r="316" customFormat="false" ht="17.15" hidden="false" customHeight="false" outlineLevel="0" collapsed="false">
      <c r="A316" s="0" t="s">
        <v>1148</v>
      </c>
      <c r="B316" s="6" t="s">
        <v>1146</v>
      </c>
      <c r="C316" s="0" t="s">
        <v>57</v>
      </c>
      <c r="D316" s="20" t="n">
        <f aca="false">In!D329</f>
        <v>0.2</v>
      </c>
      <c r="E316" s="20" t="n">
        <f aca="false">In!E329</f>
        <v>0.25</v>
      </c>
      <c r="F316" s="20" t="n">
        <f aca="false">In!F329</f>
        <v>0.3</v>
      </c>
      <c r="G316" s="0" t="str">
        <f aca="false">In!G329</f>
        <v>Assumed</v>
      </c>
      <c r="H316" s="12" t="s">
        <v>2702</v>
      </c>
    </row>
    <row r="317" customFormat="false" ht="17.15" hidden="false" customHeight="false" outlineLevel="0" collapsed="false">
      <c r="A317" s="0" t="s">
        <v>1153</v>
      </c>
      <c r="B317" s="6" t="s">
        <v>1151</v>
      </c>
      <c r="C317" s="0" t="s">
        <v>57</v>
      </c>
      <c r="D317" s="20" t="n">
        <f aca="false">In!D330</f>
        <v>0.22</v>
      </c>
      <c r="E317" s="20" t="n">
        <f aca="false">In!E330</f>
        <v>0.27</v>
      </c>
      <c r="F317" s="20" t="n">
        <f aca="false">In!F330</f>
        <v>0.32</v>
      </c>
      <c r="G317" s="0" t="str">
        <f aca="false">In!G330</f>
        <v>Assumed</v>
      </c>
      <c r="H317" s="12" t="s">
        <v>2703</v>
      </c>
    </row>
    <row r="318" customFormat="false" ht="17.15" hidden="false" customHeight="false" outlineLevel="0" collapsed="false">
      <c r="A318" s="0" t="s">
        <v>1157</v>
      </c>
      <c r="B318" s="6" t="s">
        <v>1156</v>
      </c>
      <c r="C318" s="0" t="s">
        <v>57</v>
      </c>
      <c r="D318" s="20" t="n">
        <f aca="false">In!D331</f>
        <v>0.22</v>
      </c>
      <c r="E318" s="20" t="n">
        <f aca="false">In!E331</f>
        <v>0.29</v>
      </c>
      <c r="F318" s="20" t="n">
        <f aca="false">In!F331</f>
        <v>0.35</v>
      </c>
      <c r="G318" s="0" t="str">
        <f aca="false">In!G331</f>
        <v>Assumed</v>
      </c>
      <c r="H318" s="12" t="s">
        <v>2704</v>
      </c>
    </row>
    <row r="319" customFormat="false" ht="17.15" hidden="false" customHeight="false" outlineLevel="0" collapsed="false">
      <c r="A319" s="0" t="s">
        <v>1160</v>
      </c>
      <c r="B319" s="6" t="s">
        <v>1159</v>
      </c>
      <c r="C319" s="0" t="s">
        <v>57</v>
      </c>
      <c r="D319" s="20" t="n">
        <f aca="false">In!D332</f>
        <v>0.22</v>
      </c>
      <c r="E319" s="20" t="n">
        <f aca="false">In!E332</f>
        <v>0.3</v>
      </c>
      <c r="F319" s="20" t="n">
        <f aca="false">In!F332</f>
        <v>0.36</v>
      </c>
      <c r="G319" s="0" t="str">
        <f aca="false">In!G332</f>
        <v>Assumed</v>
      </c>
      <c r="H319" s="12" t="s">
        <v>2705</v>
      </c>
    </row>
    <row r="320" customFormat="false" ht="17.15" hidden="false" customHeight="false" outlineLevel="0" collapsed="false">
      <c r="A320" s="0" t="s">
        <v>1164</v>
      </c>
      <c r="B320" s="6" t="s">
        <v>1162</v>
      </c>
      <c r="C320" s="0" t="s">
        <v>57</v>
      </c>
      <c r="D320" s="20" t="n">
        <f aca="false">In!D333</f>
        <v>0.22</v>
      </c>
      <c r="E320" s="20" t="n">
        <f aca="false">In!E333</f>
        <v>0.3</v>
      </c>
      <c r="F320" s="20" t="n">
        <f aca="false">In!F333</f>
        <v>0.4</v>
      </c>
      <c r="G320" s="0" t="str">
        <f aca="false">In!G333</f>
        <v>Assumed</v>
      </c>
      <c r="H320" s="12" t="s">
        <v>2706</v>
      </c>
    </row>
    <row r="321" customFormat="false" ht="17.15" hidden="false" customHeight="false" outlineLevel="0" collapsed="false">
      <c r="A321" s="0" t="s">
        <v>1168</v>
      </c>
      <c r="B321" s="6" t="s">
        <v>1167</v>
      </c>
      <c r="C321" s="0" t="s">
        <v>57</v>
      </c>
      <c r="D321" s="20" t="n">
        <f aca="false">In!D334</f>
        <v>0.22</v>
      </c>
      <c r="E321" s="20" t="n">
        <f aca="false">In!E334</f>
        <v>0.31</v>
      </c>
      <c r="F321" s="20" t="n">
        <f aca="false">In!F334</f>
        <v>0.4</v>
      </c>
      <c r="G321" s="0" t="str">
        <f aca="false">In!G334</f>
        <v>Assumed</v>
      </c>
      <c r="H321" s="12" t="s">
        <v>2707</v>
      </c>
    </row>
    <row r="322" customFormat="false" ht="17.15" hidden="false" customHeight="false" outlineLevel="0" collapsed="false">
      <c r="A322" s="0" t="s">
        <v>1171</v>
      </c>
      <c r="B322" s="6" t="s">
        <v>1170</v>
      </c>
      <c r="C322" s="0" t="s">
        <v>57</v>
      </c>
      <c r="D322" s="20" t="n">
        <f aca="false">In!D335</f>
        <v>0.22</v>
      </c>
      <c r="E322" s="20" t="n">
        <f aca="false">In!E335</f>
        <v>0.32</v>
      </c>
      <c r="F322" s="20" t="n">
        <f aca="false">In!F335</f>
        <v>0.4</v>
      </c>
      <c r="G322" s="0" t="str">
        <f aca="false">In!G335</f>
        <v>Assumed</v>
      </c>
      <c r="H322" s="12" t="s">
        <v>2708</v>
      </c>
    </row>
    <row r="323" customFormat="false" ht="17.15" hidden="false" customHeight="false" outlineLevel="0" collapsed="false">
      <c r="A323" s="0" t="s">
        <v>1174</v>
      </c>
      <c r="B323" s="6" t="s">
        <v>1173</v>
      </c>
      <c r="C323" s="0" t="s">
        <v>57</v>
      </c>
      <c r="D323" s="20" t="n">
        <f aca="false">In!D336</f>
        <v>0.22</v>
      </c>
      <c r="E323" s="20" t="n">
        <f aca="false">In!E336</f>
        <v>0.33</v>
      </c>
      <c r="F323" s="20" t="n">
        <f aca="false">In!F336</f>
        <v>0.4</v>
      </c>
      <c r="G323" s="0" t="str">
        <f aca="false">In!G336</f>
        <v>Assumed</v>
      </c>
      <c r="H323" s="12" t="s">
        <v>2709</v>
      </c>
    </row>
    <row r="324" customFormat="false" ht="17.15" hidden="false" customHeight="false" outlineLevel="0" collapsed="false">
      <c r="A324" s="0" t="s">
        <v>1178</v>
      </c>
      <c r="B324" s="6" t="s">
        <v>1176</v>
      </c>
      <c r="C324" s="0" t="s">
        <v>57</v>
      </c>
      <c r="D324" s="20" t="n">
        <f aca="false">In!D337</f>
        <v>0.01</v>
      </c>
      <c r="E324" s="20" t="n">
        <f aca="false">In!E337</f>
        <v>0.02</v>
      </c>
      <c r="F324" s="20" t="n">
        <f aca="false">In!F337</f>
        <v>0.03</v>
      </c>
      <c r="G324" s="0" t="str">
        <f aca="false">In!G337</f>
        <v>Assumed</v>
      </c>
      <c r="H324" s="12" t="s">
        <v>2710</v>
      </c>
    </row>
    <row r="325" customFormat="false" ht="17.15" hidden="false" customHeight="false" outlineLevel="0" collapsed="false">
      <c r="A325" s="0" t="s">
        <v>1183</v>
      </c>
      <c r="B325" s="6" t="s">
        <v>1181</v>
      </c>
      <c r="C325" s="0" t="s">
        <v>57</v>
      </c>
      <c r="D325" s="20" t="n">
        <f aca="false">In!D338</f>
        <v>0.01</v>
      </c>
      <c r="E325" s="20" t="n">
        <f aca="false">In!E338</f>
        <v>0.03</v>
      </c>
      <c r="F325" s="20" t="n">
        <f aca="false">In!F338</f>
        <v>0.05</v>
      </c>
      <c r="G325" s="0" t="str">
        <f aca="false">In!G338</f>
        <v>Assumed</v>
      </c>
      <c r="H325" s="12" t="s">
        <v>2711</v>
      </c>
    </row>
    <row r="326" customFormat="false" ht="17.15" hidden="false" customHeight="false" outlineLevel="0" collapsed="false">
      <c r="A326" s="0" t="s">
        <v>1186</v>
      </c>
      <c r="B326" s="6" t="s">
        <v>1185</v>
      </c>
      <c r="C326" s="0" t="s">
        <v>57</v>
      </c>
      <c r="D326" s="20" t="n">
        <f aca="false">In!D339</f>
        <v>0.01</v>
      </c>
      <c r="E326" s="20" t="n">
        <f aca="false">In!E339</f>
        <v>0.04</v>
      </c>
      <c r="F326" s="20" t="n">
        <f aca="false">In!F339</f>
        <v>0.06</v>
      </c>
      <c r="G326" s="0" t="str">
        <f aca="false">In!G339</f>
        <v>Assumed</v>
      </c>
      <c r="H326" s="12" t="s">
        <v>2712</v>
      </c>
    </row>
    <row r="327" customFormat="false" ht="17.15" hidden="false" customHeight="false" outlineLevel="0" collapsed="false">
      <c r="A327" s="0" t="s">
        <v>1189</v>
      </c>
      <c r="B327" s="6" t="s">
        <v>1188</v>
      </c>
      <c r="C327" s="0" t="s">
        <v>57</v>
      </c>
      <c r="D327" s="20" t="n">
        <f aca="false">In!D340</f>
        <v>0.01</v>
      </c>
      <c r="E327" s="20" t="n">
        <f aca="false">In!E340</f>
        <v>0.04</v>
      </c>
      <c r="F327" s="20" t="n">
        <f aca="false">In!F340</f>
        <v>0.06</v>
      </c>
      <c r="G327" s="0" t="str">
        <f aca="false">In!G340</f>
        <v>Assumed</v>
      </c>
      <c r="H327" s="12" t="s">
        <v>2713</v>
      </c>
    </row>
    <row r="328" customFormat="false" ht="17.15" hidden="false" customHeight="false" outlineLevel="0" collapsed="false">
      <c r="A328" s="0" t="s">
        <v>1193</v>
      </c>
      <c r="B328" s="6" t="s">
        <v>1191</v>
      </c>
      <c r="C328" s="0" t="s">
        <v>57</v>
      </c>
      <c r="D328" s="20" t="n">
        <f aca="false">In!D341</f>
        <v>0.03</v>
      </c>
      <c r="E328" s="20" t="n">
        <f aca="false">In!E341</f>
        <v>0.05</v>
      </c>
      <c r="F328" s="20" t="n">
        <f aca="false">In!F341</f>
        <v>0.08</v>
      </c>
      <c r="G328" s="0" t="str">
        <f aca="false">In!G341</f>
        <v>Assumed</v>
      </c>
      <c r="H328" s="12" t="s">
        <v>2714</v>
      </c>
    </row>
    <row r="329" customFormat="false" ht="17.15" hidden="false" customHeight="false" outlineLevel="0" collapsed="false">
      <c r="A329" s="0" t="s">
        <v>1197</v>
      </c>
      <c r="B329" s="6" t="s">
        <v>1196</v>
      </c>
      <c r="C329" s="0" t="s">
        <v>57</v>
      </c>
      <c r="D329" s="20" t="n">
        <f aca="false">In!D342</f>
        <v>0.03</v>
      </c>
      <c r="E329" s="20" t="n">
        <f aca="false">In!E342</f>
        <v>0.06</v>
      </c>
      <c r="F329" s="20" t="n">
        <f aca="false">In!F342</f>
        <v>0.09</v>
      </c>
      <c r="G329" s="0" t="str">
        <f aca="false">In!G342</f>
        <v>Assumed</v>
      </c>
      <c r="H329" s="12" t="s">
        <v>2715</v>
      </c>
    </row>
    <row r="330" customFormat="false" ht="17.15" hidden="false" customHeight="false" outlineLevel="0" collapsed="false">
      <c r="A330" s="0" t="s">
        <v>1200</v>
      </c>
      <c r="B330" s="6" t="s">
        <v>1199</v>
      </c>
      <c r="C330" s="0" t="s">
        <v>57</v>
      </c>
      <c r="D330" s="20" t="n">
        <f aca="false">In!D343</f>
        <v>0.03</v>
      </c>
      <c r="E330" s="20" t="n">
        <f aca="false">In!E343</f>
        <v>0.07</v>
      </c>
      <c r="F330" s="20" t="n">
        <f aca="false">In!F343</f>
        <v>0.1</v>
      </c>
      <c r="G330" s="0" t="str">
        <f aca="false">In!G343</f>
        <v>Assumed</v>
      </c>
      <c r="H330" s="12" t="s">
        <v>2716</v>
      </c>
    </row>
    <row r="331" customFormat="false" ht="17.15" hidden="false" customHeight="false" outlineLevel="0" collapsed="false">
      <c r="A331" s="0" t="s">
        <v>1203</v>
      </c>
      <c r="B331" s="6" t="s">
        <v>1202</v>
      </c>
      <c r="C331" s="0" t="s">
        <v>57</v>
      </c>
      <c r="D331" s="20" t="n">
        <f aca="false">In!D344</f>
        <v>0.03</v>
      </c>
      <c r="E331" s="20" t="n">
        <f aca="false">In!E344</f>
        <v>0.07</v>
      </c>
      <c r="F331" s="20" t="n">
        <f aca="false">In!F344</f>
        <v>0.1</v>
      </c>
      <c r="G331" s="0" t="str">
        <f aca="false">In!G344</f>
        <v>Assumed</v>
      </c>
      <c r="H331" s="12" t="s">
        <v>2717</v>
      </c>
    </row>
    <row r="332" customFormat="false" ht="17.15" hidden="false" customHeight="false" outlineLevel="0" collapsed="false">
      <c r="A332" s="0" t="s">
        <v>1207</v>
      </c>
      <c r="B332" s="6" t="s">
        <v>1205</v>
      </c>
      <c r="C332" s="0" t="s">
        <v>57</v>
      </c>
      <c r="D332" s="20" t="n">
        <f aca="false">In!D345</f>
        <v>0.01</v>
      </c>
      <c r="E332" s="20" t="n">
        <f aca="false">In!E345</f>
        <v>0.02</v>
      </c>
      <c r="F332" s="20" t="n">
        <f aca="false">In!F345</f>
        <v>0.05</v>
      </c>
      <c r="G332" s="0" t="str">
        <f aca="false">In!G345</f>
        <v>Assumed</v>
      </c>
      <c r="H332" s="12" t="s">
        <v>2718</v>
      </c>
    </row>
    <row r="333" customFormat="false" ht="17.15" hidden="false" customHeight="false" outlineLevel="0" collapsed="false">
      <c r="A333" s="0" t="s">
        <v>1212</v>
      </c>
      <c r="B333" s="6" t="s">
        <v>1210</v>
      </c>
      <c r="C333" s="0" t="s">
        <v>57</v>
      </c>
      <c r="D333" s="20" t="n">
        <f aca="false">In!D346</f>
        <v>0.01</v>
      </c>
      <c r="E333" s="20" t="n">
        <f aca="false">In!E346</f>
        <v>0.03</v>
      </c>
      <c r="F333" s="20" t="n">
        <f aca="false">In!F346</f>
        <v>0.1</v>
      </c>
      <c r="G333" s="0" t="str">
        <f aca="false">In!G346</f>
        <v>Assumed</v>
      </c>
      <c r="H333" s="12" t="s">
        <v>2719</v>
      </c>
    </row>
    <row r="334" customFormat="false" ht="17.15" hidden="false" customHeight="false" outlineLevel="0" collapsed="false">
      <c r="A334" s="0" t="s">
        <v>1215</v>
      </c>
      <c r="B334" s="6" t="s">
        <v>1214</v>
      </c>
      <c r="C334" s="0" t="s">
        <v>57</v>
      </c>
      <c r="D334" s="20" t="n">
        <f aca="false">In!D347</f>
        <v>0.02</v>
      </c>
      <c r="E334" s="20" t="n">
        <f aca="false">In!E347</f>
        <v>0.05</v>
      </c>
      <c r="F334" s="20" t="n">
        <f aca="false">In!F347</f>
        <v>0.15</v>
      </c>
      <c r="G334" s="0" t="str">
        <f aca="false">In!G347</f>
        <v>Assumed</v>
      </c>
      <c r="H334" s="12" t="s">
        <v>2720</v>
      </c>
    </row>
    <row r="335" customFormat="false" ht="17.15" hidden="false" customHeight="false" outlineLevel="0" collapsed="false">
      <c r="A335" s="0" t="s">
        <v>1218</v>
      </c>
      <c r="B335" s="6" t="s">
        <v>1217</v>
      </c>
      <c r="C335" s="0" t="s">
        <v>57</v>
      </c>
      <c r="D335" s="20" t="n">
        <f aca="false">In!D348</f>
        <v>0.02</v>
      </c>
      <c r="E335" s="20" t="n">
        <f aca="false">In!E348</f>
        <v>0.06</v>
      </c>
      <c r="F335" s="20" t="n">
        <f aca="false">In!F348</f>
        <v>0.15</v>
      </c>
      <c r="G335" s="0" t="str">
        <f aca="false">In!G348</f>
        <v>Assumed</v>
      </c>
      <c r="H335" s="12" t="s">
        <v>2721</v>
      </c>
    </row>
    <row r="336" customFormat="false" ht="17.15" hidden="false" customHeight="false" outlineLevel="0" collapsed="false">
      <c r="A336" s="0" t="s">
        <v>1222</v>
      </c>
      <c r="B336" s="6" t="s">
        <v>1220</v>
      </c>
      <c r="C336" s="0" t="s">
        <v>57</v>
      </c>
      <c r="D336" s="20" t="n">
        <f aca="false">In!D349</f>
        <v>0.02</v>
      </c>
      <c r="E336" s="20" t="n">
        <f aca="false">In!E349</f>
        <v>0.03</v>
      </c>
      <c r="F336" s="20" t="n">
        <f aca="false">In!F349</f>
        <v>0.05</v>
      </c>
      <c r="G336" s="0" t="str">
        <f aca="false">In!G349</f>
        <v>Assumed</v>
      </c>
      <c r="H336" s="12" t="s">
        <v>2722</v>
      </c>
    </row>
    <row r="337" customFormat="false" ht="17.15" hidden="false" customHeight="false" outlineLevel="0" collapsed="false">
      <c r="A337" s="0" t="s">
        <v>1225</v>
      </c>
      <c r="B337" s="6" t="s">
        <v>1224</v>
      </c>
      <c r="C337" s="0" t="s">
        <v>57</v>
      </c>
      <c r="D337" s="20" t="n">
        <f aca="false">In!D350</f>
        <v>0.02</v>
      </c>
      <c r="E337" s="20" t="n">
        <f aca="false">In!E350</f>
        <v>0.05</v>
      </c>
      <c r="F337" s="20" t="n">
        <f aca="false">In!F350</f>
        <v>0.08</v>
      </c>
      <c r="G337" s="0" t="str">
        <f aca="false">In!G350</f>
        <v>Assumed</v>
      </c>
      <c r="H337" s="12" t="s">
        <v>2723</v>
      </c>
    </row>
    <row r="338" customFormat="false" ht="17.15" hidden="false" customHeight="false" outlineLevel="0" collapsed="false">
      <c r="A338" s="0" t="s">
        <v>1228</v>
      </c>
      <c r="B338" s="6" t="s">
        <v>1227</v>
      </c>
      <c r="C338" s="0" t="s">
        <v>57</v>
      </c>
      <c r="D338" s="20" t="n">
        <f aca="false">In!D351</f>
        <v>0.03</v>
      </c>
      <c r="E338" s="20" t="n">
        <f aca="false">In!E351</f>
        <v>0.06</v>
      </c>
      <c r="F338" s="20" t="n">
        <f aca="false">In!F351</f>
        <v>0.1</v>
      </c>
      <c r="G338" s="0" t="str">
        <f aca="false">In!G351</f>
        <v>Assumed</v>
      </c>
      <c r="H338" s="12" t="s">
        <v>2724</v>
      </c>
    </row>
    <row r="339" customFormat="false" ht="17.15" hidden="false" customHeight="false" outlineLevel="0" collapsed="false">
      <c r="A339" s="0" t="s">
        <v>1231</v>
      </c>
      <c r="B339" s="6" t="s">
        <v>1230</v>
      </c>
      <c r="C339" s="0" t="s">
        <v>57</v>
      </c>
      <c r="D339" s="20" t="n">
        <f aca="false">In!D352</f>
        <v>0.03</v>
      </c>
      <c r="E339" s="20" t="n">
        <f aca="false">In!E352</f>
        <v>0.06</v>
      </c>
      <c r="F339" s="20" t="n">
        <f aca="false">In!F352</f>
        <v>0.1</v>
      </c>
      <c r="G339" s="0" t="str">
        <f aca="false">In!G352</f>
        <v>Assumed</v>
      </c>
      <c r="H339" s="12" t="s">
        <v>2725</v>
      </c>
    </row>
    <row r="340" customFormat="false" ht="17.15" hidden="false" customHeight="false" outlineLevel="0" collapsed="false">
      <c r="A340" s="0" t="s">
        <v>1235</v>
      </c>
      <c r="B340" s="0" t="s">
        <v>1233</v>
      </c>
      <c r="C340" s="0" t="s">
        <v>57</v>
      </c>
      <c r="D340" s="20" t="n">
        <f aca="false">In!D353</f>
        <v>0.08</v>
      </c>
      <c r="E340" s="20" t="n">
        <f aca="false">In!E353</f>
        <v>0.09</v>
      </c>
      <c r="F340" s="20" t="n">
        <f aca="false">In!F353</f>
        <v>0.1</v>
      </c>
      <c r="G340" s="0" t="str">
        <f aca="false">In!G353</f>
        <v>Derived</v>
      </c>
      <c r="H340" s="12" t="s">
        <v>2726</v>
      </c>
    </row>
    <row r="341" customFormat="false" ht="17.15" hidden="false" customHeight="false" outlineLevel="0" collapsed="false">
      <c r="A341" s="0" t="s">
        <v>1240</v>
      </c>
      <c r="B341" s="0" t="s">
        <v>1238</v>
      </c>
      <c r="C341" s="0" t="s">
        <v>57</v>
      </c>
      <c r="D341" s="20" t="n">
        <f aca="false">In!D354</f>
        <v>0.21</v>
      </c>
      <c r="E341" s="20" t="n">
        <f aca="false">In!E354</f>
        <v>0.24</v>
      </c>
      <c r="F341" s="20" t="n">
        <f aca="false">In!F354</f>
        <v>0.27</v>
      </c>
      <c r="G341" s="0" t="str">
        <f aca="false">In!G354</f>
        <v>Derived</v>
      </c>
      <c r="H341" s="12" t="s">
        <v>2727</v>
      </c>
    </row>
    <row r="342" customFormat="false" ht="17.15" hidden="false" customHeight="false" outlineLevel="0" collapsed="false">
      <c r="A342" s="0" t="s">
        <v>1245</v>
      </c>
      <c r="B342" s="0" t="s">
        <v>1243</v>
      </c>
      <c r="C342" s="0" t="s">
        <v>57</v>
      </c>
      <c r="D342" s="20" t="n">
        <f aca="false">In!D355</f>
        <v>0.29</v>
      </c>
      <c r="E342" s="20" t="n">
        <f aca="false">In!E355</f>
        <v>0.37</v>
      </c>
      <c r="F342" s="20" t="n">
        <f aca="false">In!F355</f>
        <v>0.42</v>
      </c>
      <c r="G342" s="0" t="str">
        <f aca="false">In!G355</f>
        <v>Derived</v>
      </c>
      <c r="H342" s="12" t="s">
        <v>2728</v>
      </c>
    </row>
    <row r="343" customFormat="false" ht="17.15" hidden="false" customHeight="false" outlineLevel="0" collapsed="false">
      <c r="A343" s="0" t="s">
        <v>1252</v>
      </c>
      <c r="B343" s="0" t="s">
        <v>1249</v>
      </c>
      <c r="C343" s="6" t="s">
        <v>1250</v>
      </c>
      <c r="D343" s="34" t="n">
        <f aca="false">In!D357</f>
        <v>11.2</v>
      </c>
      <c r="E343" s="34" t="n">
        <f aca="false">In!E357</f>
        <v>14</v>
      </c>
      <c r="F343" s="34" t="n">
        <f aca="false">In!F357</f>
        <v>16.8</v>
      </c>
      <c r="G343" s="0" t="str">
        <f aca="false">In!G357</f>
        <v>Derived</v>
      </c>
      <c r="H343" s="12" t="s">
        <v>2729</v>
      </c>
    </row>
    <row r="344" customFormat="false" ht="17.15" hidden="false" customHeight="false" outlineLevel="0" collapsed="false">
      <c r="A344" s="0" t="s">
        <v>1256</v>
      </c>
      <c r="B344" s="0" t="s">
        <v>1254</v>
      </c>
      <c r="C344" s="6" t="s">
        <v>1250</v>
      </c>
      <c r="D344" s="34" t="n">
        <f aca="false">In!D358</f>
        <v>6.4</v>
      </c>
      <c r="E344" s="34" t="n">
        <f aca="false">In!E358</f>
        <v>8</v>
      </c>
      <c r="F344" s="34" t="n">
        <f aca="false">In!F358</f>
        <v>9.6</v>
      </c>
      <c r="G344" s="0" t="str">
        <f aca="false">In!G358</f>
        <v>Derived</v>
      </c>
      <c r="H344" s="12" t="s">
        <v>2730</v>
      </c>
    </row>
    <row r="345" customFormat="false" ht="17.15" hidden="false" customHeight="false" outlineLevel="0" collapsed="false">
      <c r="A345" s="0" t="s">
        <v>1260</v>
      </c>
      <c r="B345" s="0" t="s">
        <v>1258</v>
      </c>
      <c r="C345" s="6" t="s">
        <v>1250</v>
      </c>
      <c r="D345" s="34" t="n">
        <f aca="false">In!D359</f>
        <v>3.2</v>
      </c>
      <c r="E345" s="34" t="n">
        <f aca="false">In!E359</f>
        <v>4</v>
      </c>
      <c r="F345" s="34" t="n">
        <f aca="false">In!F359</f>
        <v>4.8</v>
      </c>
      <c r="G345" s="0" t="str">
        <f aca="false">In!G359</f>
        <v>Assumed</v>
      </c>
      <c r="H345" s="12" t="s">
        <v>2731</v>
      </c>
    </row>
    <row r="346" customFormat="false" ht="17.15" hidden="false" customHeight="false" outlineLevel="0" collapsed="false">
      <c r="A346" s="0" t="s">
        <v>1264</v>
      </c>
      <c r="B346" s="0" t="s">
        <v>1262</v>
      </c>
      <c r="C346" s="6" t="s">
        <v>1250</v>
      </c>
      <c r="D346" s="34" t="n">
        <f aca="false">In!D360</f>
        <v>23.2</v>
      </c>
      <c r="E346" s="34" t="n">
        <f aca="false">In!E360</f>
        <v>29</v>
      </c>
      <c r="F346" s="34" t="n">
        <f aca="false">In!F360</f>
        <v>34.8</v>
      </c>
      <c r="G346" s="0" t="str">
        <f aca="false">In!G360</f>
        <v>Analogy</v>
      </c>
      <c r="H346" s="12" t="s">
        <v>2732</v>
      </c>
    </row>
    <row r="347" customFormat="false" ht="17.15" hidden="false" customHeight="false" outlineLevel="0" collapsed="false">
      <c r="A347" s="0" t="s">
        <v>1269</v>
      </c>
      <c r="B347" s="0" t="s">
        <v>1266</v>
      </c>
      <c r="C347" s="6" t="s">
        <v>1250</v>
      </c>
      <c r="D347" s="34" t="n">
        <f aca="false">In!D361</f>
        <v>6.8</v>
      </c>
      <c r="E347" s="34" t="n">
        <f aca="false">In!E361</f>
        <v>8.5</v>
      </c>
      <c r="F347" s="34" t="n">
        <f aca="false">In!F361</f>
        <v>10.2</v>
      </c>
      <c r="G347" s="0" t="str">
        <f aca="false">In!G361</f>
        <v>Derived／Analogy</v>
      </c>
      <c r="H347" s="12" t="s">
        <v>2733</v>
      </c>
    </row>
    <row r="348" customFormat="false" ht="17.15" hidden="false" customHeight="false" outlineLevel="0" collapsed="false">
      <c r="A348" s="0" t="s">
        <v>1273</v>
      </c>
      <c r="B348" s="0" t="s">
        <v>1271</v>
      </c>
      <c r="C348" s="6" t="s">
        <v>1250</v>
      </c>
      <c r="D348" s="34" t="n">
        <f aca="false">In!D362</f>
        <v>4.8</v>
      </c>
      <c r="E348" s="34" t="n">
        <f aca="false">In!E362</f>
        <v>6</v>
      </c>
      <c r="F348" s="34" t="n">
        <f aca="false">In!F362</f>
        <v>7.2</v>
      </c>
      <c r="G348" s="0" t="str">
        <f aca="false">In!G362</f>
        <v>Assumed</v>
      </c>
      <c r="H348" s="12" t="s">
        <v>2734</v>
      </c>
    </row>
    <row r="349" customFormat="false" ht="17.15" hidden="false" customHeight="false" outlineLevel="0" collapsed="false">
      <c r="A349" s="0" t="s">
        <v>1277</v>
      </c>
      <c r="B349" s="0" t="s">
        <v>1275</v>
      </c>
      <c r="C349" s="6" t="s">
        <v>1250</v>
      </c>
      <c r="D349" s="34" t="n">
        <f aca="false">In!D363</f>
        <v>22.4</v>
      </c>
      <c r="E349" s="34" t="n">
        <f aca="false">In!E363</f>
        <v>28</v>
      </c>
      <c r="F349" s="34" t="n">
        <f aca="false">In!F363</f>
        <v>33.6</v>
      </c>
      <c r="G349" s="0" t="str">
        <f aca="false">In!G363</f>
        <v>Derived／Assumed</v>
      </c>
      <c r="H349" s="12" t="s">
        <v>2735</v>
      </c>
    </row>
    <row r="350" customFormat="false" ht="17.15" hidden="false" customHeight="false" outlineLevel="0" collapsed="false">
      <c r="A350" s="0" t="s">
        <v>1281</v>
      </c>
      <c r="B350" s="0" t="s">
        <v>1279</v>
      </c>
      <c r="C350" s="6" t="s">
        <v>1250</v>
      </c>
      <c r="D350" s="34" t="n">
        <f aca="false">In!D364</f>
        <v>19.2</v>
      </c>
      <c r="E350" s="34" t="n">
        <f aca="false">In!E364</f>
        <v>24</v>
      </c>
      <c r="F350" s="34" t="n">
        <f aca="false">In!F364</f>
        <v>28.8</v>
      </c>
      <c r="G350" s="0" t="str">
        <f aca="false">In!G364</f>
        <v>Assumed</v>
      </c>
      <c r="H350" s="12" t="s">
        <v>2736</v>
      </c>
    </row>
    <row r="351" customFormat="false" ht="17.15" hidden="false" customHeight="false" outlineLevel="0" collapsed="false">
      <c r="A351" s="0" t="s">
        <v>1285</v>
      </c>
      <c r="B351" s="0" t="s">
        <v>1283</v>
      </c>
      <c r="C351" s="6" t="s">
        <v>1250</v>
      </c>
      <c r="D351" s="34" t="n">
        <f aca="false">In!D365</f>
        <v>24</v>
      </c>
      <c r="E351" s="34" t="n">
        <f aca="false">In!E365</f>
        <v>30</v>
      </c>
      <c r="F351" s="34" t="n">
        <f aca="false">In!F365</f>
        <v>36</v>
      </c>
      <c r="G351" s="0" t="str">
        <f aca="false">In!G365</f>
        <v>Derived／Assumed</v>
      </c>
      <c r="H351" s="12" t="s">
        <v>2737</v>
      </c>
    </row>
    <row r="352" customFormat="false" ht="17.15" hidden="false" customHeight="false" outlineLevel="0" collapsed="false">
      <c r="A352" s="0" t="s">
        <v>1289</v>
      </c>
      <c r="B352" s="0" t="s">
        <v>1287</v>
      </c>
      <c r="C352" s="6" t="s">
        <v>1250</v>
      </c>
      <c r="D352" s="34" t="n">
        <f aca="false">In!D366</f>
        <v>16</v>
      </c>
      <c r="E352" s="34" t="n">
        <f aca="false">In!E366</f>
        <v>20</v>
      </c>
      <c r="F352" s="34" t="n">
        <f aca="false">In!F366</f>
        <v>24</v>
      </c>
      <c r="G352" s="0" t="str">
        <f aca="false">In!G366</f>
        <v>Assumed</v>
      </c>
      <c r="H352" s="12" t="s">
        <v>2738</v>
      </c>
    </row>
    <row r="353" customFormat="false" ht="17.15" hidden="false" customHeight="false" outlineLevel="0" collapsed="false">
      <c r="A353" s="0" t="s">
        <v>1294</v>
      </c>
      <c r="B353" s="6" t="s">
        <v>1291</v>
      </c>
      <c r="C353" s="6" t="s">
        <v>1292</v>
      </c>
      <c r="D353" s="34" t="n">
        <f aca="false">In!D367</f>
        <v>100</v>
      </c>
      <c r="E353" s="34" t="n">
        <f aca="false">In!E367</f>
        <v>150</v>
      </c>
      <c r="F353" s="34" t="n">
        <f aca="false">In!F367</f>
        <v>200</v>
      </c>
      <c r="G353" s="0" t="str">
        <f aca="false">In!G367</f>
        <v>Assumed</v>
      </c>
      <c r="H353" s="12" t="s">
        <v>2739</v>
      </c>
    </row>
    <row r="354" customFormat="false" ht="17.15" hidden="false" customHeight="false" outlineLevel="0" collapsed="false">
      <c r="A354" s="0" t="s">
        <v>1299</v>
      </c>
      <c r="B354" s="6" t="s">
        <v>1297</v>
      </c>
      <c r="C354" s="0" t="s">
        <v>57</v>
      </c>
      <c r="D354" s="20" t="n">
        <f aca="false">In!D368</f>
        <v>0.15</v>
      </c>
      <c r="E354" s="20" t="n">
        <f aca="false">In!E368</f>
        <v>0.25</v>
      </c>
      <c r="F354" s="20" t="n">
        <f aca="false">In!F368</f>
        <v>0.35</v>
      </c>
      <c r="G354" s="0" t="str">
        <f aca="false">In!G368</f>
        <v>Assumed</v>
      </c>
      <c r="H354" s="12" t="s">
        <v>2740</v>
      </c>
    </row>
    <row r="355" customFormat="false" ht="17.15" hidden="false" customHeight="false" outlineLevel="0" collapsed="false">
      <c r="A355" s="0" t="s">
        <v>1305</v>
      </c>
      <c r="B355" s="0" t="s">
        <v>1302</v>
      </c>
      <c r="C355" s="6" t="s">
        <v>1303</v>
      </c>
      <c r="E355" s="34" t="n">
        <f aca="false">In!E369</f>
        <v>77.5</v>
      </c>
      <c r="G355" s="0" t="str">
        <f aca="false">In!G369</f>
        <v>Interested-party</v>
      </c>
      <c r="H355" s="12" t="s">
        <v>2741</v>
      </c>
    </row>
    <row r="356" customFormat="false" ht="17.15" hidden="false" customHeight="false" outlineLevel="0" collapsed="false">
      <c r="A356" s="0" t="s">
        <v>1309</v>
      </c>
      <c r="B356" s="0" t="s">
        <v>1307</v>
      </c>
      <c r="C356" s="6" t="s">
        <v>1303</v>
      </c>
      <c r="E356" s="34" t="n">
        <f aca="false">In!E370</f>
        <v>130</v>
      </c>
      <c r="G356" s="0" t="str">
        <f aca="false">In!G370</f>
        <v>Interested-party</v>
      </c>
      <c r="H356" s="12" t="s">
        <v>2742</v>
      </c>
    </row>
    <row r="357" customFormat="false" ht="17.15" hidden="false" customHeight="false" outlineLevel="0" collapsed="false">
      <c r="A357" s="0" t="s">
        <v>1313</v>
      </c>
      <c r="B357" s="0" t="s">
        <v>1311</v>
      </c>
      <c r="C357" s="6" t="s">
        <v>1303</v>
      </c>
      <c r="E357" s="34" t="n">
        <f aca="false">In!E371</f>
        <v>200</v>
      </c>
      <c r="G357" s="0" t="str">
        <f aca="false">In!G371</f>
        <v>Interested-party</v>
      </c>
      <c r="H357" s="12" t="s">
        <v>2743</v>
      </c>
    </row>
    <row r="358" customFormat="false" ht="17.15" hidden="false" customHeight="false" outlineLevel="0" collapsed="false">
      <c r="A358" s="0" t="s">
        <v>1317</v>
      </c>
      <c r="B358" s="0" t="s">
        <v>1315</v>
      </c>
      <c r="C358" s="6" t="s">
        <v>1303</v>
      </c>
      <c r="E358" s="34" t="n">
        <f aca="false">In!E372</f>
        <v>260</v>
      </c>
      <c r="G358" s="0" t="str">
        <f aca="false">In!G372</f>
        <v>Interested-party</v>
      </c>
      <c r="H358" s="12" t="s">
        <v>2744</v>
      </c>
    </row>
    <row r="359" customFormat="false" ht="17.15" hidden="false" customHeight="false" outlineLevel="0" collapsed="false">
      <c r="A359" s="0" t="s">
        <v>1321</v>
      </c>
      <c r="B359" s="0" t="s">
        <v>1319</v>
      </c>
      <c r="C359" s="6" t="s">
        <v>1303</v>
      </c>
      <c r="D359" s="34" t="n">
        <f aca="false">In!D373</f>
        <v>280</v>
      </c>
      <c r="E359" s="34" t="n">
        <f aca="false">In!E373</f>
        <v>320</v>
      </c>
      <c r="F359" s="34" t="n">
        <f aca="false">In!F373</f>
        <v>380</v>
      </c>
      <c r="G359" s="0" t="str">
        <f aca="false">In!G373</f>
        <v>Assumed</v>
      </c>
      <c r="H359" s="12" t="s">
        <v>2745</v>
      </c>
    </row>
    <row r="360" customFormat="false" ht="17.15" hidden="false" customHeight="false" outlineLevel="0" collapsed="false">
      <c r="A360" s="0" t="s">
        <v>1326</v>
      </c>
      <c r="B360" s="6" t="s">
        <v>1324</v>
      </c>
      <c r="C360" s="0" t="s">
        <v>57</v>
      </c>
      <c r="D360" s="20" t="n">
        <f aca="false">In!D374</f>
        <v>0.05</v>
      </c>
      <c r="E360" s="20" t="n">
        <f aca="false">In!E374</f>
        <v>0.1</v>
      </c>
      <c r="F360" s="20" t="n">
        <f aca="false">In!F374</f>
        <v>0.2</v>
      </c>
      <c r="G360" s="0" t="str">
        <f aca="false">In!G374</f>
        <v>Assumed</v>
      </c>
      <c r="H360" s="12" t="s">
        <v>2746</v>
      </c>
    </row>
    <row r="361" customFormat="false" ht="17.15" hidden="false" customHeight="false" outlineLevel="0" collapsed="false">
      <c r="A361" s="0" t="s">
        <v>1330</v>
      </c>
      <c r="B361" s="0" t="s">
        <v>1328</v>
      </c>
      <c r="C361" s="6" t="s">
        <v>1292</v>
      </c>
      <c r="E361" s="34" t="n">
        <f aca="false">In!E375</f>
        <v>1394</v>
      </c>
      <c r="G361" s="0" t="str">
        <f aca="false">In!G375</f>
        <v>Interested-party</v>
      </c>
      <c r="H361" s="12" t="s">
        <v>2747</v>
      </c>
    </row>
    <row r="362" customFormat="false" ht="17.15" hidden="false" customHeight="false" outlineLevel="0" collapsed="false">
      <c r="A362" s="0" t="s">
        <v>1334</v>
      </c>
      <c r="B362" s="0" t="s">
        <v>1332</v>
      </c>
      <c r="C362" s="6" t="s">
        <v>1292</v>
      </c>
      <c r="E362" s="34" t="n">
        <f aca="false">In!E376</f>
        <v>2509</v>
      </c>
      <c r="G362" s="0" t="str">
        <f aca="false">In!G376</f>
        <v>Interested-party</v>
      </c>
      <c r="H362" s="12" t="s">
        <v>2748</v>
      </c>
    </row>
    <row r="363" customFormat="false" ht="17.15" hidden="false" customHeight="false" outlineLevel="0" collapsed="false">
      <c r="A363" s="0" t="s">
        <v>1340</v>
      </c>
      <c r="B363" s="6" t="s">
        <v>1337</v>
      </c>
      <c r="C363" s="0" t="s">
        <v>1338</v>
      </c>
      <c r="E363" s="34" t="n">
        <f aca="false">In!E378</f>
        <v>7.72</v>
      </c>
      <c r="G363" s="0" t="str">
        <f aca="false">In!G378</f>
        <v>Interested-party</v>
      </c>
      <c r="H363" s="12" t="s">
        <v>2749</v>
      </c>
    </row>
    <row r="364" customFormat="false" ht="17.15" hidden="false" customHeight="false" outlineLevel="0" collapsed="false">
      <c r="A364" s="0" t="s">
        <v>1345</v>
      </c>
      <c r="B364" s="6" t="s">
        <v>1343</v>
      </c>
      <c r="C364" s="0" t="s">
        <v>57</v>
      </c>
      <c r="D364" s="20" t="n">
        <f aca="false">In!D379</f>
        <v>0.25</v>
      </c>
      <c r="E364" s="20" t="n">
        <f aca="false">In!E379</f>
        <v>0.32</v>
      </c>
      <c r="F364" s="20" t="n">
        <f aca="false">In!F379</f>
        <v>0.4</v>
      </c>
      <c r="G364" s="0" t="str">
        <f aca="false">In!G379</f>
        <v>Analogy</v>
      </c>
      <c r="H364" s="12" t="s">
        <v>2750</v>
      </c>
    </row>
    <row r="365" customFormat="false" ht="17.15" hidden="false" customHeight="false" outlineLevel="0" collapsed="false">
      <c r="A365" s="0" t="s">
        <v>1350</v>
      </c>
      <c r="B365" s="0" t="s">
        <v>1348</v>
      </c>
      <c r="C365" s="0" t="s">
        <v>57</v>
      </c>
      <c r="D365" s="20" t="n">
        <f aca="false">In!D380</f>
        <v>0.35</v>
      </c>
      <c r="E365" s="20" t="n">
        <f aca="false">In!E380</f>
        <v>0.45</v>
      </c>
      <c r="F365" s="20" t="n">
        <f aca="false">In!F380</f>
        <v>0.5</v>
      </c>
      <c r="G365" s="0" t="str">
        <f aca="false">In!G380</f>
        <v>Interested-party</v>
      </c>
      <c r="H365" s="12" t="s">
        <v>2751</v>
      </c>
    </row>
    <row r="366" customFormat="false" ht="17.15" hidden="false" customHeight="false" outlineLevel="0" collapsed="false">
      <c r="A366" s="0" t="s">
        <v>1355</v>
      </c>
      <c r="B366" s="6" t="s">
        <v>1353</v>
      </c>
      <c r="C366" s="0" t="s">
        <v>57</v>
      </c>
      <c r="D366" s="20" t="n">
        <f aca="false">In!D381</f>
        <v>0.5</v>
      </c>
      <c r="E366" s="20" t="n">
        <f aca="false">In!E381</f>
        <v>0.64</v>
      </c>
      <c r="F366" s="20" t="n">
        <f aca="false">In!F381</f>
        <v>0.8</v>
      </c>
      <c r="G366" s="0" t="str">
        <f aca="false">In!G381</f>
        <v>Derived</v>
      </c>
      <c r="H366" s="12" t="s">
        <v>2752</v>
      </c>
    </row>
    <row r="367" customFormat="false" ht="17.15" hidden="false" customHeight="false" outlineLevel="0" collapsed="false">
      <c r="A367" s="0" t="s">
        <v>1360</v>
      </c>
      <c r="B367" s="6" t="s">
        <v>1358</v>
      </c>
      <c r="C367" s="0" t="s">
        <v>486</v>
      </c>
      <c r="D367" s="34" t="n">
        <f aca="false">In!D382</f>
        <v>0.3</v>
      </c>
      <c r="E367" s="34" t="n">
        <f aca="false">In!E382</f>
        <v>0.5</v>
      </c>
      <c r="F367" s="34" t="n">
        <f aca="false">In!F382</f>
        <v>0.8</v>
      </c>
      <c r="G367" s="0" t="str">
        <f aca="false">In!G382</f>
        <v>Analogy</v>
      </c>
      <c r="H367" s="12" t="s">
        <v>2753</v>
      </c>
    </row>
    <row r="368" customFormat="false" ht="17.15" hidden="false" customHeight="false" outlineLevel="0" collapsed="false">
      <c r="A368" s="0" t="s">
        <v>1365</v>
      </c>
      <c r="B368" s="6" t="s">
        <v>1363</v>
      </c>
      <c r="C368" s="0" t="s">
        <v>57</v>
      </c>
      <c r="D368" s="20" t="n">
        <f aca="false">In!D383</f>
        <v>-0.02</v>
      </c>
      <c r="E368" s="20" t="n">
        <f aca="false">In!E383</f>
        <v>0.03</v>
      </c>
      <c r="F368" s="20" t="n">
        <f aca="false">In!F383</f>
        <v>0.06</v>
      </c>
      <c r="G368" s="0" t="str">
        <f aca="false">In!G383</f>
        <v>Assumed</v>
      </c>
      <c r="H368" s="12" t="s">
        <v>2754</v>
      </c>
    </row>
    <row r="369" customFormat="false" ht="17.15" hidden="false" customHeight="false" outlineLevel="0" collapsed="false">
      <c r="A369" s="0" t="s">
        <v>1370</v>
      </c>
      <c r="B369" s="0" t="s">
        <v>1368</v>
      </c>
      <c r="C369" s="0" t="s">
        <v>1338</v>
      </c>
      <c r="D369" s="34" t="n">
        <f aca="false">In!D384</f>
        <v>1.85</v>
      </c>
      <c r="E369" s="34" t="n">
        <f aca="false">In!E384</f>
        <v>2.1</v>
      </c>
      <c r="F369" s="34" t="n">
        <f aca="false">In!F384</f>
        <v>2.35</v>
      </c>
      <c r="G369" s="0" t="str">
        <f aca="false">In!G384</f>
        <v>Assumed</v>
      </c>
      <c r="H369" s="12" t="s">
        <v>2755</v>
      </c>
    </row>
    <row r="370" customFormat="false" ht="17.15" hidden="false" customHeight="false" outlineLevel="0" collapsed="false">
      <c r="A370" s="0" t="s">
        <v>1375</v>
      </c>
      <c r="B370" s="6" t="s">
        <v>1373</v>
      </c>
      <c r="C370" s="0" t="s">
        <v>1338</v>
      </c>
      <c r="E370" s="34" t="n">
        <f aca="false">In!E385</f>
        <v>3.07</v>
      </c>
      <c r="G370" s="0" t="str">
        <f aca="false">In!G385</f>
        <v>Derived</v>
      </c>
      <c r="H370" s="12" t="s">
        <v>2756</v>
      </c>
    </row>
    <row r="371" customFormat="false" ht="17.15" hidden="false" customHeight="false" outlineLevel="0" collapsed="false">
      <c r="A371" s="0" t="s">
        <v>1380</v>
      </c>
      <c r="B371" s="6" t="s">
        <v>1378</v>
      </c>
      <c r="C371" s="0" t="s">
        <v>1338</v>
      </c>
      <c r="E371" s="34" t="n">
        <f aca="false">In!E386</f>
        <v>1.06</v>
      </c>
      <c r="G371" s="0" t="str">
        <f aca="false">In!G386</f>
        <v>Derived</v>
      </c>
      <c r="H371" s="12" t="s">
        <v>2757</v>
      </c>
    </row>
    <row r="372" customFormat="false" ht="17.15" hidden="false" customHeight="false" outlineLevel="0" collapsed="false">
      <c r="A372" s="0" t="s">
        <v>1384</v>
      </c>
      <c r="B372" s="6" t="s">
        <v>1382</v>
      </c>
      <c r="C372" s="0" t="s">
        <v>1338</v>
      </c>
      <c r="E372" s="34" t="n">
        <f aca="false">In!E387</f>
        <v>0.7</v>
      </c>
      <c r="G372" s="0" t="str">
        <f aca="false">In!G387</f>
        <v>Derived</v>
      </c>
      <c r="H372" s="12" t="s">
        <v>2758</v>
      </c>
    </row>
    <row r="373" customFormat="false" ht="17.15" hidden="false" customHeight="false" outlineLevel="0" collapsed="false">
      <c r="A373" s="0" t="s">
        <v>1387</v>
      </c>
      <c r="B373" s="0" t="s">
        <v>1386</v>
      </c>
      <c r="C373" s="0" t="s">
        <v>486</v>
      </c>
      <c r="D373" s="34" t="n">
        <f aca="false">In!D388</f>
        <v>1.1</v>
      </c>
      <c r="E373" s="34" t="n">
        <f aca="false">In!E388</f>
        <v>1.25</v>
      </c>
      <c r="F373" s="34" t="n">
        <f aca="false">In!F388</f>
        <v>1.4</v>
      </c>
      <c r="G373" s="0" t="str">
        <f aca="false">In!G388</f>
        <v>Assumed</v>
      </c>
      <c r="H373" s="12" t="s">
        <v>2759</v>
      </c>
    </row>
    <row r="374" customFormat="false" ht="17.15" hidden="false" customHeight="false" outlineLevel="0" collapsed="false">
      <c r="A374" s="0" t="s">
        <v>1391</v>
      </c>
      <c r="B374" s="0" t="s">
        <v>1390</v>
      </c>
      <c r="C374" s="0" t="s">
        <v>486</v>
      </c>
      <c r="D374" s="34" t="n">
        <f aca="false">In!D389</f>
        <v>1.3</v>
      </c>
      <c r="E374" s="34" t="n">
        <f aca="false">In!E389</f>
        <v>1.55</v>
      </c>
      <c r="F374" s="34" t="n">
        <f aca="false">In!F389</f>
        <v>1.8</v>
      </c>
      <c r="G374" s="0" t="str">
        <f aca="false">In!G389</f>
        <v>Assumed</v>
      </c>
      <c r="H374" s="12" t="s">
        <v>2760</v>
      </c>
    </row>
    <row r="375" customFormat="false" ht="17.15" hidden="false" customHeight="false" outlineLevel="0" collapsed="false">
      <c r="A375" s="0" t="s">
        <v>1394</v>
      </c>
      <c r="B375" s="0" t="s">
        <v>1393</v>
      </c>
      <c r="C375" s="0" t="s">
        <v>486</v>
      </c>
      <c r="D375" s="34" t="n">
        <f aca="false">In!D390</f>
        <v>1.5</v>
      </c>
      <c r="E375" s="34" t="n">
        <f aca="false">In!E390</f>
        <v>1.8</v>
      </c>
      <c r="F375" s="34" t="n">
        <f aca="false">In!F390</f>
        <v>2.1</v>
      </c>
      <c r="G375" s="0" t="str">
        <f aca="false">In!G390</f>
        <v>Assumed</v>
      </c>
      <c r="H375" s="12" t="s">
        <v>2761</v>
      </c>
    </row>
    <row r="376" customFormat="false" ht="17.15" hidden="false" customHeight="false" outlineLevel="0" collapsed="false">
      <c r="A376" s="0" t="s">
        <v>1398</v>
      </c>
      <c r="B376" s="0" t="s">
        <v>1396</v>
      </c>
      <c r="C376" s="0" t="s">
        <v>486</v>
      </c>
      <c r="D376" s="34" t="n">
        <f aca="false">In!D391</f>
        <v>1.25</v>
      </c>
      <c r="E376" s="34" t="n">
        <f aca="false">In!E391</f>
        <v>1.35</v>
      </c>
      <c r="F376" s="34" t="n">
        <f aca="false">In!F391</f>
        <v>1.45</v>
      </c>
      <c r="G376" s="0" t="str">
        <f aca="false">In!G391</f>
        <v>Assumed</v>
      </c>
      <c r="H376" s="12" t="s">
        <v>2762</v>
      </c>
    </row>
    <row r="377" customFormat="false" ht="17.15" hidden="false" customHeight="false" outlineLevel="0" collapsed="false">
      <c r="A377" s="0" t="s">
        <v>1402</v>
      </c>
      <c r="B377" s="0" t="s">
        <v>1401</v>
      </c>
      <c r="C377" s="0" t="s">
        <v>486</v>
      </c>
      <c r="D377" s="34" t="n">
        <f aca="false">In!D392</f>
        <v>1.5</v>
      </c>
      <c r="E377" s="34" t="n">
        <f aca="false">In!E392</f>
        <v>1.7</v>
      </c>
      <c r="F377" s="34" t="n">
        <f aca="false">In!F392</f>
        <v>1.9</v>
      </c>
      <c r="G377" s="0" t="str">
        <f aca="false">In!G392</f>
        <v>Assumed</v>
      </c>
      <c r="H377" s="12" t="s">
        <v>2763</v>
      </c>
    </row>
    <row r="378" customFormat="false" ht="17.15" hidden="false" customHeight="false" outlineLevel="0" collapsed="false">
      <c r="A378" s="0" t="s">
        <v>1406</v>
      </c>
      <c r="B378" s="0" t="s">
        <v>1405</v>
      </c>
      <c r="C378" s="0" t="s">
        <v>486</v>
      </c>
      <c r="D378" s="34" t="n">
        <f aca="false">In!D393</f>
        <v>1.7</v>
      </c>
      <c r="E378" s="34" t="n">
        <f aca="false">In!E393</f>
        <v>2</v>
      </c>
      <c r="F378" s="34" t="n">
        <f aca="false">In!F393</f>
        <v>2.3</v>
      </c>
      <c r="G378" s="0" t="str">
        <f aca="false">In!G393</f>
        <v>Assumed</v>
      </c>
      <c r="H378" s="12" t="s">
        <v>2764</v>
      </c>
    </row>
    <row r="379" customFormat="false" ht="17.15" hidden="false" customHeight="false" outlineLevel="0" collapsed="false">
      <c r="A379" s="0" t="s">
        <v>1409</v>
      </c>
      <c r="B379" s="0" t="s">
        <v>1396</v>
      </c>
      <c r="C379" s="0" t="s">
        <v>486</v>
      </c>
      <c r="D379" s="34" t="n">
        <f aca="false">In!D394</f>
        <v>1.1</v>
      </c>
      <c r="E379" s="34" t="n">
        <f aca="false">In!E394</f>
        <v>1.2</v>
      </c>
      <c r="F379" s="34" t="n">
        <f aca="false">In!F394</f>
        <v>1.3</v>
      </c>
      <c r="G379" s="0" t="str">
        <f aca="false">In!G394</f>
        <v>Assumed</v>
      </c>
      <c r="H379" s="12" t="s">
        <v>2765</v>
      </c>
    </row>
    <row r="380" customFormat="false" ht="17.15" hidden="false" customHeight="false" outlineLevel="0" collapsed="false">
      <c r="A380" s="0" t="s">
        <v>1412</v>
      </c>
      <c r="B380" s="0" t="s">
        <v>1401</v>
      </c>
      <c r="C380" s="0" t="s">
        <v>486</v>
      </c>
      <c r="D380" s="34" t="n">
        <f aca="false">In!D395</f>
        <v>1.2</v>
      </c>
      <c r="E380" s="34" t="n">
        <f aca="false">In!E395</f>
        <v>1.35</v>
      </c>
      <c r="F380" s="34" t="n">
        <f aca="false">In!F395</f>
        <v>1.5</v>
      </c>
      <c r="G380" s="0" t="str">
        <f aca="false">In!G395</f>
        <v>Assumed</v>
      </c>
      <c r="H380" s="12" t="s">
        <v>2766</v>
      </c>
    </row>
    <row r="381" customFormat="false" ht="17.15" hidden="false" customHeight="false" outlineLevel="0" collapsed="false">
      <c r="A381" s="0" t="s">
        <v>1415</v>
      </c>
      <c r="B381" s="0" t="s">
        <v>1405</v>
      </c>
      <c r="C381" s="0" t="s">
        <v>486</v>
      </c>
      <c r="D381" s="34" t="n">
        <f aca="false">In!D396</f>
        <v>1.35</v>
      </c>
      <c r="E381" s="34" t="n">
        <f aca="false">In!E396</f>
        <v>1.6</v>
      </c>
      <c r="F381" s="34" t="n">
        <f aca="false">In!F396</f>
        <v>1.85</v>
      </c>
      <c r="G381" s="0" t="str">
        <f aca="false">In!G396</f>
        <v>Assumed</v>
      </c>
      <c r="H381" s="12" t="s">
        <v>2767</v>
      </c>
    </row>
    <row r="382" customFormat="false" ht="17.15" hidden="false" customHeight="false" outlineLevel="0" collapsed="false">
      <c r="A382" s="0" t="s">
        <v>1418</v>
      </c>
      <c r="B382" s="0" t="s">
        <v>1396</v>
      </c>
      <c r="C382" s="0" t="s">
        <v>486</v>
      </c>
      <c r="D382" s="34" t="n">
        <f aca="false">In!D397</f>
        <v>1.1</v>
      </c>
      <c r="E382" s="34" t="n">
        <f aca="false">In!E397</f>
        <v>1.2</v>
      </c>
      <c r="F382" s="34" t="n">
        <f aca="false">In!F397</f>
        <v>1.25</v>
      </c>
      <c r="G382" s="0" t="str">
        <f aca="false">In!G397</f>
        <v>Interested-party</v>
      </c>
      <c r="H382" s="12" t="s">
        <v>2768</v>
      </c>
    </row>
    <row r="383" customFormat="false" ht="17.15" hidden="false" customHeight="false" outlineLevel="0" collapsed="false">
      <c r="A383" s="0" t="s">
        <v>1422</v>
      </c>
      <c r="B383" s="0" t="s">
        <v>1401</v>
      </c>
      <c r="C383" s="0" t="s">
        <v>486</v>
      </c>
      <c r="D383" s="34" t="n">
        <f aca="false">In!D398</f>
        <v>1.3</v>
      </c>
      <c r="E383" s="34" t="n">
        <f aca="false">In!E398</f>
        <v>1.5</v>
      </c>
      <c r="F383" s="34" t="n">
        <f aca="false">In!F398</f>
        <v>1.62</v>
      </c>
      <c r="G383" s="0" t="str">
        <f aca="false">In!G398</f>
        <v>Assumed</v>
      </c>
      <c r="H383" s="12" t="s">
        <v>2769</v>
      </c>
    </row>
    <row r="384" customFormat="false" ht="17.15" hidden="false" customHeight="false" outlineLevel="0" collapsed="false">
      <c r="A384" s="0" t="s">
        <v>1425</v>
      </c>
      <c r="B384" s="0" t="s">
        <v>1405</v>
      </c>
      <c r="C384" s="0" t="s">
        <v>486</v>
      </c>
      <c r="D384" s="34" t="n">
        <f aca="false">In!D399</f>
        <v>1.55</v>
      </c>
      <c r="E384" s="34" t="n">
        <f aca="false">In!E399</f>
        <v>1.85</v>
      </c>
      <c r="F384" s="34" t="n">
        <f aca="false">In!F399</f>
        <v>2</v>
      </c>
      <c r="G384" s="0" t="str">
        <f aca="false">In!G399</f>
        <v>Assumed</v>
      </c>
      <c r="H384" s="12" t="s">
        <v>2770</v>
      </c>
    </row>
    <row r="385" customFormat="false" ht="17.15" hidden="false" customHeight="false" outlineLevel="0" collapsed="false">
      <c r="A385" s="0" t="s">
        <v>1429</v>
      </c>
      <c r="B385" s="6" t="s">
        <v>1427</v>
      </c>
      <c r="C385" s="0" t="s">
        <v>486</v>
      </c>
      <c r="D385" s="34" t="n">
        <f aca="false">In!D400</f>
        <v>1.05</v>
      </c>
      <c r="E385" s="34" t="n">
        <f aca="false">In!E400</f>
        <v>1.15</v>
      </c>
      <c r="F385" s="34" t="n">
        <f aca="false">In!F400</f>
        <v>1.3</v>
      </c>
      <c r="G385" s="0" t="str">
        <f aca="false">In!G400</f>
        <v>Assumed</v>
      </c>
      <c r="H385" s="12" t="s">
        <v>2771</v>
      </c>
    </row>
    <row r="386" customFormat="false" ht="17.15" hidden="false" customHeight="false" outlineLevel="0" collapsed="false">
      <c r="A386" s="0" t="s">
        <v>1433</v>
      </c>
      <c r="B386" s="6" t="s">
        <v>1432</v>
      </c>
      <c r="C386" s="0" t="s">
        <v>486</v>
      </c>
      <c r="D386" s="34" t="n">
        <f aca="false">In!D401</f>
        <v>1.15</v>
      </c>
      <c r="E386" s="34" t="n">
        <f aca="false">In!E401</f>
        <v>1.3</v>
      </c>
      <c r="F386" s="34" t="n">
        <f aca="false">In!F401</f>
        <v>1.55</v>
      </c>
      <c r="G386" s="0" t="str">
        <f aca="false">In!G401</f>
        <v>Assumed</v>
      </c>
      <c r="H386" s="12" t="s">
        <v>2772</v>
      </c>
    </row>
    <row r="387" customFormat="false" ht="17.15" hidden="false" customHeight="false" outlineLevel="0" collapsed="false">
      <c r="A387" s="0" t="s">
        <v>1436</v>
      </c>
      <c r="B387" s="6" t="s">
        <v>1435</v>
      </c>
      <c r="C387" s="0" t="s">
        <v>486</v>
      </c>
      <c r="D387" s="34" t="n">
        <f aca="false">In!D402</f>
        <v>1.25</v>
      </c>
      <c r="E387" s="34" t="n">
        <f aca="false">In!E402</f>
        <v>1.45</v>
      </c>
      <c r="F387" s="34" t="n">
        <f aca="false">In!F402</f>
        <v>1.75</v>
      </c>
      <c r="G387" s="0" t="str">
        <f aca="false">In!G402</f>
        <v>Assumed</v>
      </c>
      <c r="H387" s="12" t="s">
        <v>2773</v>
      </c>
    </row>
    <row r="388" customFormat="false" ht="17.15" hidden="false" customHeight="false" outlineLevel="0" collapsed="false">
      <c r="A388" s="0" t="s">
        <v>1440</v>
      </c>
      <c r="B388" s="0" t="s">
        <v>1438</v>
      </c>
      <c r="C388" s="0" t="s">
        <v>486</v>
      </c>
      <c r="D388" s="34" t="n">
        <f aca="false">In!D403</f>
        <v>1.15</v>
      </c>
      <c r="E388" s="34" t="n">
        <f aca="false">In!E403</f>
        <v>1.3</v>
      </c>
      <c r="F388" s="34" t="n">
        <f aca="false">In!F403</f>
        <v>1.45</v>
      </c>
      <c r="G388" s="0" t="str">
        <f aca="false">In!G403</f>
        <v>Assumed</v>
      </c>
      <c r="H388" s="12" t="s">
        <v>2774</v>
      </c>
    </row>
    <row r="389" customFormat="false" ht="17.15" hidden="false" customHeight="false" outlineLevel="0" collapsed="false">
      <c r="A389" s="0" t="s">
        <v>1444</v>
      </c>
      <c r="B389" s="0" t="s">
        <v>1443</v>
      </c>
      <c r="C389" s="0" t="s">
        <v>486</v>
      </c>
      <c r="D389" s="34" t="n">
        <f aca="false">In!D404</f>
        <v>1.3</v>
      </c>
      <c r="E389" s="34" t="n">
        <f aca="false">In!E404</f>
        <v>1.55</v>
      </c>
      <c r="F389" s="34" t="n">
        <f aca="false">In!F404</f>
        <v>1.85</v>
      </c>
      <c r="G389" s="0" t="str">
        <f aca="false">In!G404</f>
        <v>Assumed</v>
      </c>
      <c r="H389" s="12" t="s">
        <v>2775</v>
      </c>
    </row>
    <row r="390" customFormat="false" ht="17.15" hidden="false" customHeight="false" outlineLevel="0" collapsed="false">
      <c r="A390" s="0" t="s">
        <v>1447</v>
      </c>
      <c r="B390" s="0" t="s">
        <v>1446</v>
      </c>
      <c r="C390" s="0" t="s">
        <v>486</v>
      </c>
      <c r="D390" s="34" t="n">
        <f aca="false">In!D405</f>
        <v>1.45</v>
      </c>
      <c r="E390" s="34" t="n">
        <f aca="false">In!E405</f>
        <v>1.8</v>
      </c>
      <c r="F390" s="34" t="n">
        <f aca="false">In!F405</f>
        <v>2.25</v>
      </c>
      <c r="G390" s="0" t="str">
        <f aca="false">In!G405</f>
        <v>Assumed</v>
      </c>
      <c r="H390" s="12" t="s">
        <v>2776</v>
      </c>
    </row>
    <row r="391" customFormat="false" ht="17.15" hidden="false" customHeight="false" outlineLevel="0" collapsed="false">
      <c r="A391" s="0" t="s">
        <v>1453</v>
      </c>
      <c r="B391" s="6" t="s">
        <v>1450</v>
      </c>
      <c r="C391" s="0" t="s">
        <v>1451</v>
      </c>
      <c r="D391" s="34" t="n">
        <f aca="false">In!D407</f>
        <v>200</v>
      </c>
      <c r="E391" s="34" t="n">
        <f aca="false">In!E407</f>
        <v>280</v>
      </c>
      <c r="F391" s="34" t="n">
        <f aca="false">In!F407</f>
        <v>360</v>
      </c>
      <c r="G391" s="0" t="str">
        <f aca="false">In!G407</f>
        <v>Assumed</v>
      </c>
      <c r="H391" s="12" t="s">
        <v>2777</v>
      </c>
    </row>
    <row r="392" customFormat="false" ht="17.15" hidden="false" customHeight="false" outlineLevel="0" collapsed="false">
      <c r="A392" s="0" t="s">
        <v>1458</v>
      </c>
      <c r="B392" s="6" t="s">
        <v>1456</v>
      </c>
      <c r="C392" s="0" t="s">
        <v>1451</v>
      </c>
      <c r="D392" s="34" t="n">
        <f aca="false">In!D408</f>
        <v>80</v>
      </c>
      <c r="E392" s="34" t="n">
        <f aca="false">In!E408</f>
        <v>120</v>
      </c>
      <c r="F392" s="34" t="n">
        <f aca="false">In!F408</f>
        <v>160</v>
      </c>
      <c r="G392" s="0" t="str">
        <f aca="false">In!G408</f>
        <v>Assumed</v>
      </c>
      <c r="H392" s="12" t="s">
        <v>2778</v>
      </c>
    </row>
    <row r="393" customFormat="false" ht="17.15" hidden="false" customHeight="false" outlineLevel="0" collapsed="false">
      <c r="A393" s="0" t="s">
        <v>1463</v>
      </c>
      <c r="B393" s="6" t="s">
        <v>1461</v>
      </c>
      <c r="C393" s="0" t="s">
        <v>1451</v>
      </c>
      <c r="D393" s="34" t="n">
        <f aca="false">In!D409</f>
        <v>30</v>
      </c>
      <c r="E393" s="34" t="n">
        <f aca="false">In!E409</f>
        <v>50</v>
      </c>
      <c r="F393" s="34" t="n">
        <f aca="false">In!F409</f>
        <v>80</v>
      </c>
      <c r="G393" s="0" t="str">
        <f aca="false">In!G409</f>
        <v>Assumed</v>
      </c>
      <c r="H393" s="12" t="s">
        <v>2779</v>
      </c>
    </row>
    <row r="394" customFormat="false" ht="17.15" hidden="false" customHeight="false" outlineLevel="0" collapsed="false">
      <c r="A394" s="0" t="s">
        <v>1468</v>
      </c>
      <c r="B394" s="6" t="s">
        <v>1466</v>
      </c>
      <c r="C394" s="0" t="s">
        <v>486</v>
      </c>
      <c r="D394" s="34" t="n">
        <f aca="false">In!D410</f>
        <v>1.25</v>
      </c>
      <c r="E394" s="34" t="n">
        <f aca="false">In!E410</f>
        <v>1.5</v>
      </c>
      <c r="F394" s="34" t="n">
        <f aca="false">In!F410</f>
        <v>1.75</v>
      </c>
      <c r="G394" s="0" t="str">
        <f aca="false">In!G410</f>
        <v>Analogy</v>
      </c>
      <c r="H394" s="12" t="s">
        <v>2780</v>
      </c>
    </row>
    <row r="395" customFormat="false" ht="17.15" hidden="false" customHeight="false" outlineLevel="0" collapsed="false">
      <c r="A395" s="0" t="s">
        <v>1472</v>
      </c>
      <c r="B395" s="6" t="s">
        <v>1471</v>
      </c>
      <c r="C395" s="0" t="s">
        <v>486</v>
      </c>
      <c r="D395" s="34" t="n">
        <f aca="false">In!D411</f>
        <v>1.35</v>
      </c>
      <c r="E395" s="34" t="n">
        <f aca="false">In!E411</f>
        <v>1.65</v>
      </c>
      <c r="F395" s="34" t="n">
        <f aca="false">In!F411</f>
        <v>2</v>
      </c>
      <c r="G395" s="0" t="str">
        <f aca="false">In!G411</f>
        <v>Analogy</v>
      </c>
      <c r="H395" s="12" t="s">
        <v>2781</v>
      </c>
    </row>
    <row r="396" customFormat="false" ht="17.15" hidden="false" customHeight="false" outlineLevel="0" collapsed="false">
      <c r="A396" s="0" t="s">
        <v>1475</v>
      </c>
      <c r="B396" s="6" t="s">
        <v>1474</v>
      </c>
      <c r="C396" s="0" t="s">
        <v>486</v>
      </c>
      <c r="D396" s="34" t="n">
        <f aca="false">In!D412</f>
        <v>1.4</v>
      </c>
      <c r="E396" s="34" t="n">
        <f aca="false">In!E412</f>
        <v>1.8</v>
      </c>
      <c r="F396" s="34" t="n">
        <f aca="false">In!F412</f>
        <v>2.2</v>
      </c>
      <c r="G396" s="0" t="str">
        <f aca="false">In!G412</f>
        <v>Analogy</v>
      </c>
      <c r="H396" s="12" t="s">
        <v>2782</v>
      </c>
    </row>
    <row r="397" customFormat="false" ht="17.15" hidden="false" customHeight="false" outlineLevel="0" collapsed="false">
      <c r="A397" s="0" t="s">
        <v>1479</v>
      </c>
      <c r="B397" s="6" t="s">
        <v>1477</v>
      </c>
      <c r="C397" s="0" t="s">
        <v>486</v>
      </c>
      <c r="D397" s="34" t="n">
        <f aca="false">In!D413</f>
        <v>1.15</v>
      </c>
      <c r="E397" s="34" t="n">
        <f aca="false">In!E413</f>
        <v>1.35</v>
      </c>
      <c r="F397" s="34" t="n">
        <f aca="false">In!F413</f>
        <v>1.6</v>
      </c>
      <c r="G397" s="0" t="str">
        <f aca="false">In!G413</f>
        <v>Assumed</v>
      </c>
      <c r="H397" s="12" t="s">
        <v>2783</v>
      </c>
    </row>
    <row r="398" customFormat="false" ht="17.15" hidden="false" customHeight="false" outlineLevel="0" collapsed="false">
      <c r="A398" s="0" t="s">
        <v>1483</v>
      </c>
      <c r="B398" s="6" t="s">
        <v>1482</v>
      </c>
      <c r="C398" s="0" t="s">
        <v>486</v>
      </c>
      <c r="D398" s="34" t="n">
        <f aca="false">In!D414</f>
        <v>1.25</v>
      </c>
      <c r="E398" s="34" t="n">
        <f aca="false">In!E414</f>
        <v>1.5</v>
      </c>
      <c r="F398" s="34" t="n">
        <f aca="false">In!F414</f>
        <v>1.85</v>
      </c>
      <c r="G398" s="0" t="str">
        <f aca="false">In!G414</f>
        <v>Assumed</v>
      </c>
      <c r="H398" s="12" t="s">
        <v>2784</v>
      </c>
    </row>
    <row r="399" customFormat="false" ht="17.15" hidden="false" customHeight="false" outlineLevel="0" collapsed="false">
      <c r="A399" s="0" t="s">
        <v>1486</v>
      </c>
      <c r="B399" s="6" t="s">
        <v>1485</v>
      </c>
      <c r="C399" s="0" t="s">
        <v>486</v>
      </c>
      <c r="D399" s="34" t="n">
        <f aca="false">In!D415</f>
        <v>1.3</v>
      </c>
      <c r="E399" s="34" t="n">
        <f aca="false">In!E415</f>
        <v>1.65</v>
      </c>
      <c r="F399" s="34" t="n">
        <f aca="false">In!F415</f>
        <v>2.1</v>
      </c>
      <c r="G399" s="0" t="str">
        <f aca="false">In!G415</f>
        <v>Assumed</v>
      </c>
      <c r="H399" s="12" t="s">
        <v>2785</v>
      </c>
    </row>
    <row r="400" customFormat="false" ht="17.15" hidden="false" customHeight="false" outlineLevel="0" collapsed="false">
      <c r="A400" s="0" t="s">
        <v>1490</v>
      </c>
      <c r="B400" s="6" t="s">
        <v>1488</v>
      </c>
      <c r="C400" s="0" t="s">
        <v>486</v>
      </c>
      <c r="D400" s="34" t="n">
        <f aca="false">In!D416</f>
        <v>1.4</v>
      </c>
      <c r="E400" s="34" t="n">
        <f aca="false">In!E416</f>
        <v>2</v>
      </c>
      <c r="F400" s="34" t="n">
        <f aca="false">In!F416</f>
        <v>2.6</v>
      </c>
      <c r="G400" s="0" t="str">
        <f aca="false">In!G416</f>
        <v>Assumed</v>
      </c>
      <c r="H400" s="12" t="s">
        <v>2786</v>
      </c>
    </row>
    <row r="401" customFormat="false" ht="17.15" hidden="false" customHeight="false" outlineLevel="0" collapsed="false">
      <c r="A401" s="0" t="s">
        <v>1494</v>
      </c>
      <c r="B401" s="6" t="s">
        <v>1493</v>
      </c>
      <c r="C401" s="0" t="s">
        <v>486</v>
      </c>
      <c r="D401" s="34" t="n">
        <f aca="false">In!D417</f>
        <v>1.8</v>
      </c>
      <c r="E401" s="34" t="n">
        <f aca="false">In!E417</f>
        <v>3</v>
      </c>
      <c r="F401" s="34" t="n">
        <f aca="false">In!F417</f>
        <v>4</v>
      </c>
      <c r="G401" s="0" t="str">
        <f aca="false">In!G417</f>
        <v>Assumed</v>
      </c>
      <c r="H401" s="12" t="s">
        <v>2787</v>
      </c>
    </row>
    <row r="402" customFormat="false" ht="17.15" hidden="false" customHeight="false" outlineLevel="0" collapsed="false">
      <c r="A402" s="0" t="s">
        <v>1497</v>
      </c>
      <c r="B402" s="6" t="s">
        <v>1496</v>
      </c>
      <c r="C402" s="0" t="s">
        <v>486</v>
      </c>
      <c r="D402" s="34" t="n">
        <f aca="false">In!D418</f>
        <v>2</v>
      </c>
      <c r="E402" s="34" t="n">
        <f aca="false">In!E418</f>
        <v>3.5</v>
      </c>
      <c r="F402" s="34" t="n">
        <f aca="false">In!F418</f>
        <v>5</v>
      </c>
      <c r="G402" s="0" t="str">
        <f aca="false">In!G418</f>
        <v>Assumed</v>
      </c>
      <c r="H402" s="12" t="s">
        <v>2788</v>
      </c>
    </row>
    <row r="403" customFormat="false" ht="17.15" hidden="false" customHeight="false" outlineLevel="0" collapsed="false">
      <c r="A403" s="0" t="s">
        <v>1501</v>
      </c>
      <c r="B403" s="6" t="s">
        <v>1499</v>
      </c>
      <c r="C403" s="0" t="s">
        <v>1451</v>
      </c>
      <c r="D403" s="34" t="n">
        <f aca="false">In!D419</f>
        <v>130</v>
      </c>
      <c r="E403" s="34" t="n">
        <f aca="false">In!E419</f>
        <v>190</v>
      </c>
      <c r="F403" s="34" t="n">
        <f aca="false">In!F419</f>
        <v>250</v>
      </c>
      <c r="G403" s="0" t="str">
        <f aca="false">In!G419</f>
        <v>Assumed</v>
      </c>
      <c r="H403" s="12" t="s">
        <v>2789</v>
      </c>
    </row>
    <row r="404" customFormat="false" ht="17.15" hidden="false" customHeight="false" outlineLevel="0" collapsed="false">
      <c r="A404" s="0" t="s">
        <v>1506</v>
      </c>
      <c r="B404" s="6" t="s">
        <v>1504</v>
      </c>
      <c r="C404" s="0" t="s">
        <v>1451</v>
      </c>
      <c r="D404" s="34" t="n">
        <f aca="false">In!D420</f>
        <v>60</v>
      </c>
      <c r="E404" s="34" t="n">
        <f aca="false">In!E420</f>
        <v>90</v>
      </c>
      <c r="F404" s="34" t="n">
        <f aca="false">In!F420</f>
        <v>120</v>
      </c>
      <c r="G404" s="0" t="str">
        <f aca="false">In!G420</f>
        <v>Assumed</v>
      </c>
      <c r="H404" s="12" t="s">
        <v>2790</v>
      </c>
    </row>
    <row r="405" customFormat="false" ht="17.15" hidden="false" customHeight="false" outlineLevel="0" collapsed="false">
      <c r="A405" s="0" t="s">
        <v>1511</v>
      </c>
      <c r="B405" s="6" t="s">
        <v>1509</v>
      </c>
      <c r="C405" s="0" t="s">
        <v>1451</v>
      </c>
      <c r="D405" s="34" t="n">
        <f aca="false">In!D421</f>
        <v>40</v>
      </c>
      <c r="E405" s="34" t="n">
        <f aca="false">In!E421</f>
        <v>70</v>
      </c>
      <c r="F405" s="34" t="n">
        <f aca="false">In!F421</f>
        <v>100</v>
      </c>
      <c r="G405" s="0" t="str">
        <f aca="false">In!G421</f>
        <v>Assumed</v>
      </c>
      <c r="H405" s="12" t="s">
        <v>2791</v>
      </c>
    </row>
    <row r="406" customFormat="false" ht="17.15" hidden="false" customHeight="false" outlineLevel="0" collapsed="false">
      <c r="A406" s="0" t="s">
        <v>1516</v>
      </c>
      <c r="B406" s="6" t="s">
        <v>1514</v>
      </c>
      <c r="C406" s="0" t="s">
        <v>486</v>
      </c>
      <c r="D406" s="34" t="n">
        <f aca="false">In!D422</f>
        <v>1.2</v>
      </c>
      <c r="E406" s="34" t="n">
        <f aca="false">In!E422</f>
        <v>1.45</v>
      </c>
      <c r="F406" s="34" t="n">
        <f aca="false">In!F422</f>
        <v>1.8</v>
      </c>
      <c r="G406" s="0" t="str">
        <f aca="false">In!G422</f>
        <v>Analogy</v>
      </c>
      <c r="H406" s="12" t="s">
        <v>2792</v>
      </c>
    </row>
    <row r="407" customFormat="false" ht="17.15" hidden="false" customHeight="false" outlineLevel="0" collapsed="false">
      <c r="A407" s="0" t="s">
        <v>1520</v>
      </c>
      <c r="B407" s="6" t="s">
        <v>1519</v>
      </c>
      <c r="C407" s="0" t="s">
        <v>486</v>
      </c>
      <c r="D407" s="34" t="n">
        <f aca="false">In!D423</f>
        <v>1.3</v>
      </c>
      <c r="E407" s="34" t="n">
        <f aca="false">In!E423</f>
        <v>1.6</v>
      </c>
      <c r="F407" s="34" t="n">
        <f aca="false">In!F423</f>
        <v>2</v>
      </c>
      <c r="G407" s="0" t="str">
        <f aca="false">In!G423</f>
        <v>Analogy</v>
      </c>
      <c r="H407" s="12" t="s">
        <v>2793</v>
      </c>
    </row>
    <row r="408" customFormat="false" ht="17.15" hidden="false" customHeight="false" outlineLevel="0" collapsed="false">
      <c r="A408" s="0" t="s">
        <v>1523</v>
      </c>
      <c r="B408" s="6" t="s">
        <v>1522</v>
      </c>
      <c r="C408" s="0" t="s">
        <v>486</v>
      </c>
      <c r="D408" s="34" t="n">
        <f aca="false">In!D424</f>
        <v>1.3</v>
      </c>
      <c r="E408" s="34" t="n">
        <f aca="false">In!E424</f>
        <v>1.7</v>
      </c>
      <c r="F408" s="34" t="n">
        <f aca="false">In!F424</f>
        <v>2.2</v>
      </c>
      <c r="G408" s="0" t="str">
        <f aca="false">In!G424</f>
        <v>Analogy</v>
      </c>
      <c r="H408" s="12" t="s">
        <v>2794</v>
      </c>
    </row>
    <row r="409" customFormat="false" ht="17.15" hidden="false" customHeight="false" outlineLevel="0" collapsed="false">
      <c r="A409" s="0" t="s">
        <v>1527</v>
      </c>
      <c r="B409" s="6" t="s">
        <v>1525</v>
      </c>
      <c r="C409" s="0" t="s">
        <v>486</v>
      </c>
      <c r="D409" s="34" t="n">
        <f aca="false">In!D425</f>
        <v>1.15</v>
      </c>
      <c r="E409" s="34" t="n">
        <f aca="false">In!E425</f>
        <v>1.4</v>
      </c>
      <c r="F409" s="34" t="n">
        <f aca="false">In!F425</f>
        <v>1.7</v>
      </c>
      <c r="G409" s="0" t="str">
        <f aca="false">In!G425</f>
        <v>Assumed</v>
      </c>
      <c r="H409" s="12" t="s">
        <v>2795</v>
      </c>
    </row>
    <row r="410" customFormat="false" ht="17.15" hidden="false" customHeight="false" outlineLevel="0" collapsed="false">
      <c r="A410" s="0" t="s">
        <v>1531</v>
      </c>
      <c r="B410" s="6" t="s">
        <v>1530</v>
      </c>
      <c r="C410" s="0" t="s">
        <v>486</v>
      </c>
      <c r="D410" s="34" t="n">
        <f aca="false">In!D426</f>
        <v>1.25</v>
      </c>
      <c r="E410" s="34" t="n">
        <f aca="false">In!E426</f>
        <v>1.6</v>
      </c>
      <c r="F410" s="34" t="n">
        <f aca="false">In!F426</f>
        <v>2</v>
      </c>
      <c r="G410" s="0" t="str">
        <f aca="false">In!G426</f>
        <v>Assumed</v>
      </c>
      <c r="H410" s="12" t="s">
        <v>2796</v>
      </c>
    </row>
    <row r="411" customFormat="false" ht="17.15" hidden="false" customHeight="false" outlineLevel="0" collapsed="false">
      <c r="A411" s="0" t="s">
        <v>1534</v>
      </c>
      <c r="B411" s="6" t="s">
        <v>1533</v>
      </c>
      <c r="C411" s="0" t="s">
        <v>486</v>
      </c>
      <c r="D411" s="34" t="n">
        <f aca="false">In!D427</f>
        <v>1.3</v>
      </c>
      <c r="E411" s="34" t="n">
        <f aca="false">In!E427</f>
        <v>1.75</v>
      </c>
      <c r="F411" s="34" t="n">
        <f aca="false">In!F427</f>
        <v>2.2</v>
      </c>
      <c r="G411" s="0" t="str">
        <f aca="false">In!G427</f>
        <v>Assumed</v>
      </c>
      <c r="H411" s="12" t="s">
        <v>2797</v>
      </c>
    </row>
    <row r="412" customFormat="false" ht="17.15" hidden="false" customHeight="false" outlineLevel="0" collapsed="false">
      <c r="A412" s="0" t="s">
        <v>1538</v>
      </c>
      <c r="B412" s="6" t="s">
        <v>1536</v>
      </c>
      <c r="C412" s="0" t="s">
        <v>486</v>
      </c>
      <c r="D412" s="34" t="n">
        <f aca="false">In!D428</f>
        <v>1.3</v>
      </c>
      <c r="E412" s="34" t="n">
        <f aca="false">In!E428</f>
        <v>1.8</v>
      </c>
      <c r="F412" s="34" t="n">
        <f aca="false">In!F428</f>
        <v>2.5</v>
      </c>
      <c r="G412" s="0" t="str">
        <f aca="false">In!G428</f>
        <v>Assumed</v>
      </c>
      <c r="H412" s="12" t="s">
        <v>2798</v>
      </c>
    </row>
    <row r="413" customFormat="false" ht="17.15" hidden="false" customHeight="false" outlineLevel="0" collapsed="false">
      <c r="A413" s="0" t="s">
        <v>1542</v>
      </c>
      <c r="B413" s="6" t="s">
        <v>1541</v>
      </c>
      <c r="C413" s="0" t="s">
        <v>486</v>
      </c>
      <c r="D413" s="34" t="n">
        <f aca="false">In!D429</f>
        <v>1.5</v>
      </c>
      <c r="E413" s="34" t="n">
        <f aca="false">In!E429</f>
        <v>2.3</v>
      </c>
      <c r="F413" s="34" t="n">
        <f aca="false">In!F429</f>
        <v>3</v>
      </c>
      <c r="G413" s="0" t="str">
        <f aca="false">In!G429</f>
        <v>Assumed</v>
      </c>
      <c r="H413" s="12" t="s">
        <v>2799</v>
      </c>
    </row>
    <row r="414" customFormat="false" ht="17.15" hidden="false" customHeight="false" outlineLevel="0" collapsed="false">
      <c r="A414" s="0" t="s">
        <v>1545</v>
      </c>
      <c r="B414" s="6" t="s">
        <v>1544</v>
      </c>
      <c r="C414" s="0" t="s">
        <v>486</v>
      </c>
      <c r="D414" s="34" t="n">
        <f aca="false">In!D430</f>
        <v>1.5</v>
      </c>
      <c r="E414" s="34" t="n">
        <f aca="false">In!E430</f>
        <v>2.6</v>
      </c>
      <c r="F414" s="34" t="n">
        <f aca="false">In!F430</f>
        <v>3.5</v>
      </c>
      <c r="G414" s="0" t="str">
        <f aca="false">In!G430</f>
        <v>Assumed</v>
      </c>
      <c r="H414" s="12" t="s">
        <v>2800</v>
      </c>
    </row>
    <row r="415" customFormat="false" ht="17.15" hidden="false" customHeight="false" outlineLevel="0" collapsed="false">
      <c r="A415" s="0" t="s">
        <v>1551</v>
      </c>
      <c r="B415" s="0" t="s">
        <v>1548</v>
      </c>
      <c r="C415" s="0" t="s">
        <v>1549</v>
      </c>
      <c r="D415" s="34" t="n">
        <f aca="false">In!D432</f>
        <v>380</v>
      </c>
      <c r="E415" s="34" t="n">
        <f aca="false">In!E432</f>
        <v>450</v>
      </c>
      <c r="F415" s="34" t="n">
        <f aca="false">In!F432</f>
        <v>520</v>
      </c>
      <c r="G415" s="0" t="str">
        <f aca="false">In!G432</f>
        <v>Derived</v>
      </c>
      <c r="H415" s="12" t="s">
        <v>2801</v>
      </c>
    </row>
    <row r="416" customFormat="false" ht="17.15" hidden="false" customHeight="false" outlineLevel="0" collapsed="false">
      <c r="A416" s="0" t="s">
        <v>1556</v>
      </c>
      <c r="B416" s="0" t="s">
        <v>1554</v>
      </c>
      <c r="C416" s="0" t="s">
        <v>1549</v>
      </c>
      <c r="D416" s="34" t="n">
        <f aca="false">In!D433</f>
        <v>500</v>
      </c>
      <c r="E416" s="34" t="n">
        <f aca="false">In!E433</f>
        <v>600</v>
      </c>
      <c r="F416" s="34" t="n">
        <f aca="false">In!F433</f>
        <v>700</v>
      </c>
      <c r="G416" s="0" t="str">
        <f aca="false">In!G433</f>
        <v>Derived</v>
      </c>
      <c r="H416" s="12" t="s">
        <v>2802</v>
      </c>
    </row>
    <row r="417" customFormat="false" ht="17.15" hidden="false" customHeight="false" outlineLevel="0" collapsed="false">
      <c r="A417" s="0" t="s">
        <v>1561</v>
      </c>
      <c r="B417" s="0" t="s">
        <v>1559</v>
      </c>
      <c r="C417" s="0" t="s">
        <v>1549</v>
      </c>
      <c r="D417" s="34" t="n">
        <f aca="false">In!D434</f>
        <v>550</v>
      </c>
      <c r="E417" s="34" t="n">
        <f aca="false">In!E434</f>
        <v>680</v>
      </c>
      <c r="F417" s="34" t="n">
        <f aca="false">In!F434</f>
        <v>800</v>
      </c>
      <c r="G417" s="0" t="str">
        <f aca="false">In!G434</f>
        <v>Assumed</v>
      </c>
      <c r="H417" s="12" t="s">
        <v>2803</v>
      </c>
    </row>
    <row r="418" customFormat="false" ht="17.15" hidden="false" customHeight="false" outlineLevel="0" collapsed="false">
      <c r="A418" s="0" t="s">
        <v>1565</v>
      </c>
      <c r="B418" s="0" t="s">
        <v>1564</v>
      </c>
      <c r="C418" s="0" t="s">
        <v>1549</v>
      </c>
      <c r="D418" s="34" t="n">
        <f aca="false">In!D435</f>
        <v>550</v>
      </c>
      <c r="E418" s="34" t="n">
        <f aca="false">In!E435</f>
        <v>720</v>
      </c>
      <c r="F418" s="34" t="n">
        <f aca="false">In!F435</f>
        <v>850</v>
      </c>
      <c r="G418" s="0" t="str">
        <f aca="false">In!G435</f>
        <v>Assumed</v>
      </c>
      <c r="H418" s="12" t="s">
        <v>2804</v>
      </c>
    </row>
    <row r="419" customFormat="false" ht="17.15" hidden="false" customHeight="false" outlineLevel="0" collapsed="false">
      <c r="A419" s="0" t="s">
        <v>1569</v>
      </c>
      <c r="B419" s="6" t="s">
        <v>1567</v>
      </c>
      <c r="C419" s="0" t="s">
        <v>486</v>
      </c>
      <c r="D419" s="34" t="n">
        <f aca="false">In!D436</f>
        <v>0.85</v>
      </c>
      <c r="E419" s="34" t="n">
        <f aca="false">In!E436</f>
        <v>0.95</v>
      </c>
      <c r="F419" s="34" t="n">
        <f aca="false">In!F436</f>
        <v>1</v>
      </c>
      <c r="G419" s="0" t="str">
        <f aca="false">In!G436</f>
        <v>Assumed</v>
      </c>
      <c r="H419" s="12" t="s">
        <v>2805</v>
      </c>
    </row>
    <row r="420" customFormat="false" ht="17.15" hidden="false" customHeight="false" outlineLevel="0" collapsed="false">
      <c r="A420" s="0" t="s">
        <v>1573</v>
      </c>
      <c r="B420" s="6" t="s">
        <v>1572</v>
      </c>
      <c r="C420" s="0" t="s">
        <v>486</v>
      </c>
      <c r="D420" s="34" t="n">
        <f aca="false">In!D437</f>
        <v>0.7</v>
      </c>
      <c r="E420" s="34" t="n">
        <f aca="false">In!E437</f>
        <v>0.9</v>
      </c>
      <c r="F420" s="34" t="n">
        <f aca="false">In!F437</f>
        <v>1</v>
      </c>
      <c r="G420" s="0" t="str">
        <f aca="false">In!G437</f>
        <v>Assumed</v>
      </c>
      <c r="H420" s="12" t="s">
        <v>2806</v>
      </c>
    </row>
    <row r="421" customFormat="false" ht="17.15" hidden="false" customHeight="false" outlineLevel="0" collapsed="false">
      <c r="A421" s="0" t="s">
        <v>1576</v>
      </c>
      <c r="B421" s="6" t="s">
        <v>1575</v>
      </c>
      <c r="C421" s="0" t="s">
        <v>486</v>
      </c>
      <c r="D421" s="34" t="n">
        <f aca="false">In!D438</f>
        <v>0.65</v>
      </c>
      <c r="E421" s="34" t="n">
        <f aca="false">In!E438</f>
        <v>0.85</v>
      </c>
      <c r="F421" s="34" t="n">
        <f aca="false">In!F438</f>
        <v>1</v>
      </c>
      <c r="G421" s="0" t="str">
        <f aca="false">In!G438</f>
        <v>Assumed</v>
      </c>
      <c r="H421" s="12" t="s">
        <v>2807</v>
      </c>
    </row>
    <row r="422" customFormat="false" ht="17.15" hidden="false" customHeight="false" outlineLevel="0" collapsed="false">
      <c r="A422" s="0" t="s">
        <v>1580</v>
      </c>
      <c r="B422" s="6" t="s">
        <v>1578</v>
      </c>
      <c r="C422" s="0" t="s">
        <v>486</v>
      </c>
      <c r="D422" s="34" t="n">
        <f aca="false">In!D439</f>
        <v>0.85</v>
      </c>
      <c r="E422" s="34" t="n">
        <f aca="false">In!E439</f>
        <v>1</v>
      </c>
      <c r="F422" s="34" t="n">
        <f aca="false">In!F439</f>
        <v>1.1</v>
      </c>
      <c r="G422" s="0" t="str">
        <f aca="false">In!G439</f>
        <v>Assumed</v>
      </c>
      <c r="H422" s="12" t="s">
        <v>2808</v>
      </c>
    </row>
    <row r="423" customFormat="false" ht="17.15" hidden="false" customHeight="false" outlineLevel="0" collapsed="false">
      <c r="A423" s="0" t="s">
        <v>1584</v>
      </c>
      <c r="B423" s="6" t="s">
        <v>1583</v>
      </c>
      <c r="C423" s="0" t="s">
        <v>486</v>
      </c>
      <c r="D423" s="34" t="n">
        <f aca="false">In!D440</f>
        <v>0.8</v>
      </c>
      <c r="E423" s="34" t="n">
        <f aca="false">In!E440</f>
        <v>1</v>
      </c>
      <c r="F423" s="34" t="n">
        <f aca="false">In!F440</f>
        <v>1.2</v>
      </c>
      <c r="G423" s="0" t="str">
        <f aca="false">In!G440</f>
        <v>Assumed</v>
      </c>
      <c r="H423" s="12" t="s">
        <v>2809</v>
      </c>
    </row>
    <row r="424" customFormat="false" ht="17.15" hidden="false" customHeight="false" outlineLevel="0" collapsed="false">
      <c r="A424" s="0" t="s">
        <v>1587</v>
      </c>
      <c r="B424" s="6" t="s">
        <v>1586</v>
      </c>
      <c r="C424" s="0" t="s">
        <v>486</v>
      </c>
      <c r="D424" s="34" t="n">
        <f aca="false">In!D441</f>
        <v>0.75</v>
      </c>
      <c r="E424" s="34" t="n">
        <f aca="false">In!E441</f>
        <v>1</v>
      </c>
      <c r="F424" s="34" t="n">
        <f aca="false">In!F441</f>
        <v>1.25</v>
      </c>
      <c r="G424" s="0" t="str">
        <f aca="false">In!G441</f>
        <v>Assumed</v>
      </c>
      <c r="H424" s="12" t="s">
        <v>2810</v>
      </c>
    </row>
    <row r="425" customFormat="false" ht="17.15" hidden="false" customHeight="false" outlineLevel="0" collapsed="false">
      <c r="A425" s="0" t="s">
        <v>1591</v>
      </c>
      <c r="B425" s="6" t="s">
        <v>1589</v>
      </c>
      <c r="C425" s="0" t="s">
        <v>57</v>
      </c>
      <c r="E425" s="20" t="n">
        <f aca="false">In!E442</f>
        <v>0.583671939396773</v>
      </c>
      <c r="G425" s="0" t="str">
        <f aca="false">In!G442</f>
        <v>Derived</v>
      </c>
      <c r="H425" s="12" t="s">
        <v>2811</v>
      </c>
    </row>
    <row r="426" customFormat="false" ht="17.15" hidden="false" customHeight="false" outlineLevel="0" collapsed="false">
      <c r="A426" s="0" t="s">
        <v>1596</v>
      </c>
      <c r="B426" s="6" t="s">
        <v>1594</v>
      </c>
      <c r="C426" s="0" t="s">
        <v>57</v>
      </c>
      <c r="E426" s="20" t="n">
        <f aca="false">In!E443</f>
        <v>0.176143316327046</v>
      </c>
      <c r="G426" s="0" t="str">
        <f aca="false">In!G443</f>
        <v>Derived</v>
      </c>
      <c r="H426" s="12" t="s">
        <v>2812</v>
      </c>
    </row>
    <row r="427" customFormat="false" ht="17.15" hidden="false" customHeight="false" outlineLevel="0" collapsed="false">
      <c r="A427" s="0" t="s">
        <v>1601</v>
      </c>
      <c r="B427" s="6" t="s">
        <v>1599</v>
      </c>
      <c r="C427" s="0" t="s">
        <v>57</v>
      </c>
      <c r="E427" s="20" t="n">
        <f aca="false">In!E444</f>
        <v>0.7</v>
      </c>
      <c r="G427" s="0" t="str">
        <f aca="false">In!G444</f>
        <v>Interested-party</v>
      </c>
      <c r="H427" s="12" t="s">
        <v>2813</v>
      </c>
    </row>
    <row r="428" customFormat="false" ht="17.15" hidden="false" customHeight="false" outlineLevel="0" collapsed="false">
      <c r="A428" s="0" t="s">
        <v>1606</v>
      </c>
      <c r="B428" s="6" t="s">
        <v>1604</v>
      </c>
      <c r="C428" s="0" t="s">
        <v>57</v>
      </c>
      <c r="D428" s="20" t="n">
        <f aca="false">In!D445</f>
        <v>0.6</v>
      </c>
      <c r="E428" s="20" t="n">
        <f aca="false">In!E445</f>
        <v>0.625</v>
      </c>
      <c r="F428" s="20" t="n">
        <f aca="false">In!F445</f>
        <v>0.65</v>
      </c>
      <c r="G428" s="0" t="str">
        <f aca="false">In!G445</f>
        <v>Interested-party</v>
      </c>
      <c r="H428" s="12" t="s">
        <v>2814</v>
      </c>
    </row>
    <row r="429" customFormat="false" ht="17.15" hidden="false" customHeight="false" outlineLevel="0" collapsed="false">
      <c r="A429" s="0" t="s">
        <v>1611</v>
      </c>
      <c r="B429" s="0" t="s">
        <v>1609</v>
      </c>
      <c r="C429" s="0" t="s">
        <v>1338</v>
      </c>
      <c r="E429" s="34" t="n">
        <f aca="false">In!E446</f>
        <v>17.7</v>
      </c>
      <c r="G429" s="0" t="str">
        <f aca="false">In!G446</f>
        <v>Interested-party</v>
      </c>
      <c r="H429" s="12" t="s">
        <v>2815</v>
      </c>
    </row>
    <row r="430" customFormat="false" ht="17.15" hidden="false" customHeight="false" outlineLevel="0" collapsed="false">
      <c r="A430" s="0" t="s">
        <v>1615</v>
      </c>
      <c r="B430" s="0" t="s">
        <v>1614</v>
      </c>
      <c r="C430" s="0" t="s">
        <v>1338</v>
      </c>
      <c r="E430" s="34" t="n">
        <f aca="false">In!E447</f>
        <v>38.2</v>
      </c>
      <c r="G430" s="0" t="str">
        <f aca="false">In!G447</f>
        <v>Interested-party</v>
      </c>
      <c r="H430" s="12" t="s">
        <v>2816</v>
      </c>
    </row>
    <row r="431" customFormat="false" ht="17.15" hidden="false" customHeight="false" outlineLevel="0" collapsed="false">
      <c r="A431" s="0" t="s">
        <v>1621</v>
      </c>
      <c r="B431" s="0" t="s">
        <v>1618</v>
      </c>
      <c r="C431" s="0" t="s">
        <v>1619</v>
      </c>
      <c r="D431" s="34" t="n">
        <f aca="false">In!D449</f>
        <v>3.6</v>
      </c>
      <c r="E431" s="34" t="n">
        <f aca="false">In!E449</f>
        <v>4</v>
      </c>
      <c r="F431" s="34" t="n">
        <f aca="false">In!F449</f>
        <v>4.3</v>
      </c>
      <c r="G431" s="0" t="str">
        <f aca="false">In!G449</f>
        <v>Interested-party</v>
      </c>
      <c r="H431" s="12" t="s">
        <v>2817</v>
      </c>
    </row>
    <row r="432" customFormat="false" ht="17.15" hidden="false" customHeight="false" outlineLevel="0" collapsed="false">
      <c r="A432" s="0" t="s">
        <v>1626</v>
      </c>
      <c r="B432" s="0" t="s">
        <v>1624</v>
      </c>
      <c r="C432" s="0" t="s">
        <v>1619</v>
      </c>
      <c r="D432" s="34" t="n">
        <f aca="false">In!D450</f>
        <v>6.5</v>
      </c>
      <c r="E432" s="34" t="n">
        <f aca="false">In!E450</f>
        <v>6.75</v>
      </c>
      <c r="F432" s="34" t="n">
        <f aca="false">In!F450</f>
        <v>7</v>
      </c>
      <c r="G432" s="0" t="str">
        <f aca="false">In!G450</f>
        <v>Interested-party</v>
      </c>
      <c r="H432" s="12" t="s">
        <v>2818</v>
      </c>
    </row>
    <row r="433" customFormat="false" ht="17.15" hidden="false" customHeight="false" outlineLevel="0" collapsed="false">
      <c r="A433" s="0" t="s">
        <v>1631</v>
      </c>
      <c r="B433" s="0" t="s">
        <v>1629</v>
      </c>
      <c r="C433" s="0" t="s">
        <v>57</v>
      </c>
      <c r="D433" s="20" t="n">
        <f aca="false">In!D451</f>
        <v>0.45</v>
      </c>
      <c r="E433" s="20" t="n">
        <f aca="false">In!E451</f>
        <v>0.48</v>
      </c>
      <c r="F433" s="20" t="n">
        <f aca="false">In!F451</f>
        <v>0.52</v>
      </c>
      <c r="G433" s="0" t="str">
        <f aca="false">In!G451</f>
        <v>Interested-party</v>
      </c>
      <c r="H433" s="12" t="s">
        <v>2819</v>
      </c>
    </row>
    <row r="434" customFormat="false" ht="17.15" hidden="false" customHeight="false" outlineLevel="0" collapsed="false">
      <c r="A434" s="0" t="s">
        <v>1637</v>
      </c>
      <c r="B434" s="0" t="s">
        <v>1635</v>
      </c>
      <c r="C434" s="0" t="s">
        <v>625</v>
      </c>
      <c r="D434" s="34" t="n">
        <f aca="false">In!D453</f>
        <v>50</v>
      </c>
      <c r="E434" s="34" t="n">
        <f aca="false">In!E453</f>
        <v>50</v>
      </c>
      <c r="F434" s="34" t="n">
        <f aca="false">In!F453</f>
        <v>50</v>
      </c>
      <c r="G434" s="0" t="str">
        <f aca="false">In!G453</f>
        <v>Interested-party</v>
      </c>
      <c r="H434" s="12" t="s">
        <v>2820</v>
      </c>
    </row>
    <row r="435" customFormat="false" ht="17.15" hidden="false" customHeight="false" outlineLevel="0" collapsed="false">
      <c r="A435" s="0" t="s">
        <v>1641</v>
      </c>
      <c r="B435" s="0" t="s">
        <v>1640</v>
      </c>
      <c r="C435" s="0" t="s">
        <v>625</v>
      </c>
      <c r="D435" s="34" t="n">
        <f aca="false">In!D454</f>
        <v>56</v>
      </c>
      <c r="E435" s="34" t="n">
        <f aca="false">In!E454</f>
        <v>56</v>
      </c>
      <c r="F435" s="34" t="n">
        <f aca="false">In!F454</f>
        <v>56</v>
      </c>
      <c r="G435" s="0" t="str">
        <f aca="false">In!G454</f>
        <v>Interested-party</v>
      </c>
      <c r="H435" s="12" t="s">
        <v>2821</v>
      </c>
    </row>
    <row r="436" customFormat="false" ht="15" hidden="false" customHeight="false" outlineLevel="0" collapsed="false">
      <c r="A436" s="0" t="s">
        <v>1646</v>
      </c>
      <c r="B436" s="6" t="s">
        <v>1644</v>
      </c>
      <c r="C436" s="0" t="s">
        <v>625</v>
      </c>
      <c r="D436" s="34" t="n">
        <f aca="false">In!D455</f>
        <v>3</v>
      </c>
      <c r="E436" s="34" t="n">
        <f aca="false">In!E455</f>
        <v>6</v>
      </c>
      <c r="F436" s="34" t="n">
        <f aca="false">In!F455</f>
        <v>10</v>
      </c>
      <c r="G436" s="0" t="str">
        <f aca="false">In!G455</f>
        <v>Assumed</v>
      </c>
      <c r="H436" s="12" t="s">
        <v>2822</v>
      </c>
    </row>
    <row r="437" customFormat="false" ht="17.15" hidden="false" customHeight="false" outlineLevel="0" collapsed="false">
      <c r="A437" s="0" t="s">
        <v>1651</v>
      </c>
      <c r="B437" s="6" t="s">
        <v>1649</v>
      </c>
      <c r="C437" s="0" t="s">
        <v>486</v>
      </c>
      <c r="D437" s="34" t="n">
        <f aca="false">In!D456</f>
        <v>1</v>
      </c>
      <c r="E437" s="34" t="n">
        <f aca="false">In!E456</f>
        <v>1.3</v>
      </c>
      <c r="F437" s="34" t="n">
        <f aca="false">In!F456</f>
        <v>1.6</v>
      </c>
      <c r="G437" s="0" t="str">
        <f aca="false">In!G456</f>
        <v>Assumed</v>
      </c>
      <c r="H437" s="12" t="s">
        <v>2823</v>
      </c>
    </row>
    <row r="438" customFormat="false" ht="17.15" hidden="false" customHeight="false" outlineLevel="0" collapsed="false">
      <c r="A438" s="0" t="s">
        <v>1655</v>
      </c>
      <c r="B438" s="6" t="s">
        <v>1654</v>
      </c>
      <c r="C438" s="0" t="s">
        <v>486</v>
      </c>
      <c r="D438" s="34" t="n">
        <f aca="false">In!D457</f>
        <v>1</v>
      </c>
      <c r="E438" s="34" t="n">
        <f aca="false">In!E457</f>
        <v>1.4</v>
      </c>
      <c r="F438" s="34" t="n">
        <f aca="false">In!F457</f>
        <v>1.8</v>
      </c>
      <c r="G438" s="0" t="str">
        <f aca="false">In!G457</f>
        <v>Assumed</v>
      </c>
      <c r="H438" s="12" t="s">
        <v>2824</v>
      </c>
    </row>
    <row r="439" customFormat="false" ht="17.15" hidden="false" customHeight="false" outlineLevel="0" collapsed="false">
      <c r="A439" s="0" t="s">
        <v>1658</v>
      </c>
      <c r="B439" s="6" t="s">
        <v>1657</v>
      </c>
      <c r="C439" s="0" t="s">
        <v>486</v>
      </c>
      <c r="D439" s="34" t="n">
        <f aca="false">In!D458</f>
        <v>1</v>
      </c>
      <c r="E439" s="34" t="n">
        <f aca="false">In!E458</f>
        <v>1.4</v>
      </c>
      <c r="F439" s="34" t="n">
        <f aca="false">In!F458</f>
        <v>1.8</v>
      </c>
      <c r="G439" s="0" t="str">
        <f aca="false">In!G458</f>
        <v>Assumed</v>
      </c>
      <c r="H439" s="12" t="s">
        <v>2825</v>
      </c>
    </row>
    <row r="440" customFormat="false" ht="17.15" hidden="false" customHeight="false" outlineLevel="0" collapsed="false">
      <c r="A440" s="0" t="s">
        <v>1662</v>
      </c>
      <c r="B440" s="6" t="s">
        <v>1660</v>
      </c>
      <c r="C440" s="0" t="s">
        <v>57</v>
      </c>
      <c r="D440" s="20" t="n">
        <f aca="false">In!D459</f>
        <v>0.45</v>
      </c>
      <c r="E440" s="20" t="n">
        <f aca="false">In!E459</f>
        <v>0.55</v>
      </c>
      <c r="F440" s="20" t="n">
        <f aca="false">In!F459</f>
        <v>0.65</v>
      </c>
      <c r="G440" s="0" t="str">
        <f aca="false">In!G459</f>
        <v>Assumed</v>
      </c>
      <c r="H440" s="12" t="s">
        <v>2826</v>
      </c>
    </row>
    <row r="441" customFormat="false" ht="17.15" hidden="false" customHeight="false" outlineLevel="0" collapsed="false">
      <c r="A441" s="0" t="s">
        <v>1666</v>
      </c>
      <c r="B441" s="6" t="s">
        <v>1665</v>
      </c>
      <c r="C441" s="0" t="s">
        <v>57</v>
      </c>
      <c r="D441" s="20" t="n">
        <f aca="false">In!D460</f>
        <v>0.6</v>
      </c>
      <c r="E441" s="20" t="n">
        <f aca="false">In!E460</f>
        <v>0.75</v>
      </c>
      <c r="F441" s="20" t="n">
        <f aca="false">In!F460</f>
        <v>0.85</v>
      </c>
      <c r="G441" s="0" t="str">
        <f aca="false">In!G460</f>
        <v>Assumed</v>
      </c>
      <c r="H441" s="12" t="s">
        <v>2827</v>
      </c>
    </row>
    <row r="442" customFormat="false" ht="17.15" hidden="false" customHeight="false" outlineLevel="0" collapsed="false">
      <c r="A442" s="0" t="s">
        <v>1669</v>
      </c>
      <c r="B442" s="6" t="s">
        <v>1668</v>
      </c>
      <c r="C442" s="0" t="s">
        <v>57</v>
      </c>
      <c r="D442" s="20" t="n">
        <f aca="false">In!D461</f>
        <v>0.7</v>
      </c>
      <c r="E442" s="20" t="n">
        <f aca="false">In!E461</f>
        <v>0.85</v>
      </c>
      <c r="F442" s="20" t="n">
        <f aca="false">In!F461</f>
        <v>0.95</v>
      </c>
      <c r="G442" s="0" t="str">
        <f aca="false">In!G461</f>
        <v>Assumed</v>
      </c>
      <c r="H442" s="12" t="s">
        <v>2828</v>
      </c>
    </row>
    <row r="443" customFormat="false" ht="17.15" hidden="false" customHeight="false" outlineLevel="0" collapsed="false">
      <c r="A443" s="0" t="s">
        <v>1672</v>
      </c>
      <c r="B443" s="6" t="s">
        <v>1671</v>
      </c>
      <c r="C443" s="0" t="s">
        <v>57</v>
      </c>
      <c r="D443" s="20" t="n">
        <f aca="false">In!D462</f>
        <v>0.75</v>
      </c>
      <c r="E443" s="20" t="n">
        <f aca="false">In!E462</f>
        <v>0.9</v>
      </c>
      <c r="F443" s="20" t="n">
        <f aca="false">In!F462</f>
        <v>0.95</v>
      </c>
      <c r="G443" s="0" t="str">
        <f aca="false">In!G462</f>
        <v>Assumed</v>
      </c>
      <c r="H443" s="12" t="s">
        <v>2829</v>
      </c>
    </row>
    <row r="444" customFormat="false" ht="17.15" hidden="false" customHeight="false" outlineLevel="0" collapsed="false">
      <c r="A444" s="0" t="s">
        <v>1676</v>
      </c>
      <c r="B444" s="0" t="s">
        <v>1674</v>
      </c>
      <c r="C444" s="0" t="s">
        <v>57</v>
      </c>
      <c r="E444" s="20" t="n">
        <f aca="false">In!E463</f>
        <v>0.53</v>
      </c>
      <c r="G444" s="0" t="str">
        <f aca="false">In!G463</f>
        <v>Interested-party</v>
      </c>
      <c r="H444" s="12" t="s">
        <v>2830</v>
      </c>
    </row>
    <row r="445" customFormat="false" ht="17.15" hidden="false" customHeight="false" outlineLevel="0" collapsed="false">
      <c r="A445" s="0" t="s">
        <v>1679</v>
      </c>
      <c r="B445" s="0" t="s">
        <v>1678</v>
      </c>
      <c r="C445" s="0" t="s">
        <v>57</v>
      </c>
      <c r="E445" s="20" t="n">
        <f aca="false">In!E464</f>
        <v>0.6</v>
      </c>
      <c r="G445" s="0" t="str">
        <f aca="false">In!G464</f>
        <v>Interested-party</v>
      </c>
      <c r="H445" s="12" t="s">
        <v>2831</v>
      </c>
    </row>
    <row r="446" customFormat="false" ht="17.15" hidden="false" customHeight="false" outlineLevel="0" collapsed="false">
      <c r="A446" s="0" t="s">
        <v>1684</v>
      </c>
      <c r="B446" s="6" t="s">
        <v>1682</v>
      </c>
      <c r="C446" s="0" t="s">
        <v>57</v>
      </c>
      <c r="E446" s="20" t="n">
        <f aca="false">In!E465</f>
        <v>0.498927641116677</v>
      </c>
      <c r="G446" s="0" t="str">
        <f aca="false">In!G465</f>
        <v>Derived</v>
      </c>
      <c r="H446" s="12" t="s">
        <v>2832</v>
      </c>
    </row>
    <row r="447" customFormat="false" ht="17.15" hidden="false" customHeight="false" outlineLevel="0" collapsed="false">
      <c r="A447" s="0" t="s">
        <v>1689</v>
      </c>
      <c r="B447" s="6" t="s">
        <v>1687</v>
      </c>
      <c r="C447" s="0" t="s">
        <v>486</v>
      </c>
      <c r="D447" s="34" t="n">
        <f aca="false">In!D466</f>
        <v>0.85</v>
      </c>
      <c r="E447" s="34" t="n">
        <f aca="false">In!E466</f>
        <v>0.95</v>
      </c>
      <c r="F447" s="34" t="n">
        <f aca="false">In!F466</f>
        <v>1.05</v>
      </c>
      <c r="G447" s="0" t="str">
        <f aca="false">In!G466</f>
        <v>Assumed</v>
      </c>
      <c r="H447" s="12" t="s">
        <v>2833</v>
      </c>
    </row>
    <row r="448" customFormat="false" ht="17.15" hidden="false" customHeight="false" outlineLevel="0" collapsed="false">
      <c r="A448" s="0" t="s">
        <v>1693</v>
      </c>
      <c r="B448" s="6" t="s">
        <v>1692</v>
      </c>
      <c r="C448" s="0" t="s">
        <v>486</v>
      </c>
      <c r="D448" s="34" t="n">
        <f aca="false">In!D467</f>
        <v>0.75</v>
      </c>
      <c r="E448" s="34" t="n">
        <f aca="false">In!E467</f>
        <v>0.9</v>
      </c>
      <c r="F448" s="34" t="n">
        <f aca="false">In!F467</f>
        <v>1.05</v>
      </c>
      <c r="G448" s="0" t="str">
        <f aca="false">In!G467</f>
        <v>Assumed</v>
      </c>
      <c r="H448" s="12" t="s">
        <v>2834</v>
      </c>
    </row>
    <row r="449" customFormat="false" ht="17.15" hidden="false" customHeight="false" outlineLevel="0" collapsed="false">
      <c r="A449" s="0" t="s">
        <v>1696</v>
      </c>
      <c r="B449" s="6" t="s">
        <v>1695</v>
      </c>
      <c r="C449" s="0" t="s">
        <v>486</v>
      </c>
      <c r="D449" s="34" t="n">
        <f aca="false">In!D468</f>
        <v>0.7</v>
      </c>
      <c r="E449" s="34" t="n">
        <f aca="false">In!E468</f>
        <v>0.85</v>
      </c>
      <c r="F449" s="34" t="n">
        <f aca="false">In!F468</f>
        <v>1.05</v>
      </c>
      <c r="G449" s="0" t="str">
        <f aca="false">In!G468</f>
        <v>Assumed</v>
      </c>
      <c r="H449" s="12" t="s">
        <v>2835</v>
      </c>
    </row>
    <row r="450" customFormat="false" ht="17.15" hidden="false" customHeight="false" outlineLevel="0" collapsed="false">
      <c r="A450" s="0" t="s">
        <v>1700</v>
      </c>
      <c r="B450" s="6" t="s">
        <v>1698</v>
      </c>
      <c r="C450" s="0" t="s">
        <v>57</v>
      </c>
      <c r="E450" s="20" t="n">
        <f aca="false">In!E469</f>
        <v>0.15870077644017</v>
      </c>
      <c r="G450" s="0" t="str">
        <f aca="false">In!G469</f>
        <v>Derived</v>
      </c>
      <c r="H450" s="12" t="s">
        <v>2836</v>
      </c>
    </row>
    <row r="451" customFormat="false" ht="17.15" hidden="false" customHeight="false" outlineLevel="0" collapsed="false">
      <c r="A451" s="0" t="s">
        <v>1704</v>
      </c>
      <c r="B451" s="6" t="s">
        <v>1702</v>
      </c>
      <c r="C451" s="0" t="s">
        <v>57</v>
      </c>
      <c r="D451" s="20" t="n">
        <f aca="false">In!D470</f>
        <v>0.003</v>
      </c>
      <c r="E451" s="20" t="n">
        <f aca="false">In!E470</f>
        <v>0.008</v>
      </c>
      <c r="F451" s="20" t="n">
        <f aca="false">In!F470</f>
        <v>0.015</v>
      </c>
      <c r="G451" s="0" t="str">
        <f aca="false">In!G470</f>
        <v>Assumed</v>
      </c>
      <c r="H451" s="12" t="s">
        <v>2837</v>
      </c>
    </row>
    <row r="452" customFormat="false" ht="17.15" hidden="false" customHeight="false" outlineLevel="0" collapsed="false">
      <c r="A452" s="0" t="s">
        <v>1708</v>
      </c>
      <c r="B452" s="6" t="s">
        <v>1707</v>
      </c>
      <c r="C452" s="0" t="s">
        <v>57</v>
      </c>
      <c r="D452" s="20" t="n">
        <f aca="false">In!D471</f>
        <v>0.006</v>
      </c>
      <c r="E452" s="20" t="n">
        <f aca="false">In!E471</f>
        <v>0.015</v>
      </c>
      <c r="F452" s="20" t="n">
        <f aca="false">In!F471</f>
        <v>0.03</v>
      </c>
      <c r="G452" s="0" t="str">
        <f aca="false">In!G471</f>
        <v>Assumed</v>
      </c>
      <c r="H452" s="12" t="s">
        <v>2838</v>
      </c>
    </row>
    <row r="453" customFormat="false" ht="17.15" hidden="false" customHeight="false" outlineLevel="0" collapsed="false">
      <c r="A453" s="0" t="s">
        <v>1711</v>
      </c>
      <c r="B453" s="6" t="s">
        <v>1710</v>
      </c>
      <c r="C453" s="0" t="s">
        <v>57</v>
      </c>
      <c r="D453" s="20" t="n">
        <f aca="false">In!D472</f>
        <v>0.01</v>
      </c>
      <c r="E453" s="20" t="n">
        <f aca="false">In!E472</f>
        <v>0.025</v>
      </c>
      <c r="F453" s="20" t="n">
        <f aca="false">In!F472</f>
        <v>0.045</v>
      </c>
      <c r="G453" s="0" t="str">
        <f aca="false">In!G472</f>
        <v>Assumed</v>
      </c>
      <c r="H453" s="12" t="s">
        <v>2839</v>
      </c>
    </row>
    <row r="455" customFormat="false" ht="17.15" hidden="false" customHeight="false" outlineLevel="0" collapsed="false">
      <c r="A455" s="10" t="s">
        <v>2840</v>
      </c>
    </row>
    <row r="456" customFormat="false" ht="15" hidden="false" customHeight="false" outlineLevel="0" collapsed="false">
      <c r="A456" s="4" t="s">
        <v>21</v>
      </c>
      <c r="B456" s="4" t="s">
        <v>45</v>
      </c>
      <c r="C456" s="4" t="s">
        <v>46</v>
      </c>
      <c r="D456" s="5" t="s">
        <v>1939</v>
      </c>
      <c r="E456" s="5" t="s">
        <v>1737</v>
      </c>
      <c r="F456" s="5" t="s">
        <v>1738</v>
      </c>
      <c r="G456" s="5" t="s">
        <v>1739</v>
      </c>
      <c r="H456" s="5" t="s">
        <v>1740</v>
      </c>
      <c r="I456" s="4" t="s">
        <v>2390</v>
      </c>
    </row>
    <row r="457" customFormat="false" ht="17.15" hidden="false" customHeight="false" outlineLevel="0" collapsed="false">
      <c r="A457" s="0" t="s">
        <v>2841</v>
      </c>
      <c r="B457" s="0" t="s">
        <v>2842</v>
      </c>
      <c r="C457" s="0" t="s">
        <v>1957</v>
      </c>
      <c r="D457" s="7" t="str">
        <f aca="false">IF(ISBLANK(Mkt!C13),"",Mkt!C13)</f>
        <v/>
      </c>
      <c r="E457" s="7" t="n">
        <f aca="false">IF(ISBLANK(Mkt!D13),"",Mkt!D13)</f>
        <v>3.2893</v>
      </c>
      <c r="F457" s="7" t="n">
        <f aca="false">IF(ISBLANK(Mkt!E13),"",Mkt!E13)</f>
        <v>6.1702</v>
      </c>
      <c r="G457" s="7" t="n">
        <f aca="false">IF(ISBLANK(Mkt!F13),"",Mkt!F13)</f>
        <v>8.938</v>
      </c>
      <c r="H457" s="7" t="n">
        <f aca="false">IF(ISBLANK(Mkt!G13),"",Mkt!G13)</f>
        <v>11.6194</v>
      </c>
      <c r="I457" s="12" t="s">
        <v>2843</v>
      </c>
    </row>
    <row r="458" customFormat="false" ht="17.15" hidden="false" customHeight="false" outlineLevel="0" collapsed="false">
      <c r="A458" s="0" t="s">
        <v>2844</v>
      </c>
      <c r="B458" s="0" t="s">
        <v>2845</v>
      </c>
      <c r="C458" s="0" t="s">
        <v>1957</v>
      </c>
      <c r="D458" s="7" t="str">
        <f aca="false">IF(ISBLANK(Mkt!C14),"",Mkt!C14)</f>
        <v/>
      </c>
      <c r="E458" s="7" t="n">
        <f aca="false">IF(ISBLANK(Mkt!D14),"",Mkt!D14)</f>
        <v>3.782695</v>
      </c>
      <c r="F458" s="7" t="n">
        <f aca="false">IF(ISBLANK(Mkt!E14),"",Mkt!E14)</f>
        <v>7.09573</v>
      </c>
      <c r="G458" s="7" t="n">
        <f aca="false">IF(ISBLANK(Mkt!F14),"",Mkt!F14)</f>
        <v>10.2787</v>
      </c>
      <c r="H458" s="7" t="n">
        <f aca="false">IF(ISBLANK(Mkt!G14),"",Mkt!G14)</f>
        <v>13.36231</v>
      </c>
      <c r="I458" s="12" t="s">
        <v>2846</v>
      </c>
    </row>
    <row r="459" customFormat="false" ht="17.15" hidden="false" customHeight="false" outlineLevel="0" collapsed="false">
      <c r="A459" s="0" t="s">
        <v>2847</v>
      </c>
      <c r="B459" s="6" t="s">
        <v>2848</v>
      </c>
      <c r="C459" s="6" t="s">
        <v>328</v>
      </c>
      <c r="D459" s="7" t="str">
        <f aca="false">IF(ISBLANK(Mkt!C15),"",Mkt!C15)</f>
        <v/>
      </c>
      <c r="E459" s="7" t="n">
        <f aca="false">IF(ISBLANK(Mkt!D15),"",Mkt!D15)</f>
        <v>15.2</v>
      </c>
      <c r="F459" s="7" t="n">
        <f aca="false">IF(ISBLANK(Mkt!E15),"",Mkt!E15)</f>
        <v>23.7</v>
      </c>
      <c r="G459" s="7" t="n">
        <f aca="false">IF(ISBLANK(Mkt!F15),"",Mkt!F15)</f>
        <v>26.5</v>
      </c>
      <c r="H459" s="7" t="str">
        <f aca="false">IF(ISBLANK(Mkt!G15),"",Mkt!G15)</f>
        <v/>
      </c>
      <c r="I459" s="12" t="s">
        <v>2849</v>
      </c>
    </row>
    <row r="460" customFormat="false" ht="17.15" hidden="false" customHeight="false" outlineLevel="0" collapsed="false">
      <c r="A460" s="0" t="s">
        <v>2850</v>
      </c>
      <c r="B460" s="6" t="s">
        <v>1961</v>
      </c>
      <c r="C460" s="0" t="s">
        <v>339</v>
      </c>
      <c r="D460" s="7" t="str">
        <f aca="false">IF(ISBLANK(Mkt!C16),"",Mkt!C16)</f>
        <v/>
      </c>
      <c r="E460" s="7" t="n">
        <f aca="false">IF(ISBLANK(Mkt!D16),"",Mkt!D16)</f>
        <v>216.401315789474</v>
      </c>
      <c r="F460" s="7" t="n">
        <f aca="false">IF(ISBLANK(Mkt!E16),"",Mkt!E16)</f>
        <v>260.345991561181</v>
      </c>
      <c r="G460" s="7" t="n">
        <f aca="false">IF(ISBLANK(Mkt!F16),"",Mkt!F16)</f>
        <v>337.283018867925</v>
      </c>
      <c r="H460" s="7" t="str">
        <f aca="false">IF(ISBLANK(Mkt!G16),"",Mkt!G16)</f>
        <v/>
      </c>
      <c r="I460" s="12" t="s">
        <v>2851</v>
      </c>
    </row>
    <row r="461" customFormat="false" ht="17.15" hidden="false" customHeight="false" outlineLevel="0" collapsed="false">
      <c r="A461" s="0" t="s">
        <v>2852</v>
      </c>
      <c r="B461" s="0" t="s">
        <v>2853</v>
      </c>
      <c r="C461" s="0" t="s">
        <v>1957</v>
      </c>
      <c r="D461" s="7" t="n">
        <f aca="false">IF(ISBLANK(Mkt!C17),"",Mkt!C17)</f>
        <v>2.22511470588235</v>
      </c>
      <c r="E461" s="7" t="n">
        <f aca="false">IF(ISBLANK(Mkt!D17),"",Mkt!D17)</f>
        <v>3.782695</v>
      </c>
      <c r="F461" s="7" t="n">
        <f aca="false">IF(ISBLANK(Mkt!E17),"",Mkt!E17)</f>
        <v>5.86317725</v>
      </c>
      <c r="G461" s="7" t="n">
        <f aca="false">IF(ISBLANK(Mkt!F17),"",Mkt!F17)</f>
        <v>8.5016070125</v>
      </c>
      <c r="H461" s="7" t="n">
        <f aca="false">IF(ISBLANK(Mkt!G17),"",Mkt!G17)</f>
        <v>11.477169466875</v>
      </c>
      <c r="I461" s="12" t="s">
        <v>2854</v>
      </c>
    </row>
    <row r="462" customFormat="false" ht="17.15" hidden="false" customHeight="false" outlineLevel="0" collapsed="false">
      <c r="A462" s="0" t="s">
        <v>2855</v>
      </c>
      <c r="B462" s="6" t="s">
        <v>2856</v>
      </c>
      <c r="C462" s="0" t="s">
        <v>486</v>
      </c>
      <c r="D462" s="7" t="str">
        <f aca="false">IF(ISBLANK(Mkt!C18),"",Mkt!C18)</f>
        <v/>
      </c>
      <c r="E462" s="7" t="n">
        <f aca="false">IF(ISBLANK(Mkt!D18),"",Mkt!D18)</f>
        <v>1</v>
      </c>
      <c r="F462" s="7" t="n">
        <f aca="false">IF(ISBLANK(Mkt!E18),"",Mkt!E18)</f>
        <v>1</v>
      </c>
      <c r="G462" s="7" t="n">
        <f aca="false">IF(ISBLANK(Mkt!F18),"",Mkt!F18)</f>
        <v>1</v>
      </c>
      <c r="H462" s="7" t="n">
        <f aca="false">IF(ISBLANK(Mkt!G18),"",Mkt!G18)</f>
        <v>1</v>
      </c>
      <c r="I462" s="12" t="s">
        <v>2857</v>
      </c>
    </row>
    <row r="463" customFormat="false" ht="17.15" hidden="false" customHeight="false" outlineLevel="0" collapsed="false">
      <c r="A463" s="0" t="s">
        <v>2858</v>
      </c>
      <c r="B463" s="0" t="s">
        <v>2859</v>
      </c>
      <c r="C463" s="0" t="s">
        <v>1957</v>
      </c>
      <c r="D463" s="7" t="n">
        <f aca="false">IF(ISBLANK(Mkt!C24),"",Mkt!C24)</f>
        <v>2.22511470588235</v>
      </c>
      <c r="E463" s="7" t="n">
        <f aca="false">IF(ISBLANK(Mkt!D24),"",Mkt!D24)</f>
        <v>3.782695</v>
      </c>
      <c r="F463" s="7" t="n">
        <f aca="false">IF(ISBLANK(Mkt!E24),"",Mkt!E24)</f>
        <v>5.86317725</v>
      </c>
      <c r="G463" s="7" t="n">
        <f aca="false">IF(ISBLANK(Mkt!F24),"",Mkt!F24)</f>
        <v>8.5016070125</v>
      </c>
      <c r="H463" s="7" t="n">
        <f aca="false">IF(ISBLANK(Mkt!G24),"",Mkt!G24)</f>
        <v>11.477169466875</v>
      </c>
      <c r="I463" s="12" t="s">
        <v>2860</v>
      </c>
    </row>
    <row r="464" customFormat="false" ht="17.15" hidden="false" customHeight="false" outlineLevel="0" collapsed="false">
      <c r="A464" s="0" t="s">
        <v>2861</v>
      </c>
      <c r="B464" s="0" t="s">
        <v>2862</v>
      </c>
      <c r="C464" s="0" t="s">
        <v>1957</v>
      </c>
      <c r="D464" s="7" t="str">
        <f aca="false">IF(ISBLANK(Mkt!C27),"",Mkt!C27)</f>
        <v/>
      </c>
      <c r="E464" s="7" t="n">
        <f aca="false">IF(ISBLANK(Mkt!D27),"",Mkt!D27)</f>
        <v>0</v>
      </c>
      <c r="F464" s="7" t="n">
        <f aca="false">IF(ISBLANK(Mkt!E27),"",Mkt!E27)</f>
        <v>1.23255275</v>
      </c>
      <c r="G464" s="7" t="n">
        <f aca="false">IF(ISBLANK(Mkt!F27),"",Mkt!F27)</f>
        <v>1.7770929875</v>
      </c>
      <c r="H464" s="7" t="n">
        <f aca="false">IF(ISBLANK(Mkt!G27),"",Mkt!G27)</f>
        <v>1.885140533125</v>
      </c>
      <c r="I464" s="12" t="s">
        <v>2863</v>
      </c>
    </row>
    <row r="465" customFormat="false" ht="17.15" hidden="false" customHeight="false" outlineLevel="0" collapsed="false">
      <c r="A465" s="0" t="s">
        <v>2864</v>
      </c>
      <c r="B465" s="0" t="s">
        <v>1978</v>
      </c>
      <c r="C465" s="0" t="s">
        <v>530</v>
      </c>
      <c r="D465" s="7" t="n">
        <f aca="false">IF(ISBLANK(Mkt!C30),"",Mkt!C30)</f>
        <v>15.7295261711557</v>
      </c>
      <c r="E465" s="7" t="n">
        <f aca="false">IF(ISBLANK(Mkt!D30),"",Mkt!D30)</f>
        <v>14.6</v>
      </c>
      <c r="F465" s="7" t="n">
        <f aca="false">IF(ISBLANK(Mkt!E30),"",Mkt!E30)</f>
        <v>26.28</v>
      </c>
      <c r="G465" s="7" t="n">
        <f aca="false">IF(ISBLANK(Mkt!F30),"",Mkt!F30)</f>
        <v>28.908</v>
      </c>
      <c r="H465" s="7" t="n">
        <f aca="false">IF(ISBLANK(Mkt!G30),"",Mkt!G30)</f>
        <v>27.4626</v>
      </c>
      <c r="I465" s="12" t="s">
        <v>2865</v>
      </c>
    </row>
    <row r="466" customFormat="false" ht="17.15" hidden="false" customHeight="false" outlineLevel="0" collapsed="false">
      <c r="A466" s="0" t="s">
        <v>2866</v>
      </c>
      <c r="B466" s="0" t="s">
        <v>1981</v>
      </c>
      <c r="C466" s="0" t="s">
        <v>508</v>
      </c>
      <c r="D466" s="7" t="n">
        <f aca="false">IF(ISBLANK(Mkt!C33),"",Mkt!C33)</f>
        <v>35</v>
      </c>
      <c r="E466" s="7" t="n">
        <f aca="false">IF(ISBLANK(Mkt!D33),"",Mkt!D33)</f>
        <v>55.227347</v>
      </c>
      <c r="F466" s="7" t="n">
        <f aca="false">IF(ISBLANK(Mkt!E33),"",Mkt!E33)</f>
        <v>154.08429813</v>
      </c>
      <c r="G466" s="7" t="n">
        <f aca="false">IF(ISBLANK(Mkt!F33),"",Mkt!F33)</f>
        <v>245.76445551735</v>
      </c>
      <c r="H466" s="7" t="n">
        <f aca="false">IF(ISBLANK(Mkt!G33),"",Mkt!G33)</f>
        <v>315.192914201001</v>
      </c>
      <c r="I466" s="12" t="s">
        <v>2867</v>
      </c>
    </row>
    <row r="467" customFormat="false" ht="17.15" hidden="false" customHeight="false" outlineLevel="0" collapsed="false">
      <c r="A467" s="0" t="s">
        <v>2868</v>
      </c>
      <c r="B467" s="6" t="s">
        <v>2869</v>
      </c>
      <c r="C467" s="0" t="s">
        <v>486</v>
      </c>
      <c r="D467" s="7" t="str">
        <f aca="false">IF(ISBLANK(Mkt!C19),"",Mkt!C19)</f>
        <v/>
      </c>
      <c r="E467" s="7" t="n">
        <f aca="false">IF(ISBLANK(Mkt!D19),"",Mkt!D19)</f>
        <v>1</v>
      </c>
      <c r="F467" s="7" t="n">
        <f aca="false">IF(ISBLANK(Mkt!E19),"",Mkt!E19)</f>
        <v>1</v>
      </c>
      <c r="G467" s="7" t="n">
        <f aca="false">IF(ISBLANK(Mkt!F19),"",Mkt!F19)</f>
        <v>0.8</v>
      </c>
      <c r="H467" s="7" t="n">
        <f aca="false">IF(ISBLANK(Mkt!G19),"",Mkt!G19)</f>
        <v>0.85</v>
      </c>
      <c r="I467" s="12" t="s">
        <v>2870</v>
      </c>
    </row>
    <row r="468" customFormat="false" ht="17.15" hidden="false" customHeight="false" outlineLevel="0" collapsed="false">
      <c r="A468" s="0" t="s">
        <v>2871</v>
      </c>
      <c r="B468" s="0" t="s">
        <v>2872</v>
      </c>
      <c r="C468" s="0" t="s">
        <v>1957</v>
      </c>
      <c r="D468" s="7" t="n">
        <f aca="false">IF(ISBLANK(Mkt!C25),"",Mkt!C25)</f>
        <v>2.22511470588235</v>
      </c>
      <c r="E468" s="7" t="n">
        <f aca="false">IF(ISBLANK(Mkt!D25),"",Mkt!D25)</f>
        <v>3.782695</v>
      </c>
      <c r="F468" s="7" t="n">
        <f aca="false">IF(ISBLANK(Mkt!E25),"",Mkt!E25)</f>
        <v>5.86317725</v>
      </c>
      <c r="G468" s="7" t="n">
        <f aca="false">IF(ISBLANK(Mkt!F25),"",Mkt!F25)</f>
        <v>8.22296</v>
      </c>
      <c r="H468" s="7" t="n">
        <f aca="false">IF(ISBLANK(Mkt!G25),"",Mkt!G25)</f>
        <v>11.3579635</v>
      </c>
      <c r="I468" s="12" t="s">
        <v>2873</v>
      </c>
    </row>
    <row r="469" customFormat="false" ht="17.15" hidden="false" customHeight="false" outlineLevel="0" collapsed="false">
      <c r="A469" s="0" t="s">
        <v>2874</v>
      </c>
      <c r="B469" s="0" t="s">
        <v>2875</v>
      </c>
      <c r="C469" s="0" t="s">
        <v>1957</v>
      </c>
      <c r="D469" s="7" t="str">
        <f aca="false">IF(ISBLANK(Mkt!C28),"",Mkt!C28)</f>
        <v/>
      </c>
      <c r="E469" s="7" t="n">
        <f aca="false">IF(ISBLANK(Mkt!D28),"",Mkt!D28)</f>
        <v>0</v>
      </c>
      <c r="F469" s="7" t="n">
        <f aca="false">IF(ISBLANK(Mkt!E28),"",Mkt!E28)</f>
        <v>1.23255275</v>
      </c>
      <c r="G469" s="7" t="n">
        <f aca="false">IF(ISBLANK(Mkt!F28),"",Mkt!F28)</f>
        <v>-0.278647012499999</v>
      </c>
      <c r="H469" s="7" t="n">
        <f aca="false">IF(ISBLANK(Mkt!G28),"",Mkt!G28)</f>
        <v>-0.119205966875001</v>
      </c>
      <c r="I469" s="12" t="s">
        <v>2876</v>
      </c>
    </row>
    <row r="470" customFormat="false" ht="17.15" hidden="false" customHeight="false" outlineLevel="0" collapsed="false">
      <c r="A470" s="0" t="s">
        <v>2877</v>
      </c>
      <c r="B470" s="0" t="s">
        <v>1979</v>
      </c>
      <c r="C470" s="0" t="s">
        <v>530</v>
      </c>
      <c r="D470" s="7" t="n">
        <f aca="false">IF(ISBLANK(Mkt!C31),"",Mkt!C31)</f>
        <v>15.7295261711557</v>
      </c>
      <c r="E470" s="7" t="n">
        <f aca="false">IF(ISBLANK(Mkt!D31),"",Mkt!D31)</f>
        <v>14.6</v>
      </c>
      <c r="F470" s="7" t="n">
        <f aca="false">IF(ISBLANK(Mkt!E31),"",Mkt!E31)</f>
        <v>26.28</v>
      </c>
      <c r="G470" s="7" t="n">
        <f aca="false">IF(ISBLANK(Mkt!F31),"",Mkt!F31)</f>
        <v>19.71</v>
      </c>
      <c r="H470" s="7" t="n">
        <f aca="false">IF(ISBLANK(Mkt!G31),"",Mkt!G31)</f>
        <v>19.71</v>
      </c>
      <c r="I470" s="12" t="s">
        <v>2878</v>
      </c>
    </row>
    <row r="471" customFormat="false" ht="17.15" hidden="false" customHeight="false" outlineLevel="0" collapsed="false">
      <c r="A471" s="0" t="s">
        <v>2879</v>
      </c>
      <c r="B471" s="0" t="s">
        <v>1982</v>
      </c>
      <c r="C471" s="0" t="s">
        <v>508</v>
      </c>
      <c r="D471" s="7" t="n">
        <f aca="false">IF(ISBLANK(Mkt!C34),"",Mkt!C34)</f>
        <v>35</v>
      </c>
      <c r="E471" s="7" t="n">
        <f aca="false">IF(ISBLANK(Mkt!D34),"",Mkt!D34)</f>
        <v>55.227347</v>
      </c>
      <c r="F471" s="7" t="n">
        <f aca="false">IF(ISBLANK(Mkt!E34),"",Mkt!E34)</f>
        <v>154.08429813</v>
      </c>
      <c r="G471" s="7" t="n">
        <f aca="false">IF(ISBLANK(Mkt!F34),"",Mkt!F34)</f>
        <v>162.0745416</v>
      </c>
      <c r="H471" s="7" t="n">
        <f aca="false">IF(ISBLANK(Mkt!G34),"",Mkt!G34)</f>
        <v>223.865460585</v>
      </c>
      <c r="I471" s="12" t="s">
        <v>2880</v>
      </c>
    </row>
    <row r="472" customFormat="false" ht="17.15" hidden="false" customHeight="false" outlineLevel="0" collapsed="false">
      <c r="A472" s="0" t="s">
        <v>2881</v>
      </c>
      <c r="B472" s="6" t="s">
        <v>2882</v>
      </c>
      <c r="C472" s="0" t="s">
        <v>486</v>
      </c>
      <c r="D472" s="7" t="str">
        <f aca="false">IF(ISBLANK(Mkt!C20),"",Mkt!C20)</f>
        <v/>
      </c>
      <c r="E472" s="7" t="n">
        <f aca="false">IF(ISBLANK(Mkt!D20),"",Mkt!D20)</f>
        <v>1</v>
      </c>
      <c r="F472" s="7" t="n">
        <f aca="false">IF(ISBLANK(Mkt!E20),"",Mkt!E20)</f>
        <v>1</v>
      </c>
      <c r="G472" s="7" t="n">
        <f aca="false">IF(ISBLANK(Mkt!F20),"",Mkt!F20)</f>
        <v>0.6</v>
      </c>
      <c r="H472" s="7" t="n">
        <f aca="false">IF(ISBLANK(Mkt!G20),"",Mkt!G20)</f>
        <v>0.6</v>
      </c>
      <c r="I472" s="12" t="s">
        <v>2883</v>
      </c>
    </row>
    <row r="473" customFormat="false" ht="17.15" hidden="false" customHeight="false" outlineLevel="0" collapsed="false">
      <c r="A473" s="0" t="s">
        <v>2884</v>
      </c>
      <c r="B473" s="0" t="s">
        <v>2885</v>
      </c>
      <c r="C473" s="0" t="s">
        <v>1957</v>
      </c>
      <c r="D473" s="7" t="n">
        <f aca="false">IF(ISBLANK(Mkt!C26),"",Mkt!C26)</f>
        <v>2.22511470588235</v>
      </c>
      <c r="E473" s="7" t="n">
        <f aca="false">IF(ISBLANK(Mkt!D26),"",Mkt!D26)</f>
        <v>3.782695</v>
      </c>
      <c r="F473" s="7" t="n">
        <f aca="false">IF(ISBLANK(Mkt!E26),"",Mkt!E26)</f>
        <v>5.86317725</v>
      </c>
      <c r="G473" s="7" t="n">
        <f aca="false">IF(ISBLANK(Mkt!F26),"",Mkt!F26)</f>
        <v>6.16722</v>
      </c>
      <c r="H473" s="7" t="n">
        <f aca="false">IF(ISBLANK(Mkt!G26),"",Mkt!G26)</f>
        <v>8.017386</v>
      </c>
      <c r="I473" s="12" t="s">
        <v>2886</v>
      </c>
    </row>
    <row r="474" customFormat="false" ht="17.15" hidden="false" customHeight="false" outlineLevel="0" collapsed="false">
      <c r="A474" s="0" t="s">
        <v>2887</v>
      </c>
      <c r="B474" s="0" t="s">
        <v>2888</v>
      </c>
      <c r="C474" s="0" t="s">
        <v>1957</v>
      </c>
      <c r="D474" s="7" t="str">
        <f aca="false">IF(ISBLANK(Mkt!C29),"",Mkt!C29)</f>
        <v/>
      </c>
      <c r="E474" s="7" t="n">
        <f aca="false">IF(ISBLANK(Mkt!D29),"",Mkt!D29)</f>
        <v>0</v>
      </c>
      <c r="F474" s="7" t="n">
        <f aca="false">IF(ISBLANK(Mkt!E29),"",Mkt!E29)</f>
        <v>1.23255275</v>
      </c>
      <c r="G474" s="7" t="n">
        <f aca="false">IF(ISBLANK(Mkt!F29),"",Mkt!F29)</f>
        <v>-2.3343870125</v>
      </c>
      <c r="H474" s="7" t="n">
        <f aca="false">IF(ISBLANK(Mkt!G29),"",Mkt!G29)</f>
        <v>-3.459783466875</v>
      </c>
      <c r="I474" s="12" t="s">
        <v>2889</v>
      </c>
    </row>
    <row r="475" customFormat="false" ht="17.15" hidden="false" customHeight="false" outlineLevel="0" collapsed="false">
      <c r="A475" s="0" t="s">
        <v>2890</v>
      </c>
      <c r="B475" s="0" t="s">
        <v>1980</v>
      </c>
      <c r="C475" s="0" t="s">
        <v>530</v>
      </c>
      <c r="D475" s="7" t="n">
        <f aca="false">IF(ISBLANK(Mkt!C32),"",Mkt!C32)</f>
        <v>15.7295261711557</v>
      </c>
      <c r="E475" s="7" t="n">
        <f aca="false">IF(ISBLANK(Mkt!D32),"",Mkt!D32)</f>
        <v>14.6</v>
      </c>
      <c r="F475" s="7" t="n">
        <f aca="false">IF(ISBLANK(Mkt!E32),"",Mkt!E32)</f>
        <v>26.28</v>
      </c>
      <c r="G475" s="7" t="n">
        <f aca="false">IF(ISBLANK(Mkt!F32),"",Mkt!F32)</f>
        <v>15.768</v>
      </c>
      <c r="H475" s="7" t="n">
        <f aca="false">IF(ISBLANK(Mkt!G32),"",Mkt!G32)</f>
        <v>16.5564</v>
      </c>
      <c r="I475" s="12" t="s">
        <v>2891</v>
      </c>
    </row>
    <row r="476" customFormat="false" ht="17.15" hidden="false" customHeight="false" outlineLevel="0" collapsed="false">
      <c r="A476" s="0" t="s">
        <v>2892</v>
      </c>
      <c r="B476" s="0" t="s">
        <v>1983</v>
      </c>
      <c r="C476" s="0" t="s">
        <v>508</v>
      </c>
      <c r="D476" s="7" t="n">
        <f aca="false">IF(ISBLANK(Mkt!C35),"",Mkt!C35)</f>
        <v>35</v>
      </c>
      <c r="E476" s="7" t="n">
        <f aca="false">IF(ISBLANK(Mkt!D35),"",Mkt!D35)</f>
        <v>55.227347</v>
      </c>
      <c r="F476" s="7" t="n">
        <f aca="false">IF(ISBLANK(Mkt!E35),"",Mkt!E35)</f>
        <v>154.08429813</v>
      </c>
      <c r="G476" s="7" t="n">
        <f aca="false">IF(ISBLANK(Mkt!F35),"",Mkt!F35)</f>
        <v>97.24472496</v>
      </c>
      <c r="H476" s="7" t="n">
        <f aca="false">IF(ISBLANK(Mkt!G35),"",Mkt!G35)</f>
        <v>132.7390495704</v>
      </c>
      <c r="I476" s="12" t="s">
        <v>2893</v>
      </c>
    </row>
    <row r="478" customFormat="false" ht="17.15" hidden="false" customHeight="false" outlineLevel="0" collapsed="false">
      <c r="A478" s="10" t="s">
        <v>2894</v>
      </c>
    </row>
    <row r="479" customFormat="false" ht="17.15" hidden="false" customHeight="false" outlineLevel="0" collapsed="false">
      <c r="A479" s="0" t="s">
        <v>2895</v>
      </c>
      <c r="B479" s="0" t="s">
        <v>2896</v>
      </c>
      <c r="C479" s="6" t="s">
        <v>328</v>
      </c>
      <c r="E479" s="7" t="n">
        <f aca="false">Units!C4</f>
        <v>5.4</v>
      </c>
      <c r="F479" s="7" t="n">
        <f aca="false">Units!D4</f>
        <v>2.4</v>
      </c>
      <c r="G479" s="7" t="n">
        <f aca="false">Units!E4</f>
        <v>0.5</v>
      </c>
      <c r="H479" s="7" t="n">
        <f aca="false">Units!F4</f>
        <v>0.25</v>
      </c>
      <c r="I479" s="12" t="s">
        <v>2897</v>
      </c>
    </row>
    <row r="480" customFormat="false" ht="17.15" hidden="false" customHeight="false" outlineLevel="0" collapsed="false">
      <c r="A480" s="0" t="s">
        <v>2898</v>
      </c>
      <c r="B480" s="0" t="s">
        <v>2899</v>
      </c>
      <c r="C480" s="6" t="s">
        <v>328</v>
      </c>
      <c r="E480" s="7" t="n">
        <f aca="false">Units!C5</f>
        <v>1.7</v>
      </c>
      <c r="F480" s="7" t="n">
        <f aca="false">Units!D5</f>
        <v>7</v>
      </c>
      <c r="G480" s="7" t="n">
        <f aca="false">Units!E5</f>
        <v>7</v>
      </c>
      <c r="H480" s="7" t="n">
        <f aca="false">Units!F5</f>
        <v>8.05</v>
      </c>
      <c r="I480" s="12" t="s">
        <v>2900</v>
      </c>
    </row>
    <row r="481" customFormat="false" ht="17.15" hidden="false" customHeight="false" outlineLevel="0" collapsed="false">
      <c r="A481" s="0" t="s">
        <v>2901</v>
      </c>
      <c r="B481" s="0" t="s">
        <v>2902</v>
      </c>
      <c r="C481" s="6" t="s">
        <v>328</v>
      </c>
      <c r="E481" s="7" t="n">
        <f aca="false">Units!C6</f>
        <v>0</v>
      </c>
      <c r="F481" s="7" t="n">
        <f aca="false">Units!D6</f>
        <v>0.3</v>
      </c>
      <c r="G481" s="7" t="n">
        <f aca="false">Units!E6</f>
        <v>2</v>
      </c>
      <c r="H481" s="7" t="n">
        <f aca="false">Units!F6</f>
        <v>2.3</v>
      </c>
      <c r="I481" s="12" t="s">
        <v>2903</v>
      </c>
    </row>
    <row r="482" customFormat="false" ht="17.15" hidden="false" customHeight="false" outlineLevel="0" collapsed="false">
      <c r="A482" s="0" t="s">
        <v>2904</v>
      </c>
      <c r="B482" s="0" t="s">
        <v>2905</v>
      </c>
      <c r="C482" s="6" t="s">
        <v>328</v>
      </c>
      <c r="E482" s="7" t="n">
        <f aca="false">Units!C7</f>
        <v>0.5</v>
      </c>
      <c r="F482" s="7" t="n">
        <f aca="false">Units!D7</f>
        <v>0</v>
      </c>
      <c r="G482" s="7" t="n">
        <f aca="false">Units!E7</f>
        <v>0</v>
      </c>
      <c r="H482" s="7" t="n">
        <f aca="false">Units!F7</f>
        <v>0</v>
      </c>
      <c r="I482" s="12" t="s">
        <v>2906</v>
      </c>
    </row>
    <row r="483" customFormat="false" ht="17.15" hidden="false" customHeight="false" outlineLevel="0" collapsed="false">
      <c r="A483" s="0" t="s">
        <v>2907</v>
      </c>
      <c r="B483" s="0" t="s">
        <v>2908</v>
      </c>
      <c r="C483" s="6" t="s">
        <v>328</v>
      </c>
      <c r="E483" s="7" t="n">
        <f aca="false">Units!C8</f>
        <v>0.75</v>
      </c>
      <c r="F483" s="7" t="n">
        <f aca="false">Units!D8</f>
        <v>1.5</v>
      </c>
      <c r="G483" s="7" t="n">
        <f aca="false">Units!E8</f>
        <v>2</v>
      </c>
      <c r="H483" s="7" t="n">
        <f aca="false">Units!F8</f>
        <v>2.3</v>
      </c>
      <c r="I483" s="12" t="s">
        <v>2909</v>
      </c>
    </row>
    <row r="484" customFormat="false" ht="17.15" hidden="false" customHeight="false" outlineLevel="0" collapsed="false">
      <c r="A484" s="0" t="s">
        <v>2910</v>
      </c>
      <c r="B484" s="0" t="s">
        <v>2911</v>
      </c>
      <c r="C484" s="6" t="s">
        <v>328</v>
      </c>
      <c r="E484" s="7" t="n">
        <f aca="false">Units!C9</f>
        <v>3.85</v>
      </c>
      <c r="F484" s="7" t="n">
        <f aca="false">Units!D9</f>
        <v>5.5</v>
      </c>
      <c r="G484" s="7" t="n">
        <f aca="false">Units!E9</f>
        <v>7</v>
      </c>
      <c r="H484" s="7" t="n">
        <f aca="false">Units!F9</f>
        <v>8.05</v>
      </c>
      <c r="I484" s="12" t="s">
        <v>2912</v>
      </c>
    </row>
    <row r="485" customFormat="false" ht="17.15" hidden="false" customHeight="false" outlineLevel="0" collapsed="false">
      <c r="A485" s="0" t="s">
        <v>2913</v>
      </c>
      <c r="B485" s="0" t="s">
        <v>2914</v>
      </c>
      <c r="C485" s="6" t="s">
        <v>328</v>
      </c>
      <c r="E485" s="7" t="n">
        <f aca="false">Units!C10</f>
        <v>2</v>
      </c>
      <c r="F485" s="7" t="n">
        <f aca="false">Units!D10</f>
        <v>2.5</v>
      </c>
      <c r="G485" s="7" t="n">
        <f aca="false">Units!E10</f>
        <v>3</v>
      </c>
      <c r="H485" s="7" t="n">
        <f aca="false">Units!F10</f>
        <v>3.45</v>
      </c>
      <c r="I485" s="12" t="s">
        <v>2915</v>
      </c>
    </row>
    <row r="486" customFormat="false" ht="17.15" hidden="false" customHeight="false" outlineLevel="0" collapsed="false">
      <c r="A486" s="0" t="s">
        <v>2916</v>
      </c>
      <c r="B486" s="6" t="s">
        <v>2917</v>
      </c>
      <c r="C486" s="6" t="s">
        <v>328</v>
      </c>
      <c r="E486" s="7" t="n">
        <f aca="false">Units!C11</f>
        <v>1</v>
      </c>
      <c r="F486" s="7" t="n">
        <f aca="false">Units!D11</f>
        <v>4.5</v>
      </c>
      <c r="G486" s="7" t="n">
        <f aca="false">Units!E11</f>
        <v>5</v>
      </c>
      <c r="H486" s="7" t="n">
        <f aca="false">Units!F11</f>
        <v>5.75</v>
      </c>
      <c r="I486" s="12" t="s">
        <v>2918</v>
      </c>
    </row>
    <row r="487" customFormat="false" ht="17.15" hidden="false" customHeight="false" outlineLevel="0" collapsed="false">
      <c r="A487" s="0" t="s">
        <v>2919</v>
      </c>
      <c r="B487" s="6" t="s">
        <v>2920</v>
      </c>
      <c r="C487" s="6" t="s">
        <v>328</v>
      </c>
      <c r="E487" s="7" t="n">
        <f aca="false">Units!C12</f>
        <v>15.2</v>
      </c>
      <c r="F487" s="7" t="n">
        <f aca="false">Units!D12</f>
        <v>23.7</v>
      </c>
      <c r="G487" s="7" t="n">
        <f aca="false">Units!E12</f>
        <v>26.5</v>
      </c>
      <c r="H487" s="7" t="n">
        <f aca="false">Units!F12</f>
        <v>30.15</v>
      </c>
      <c r="I487" s="12" t="s">
        <v>2921</v>
      </c>
    </row>
    <row r="488" customFormat="false" ht="17.15" hidden="false" customHeight="false" outlineLevel="0" collapsed="false">
      <c r="A488" s="0" t="s">
        <v>2922</v>
      </c>
      <c r="B488" s="6" t="s">
        <v>2923</v>
      </c>
      <c r="C488" s="6" t="s">
        <v>328</v>
      </c>
      <c r="E488" s="7" t="n">
        <f aca="false">Units!C13</f>
        <v>15.2</v>
      </c>
      <c r="F488" s="7" t="n">
        <f aca="false">Units!D13</f>
        <v>23.7</v>
      </c>
      <c r="G488" s="7" t="n">
        <f aca="false">Units!E13</f>
        <v>26.5</v>
      </c>
      <c r="H488" s="7" t="n">
        <f aca="false">Units!F13</f>
        <v>30.15</v>
      </c>
      <c r="I488" s="12" t="s">
        <v>2924</v>
      </c>
    </row>
    <row r="489" customFormat="false" ht="17.15" hidden="false" customHeight="false" outlineLevel="0" collapsed="false">
      <c r="A489" s="0" t="s">
        <v>2925</v>
      </c>
      <c r="B489" s="6" t="s">
        <v>2926</v>
      </c>
      <c r="C489" s="6" t="s">
        <v>328</v>
      </c>
      <c r="E489" s="7" t="n">
        <f aca="false">Units!C14</f>
        <v>15.2</v>
      </c>
      <c r="F489" s="7" t="n">
        <f aca="false">Units!D14</f>
        <v>23.7</v>
      </c>
      <c r="G489" s="7" t="n">
        <f aca="false">Units!E14</f>
        <v>21.2</v>
      </c>
      <c r="H489" s="7" t="n">
        <f aca="false">Units!F14</f>
        <v>25.6275</v>
      </c>
      <c r="I489" s="12" t="s">
        <v>2927</v>
      </c>
    </row>
    <row r="490" customFormat="false" ht="17.15" hidden="false" customHeight="false" outlineLevel="0" collapsed="false">
      <c r="A490" s="0" t="s">
        <v>2928</v>
      </c>
      <c r="B490" s="6" t="s">
        <v>2929</v>
      </c>
      <c r="C490" s="6" t="s">
        <v>328</v>
      </c>
      <c r="E490" s="7" t="n">
        <f aca="false">Units!C15</f>
        <v>15.2</v>
      </c>
      <c r="F490" s="7" t="n">
        <f aca="false">Units!D15</f>
        <v>23.7</v>
      </c>
      <c r="G490" s="7" t="n">
        <f aca="false">Units!E15</f>
        <v>15.9</v>
      </c>
      <c r="H490" s="7" t="n">
        <f aca="false">Units!F15</f>
        <v>18.09</v>
      </c>
      <c r="I490" s="12" t="s">
        <v>2930</v>
      </c>
    </row>
    <row r="491" customFormat="false" ht="17.15" hidden="false" customHeight="false" outlineLevel="0" collapsed="false">
      <c r="A491" s="0" t="s">
        <v>2931</v>
      </c>
      <c r="B491" s="0" t="s">
        <v>2932</v>
      </c>
      <c r="C491" s="0" t="s">
        <v>57</v>
      </c>
      <c r="E491" s="20" t="n">
        <f aca="false">Units!G12</f>
        <v>0.137735849056604</v>
      </c>
      <c r="I491" s="12" t="s">
        <v>2933</v>
      </c>
    </row>
    <row r="493" customFormat="false" ht="17.15" hidden="false" customHeight="false" outlineLevel="0" collapsed="false">
      <c r="A493" s="10" t="s">
        <v>2934</v>
      </c>
    </row>
    <row r="494" customFormat="false" ht="17.15" hidden="false" customHeight="false" outlineLevel="0" collapsed="false">
      <c r="A494" s="0" t="s">
        <v>2935</v>
      </c>
      <c r="B494" s="0" t="s">
        <v>2936</v>
      </c>
      <c r="C494" s="0" t="s">
        <v>57</v>
      </c>
      <c r="E494" s="18" t="n">
        <f aca="false">ShareTbl!D7</f>
        <v>0.95</v>
      </c>
      <c r="F494" s="18" t="n">
        <f aca="false">ShareTbl!E7</f>
        <v>0.95</v>
      </c>
      <c r="G494" s="18" t="n">
        <f aca="false">ShareTbl!F7</f>
        <v>0.98</v>
      </c>
      <c r="I494" s="12" t="s">
        <v>2937</v>
      </c>
    </row>
    <row r="495" customFormat="false" ht="17.15" hidden="false" customHeight="false" outlineLevel="0" collapsed="false">
      <c r="A495" s="0" t="s">
        <v>2938</v>
      </c>
      <c r="B495" s="6" t="s">
        <v>2939</v>
      </c>
      <c r="C495" s="0" t="s">
        <v>57</v>
      </c>
      <c r="E495" s="18" t="n">
        <f aca="false">ShareTbl!D13</f>
        <v>0.4</v>
      </c>
      <c r="F495" s="18" t="n">
        <f aca="false">ShareTbl!E13</f>
        <v>0.61</v>
      </c>
      <c r="G495" s="18" t="n">
        <f aca="false">ShareTbl!F13</f>
        <v>0.7</v>
      </c>
      <c r="I495" s="12" t="s">
        <v>2940</v>
      </c>
    </row>
    <row r="496" customFormat="false" ht="17.15" hidden="false" customHeight="false" outlineLevel="0" collapsed="false">
      <c r="A496" s="0" t="s">
        <v>2941</v>
      </c>
      <c r="B496" s="0" t="s">
        <v>2942</v>
      </c>
      <c r="C496" s="0" t="s">
        <v>57</v>
      </c>
      <c r="E496" s="18" t="n">
        <f aca="false">ShareTbl!D18</f>
        <v>0.4</v>
      </c>
      <c r="F496" s="18" t="n">
        <f aca="false">ShareTbl!E18</f>
        <v>0.65</v>
      </c>
      <c r="G496" s="18" t="n">
        <f aca="false">ShareTbl!F18</f>
        <v>0.63</v>
      </c>
      <c r="I496" s="12" t="s">
        <v>2943</v>
      </c>
    </row>
    <row r="497" customFormat="false" ht="17.15" hidden="false" customHeight="false" outlineLevel="0" collapsed="false">
      <c r="A497" s="0" t="s">
        <v>2944</v>
      </c>
      <c r="B497" s="0" t="s">
        <v>2945</v>
      </c>
      <c r="C497" s="0" t="s">
        <v>57</v>
      </c>
      <c r="E497" s="18" t="n">
        <f aca="false">ShareTbl!D23</f>
        <v>0.4</v>
      </c>
      <c r="F497" s="18" t="n">
        <f aca="false">ShareTbl!E23</f>
        <v>0.6</v>
      </c>
      <c r="G497" s="18" t="n">
        <f aca="false">ShareTbl!F23</f>
        <v>0.53</v>
      </c>
      <c r="I497" s="12" t="s">
        <v>2946</v>
      </c>
    </row>
    <row r="498" customFormat="false" ht="17.15" hidden="false" customHeight="false" outlineLevel="0" collapsed="false">
      <c r="A498" s="0" t="s">
        <v>2947</v>
      </c>
      <c r="B498" s="0" t="s">
        <v>2948</v>
      </c>
      <c r="C498" s="0" t="s">
        <v>57</v>
      </c>
      <c r="E498" s="18" t="n">
        <f aca="false">ShareTbl!D28</f>
        <v>0.4</v>
      </c>
      <c r="F498" s="18" t="n">
        <f aca="false">ShareTbl!E28</f>
        <v>0.5</v>
      </c>
      <c r="G498" s="18" t="n">
        <f aca="false">ShareTbl!F28</f>
        <v>0.43</v>
      </c>
      <c r="I498" s="12" t="s">
        <v>2949</v>
      </c>
    </row>
    <row r="499" customFormat="false" ht="17.15" hidden="false" customHeight="false" outlineLevel="0" collapsed="false">
      <c r="A499" s="0" t="s">
        <v>2950</v>
      </c>
      <c r="B499" s="0" t="s">
        <v>2951</v>
      </c>
      <c r="C499" s="0" t="s">
        <v>57</v>
      </c>
      <c r="E499" s="18" t="n">
        <f aca="false">ShareTbl!D36</f>
        <v>0.5</v>
      </c>
      <c r="F499" s="18" t="n">
        <f aca="false">ShareTbl!E36</f>
        <v>0.65</v>
      </c>
      <c r="G499" s="18" t="n">
        <f aca="false">ShareTbl!F36</f>
        <v>0.75</v>
      </c>
      <c r="I499" s="12" t="s">
        <v>2952</v>
      </c>
    </row>
    <row r="500" customFormat="false" ht="17.15" hidden="false" customHeight="false" outlineLevel="0" collapsed="false">
      <c r="A500" s="0" t="s">
        <v>2953</v>
      </c>
      <c r="B500" s="0" t="s">
        <v>2954</v>
      </c>
      <c r="C500" s="0" t="s">
        <v>57</v>
      </c>
      <c r="E500" s="18" t="n">
        <f aca="false">ShareTbl!D45</f>
        <v>0.99</v>
      </c>
      <c r="F500" s="18" t="n">
        <f aca="false">ShareTbl!E45</f>
        <v>0.995</v>
      </c>
      <c r="G500" s="18" t="n">
        <f aca="false">ShareTbl!F45</f>
        <v>0.996</v>
      </c>
      <c r="H500" s="18" t="n">
        <f aca="false">ShareTbl!G45</f>
        <v>0.995</v>
      </c>
      <c r="I500" s="12" t="s">
        <v>2955</v>
      </c>
    </row>
    <row r="501" customFormat="false" ht="17.15" hidden="false" customHeight="false" outlineLevel="0" collapsed="false">
      <c r="A501" s="0" t="s">
        <v>2956</v>
      </c>
      <c r="B501" s="6" t="s">
        <v>2957</v>
      </c>
      <c r="C501" s="0" t="s">
        <v>57</v>
      </c>
      <c r="E501" s="18" t="n">
        <f aca="false">ShareTbl!D52</f>
        <v>0.88</v>
      </c>
      <c r="F501" s="18" t="n">
        <f aca="false">ShareTbl!E52</f>
        <v>0.895</v>
      </c>
      <c r="G501" s="18" t="n">
        <f aca="false">ShareTbl!F52</f>
        <v>0.89</v>
      </c>
      <c r="H501" s="18" t="n">
        <f aca="false">ShareTbl!G52</f>
        <v>0.885</v>
      </c>
      <c r="I501" s="12" t="s">
        <v>2958</v>
      </c>
    </row>
    <row r="503" customFormat="false" ht="17.15" hidden="false" customHeight="false" outlineLevel="0" collapsed="false">
      <c r="A503" s="10" t="s">
        <v>2959</v>
      </c>
    </row>
    <row r="504" customFormat="false" ht="17.15" hidden="false" customHeight="false" outlineLevel="0" collapsed="false">
      <c r="A504" s="0" t="s">
        <v>2960</v>
      </c>
      <c r="B504" s="0" t="s">
        <v>2961</v>
      </c>
      <c r="C504" s="0" t="s">
        <v>508</v>
      </c>
      <c r="E504" s="7" t="n">
        <f aca="false">Deploy!C5</f>
        <v>781.872916666667</v>
      </c>
      <c r="F504" s="7" t="n">
        <f aca="false">Deploy!D5</f>
        <v>1565.35</v>
      </c>
      <c r="G504" s="7" t="n">
        <f aca="false">Deploy!E5</f>
        <v>1984.26388888889</v>
      </c>
      <c r="H504" s="7" t="n">
        <f aca="false">Deploy!F5</f>
        <v>2260.39027777778</v>
      </c>
      <c r="I504" s="12" t="s">
        <v>2962</v>
      </c>
    </row>
    <row r="505" customFormat="false" ht="17.15" hidden="false" customHeight="false" outlineLevel="0" collapsed="false">
      <c r="A505" s="0" t="s">
        <v>2963</v>
      </c>
      <c r="B505" s="0" t="s">
        <v>2964</v>
      </c>
      <c r="C505" s="0" t="s">
        <v>508</v>
      </c>
      <c r="E505" s="7" t="n">
        <f aca="false">Deploy!C6</f>
        <v>781.872916666667</v>
      </c>
      <c r="F505" s="7" t="n">
        <f aca="false">Deploy!D6</f>
        <v>1565.35</v>
      </c>
      <c r="G505" s="7" t="n">
        <f aca="false">Deploy!E6</f>
        <v>1587.41111111111</v>
      </c>
      <c r="H505" s="7" t="n">
        <f aca="false">Deploy!F6</f>
        <v>1921.33173611111</v>
      </c>
      <c r="I505" s="12" t="s">
        <v>2965</v>
      </c>
    </row>
    <row r="506" customFormat="false" ht="17.15" hidden="false" customHeight="false" outlineLevel="0" collapsed="false">
      <c r="A506" s="0" t="s">
        <v>2966</v>
      </c>
      <c r="B506" s="0" t="s">
        <v>2967</v>
      </c>
      <c r="C506" s="0" t="s">
        <v>508</v>
      </c>
      <c r="E506" s="7" t="n">
        <f aca="false">Deploy!C7</f>
        <v>781.872916666667</v>
      </c>
      <c r="F506" s="7" t="n">
        <f aca="false">Deploy!D7</f>
        <v>1565.35</v>
      </c>
      <c r="G506" s="7" t="n">
        <f aca="false">Deploy!E7</f>
        <v>1190.55833333333</v>
      </c>
      <c r="H506" s="7" t="n">
        <f aca="false">Deploy!F7</f>
        <v>1356.23416666667</v>
      </c>
      <c r="I506" s="12" t="s">
        <v>2968</v>
      </c>
    </row>
    <row r="507" customFormat="false" ht="17.15" hidden="false" customHeight="false" outlineLevel="0" collapsed="false">
      <c r="A507" s="0" t="s">
        <v>2969</v>
      </c>
      <c r="B507" s="6" t="s">
        <v>2970</v>
      </c>
      <c r="C507" s="0" t="s">
        <v>2324</v>
      </c>
      <c r="E507" s="7" t="n">
        <f aca="false">Deploy!C8</f>
        <v>33.41403216</v>
      </c>
      <c r="F507" s="7" t="n">
        <f aca="false">Deploy!D8</f>
        <v>37.586352</v>
      </c>
      <c r="G507" s="7" t="n">
        <f aca="false">Deploy!E8</f>
        <v>37.586352</v>
      </c>
      <c r="H507" s="7" t="n">
        <f aca="false">Deploy!F8</f>
        <v>37.586352</v>
      </c>
      <c r="I507" s="12" t="s">
        <v>2971</v>
      </c>
    </row>
    <row r="508" customFormat="false" ht="17.15" hidden="false" customHeight="false" outlineLevel="0" collapsed="false">
      <c r="A508" s="0" t="s">
        <v>2972</v>
      </c>
      <c r="B508" s="6" t="s">
        <v>2973</v>
      </c>
      <c r="C508" s="0" t="s">
        <v>2381</v>
      </c>
      <c r="E508" s="7" t="n">
        <f aca="false">Deploy!C9</f>
        <v>23.3995380420639</v>
      </c>
      <c r="F508" s="7" t="n">
        <f aca="false">Deploy!D9</f>
        <v>41.6467658260637</v>
      </c>
      <c r="G508" s="7" t="n">
        <f aca="false">Deploy!E9</f>
        <v>52.792138191248</v>
      </c>
      <c r="H508" s="7" t="n">
        <f aca="false">Deploy!F9</f>
        <v>60.1385917361115</v>
      </c>
      <c r="I508" s="12" t="s">
        <v>2974</v>
      </c>
    </row>
    <row r="509" customFormat="false" ht="17.15" hidden="false" customHeight="false" outlineLevel="0" collapsed="false">
      <c r="A509" s="0" t="s">
        <v>2975</v>
      </c>
      <c r="B509" s="6" t="s">
        <v>2976</v>
      </c>
      <c r="C509" s="0" t="s">
        <v>2381</v>
      </c>
      <c r="E509" s="7" t="n">
        <f aca="false">Deploy!C10</f>
        <v>23.3995380420639</v>
      </c>
      <c r="F509" s="7" t="n">
        <f aca="false">Deploy!D10</f>
        <v>41.6467658260637</v>
      </c>
      <c r="G509" s="7" t="n">
        <f aca="false">Deploy!E10</f>
        <v>42.2337105529984</v>
      </c>
      <c r="H509" s="7" t="n">
        <f aca="false">Deploy!F10</f>
        <v>51.1178029756948</v>
      </c>
      <c r="I509" s="12" t="s">
        <v>2977</v>
      </c>
    </row>
    <row r="510" customFormat="false" ht="17.15" hidden="false" customHeight="false" outlineLevel="0" collapsed="false">
      <c r="A510" s="0" t="s">
        <v>2978</v>
      </c>
      <c r="B510" s="6" t="s">
        <v>2979</v>
      </c>
      <c r="C510" s="0" t="s">
        <v>2381</v>
      </c>
      <c r="E510" s="7" t="n">
        <f aca="false">Deploy!C11</f>
        <v>23.3995380420639</v>
      </c>
      <c r="F510" s="7" t="n">
        <f aca="false">Deploy!D11</f>
        <v>41.6467658260637</v>
      </c>
      <c r="G510" s="7" t="n">
        <f aca="false">Deploy!E11</f>
        <v>31.6752829147488</v>
      </c>
      <c r="H510" s="7" t="n">
        <f aca="false">Deploy!F11</f>
        <v>36.0831550416669</v>
      </c>
      <c r="I510" s="12" t="s">
        <v>2980</v>
      </c>
    </row>
    <row r="512" customFormat="false" ht="17.15" hidden="false" customHeight="false" outlineLevel="0" collapsed="false">
      <c r="A512" s="10" t="s">
        <v>2981</v>
      </c>
    </row>
    <row r="513" customFormat="false" ht="17.15" hidden="false" customHeight="false" outlineLevel="0" collapsed="false">
      <c r="A513" s="0" t="s">
        <v>2982</v>
      </c>
      <c r="B513" s="0" t="s">
        <v>2983</v>
      </c>
      <c r="C513" s="0" t="s">
        <v>486</v>
      </c>
      <c r="E513" s="38" t="n">
        <f aca="false">ABF!C19</f>
        <v>1</v>
      </c>
      <c r="F513" s="38" t="n">
        <f aca="false">ABF!D19</f>
        <v>1.3149200792858</v>
      </c>
      <c r="G513" s="38" t="n">
        <f aca="false">ABF!E19</f>
        <v>1.51871652600206</v>
      </c>
      <c r="H513" s="38" t="n">
        <f aca="false">ABF!F19</f>
        <v>1.78409269640899</v>
      </c>
      <c r="I513" s="12" t="s">
        <v>2984</v>
      </c>
    </row>
    <row r="514" customFormat="false" ht="17.15" hidden="false" customHeight="false" outlineLevel="0" collapsed="false">
      <c r="A514" s="0" t="s">
        <v>2985</v>
      </c>
      <c r="B514" s="0" t="s">
        <v>2986</v>
      </c>
      <c r="C514" s="0" t="s">
        <v>486</v>
      </c>
      <c r="E514" s="38" t="n">
        <f aca="false">ABF!C20</f>
        <v>1</v>
      </c>
      <c r="F514" s="38" t="n">
        <f aca="false">ABF!D20</f>
        <v>1.3149200792858</v>
      </c>
      <c r="G514" s="38" t="n">
        <f aca="false">ABF!E20</f>
        <v>1.35604155784815</v>
      </c>
      <c r="H514" s="38" t="n">
        <f aca="false">ABF!F20</f>
        <v>1.62644843296439</v>
      </c>
      <c r="I514" s="12" t="s">
        <v>2987</v>
      </c>
    </row>
    <row r="515" customFormat="false" ht="17.15" hidden="false" customHeight="false" outlineLevel="0" collapsed="false">
      <c r="A515" s="0" t="s">
        <v>2988</v>
      </c>
      <c r="B515" s="0" t="s">
        <v>2989</v>
      </c>
      <c r="C515" s="0" t="s">
        <v>486</v>
      </c>
      <c r="E515" s="38" t="n">
        <f aca="false">ABF!C21</f>
        <v>1</v>
      </c>
      <c r="F515" s="38" t="n">
        <f aca="false">ABF!D21</f>
        <v>1.3149200792858</v>
      </c>
      <c r="G515" s="38" t="n">
        <f aca="false">ABF!E21</f>
        <v>1.18968702447534</v>
      </c>
      <c r="H515" s="38" t="n">
        <f aca="false">ABF!F21</f>
        <v>1.35894775285069</v>
      </c>
      <c r="I515" s="12" t="s">
        <v>2990</v>
      </c>
    </row>
    <row r="516" customFormat="false" ht="17.15" hidden="false" customHeight="false" outlineLevel="0" collapsed="false">
      <c r="A516" s="0" t="s">
        <v>2991</v>
      </c>
      <c r="B516" s="6" t="s">
        <v>2992</v>
      </c>
      <c r="C516" s="0" t="s">
        <v>486</v>
      </c>
      <c r="E516" s="38" t="n">
        <f aca="false">ABF!C34</f>
        <v>1</v>
      </c>
      <c r="F516" s="38" t="n">
        <f aca="false">ABF!D34</f>
        <v>1.23949599623175</v>
      </c>
      <c r="G516" s="38" t="n">
        <f aca="false">ABF!E34</f>
        <v>1.49096404459099</v>
      </c>
      <c r="H516" s="38" t="n">
        <f aca="false">ABF!F34</f>
        <v>1.73090163290941</v>
      </c>
      <c r="I516" s="12" t="s">
        <v>2993</v>
      </c>
    </row>
    <row r="517" customFormat="false" ht="17.15" hidden="false" customHeight="false" outlineLevel="0" collapsed="false">
      <c r="A517" s="0" t="s">
        <v>2994</v>
      </c>
      <c r="B517" s="6" t="s">
        <v>2995</v>
      </c>
      <c r="C517" s="0" t="s">
        <v>486</v>
      </c>
      <c r="E517" s="38" t="n">
        <f aca="false">ABF!C35</f>
        <v>1</v>
      </c>
      <c r="F517" s="38" t="n">
        <f aca="false">ABF!D35</f>
        <v>1.3</v>
      </c>
      <c r="G517" s="38" t="n">
        <f aca="false">ABF!E35</f>
        <v>1.55</v>
      </c>
      <c r="H517" s="38" t="n">
        <f aca="false">ABF!F35</f>
        <v>1.8</v>
      </c>
      <c r="I517" s="12" t="s">
        <v>2996</v>
      </c>
    </row>
    <row r="518" customFormat="false" ht="15" hidden="false" customHeight="false" outlineLevel="0" collapsed="false">
      <c r="A518" s="0" t="s">
        <v>2997</v>
      </c>
      <c r="B518" s="6" t="s">
        <v>2998</v>
      </c>
      <c r="C518" s="0" t="s">
        <v>486</v>
      </c>
      <c r="E518" s="38" t="n">
        <f aca="false">ABF!C36</f>
        <v>1</v>
      </c>
      <c r="F518" s="38" t="n">
        <f aca="false">ABF!D36</f>
        <v>1.23949599623175</v>
      </c>
      <c r="G518" s="38" t="n">
        <f aca="false">ABF!E36</f>
        <v>1.49096404459099</v>
      </c>
      <c r="H518" s="38" t="n">
        <f aca="false">ABF!F36</f>
        <v>1.73090163290941</v>
      </c>
      <c r="I518" s="12" t="s">
        <v>2999</v>
      </c>
    </row>
    <row r="519" customFormat="false" ht="17.15" hidden="false" customHeight="false" outlineLevel="0" collapsed="false">
      <c r="A519" s="0" t="s">
        <v>3000</v>
      </c>
      <c r="B519" s="0" t="s">
        <v>3001</v>
      </c>
      <c r="C519" s="0" t="s">
        <v>57</v>
      </c>
      <c r="E519" s="20" t="n">
        <f aca="false">ABF!C39</f>
        <v>0.0900000000000001</v>
      </c>
      <c r="F519" s="20" t="n">
        <f aca="false">ABF!D39</f>
        <v>0.156327161022588</v>
      </c>
      <c r="G519" s="20" t="n">
        <f aca="false">ABF!E39</f>
        <v>0.110289023633947</v>
      </c>
      <c r="H519" s="20" t="n">
        <f aca="false">ABF!F39</f>
        <v>0.123495987358389</v>
      </c>
      <c r="I519" s="12" t="s">
        <v>3002</v>
      </c>
    </row>
    <row r="520" customFormat="false" ht="17.15" hidden="false" customHeight="false" outlineLevel="0" collapsed="false">
      <c r="A520" s="0" t="s">
        <v>3003</v>
      </c>
      <c r="B520" s="0" t="s">
        <v>3004</v>
      </c>
      <c r="C520" s="0" t="s">
        <v>57</v>
      </c>
      <c r="E520" s="20" t="n">
        <f aca="false">ABF!C40</f>
        <v>0.0900000000000001</v>
      </c>
      <c r="F520" s="20" t="n">
        <f aca="false">ABF!D40</f>
        <v>0.156327161022588</v>
      </c>
      <c r="G520" s="20" t="n">
        <f aca="false">ABF!E40</f>
        <v>-0.00863786526793242</v>
      </c>
      <c r="H520" s="20" t="n">
        <f aca="false">ABF!F40</f>
        <v>0.0242227277533411</v>
      </c>
      <c r="I520" s="12" t="s">
        <v>3005</v>
      </c>
    </row>
    <row r="521" customFormat="false" ht="17.15" hidden="false" customHeight="false" outlineLevel="0" collapsed="false">
      <c r="A521" s="0" t="s">
        <v>3006</v>
      </c>
      <c r="B521" s="0" t="s">
        <v>3007</v>
      </c>
      <c r="C521" s="0" t="s">
        <v>57</v>
      </c>
      <c r="E521" s="20" t="n">
        <f aca="false">ABF!C41</f>
        <v>0.0900000000000001</v>
      </c>
      <c r="F521" s="20" t="n">
        <f aca="false">ABF!D41</f>
        <v>0.156327161022588</v>
      </c>
      <c r="G521" s="20" t="n">
        <f aca="false">ABF!E41</f>
        <v>-0.130254776174792</v>
      </c>
      <c r="H521" s="20" t="n">
        <f aca="false">ABF!F41</f>
        <v>-0.144230369626799</v>
      </c>
      <c r="I521" s="12" t="s">
        <v>3008</v>
      </c>
    </row>
    <row r="523" customFormat="false" ht="17.15" hidden="false" customHeight="false" outlineLevel="0" collapsed="false">
      <c r="A523" s="10" t="s">
        <v>3009</v>
      </c>
    </row>
    <row r="524" customFormat="false" ht="17.15" hidden="false" customHeight="false" outlineLevel="0" collapsed="false">
      <c r="A524" s="0" t="s">
        <v>3010</v>
      </c>
      <c r="B524" s="6" t="s">
        <v>3011</v>
      </c>
      <c r="C524" s="0" t="s">
        <v>1451</v>
      </c>
      <c r="E524" s="39" t="n">
        <f aca="false">PGW!C8</f>
        <v>450</v>
      </c>
      <c r="F524" s="39" t="n">
        <f aca="false">PGW!D8</f>
        <v>682</v>
      </c>
      <c r="G524" s="39" t="n">
        <f aca="false">PGW!E8</f>
        <v>792</v>
      </c>
      <c r="H524" s="39" t="n">
        <f aca="false">PGW!F8</f>
        <v>877</v>
      </c>
      <c r="I524" s="12" t="s">
        <v>3012</v>
      </c>
    </row>
    <row r="525" customFormat="false" ht="17.15" hidden="false" customHeight="false" outlineLevel="0" collapsed="false">
      <c r="A525" s="0" t="s">
        <v>3013</v>
      </c>
      <c r="B525" s="6" t="s">
        <v>3014</v>
      </c>
      <c r="C525" s="0" t="s">
        <v>1451</v>
      </c>
      <c r="E525" s="39" t="n">
        <f aca="false">PGW!C17</f>
        <v>350</v>
      </c>
      <c r="F525" s="39" t="n">
        <f aca="false">PGW!D17</f>
        <v>527.5</v>
      </c>
      <c r="G525" s="39" t="n">
        <f aca="false">PGW!E17</f>
        <v>609</v>
      </c>
      <c r="H525" s="39" t="n">
        <f aca="false">PGW!F17</f>
        <v>662.5</v>
      </c>
      <c r="I525" s="12" t="s">
        <v>3015</v>
      </c>
    </row>
    <row r="526" customFormat="false" ht="17.15" hidden="false" customHeight="false" outlineLevel="0" collapsed="false">
      <c r="A526" s="0" t="s">
        <v>3016</v>
      </c>
      <c r="B526" s="0" t="s">
        <v>3017</v>
      </c>
      <c r="C526" s="0" t="s">
        <v>1338</v>
      </c>
      <c r="E526" s="39" t="n">
        <f aca="false">PGW!C9</f>
        <v>10.5297921189288</v>
      </c>
      <c r="F526" s="39" t="n">
        <f aca="false">PGW!D9</f>
        <v>28.4030942933754</v>
      </c>
      <c r="G526" s="39" t="n">
        <f aca="false">PGW!E9</f>
        <v>41.8113734474684</v>
      </c>
      <c r="H526" s="39" t="n">
        <f aca="false">PGW!F9</f>
        <v>52.7415449525698</v>
      </c>
      <c r="I526" s="12" t="s">
        <v>3018</v>
      </c>
    </row>
    <row r="527" customFormat="false" ht="17.15" hidden="false" customHeight="false" outlineLevel="0" collapsed="false">
      <c r="A527" s="0" t="s">
        <v>3019</v>
      </c>
      <c r="B527" s="0" t="s">
        <v>3020</v>
      </c>
      <c r="C527" s="0" t="s">
        <v>1338</v>
      </c>
      <c r="E527" s="39" t="n">
        <f aca="false">PGW!C10</f>
        <v>10.5297921189288</v>
      </c>
      <c r="F527" s="39" t="n">
        <f aca="false">PGW!D10</f>
        <v>28.4030942933754</v>
      </c>
      <c r="G527" s="39" t="n">
        <f aca="false">PGW!E10</f>
        <v>33.4490987579747</v>
      </c>
      <c r="H527" s="39" t="n">
        <f aca="false">PGW!F10</f>
        <v>44.8303132096843</v>
      </c>
      <c r="I527" s="12" t="s">
        <v>3021</v>
      </c>
    </row>
    <row r="528" customFormat="false" ht="17.15" hidden="false" customHeight="false" outlineLevel="0" collapsed="false">
      <c r="A528" s="0" t="s">
        <v>3022</v>
      </c>
      <c r="B528" s="0" t="s">
        <v>3023</v>
      </c>
      <c r="C528" s="0" t="s">
        <v>1338</v>
      </c>
      <c r="E528" s="39" t="n">
        <f aca="false">PGW!C11</f>
        <v>10.5297921189288</v>
      </c>
      <c r="F528" s="39" t="n">
        <f aca="false">PGW!D11</f>
        <v>28.4030942933754</v>
      </c>
      <c r="G528" s="39" t="n">
        <f aca="false">PGW!E11</f>
        <v>25.086824068481</v>
      </c>
      <c r="H528" s="39" t="n">
        <f aca="false">PGW!F11</f>
        <v>31.6449269715419</v>
      </c>
      <c r="I528" s="12" t="s">
        <v>3024</v>
      </c>
    </row>
    <row r="529" customFormat="false" ht="17.15" hidden="false" customHeight="false" outlineLevel="0" collapsed="false">
      <c r="A529" s="0" t="s">
        <v>3025</v>
      </c>
      <c r="B529" s="0" t="s">
        <v>3026</v>
      </c>
      <c r="C529" s="0" t="s">
        <v>1338</v>
      </c>
      <c r="E529" s="39" t="n">
        <f aca="false">PGW!C18</f>
        <v>8.18983831472237</v>
      </c>
      <c r="F529" s="39" t="n">
        <f aca="false">PGW!D18</f>
        <v>21.9686689732486</v>
      </c>
      <c r="G529" s="39" t="n">
        <f aca="false">PGW!E18</f>
        <v>32.15041215847</v>
      </c>
      <c r="H529" s="39" t="n">
        <f aca="false">PGW!F18</f>
        <v>39.8418170251739</v>
      </c>
      <c r="I529" s="12" t="s">
        <v>3027</v>
      </c>
    </row>
    <row r="530" customFormat="false" ht="17.15" hidden="false" customHeight="false" outlineLevel="0" collapsed="false">
      <c r="A530" s="0" t="s">
        <v>3028</v>
      </c>
      <c r="B530" s="0" t="s">
        <v>3029</v>
      </c>
      <c r="C530" s="0" t="s">
        <v>1338</v>
      </c>
      <c r="E530" s="39" t="n">
        <f aca="false">PGW!C19</f>
        <v>8.18983831472237</v>
      </c>
      <c r="F530" s="39" t="n">
        <f aca="false">PGW!D19</f>
        <v>21.9686689732486</v>
      </c>
      <c r="G530" s="39" t="n">
        <f aca="false">PGW!E19</f>
        <v>25.720329726776</v>
      </c>
      <c r="H530" s="39" t="n">
        <f aca="false">PGW!F19</f>
        <v>33.8655444713978</v>
      </c>
      <c r="I530" s="12" t="s">
        <v>3030</v>
      </c>
    </row>
    <row r="531" customFormat="false" ht="17.15" hidden="false" customHeight="false" outlineLevel="0" collapsed="false">
      <c r="A531" s="0" t="s">
        <v>3031</v>
      </c>
      <c r="B531" s="0" t="s">
        <v>3032</v>
      </c>
      <c r="C531" s="0" t="s">
        <v>1338</v>
      </c>
      <c r="E531" s="39" t="n">
        <f aca="false">PGW!C20</f>
        <v>8.18983831472237</v>
      </c>
      <c r="F531" s="39" t="n">
        <f aca="false">PGW!D20</f>
        <v>21.9686689732486</v>
      </c>
      <c r="G531" s="39" t="n">
        <f aca="false">PGW!E20</f>
        <v>19.290247295082</v>
      </c>
      <c r="H531" s="39" t="n">
        <f aca="false">PGW!F20</f>
        <v>23.9050902151043</v>
      </c>
      <c r="I531" s="12" t="s">
        <v>3033</v>
      </c>
    </row>
    <row r="533" customFormat="false" ht="17.15" hidden="false" customHeight="false" outlineLevel="0" collapsed="false">
      <c r="A533" s="10" t="s">
        <v>3034</v>
      </c>
    </row>
    <row r="534" customFormat="false" ht="17.15" hidden="false" customHeight="false" outlineLevel="0" collapsed="false">
      <c r="A534" s="0" t="s">
        <v>3035</v>
      </c>
      <c r="B534" s="6" t="s">
        <v>3036</v>
      </c>
      <c r="C534" s="0" t="s">
        <v>3037</v>
      </c>
      <c r="E534" s="40" t="n">
        <f aca="false">Rack!C5</f>
        <v>27.1209</v>
      </c>
      <c r="F534" s="40" t="n">
        <f aca="false">Rack!D5</f>
        <v>27.351</v>
      </c>
      <c r="G534" s="40" t="n">
        <f aca="false">Rack!E5</f>
        <v>27.351</v>
      </c>
      <c r="H534" s="40" t="n">
        <f aca="false">Rack!F5</f>
        <v>27.351</v>
      </c>
      <c r="I534" s="12" t="s">
        <v>3038</v>
      </c>
    </row>
    <row r="535" customFormat="false" ht="17.15" hidden="false" customHeight="false" outlineLevel="0" collapsed="false">
      <c r="A535" s="0" t="s">
        <v>3039</v>
      </c>
      <c r="B535" s="0" t="s">
        <v>3040</v>
      </c>
      <c r="C535" s="0" t="s">
        <v>1338</v>
      </c>
      <c r="E535" s="40" t="n">
        <f aca="false">Rack!C6</f>
        <v>634.616531285011</v>
      </c>
      <c r="F535" s="40" t="n">
        <f aca="false">Rack!D6</f>
        <v>1139.08069210867</v>
      </c>
      <c r="G535" s="40" t="n">
        <f aca="false">Rack!E6</f>
        <v>1443.91777166882</v>
      </c>
      <c r="H535" s="40" t="n">
        <f aca="false">Rack!F6</f>
        <v>1644.85062257439</v>
      </c>
      <c r="I535" s="12" t="s">
        <v>3041</v>
      </c>
    </row>
    <row r="536" customFormat="false" ht="17.15" hidden="false" customHeight="false" outlineLevel="0" collapsed="false">
      <c r="A536" s="0" t="s">
        <v>3042</v>
      </c>
      <c r="B536" s="0" t="s">
        <v>3043</v>
      </c>
      <c r="C536" s="0" t="s">
        <v>1338</v>
      </c>
      <c r="E536" s="40" t="n">
        <f aca="false">Rack!C7</f>
        <v>634.616531285011</v>
      </c>
      <c r="F536" s="40" t="n">
        <f aca="false">Rack!D7</f>
        <v>1139.08069210867</v>
      </c>
      <c r="G536" s="40" t="n">
        <f aca="false">Rack!E7</f>
        <v>1155.13421733506</v>
      </c>
      <c r="H536" s="40" t="n">
        <f aca="false">Rack!F7</f>
        <v>1398.12302918823</v>
      </c>
      <c r="I536" s="12" t="s">
        <v>3044</v>
      </c>
    </row>
    <row r="537" customFormat="false" ht="17.15" hidden="false" customHeight="false" outlineLevel="0" collapsed="false">
      <c r="A537" s="0" t="s">
        <v>3045</v>
      </c>
      <c r="B537" s="0" t="s">
        <v>3046</v>
      </c>
      <c r="C537" s="0" t="s">
        <v>1338</v>
      </c>
      <c r="E537" s="40" t="n">
        <f aca="false">Rack!C8</f>
        <v>634.616531285011</v>
      </c>
      <c r="F537" s="40" t="n">
        <f aca="false">Rack!D8</f>
        <v>1139.08069210867</v>
      </c>
      <c r="G537" s="40" t="n">
        <f aca="false">Rack!E8</f>
        <v>866.350663001294</v>
      </c>
      <c r="H537" s="40" t="n">
        <f aca="false">Rack!F8</f>
        <v>986.910373544631</v>
      </c>
      <c r="I537" s="12" t="s">
        <v>3047</v>
      </c>
    </row>
    <row r="538" customFormat="false" ht="17.15" hidden="false" customHeight="false" outlineLevel="0" collapsed="false">
      <c r="A538" s="0" t="s">
        <v>3048</v>
      </c>
      <c r="B538" s="6" t="s">
        <v>3049</v>
      </c>
      <c r="C538" s="0" t="s">
        <v>625</v>
      </c>
      <c r="E538" s="40" t="n">
        <f aca="false">Rack!C11</f>
        <v>59.7222222222222</v>
      </c>
      <c r="F538" s="40" t="n">
        <f aca="false">Rack!D11</f>
        <v>59.7222222222222</v>
      </c>
      <c r="G538" s="40" t="n">
        <f aca="false">Rack!E11</f>
        <v>59.7222222222222</v>
      </c>
      <c r="H538" s="40" t="n">
        <f aca="false">Rack!F11</f>
        <v>59.7222222222222</v>
      </c>
      <c r="I538" s="12" t="s">
        <v>3050</v>
      </c>
    </row>
    <row r="539" customFormat="false" ht="17.15" hidden="false" customHeight="false" outlineLevel="0" collapsed="false">
      <c r="A539" s="0" t="s">
        <v>3051</v>
      </c>
      <c r="B539" s="6" t="s">
        <v>3052</v>
      </c>
      <c r="C539" s="0" t="s">
        <v>625</v>
      </c>
      <c r="E539" s="40" t="n">
        <f aca="false">Rack!C12</f>
        <v>116.666666666667</v>
      </c>
      <c r="F539" s="40" t="n">
        <f aca="false">Rack!D12</f>
        <v>116.666666666667</v>
      </c>
      <c r="G539" s="40" t="n">
        <f aca="false">Rack!E12</f>
        <v>116.666666666667</v>
      </c>
      <c r="H539" s="40" t="n">
        <f aca="false">Rack!F12</f>
        <v>116.666666666667</v>
      </c>
      <c r="I539" s="12" t="s">
        <v>3053</v>
      </c>
    </row>
    <row r="540" customFormat="false" ht="17.15" hidden="false" customHeight="false" outlineLevel="0" collapsed="false">
      <c r="A540" s="0" t="s">
        <v>3054</v>
      </c>
      <c r="B540" s="0" t="s">
        <v>3055</v>
      </c>
      <c r="C540" s="6" t="s">
        <v>328</v>
      </c>
      <c r="E540" s="40" t="n">
        <f aca="false">Rack!C13</f>
        <v>6.65</v>
      </c>
      <c r="F540" s="40" t="n">
        <f aca="false">Rack!D13</f>
        <v>2.4</v>
      </c>
      <c r="G540" s="40" t="n">
        <f aca="false">Rack!E13</f>
        <v>0.5</v>
      </c>
      <c r="H540" s="40" t="n">
        <f aca="false">Rack!F13</f>
        <v>0.25</v>
      </c>
      <c r="I540" s="12" t="s">
        <v>3056</v>
      </c>
    </row>
    <row r="541" customFormat="false" ht="17.15" hidden="false" customHeight="false" outlineLevel="0" collapsed="false">
      <c r="A541" s="0" t="s">
        <v>3057</v>
      </c>
      <c r="B541" s="0" t="s">
        <v>3058</v>
      </c>
      <c r="C541" s="6" t="s">
        <v>328</v>
      </c>
      <c r="E541" s="40" t="n">
        <f aca="false">Rack!C14</f>
        <v>1.7</v>
      </c>
      <c r="F541" s="40" t="n">
        <f aca="false">Rack!D14</f>
        <v>8.8</v>
      </c>
      <c r="G541" s="40" t="n">
        <f aca="false">Rack!E14</f>
        <v>11</v>
      </c>
      <c r="H541" s="40" t="n">
        <f aca="false">Rack!F14</f>
        <v>12.65</v>
      </c>
      <c r="I541" s="12" t="s">
        <v>3059</v>
      </c>
    </row>
    <row r="542" customFormat="false" ht="17.15" hidden="false" customHeight="false" outlineLevel="0" collapsed="false">
      <c r="A542" s="0" t="s">
        <v>3060</v>
      </c>
      <c r="B542" s="6" t="s">
        <v>3061</v>
      </c>
      <c r="C542" s="0" t="s">
        <v>1338</v>
      </c>
      <c r="E542" s="40" t="n">
        <f aca="false">Rack!C15</f>
        <v>595.486111111111</v>
      </c>
      <c r="F542" s="40" t="n">
        <f aca="false">Rack!D15</f>
        <v>1170</v>
      </c>
      <c r="G542" s="40" t="n">
        <f aca="false">Rack!E15</f>
        <v>1313.19444444444</v>
      </c>
      <c r="H542" s="40" t="n">
        <f aca="false">Rack!F15</f>
        <v>1490.76388888889</v>
      </c>
      <c r="I542" s="12" t="s">
        <v>3062</v>
      </c>
    </row>
    <row r="543" customFormat="false" ht="17.15" hidden="false" customHeight="false" outlineLevel="0" collapsed="false">
      <c r="A543" s="0" t="s">
        <v>3063</v>
      </c>
      <c r="B543" s="6" t="s">
        <v>3064</v>
      </c>
      <c r="C543" s="0" t="s">
        <v>1338</v>
      </c>
      <c r="E543" s="40" t="n">
        <f aca="false">Rack!C16</f>
        <v>595.486111111111</v>
      </c>
      <c r="F543" s="40" t="n">
        <f aca="false">Rack!D16</f>
        <v>1170</v>
      </c>
      <c r="G543" s="40" t="n">
        <f aca="false">Rack!E16</f>
        <v>1050.55555555556</v>
      </c>
      <c r="H543" s="40" t="n">
        <f aca="false">Rack!F16</f>
        <v>1267.14930555556</v>
      </c>
      <c r="I543" s="12" t="s">
        <v>3065</v>
      </c>
    </row>
    <row r="544" customFormat="false" ht="17.15" hidden="false" customHeight="false" outlineLevel="0" collapsed="false">
      <c r="A544" s="0" t="s">
        <v>3066</v>
      </c>
      <c r="B544" s="6" t="s">
        <v>3067</v>
      </c>
      <c r="C544" s="0" t="s">
        <v>1338</v>
      </c>
      <c r="E544" s="40" t="n">
        <f aca="false">Rack!C17</f>
        <v>595.486111111111</v>
      </c>
      <c r="F544" s="40" t="n">
        <f aca="false">Rack!D17</f>
        <v>1170</v>
      </c>
      <c r="G544" s="40" t="n">
        <f aca="false">Rack!E17</f>
        <v>787.916666666667</v>
      </c>
      <c r="H544" s="40" t="n">
        <f aca="false">Rack!F17</f>
        <v>894.458333333333</v>
      </c>
      <c r="I544" s="12" t="s">
        <v>3068</v>
      </c>
    </row>
    <row r="545" customFormat="false" ht="17.15" hidden="false" customHeight="false" outlineLevel="0" collapsed="false">
      <c r="A545" s="0" t="s">
        <v>3069</v>
      </c>
      <c r="B545" s="0" t="s">
        <v>3070</v>
      </c>
      <c r="C545" s="0" t="s">
        <v>1338</v>
      </c>
      <c r="E545" s="40" t="n">
        <f aca="false">Rack!C21</f>
        <v>10.5297921189288</v>
      </c>
      <c r="F545" s="40" t="n">
        <f aca="false">Rack!D21</f>
        <v>24.9880594956382</v>
      </c>
      <c r="G545" s="40" t="n">
        <f aca="false">Rack!E21</f>
        <v>35.8986539700486</v>
      </c>
      <c r="H545" s="40" t="n">
        <f aca="false">Rack!F21</f>
        <v>43.2997860500003</v>
      </c>
      <c r="I545" s="12" t="s">
        <v>3071</v>
      </c>
    </row>
    <row r="546" customFormat="false" ht="17.15" hidden="false" customHeight="false" outlineLevel="0" collapsed="false">
      <c r="A546" s="0" t="s">
        <v>3072</v>
      </c>
      <c r="B546" s="0" t="s">
        <v>3073</v>
      </c>
      <c r="C546" s="0" t="s">
        <v>1338</v>
      </c>
      <c r="E546" s="40" t="n">
        <f aca="false">Rack!C22</f>
        <v>10.5297921189288</v>
      </c>
      <c r="F546" s="40" t="n">
        <f aca="false">Rack!D22</f>
        <v>24.9880594956382</v>
      </c>
      <c r="G546" s="40" t="n">
        <f aca="false">Rack!E22</f>
        <v>28.7189231760389</v>
      </c>
      <c r="H546" s="40" t="n">
        <f aca="false">Rack!F22</f>
        <v>36.8048181425002</v>
      </c>
      <c r="I546" s="12" t="s">
        <v>3074</v>
      </c>
    </row>
    <row r="547" customFormat="false" ht="17.15" hidden="false" customHeight="false" outlineLevel="0" collapsed="false">
      <c r="A547" s="0" t="s">
        <v>3075</v>
      </c>
      <c r="B547" s="0" t="s">
        <v>3076</v>
      </c>
      <c r="C547" s="0" t="s">
        <v>1338</v>
      </c>
      <c r="E547" s="40" t="n">
        <f aca="false">Rack!C23</f>
        <v>10.5297921189288</v>
      </c>
      <c r="F547" s="40" t="n">
        <f aca="false">Rack!D23</f>
        <v>24.9880594956382</v>
      </c>
      <c r="G547" s="40" t="n">
        <f aca="false">Rack!E23</f>
        <v>21.5391923820292</v>
      </c>
      <c r="H547" s="40" t="n">
        <f aca="false">Rack!F23</f>
        <v>25.9798716300002</v>
      </c>
      <c r="I547" s="12" t="s">
        <v>3077</v>
      </c>
    </row>
    <row r="548" customFormat="false" ht="17.15" hidden="false" customHeight="false" outlineLevel="0" collapsed="false">
      <c r="A548" s="0" t="s">
        <v>3078</v>
      </c>
      <c r="B548" s="6" t="s">
        <v>3079</v>
      </c>
      <c r="C548" s="0" t="s">
        <v>1451</v>
      </c>
      <c r="E548" s="40" t="n">
        <f aca="false">Rack!C28</f>
        <v>350.7208</v>
      </c>
      <c r="F548" s="40" t="n">
        <f aca="false">Rack!D28</f>
        <v>326.5912</v>
      </c>
      <c r="G548" s="40" t="n">
        <f aca="false">Rack!E28</f>
        <v>351.7136</v>
      </c>
      <c r="H548" s="40" t="n">
        <f aca="false">Rack!F28</f>
        <v>351.7136</v>
      </c>
      <c r="I548" s="12" t="s">
        <v>3080</v>
      </c>
    </row>
    <row r="549" customFormat="false" ht="17.15" hidden="false" customHeight="false" outlineLevel="0" collapsed="false">
      <c r="A549" s="0" t="s">
        <v>3081</v>
      </c>
      <c r="B549" s="6" t="s">
        <v>3082</v>
      </c>
      <c r="C549" s="0" t="s">
        <v>57</v>
      </c>
      <c r="E549" s="40" t="n">
        <f aca="false">Rack!C29</f>
        <v>0.55</v>
      </c>
      <c r="F549" s="40" t="n">
        <f aca="false">Rack!D29</f>
        <v>0.85</v>
      </c>
      <c r="G549" s="40" t="n">
        <f aca="false">Rack!E29</f>
        <v>0.95</v>
      </c>
      <c r="H549" s="40" t="n">
        <f aca="false">Rack!F29</f>
        <v>0.95</v>
      </c>
      <c r="I549" s="12" t="s">
        <v>3083</v>
      </c>
    </row>
    <row r="550" customFormat="false" ht="17.15" hidden="false" customHeight="false" outlineLevel="0" collapsed="false">
      <c r="A550" s="0" t="s">
        <v>3084</v>
      </c>
      <c r="B550" s="6" t="s">
        <v>3085</v>
      </c>
      <c r="C550" s="0" t="s">
        <v>57</v>
      </c>
      <c r="E550" s="40" t="n">
        <f aca="false">Rack!C30</f>
        <v>0.55</v>
      </c>
      <c r="F550" s="40" t="n">
        <f aca="false">Rack!D30</f>
        <v>0.75</v>
      </c>
      <c r="G550" s="40" t="n">
        <f aca="false">Rack!E30</f>
        <v>0.85</v>
      </c>
      <c r="H550" s="40" t="n">
        <f aca="false">Rack!F30</f>
        <v>0.9</v>
      </c>
      <c r="I550" s="12" t="s">
        <v>3086</v>
      </c>
    </row>
    <row r="551" customFormat="false" ht="17.15" hidden="false" customHeight="false" outlineLevel="0" collapsed="false">
      <c r="A551" s="0" t="s">
        <v>3087</v>
      </c>
      <c r="B551" s="6" t="s">
        <v>3088</v>
      </c>
      <c r="C551" s="0" t="s">
        <v>57</v>
      </c>
      <c r="E551" s="40" t="n">
        <f aca="false">Rack!C31</f>
        <v>0.55</v>
      </c>
      <c r="F551" s="40" t="n">
        <f aca="false">Rack!D31</f>
        <v>0.6</v>
      </c>
      <c r="G551" s="40" t="n">
        <f aca="false">Rack!E31</f>
        <v>0.7</v>
      </c>
      <c r="H551" s="40" t="n">
        <f aca="false">Rack!F31</f>
        <v>0.75</v>
      </c>
      <c r="I551" s="12" t="s">
        <v>3089</v>
      </c>
    </row>
    <row r="552" customFormat="false" ht="17.15" hidden="false" customHeight="false" outlineLevel="0" collapsed="false">
      <c r="A552" s="0" t="s">
        <v>3090</v>
      </c>
      <c r="B552" s="0" t="s">
        <v>3091</v>
      </c>
      <c r="C552" s="0" t="s">
        <v>1338</v>
      </c>
      <c r="E552" s="40" t="n">
        <f aca="false">Rack!C32</f>
        <v>4.5136875859587</v>
      </c>
      <c r="F552" s="40" t="n">
        <f aca="false">Rack!D32</f>
        <v>11.5612471431652</v>
      </c>
      <c r="G552" s="40" t="n">
        <f aca="false">Rack!E32</f>
        <v>17.6393273261942</v>
      </c>
      <c r="H552" s="40" t="n">
        <f aca="false">Rack!F32</f>
        <v>20.0939825685161</v>
      </c>
      <c r="I552" s="12" t="s">
        <v>3092</v>
      </c>
    </row>
    <row r="553" customFormat="false" ht="17.15" hidden="false" customHeight="false" outlineLevel="0" collapsed="false">
      <c r="A553" s="0" t="s">
        <v>3093</v>
      </c>
      <c r="B553" s="0" t="s">
        <v>3094</v>
      </c>
      <c r="C553" s="0" t="s">
        <v>1338</v>
      </c>
      <c r="E553" s="40" t="n">
        <f aca="false">Rack!C33</f>
        <v>4.5136875859587</v>
      </c>
      <c r="F553" s="40" t="n">
        <f aca="false">Rack!D33</f>
        <v>10.2011004204398</v>
      </c>
      <c r="G553" s="40" t="n">
        <f aca="false">Rack!E33</f>
        <v>12.6260448229601</v>
      </c>
      <c r="H553" s="40" t="n">
        <f aca="false">Rack!F33</f>
        <v>16.1809438578051</v>
      </c>
      <c r="I553" s="12" t="s">
        <v>3095</v>
      </c>
    </row>
    <row r="554" customFormat="false" ht="17.15" hidden="false" customHeight="false" outlineLevel="0" collapsed="false">
      <c r="A554" s="0" t="s">
        <v>3096</v>
      </c>
      <c r="B554" s="0" t="s">
        <v>3097</v>
      </c>
      <c r="C554" s="0" t="s">
        <v>1338</v>
      </c>
      <c r="E554" s="40" t="n">
        <f aca="false">Rack!C34</f>
        <v>4.5136875859587</v>
      </c>
      <c r="F554" s="40" t="n">
        <f aca="false">Rack!D34</f>
        <v>8.16088033635188</v>
      </c>
      <c r="G554" s="40" t="n">
        <f aca="false">Rack!E34</f>
        <v>7.79843944947535</v>
      </c>
      <c r="H554" s="40" t="n">
        <f aca="false">Rack!F34</f>
        <v>9.51820226929711</v>
      </c>
      <c r="I554" s="12" t="s">
        <v>3098</v>
      </c>
    </row>
    <row r="556" customFormat="false" ht="17.15" hidden="false" customHeight="false" outlineLevel="0" collapsed="false">
      <c r="A556" s="10" t="s">
        <v>3099</v>
      </c>
    </row>
    <row r="557" customFormat="false" ht="17.15" hidden="false" customHeight="false" outlineLevel="0" collapsed="false">
      <c r="A557" s="0" t="s">
        <v>3100</v>
      </c>
      <c r="B557" s="6" t="s">
        <v>3101</v>
      </c>
      <c r="C557" s="0" t="s">
        <v>57</v>
      </c>
      <c r="E557" s="20" t="n">
        <f aca="false">ShareTbl!D75</f>
        <v>0.657628417556847</v>
      </c>
      <c r="F557" s="20" t="n">
        <f aca="false">ShareTbl!E75</f>
        <v>0.655617074323022</v>
      </c>
      <c r="G557" s="20" t="n">
        <f aca="false">ShareTbl!F75</f>
        <v>0.645670692267188</v>
      </c>
      <c r="H557" s="20" t="n">
        <f aca="false">ShareTbl!G75</f>
        <v>0.635724310211354</v>
      </c>
      <c r="I557" s="12" t="s">
        <v>3102</v>
      </c>
    </row>
    <row r="558" customFormat="false" ht="17.15" hidden="false" customHeight="false" outlineLevel="0" collapsed="false">
      <c r="A558" s="0" t="s">
        <v>3103</v>
      </c>
      <c r="B558" s="6" t="s">
        <v>3104</v>
      </c>
      <c r="C558" s="0" t="s">
        <v>57</v>
      </c>
      <c r="E558" s="20" t="n">
        <f aca="false">ShareTbl!D81</f>
        <v>0.657628417556847</v>
      </c>
      <c r="F558" s="20" t="n">
        <f aca="false">ShareTbl!E81</f>
        <v>0.632746996679005</v>
      </c>
      <c r="G558" s="20" t="n">
        <f aca="false">ShareTbl!F81</f>
        <v>0.606865575801162</v>
      </c>
      <c r="H558" s="20" t="n">
        <f aca="false">ShareTbl!G81</f>
        <v>0.58398415492332</v>
      </c>
      <c r="I558" s="12" t="s">
        <v>3105</v>
      </c>
    </row>
    <row r="559" customFormat="false" ht="17.15" hidden="false" customHeight="false" outlineLevel="0" collapsed="false">
      <c r="A559" s="0" t="s">
        <v>3106</v>
      </c>
      <c r="B559" s="6" t="s">
        <v>3107</v>
      </c>
      <c r="C559" s="0" t="s">
        <v>57</v>
      </c>
      <c r="E559" s="20" t="n">
        <f aca="false">ShareTbl!D87</f>
        <v>0.657628417556847</v>
      </c>
      <c r="F559" s="20" t="n">
        <f aca="false">ShareTbl!E87</f>
        <v>0.611876919034988</v>
      </c>
      <c r="G559" s="20" t="n">
        <f aca="false">ShareTbl!F87</f>
        <v>0.574060459335137</v>
      </c>
      <c r="H559" s="20" t="n">
        <f aca="false">ShareTbl!G87</f>
        <v>0.545179038457294</v>
      </c>
      <c r="I559" s="12" t="s">
        <v>3108</v>
      </c>
    </row>
    <row r="561" customFormat="false" ht="17.15" hidden="false" customHeight="false" outlineLevel="0" collapsed="false">
      <c r="A561" s="10" t="s">
        <v>3109</v>
      </c>
    </row>
    <row r="562" customFormat="false" ht="17.15" hidden="false" customHeight="false" outlineLevel="0" collapsed="false">
      <c r="A562" s="0" t="s">
        <v>3110</v>
      </c>
      <c r="B562" s="6" t="s">
        <v>3111</v>
      </c>
      <c r="C562" s="0" t="s">
        <v>57</v>
      </c>
      <c r="E562" s="20" t="n">
        <f aca="false">ShareTbl!D58</f>
        <v>0.759815255723819</v>
      </c>
      <c r="F562" s="20" t="n">
        <f aca="false">ShareTbl!E58</f>
        <v>0.748245990386685</v>
      </c>
      <c r="G562" s="20" t="n">
        <f aca="false">ShareTbl!F58</f>
        <v>0.736676725049551</v>
      </c>
      <c r="H562" s="20" t="n">
        <f aca="false">ShareTbl!G58</f>
        <v>0.716300293896065</v>
      </c>
      <c r="I562" s="12" t="s">
        <v>3112</v>
      </c>
    </row>
    <row r="563" customFormat="false" ht="17.15" hidden="false" customHeight="false" outlineLevel="0" collapsed="false">
      <c r="A563" s="0" t="s">
        <v>3113</v>
      </c>
      <c r="B563" s="6" t="s">
        <v>3114</v>
      </c>
      <c r="C563" s="0" t="s">
        <v>57</v>
      </c>
      <c r="E563" s="20" t="n">
        <f aca="false">ShareTbl!D63</f>
        <v>0.759815255723819</v>
      </c>
      <c r="F563" s="20" t="n">
        <f aca="false">ShareTbl!E63</f>
        <v>0.73063165875398</v>
      </c>
      <c r="G563" s="20" t="n">
        <f aca="false">ShareTbl!F63</f>
        <v>0.701448061784142</v>
      </c>
      <c r="H563" s="20" t="n">
        <f aca="false">ShareTbl!G63</f>
        <v>0.672264464814303</v>
      </c>
      <c r="I563" s="12" t="s">
        <v>3115</v>
      </c>
    </row>
    <row r="564" customFormat="false" ht="17.15" hidden="false" customHeight="false" outlineLevel="0" collapsed="false">
      <c r="A564" s="0" t="s">
        <v>3116</v>
      </c>
      <c r="B564" s="6" t="s">
        <v>3117</v>
      </c>
      <c r="C564" s="0" t="s">
        <v>57</v>
      </c>
      <c r="E564" s="20" t="n">
        <f aca="false">ShareTbl!D68</f>
        <v>0.759815255723819</v>
      </c>
      <c r="F564" s="20" t="n">
        <f aca="false">ShareTbl!E68</f>
        <v>0.704210161304923</v>
      </c>
      <c r="G564" s="20" t="n">
        <f aca="false">ShareTbl!F68</f>
        <v>0.666219398518733</v>
      </c>
      <c r="H564" s="20" t="n">
        <f aca="false">ShareTbl!G68</f>
        <v>0.628228635732542</v>
      </c>
      <c r="I564" s="12" t="s">
        <v>3118</v>
      </c>
    </row>
    <row r="566" customFormat="false" ht="17.15" hidden="false" customHeight="false" outlineLevel="0" collapsed="false">
      <c r="A566" s="10" t="s">
        <v>3119</v>
      </c>
    </row>
    <row r="567" customFormat="false" ht="15" hidden="false" customHeight="false" outlineLevel="0" collapsed="false">
      <c r="A567" s="4" t="s">
        <v>21</v>
      </c>
      <c r="B567" s="4" t="s">
        <v>45</v>
      </c>
      <c r="C567" s="4" t="s">
        <v>46</v>
      </c>
      <c r="D567" s="4" t="s">
        <v>47</v>
      </c>
      <c r="E567" s="4" t="s">
        <v>48</v>
      </c>
      <c r="F567" s="4" t="s">
        <v>49</v>
      </c>
      <c r="G567" s="4"/>
      <c r="H567" s="4" t="s">
        <v>2390</v>
      </c>
    </row>
    <row r="568" customFormat="false" ht="17.15" hidden="false" customHeight="false" outlineLevel="0" collapsed="false">
      <c r="A568" s="0" t="s">
        <v>3120</v>
      </c>
      <c r="B568" s="6" t="s">
        <v>3121</v>
      </c>
      <c r="C568" s="6" t="s">
        <v>2007</v>
      </c>
      <c r="D568" s="34" t="n">
        <f aca="false">IF(ISBLANK(TK_In!D5),"",TK_In!D5)</f>
        <v>22439</v>
      </c>
      <c r="E568" s="34" t="n">
        <f aca="false">IF(ISBLANK(TK_In!E5),"",TK_In!E5)</f>
        <v>22439</v>
      </c>
      <c r="F568" s="34" t="n">
        <f aca="false">IF(ISBLANK(TK_In!F5),"",TK_In!F5)</f>
        <v>22439</v>
      </c>
      <c r="H568" s="12" t="s">
        <v>3122</v>
      </c>
    </row>
    <row r="569" customFormat="false" ht="17.15" hidden="false" customHeight="false" outlineLevel="0" collapsed="false">
      <c r="A569" s="0" t="s">
        <v>3123</v>
      </c>
      <c r="B569" s="6" t="s">
        <v>3124</v>
      </c>
      <c r="C569" s="6" t="s">
        <v>2007</v>
      </c>
      <c r="D569" s="34" t="n">
        <f aca="false">IF(ISBLANK(TK_In!D6),"",TK_In!D6)</f>
        <v>6969</v>
      </c>
      <c r="E569" s="34" t="n">
        <f aca="false">IF(ISBLANK(TK_In!E6),"",TK_In!E6)</f>
        <v>6969</v>
      </c>
      <c r="F569" s="34" t="n">
        <f aca="false">IF(ISBLANK(TK_In!F6),"",TK_In!F6)</f>
        <v>6969</v>
      </c>
      <c r="H569" s="12" t="s">
        <v>3125</v>
      </c>
    </row>
    <row r="570" customFormat="false" ht="17.15" hidden="false" customHeight="false" outlineLevel="0" collapsed="false">
      <c r="A570" s="0" t="s">
        <v>3126</v>
      </c>
      <c r="B570" s="6" t="s">
        <v>3127</v>
      </c>
      <c r="C570" s="6" t="s">
        <v>2007</v>
      </c>
      <c r="D570" s="34" t="n">
        <f aca="false">IF(ISBLANK(TK_In!D7),"",TK_In!D7)</f>
        <v>6764</v>
      </c>
      <c r="E570" s="34" t="n">
        <f aca="false">IF(ISBLANK(TK_In!E7),"",TK_In!E7)</f>
        <v>6764</v>
      </c>
      <c r="F570" s="34" t="n">
        <f aca="false">IF(ISBLANK(TK_In!F7),"",TK_In!F7)</f>
        <v>6764</v>
      </c>
      <c r="H570" s="12" t="s">
        <v>3128</v>
      </c>
    </row>
    <row r="571" customFormat="false" ht="17.15" hidden="false" customHeight="false" outlineLevel="0" collapsed="false">
      <c r="A571" s="0" t="s">
        <v>3129</v>
      </c>
      <c r="B571" s="6" t="s">
        <v>3130</v>
      </c>
      <c r="C571" s="6" t="s">
        <v>2007</v>
      </c>
      <c r="D571" s="34" t="n">
        <f aca="false">IF(ISBLANK(TK_In!D8),"",TK_In!D8)</f>
        <v>4052</v>
      </c>
      <c r="E571" s="34" t="n">
        <f aca="false">IF(ISBLANK(TK_In!E8),"",TK_In!E8)</f>
        <v>4052</v>
      </c>
      <c r="F571" s="34" t="n">
        <f aca="false">IF(ISBLANK(TK_In!F8),"",TK_In!F8)</f>
        <v>4052</v>
      </c>
      <c r="H571" s="12" t="s">
        <v>3131</v>
      </c>
    </row>
    <row r="572" customFormat="false" ht="17.15" hidden="false" customHeight="false" outlineLevel="0" collapsed="false">
      <c r="A572" s="0" t="s">
        <v>3132</v>
      </c>
      <c r="B572" s="6" t="s">
        <v>3133</v>
      </c>
      <c r="C572" s="6" t="s">
        <v>2007</v>
      </c>
      <c r="D572" s="34" t="n">
        <f aca="false">IF(ISBLANK(TK_In!D9),"",TK_In!D9)</f>
        <v>2705</v>
      </c>
      <c r="E572" s="34" t="n">
        <f aca="false">IF(ISBLANK(TK_In!E9),"",TK_In!E9)</f>
        <v>2705</v>
      </c>
      <c r="F572" s="34" t="n">
        <f aca="false">IF(ISBLANK(TK_In!F9),"",TK_In!F9)</f>
        <v>2705</v>
      </c>
      <c r="H572" s="12" t="s">
        <v>3134</v>
      </c>
    </row>
    <row r="573" customFormat="false" ht="17.15" hidden="false" customHeight="false" outlineLevel="0" collapsed="false">
      <c r="A573" s="0" t="s">
        <v>3135</v>
      </c>
      <c r="B573" s="6" t="s">
        <v>3136</v>
      </c>
      <c r="C573" s="6" t="s">
        <v>2020</v>
      </c>
      <c r="D573" s="34" t="n">
        <f aca="false">IF(ISBLANK(TK_In!D10),"",TK_In!D10)</f>
        <v>718048</v>
      </c>
      <c r="E573" s="34" t="n">
        <f aca="false">IF(ISBLANK(TK_In!E10),"",TK_In!E10)</f>
        <v>718048</v>
      </c>
      <c r="F573" s="34" t="n">
        <f aca="false">IF(ISBLANK(TK_In!F10),"",TK_In!F10)</f>
        <v>718048</v>
      </c>
      <c r="H573" s="12" t="s">
        <v>3137</v>
      </c>
    </row>
    <row r="574" customFormat="false" ht="17.15" hidden="false" customHeight="false" outlineLevel="0" collapsed="false">
      <c r="A574" s="0" t="s">
        <v>3138</v>
      </c>
      <c r="B574" s="6" t="s">
        <v>3139</v>
      </c>
      <c r="C574" s="6" t="s">
        <v>2020</v>
      </c>
      <c r="D574" s="34" t="n">
        <f aca="false">IF(ISBLANK(TK_In!D11),"",TK_In!D11)</f>
        <v>501768</v>
      </c>
      <c r="E574" s="34" t="n">
        <f aca="false">IF(ISBLANK(TK_In!E11),"",TK_In!E11)</f>
        <v>501768</v>
      </c>
      <c r="F574" s="34" t="n">
        <f aca="false">IF(ISBLANK(TK_In!F11),"",TK_In!F11)</f>
        <v>501768</v>
      </c>
      <c r="H574" s="12" t="s">
        <v>3140</v>
      </c>
    </row>
    <row r="575" customFormat="false" ht="17.15" hidden="false" customHeight="false" outlineLevel="0" collapsed="false">
      <c r="A575" s="0" t="s">
        <v>3141</v>
      </c>
      <c r="B575" s="6" t="s">
        <v>3142</v>
      </c>
      <c r="C575" s="6" t="s">
        <v>2020</v>
      </c>
      <c r="D575" s="34" t="n">
        <f aca="false">IF(ISBLANK(TK_In!D12),"",TK_In!D12)</f>
        <v>487008</v>
      </c>
      <c r="E575" s="34" t="n">
        <f aca="false">IF(ISBLANK(TK_In!E12),"",TK_In!E12)</f>
        <v>487008</v>
      </c>
      <c r="F575" s="34" t="n">
        <f aca="false">IF(ISBLANK(TK_In!F12),"",TK_In!F12)</f>
        <v>487008</v>
      </c>
      <c r="H575" s="12" t="s">
        <v>3143</v>
      </c>
    </row>
    <row r="576" customFormat="false" ht="17.15" hidden="false" customHeight="false" outlineLevel="0" collapsed="false">
      <c r="A576" s="0" t="s">
        <v>3144</v>
      </c>
      <c r="B576" s="6" t="s">
        <v>3145</v>
      </c>
      <c r="C576" s="6" t="s">
        <v>2020</v>
      </c>
      <c r="D576" s="34" t="n">
        <f aca="false">IF(ISBLANK(TK_In!D13),"",TK_In!D13)</f>
        <v>291744</v>
      </c>
      <c r="E576" s="34" t="n">
        <f aca="false">IF(ISBLANK(TK_In!E13),"",TK_In!E13)</f>
        <v>291744</v>
      </c>
      <c r="F576" s="34" t="n">
        <f aca="false">IF(ISBLANK(TK_In!F13),"",TK_In!F13)</f>
        <v>291744</v>
      </c>
      <c r="H576" s="12" t="s">
        <v>3146</v>
      </c>
    </row>
    <row r="577" customFormat="false" ht="17.15" hidden="false" customHeight="false" outlineLevel="0" collapsed="false">
      <c r="A577" s="0" t="s">
        <v>3147</v>
      </c>
      <c r="B577" s="6" t="s">
        <v>3148</v>
      </c>
      <c r="C577" s="6" t="s">
        <v>2020</v>
      </c>
      <c r="D577" s="34" t="n">
        <f aca="false">IF(ISBLANK(TK_In!D14),"",TK_In!D14)</f>
        <v>194760</v>
      </c>
      <c r="E577" s="34" t="n">
        <f aca="false">IF(ISBLANK(TK_In!E14),"",TK_In!E14)</f>
        <v>194760</v>
      </c>
      <c r="F577" s="34" t="n">
        <f aca="false">IF(ISBLANK(TK_In!F14),"",TK_In!F14)</f>
        <v>194760</v>
      </c>
      <c r="H577" s="12" t="s">
        <v>3149</v>
      </c>
    </row>
    <row r="578" customFormat="false" ht="17.15" hidden="false" customHeight="false" outlineLevel="0" collapsed="false">
      <c r="A578" s="0" t="s">
        <v>3150</v>
      </c>
      <c r="B578" s="6" t="s">
        <v>3151</v>
      </c>
      <c r="C578" s="0" t="s">
        <v>508</v>
      </c>
      <c r="D578" s="34" t="n">
        <f aca="false">IF(ISBLANK(TK_In!D15),"",TK_In!D15)</f>
        <v>21.4202694</v>
      </c>
      <c r="E578" s="34" t="n">
        <f aca="false">IF(ISBLANK(TK_In!E15),"",TK_In!E15)</f>
        <v>27.510214</v>
      </c>
      <c r="F578" s="34" t="n">
        <f aca="false">IF(ISBLANK(TK_In!F15),"",TK_In!F15)</f>
        <v>34.1207434</v>
      </c>
      <c r="H578" s="12" t="s">
        <v>3152</v>
      </c>
    </row>
    <row r="579" customFormat="false" ht="17.15" hidden="false" customHeight="false" outlineLevel="0" collapsed="false">
      <c r="A579" s="0" t="s">
        <v>3153</v>
      </c>
      <c r="B579" s="6" t="s">
        <v>3154</v>
      </c>
      <c r="C579" s="0" t="s">
        <v>508</v>
      </c>
      <c r="D579" s="34" t="n">
        <f aca="false">IF(ISBLANK(TK_In!D16),"",TK_In!D16)</f>
        <v>20.6393904</v>
      </c>
      <c r="E579" s="34" t="n">
        <f aca="false">IF(ISBLANK(TK_In!E16),"",TK_In!E16)</f>
        <v>24.015174</v>
      </c>
      <c r="F579" s="34" t="n">
        <f aca="false">IF(ISBLANK(TK_In!F16),"",TK_In!F16)</f>
        <v>27.6502044</v>
      </c>
      <c r="H579" s="12" t="s">
        <v>3155</v>
      </c>
    </row>
    <row r="580" customFormat="false" ht="17.15" hidden="false" customHeight="false" outlineLevel="0" collapsed="false">
      <c r="A580" s="0" t="s">
        <v>3156</v>
      </c>
      <c r="B580" s="6" t="s">
        <v>3157</v>
      </c>
      <c r="C580" s="0" t="s">
        <v>508</v>
      </c>
      <c r="D580" s="34" t="n">
        <f aca="false">IF(ISBLANK(TK_In!D17),"",TK_In!D17)</f>
        <v>28.5549024</v>
      </c>
      <c r="E580" s="34" t="n">
        <f aca="false">IF(ISBLANK(TK_In!E17),"",TK_In!E17)</f>
        <v>32.237224</v>
      </c>
      <c r="F580" s="34" t="n">
        <f aca="false">IF(ISBLANK(TK_In!F17),"",TK_In!F17)</f>
        <v>39.2826064</v>
      </c>
      <c r="H580" s="12" t="s">
        <v>3158</v>
      </c>
    </row>
    <row r="581" customFormat="false" ht="17.15" hidden="false" customHeight="false" outlineLevel="0" collapsed="false">
      <c r="A581" s="0" t="s">
        <v>3159</v>
      </c>
      <c r="B581" s="6" t="s">
        <v>3160</v>
      </c>
      <c r="C581" s="0" t="s">
        <v>508</v>
      </c>
      <c r="D581" s="34" t="n">
        <f aca="false">IF(ISBLANK(TK_In!D18),"",TK_In!D18)</f>
        <v>31.9970232</v>
      </c>
      <c r="E581" s="34" t="n">
        <f aca="false">IF(ISBLANK(TK_In!E18),"",TK_In!E18)</f>
        <v>37.586352</v>
      </c>
      <c r="F581" s="34" t="n">
        <f aca="false">IF(ISBLANK(TK_In!F18),"",TK_In!F18)</f>
        <v>42.6375752</v>
      </c>
      <c r="H581" s="12" t="s">
        <v>3161</v>
      </c>
    </row>
    <row r="582" customFormat="false" ht="17.15" hidden="false" customHeight="false" outlineLevel="0" collapsed="false">
      <c r="A582" s="0" t="s">
        <v>3162</v>
      </c>
      <c r="B582" s="6" t="s">
        <v>3163</v>
      </c>
      <c r="C582" s="0" t="s">
        <v>508</v>
      </c>
      <c r="D582" s="34" t="n">
        <f aca="false">IF(ISBLANK(TK_In!D19),"",TK_In!D19)</f>
        <v>35.845578</v>
      </c>
      <c r="E582" s="34" t="n">
        <f aca="false">IF(ISBLANK(TK_In!E19),"",TK_In!E19)</f>
        <v>50.08578</v>
      </c>
      <c r="F582" s="34" t="n">
        <f aca="false">IF(ISBLANK(TK_In!F19),"",TK_In!F19)</f>
        <v>65.481558</v>
      </c>
      <c r="H582" s="12" t="s">
        <v>3164</v>
      </c>
    </row>
    <row r="583" customFormat="false" ht="17.15" hidden="false" customHeight="false" outlineLevel="0" collapsed="false">
      <c r="A583" s="0" t="s">
        <v>3165</v>
      </c>
      <c r="B583" s="6" t="s">
        <v>3166</v>
      </c>
      <c r="C583" s="0" t="s">
        <v>508</v>
      </c>
      <c r="D583" s="34" t="n">
        <f aca="false">IF(ISBLANK(TK_In!D20),"",TK_In!D20)</f>
        <v>10.212</v>
      </c>
      <c r="E583" s="34" t="n">
        <f aca="false">IF(ISBLANK(TK_In!E20),"",TK_In!E20)</f>
        <v>12.67</v>
      </c>
      <c r="F583" s="34" t="n">
        <f aca="false">IF(ISBLANK(TK_In!F20),"",TK_In!F20)</f>
        <v>16.186</v>
      </c>
      <c r="H583" s="12" t="s">
        <v>3167</v>
      </c>
    </row>
    <row r="584" customFormat="false" ht="17.15" hidden="false" customHeight="false" outlineLevel="0" collapsed="false">
      <c r="A584" s="0" t="s">
        <v>3168</v>
      </c>
      <c r="B584" s="6" t="s">
        <v>3169</v>
      </c>
      <c r="C584" s="0" t="s">
        <v>508</v>
      </c>
      <c r="D584" s="34" t="n">
        <f aca="false">IF(ISBLANK(TK_In!D21),"",TK_In!D21)</f>
        <v>10.212</v>
      </c>
      <c r="E584" s="34" t="n">
        <f aca="false">IF(ISBLANK(TK_In!E21),"",TK_In!E21)</f>
        <v>12.67</v>
      </c>
      <c r="F584" s="34" t="n">
        <f aca="false">IF(ISBLANK(TK_In!F21),"",TK_In!F21)</f>
        <v>16.186</v>
      </c>
      <c r="H584" s="12" t="s">
        <v>3170</v>
      </c>
    </row>
    <row r="585" customFormat="false" ht="17.15" hidden="false" customHeight="false" outlineLevel="0" collapsed="false">
      <c r="A585" s="0" t="s">
        <v>3171</v>
      </c>
      <c r="B585" s="6" t="s">
        <v>3172</v>
      </c>
      <c r="C585" s="0" t="s">
        <v>508</v>
      </c>
      <c r="D585" s="34" t="n">
        <f aca="false">IF(ISBLANK(TK_In!D22),"",TK_In!D22)</f>
        <v>10.212</v>
      </c>
      <c r="E585" s="34" t="n">
        <f aca="false">IF(ISBLANK(TK_In!E22),"",TK_In!E22)</f>
        <v>12.67</v>
      </c>
      <c r="F585" s="34" t="n">
        <f aca="false">IF(ISBLANK(TK_In!F22),"",TK_In!F22)</f>
        <v>16.186</v>
      </c>
      <c r="H585" s="12" t="s">
        <v>3173</v>
      </c>
    </row>
    <row r="586" customFormat="false" ht="17.15" hidden="false" customHeight="false" outlineLevel="0" collapsed="false">
      <c r="A586" s="0" t="s">
        <v>3174</v>
      </c>
      <c r="B586" s="6" t="s">
        <v>3175</v>
      </c>
      <c r="C586" s="0" t="s">
        <v>508</v>
      </c>
      <c r="D586" s="34" t="n">
        <f aca="false">IF(ISBLANK(TK_In!D23),"",TK_In!D23)</f>
        <v>10.212</v>
      </c>
      <c r="E586" s="34" t="n">
        <f aca="false">IF(ISBLANK(TK_In!E23),"",TK_In!E23)</f>
        <v>12.67</v>
      </c>
      <c r="F586" s="34" t="n">
        <f aca="false">IF(ISBLANK(TK_In!F23),"",TK_In!F23)</f>
        <v>16.186</v>
      </c>
      <c r="H586" s="12" t="s">
        <v>3176</v>
      </c>
    </row>
    <row r="587" customFormat="false" ht="17.15" hidden="false" customHeight="false" outlineLevel="0" collapsed="false">
      <c r="A587" s="0" t="s">
        <v>3177</v>
      </c>
      <c r="B587" s="6" t="s">
        <v>3178</v>
      </c>
      <c r="C587" s="0" t="s">
        <v>508</v>
      </c>
      <c r="D587" s="34" t="n">
        <f aca="false">IF(ISBLANK(TK_In!D24),"",TK_In!D24)</f>
        <v>10.212</v>
      </c>
      <c r="E587" s="34" t="n">
        <f aca="false">IF(ISBLANK(TK_In!E24),"",TK_In!E24)</f>
        <v>12.67</v>
      </c>
      <c r="F587" s="34" t="n">
        <f aca="false">IF(ISBLANK(TK_In!F24),"",TK_In!F24)</f>
        <v>16.186</v>
      </c>
      <c r="H587" s="12" t="s">
        <v>3179</v>
      </c>
    </row>
    <row r="588" customFormat="false" ht="17.15" hidden="false" customHeight="false" outlineLevel="0" collapsed="false">
      <c r="A588" s="0" t="s">
        <v>3180</v>
      </c>
      <c r="B588" s="6" t="s">
        <v>3181</v>
      </c>
      <c r="C588" s="0" t="s">
        <v>508</v>
      </c>
      <c r="D588" s="34" t="n">
        <f aca="false">IF(ISBLANK(TK_In!D25),"",TK_In!D25)</f>
        <v>31.6322694</v>
      </c>
      <c r="E588" s="34" t="n">
        <f aca="false">IF(ISBLANK(TK_In!E25),"",TK_In!E25)</f>
        <v>40.180214</v>
      </c>
      <c r="F588" s="34" t="n">
        <f aca="false">IF(ISBLANK(TK_In!F25),"",TK_In!F25)</f>
        <v>50.3067434</v>
      </c>
      <c r="H588" s="12" t="s">
        <v>3182</v>
      </c>
    </row>
    <row r="589" customFormat="false" ht="17.15" hidden="false" customHeight="false" outlineLevel="0" collapsed="false">
      <c r="A589" s="0" t="s">
        <v>3183</v>
      </c>
      <c r="B589" s="6" t="s">
        <v>3184</v>
      </c>
      <c r="C589" s="0" t="s">
        <v>508</v>
      </c>
      <c r="D589" s="34" t="n">
        <f aca="false">IF(ISBLANK(TK_In!D26),"",TK_In!D26)</f>
        <v>30.8513904</v>
      </c>
      <c r="E589" s="34" t="n">
        <f aca="false">IF(ISBLANK(TK_In!E26),"",TK_In!E26)</f>
        <v>36.685174</v>
      </c>
      <c r="F589" s="34" t="n">
        <f aca="false">IF(ISBLANK(TK_In!F26),"",TK_In!F26)</f>
        <v>43.8362044</v>
      </c>
      <c r="H589" s="12" t="s">
        <v>3185</v>
      </c>
    </row>
    <row r="590" customFormat="false" ht="17.15" hidden="false" customHeight="false" outlineLevel="0" collapsed="false">
      <c r="A590" s="0" t="s">
        <v>3186</v>
      </c>
      <c r="B590" s="6" t="s">
        <v>3187</v>
      </c>
      <c r="C590" s="0" t="s">
        <v>508</v>
      </c>
      <c r="D590" s="34" t="n">
        <f aca="false">IF(ISBLANK(TK_In!D27),"",TK_In!D27)</f>
        <v>38.7669024</v>
      </c>
      <c r="E590" s="34" t="n">
        <f aca="false">IF(ISBLANK(TK_In!E27),"",TK_In!E27)</f>
        <v>44.907224</v>
      </c>
      <c r="F590" s="34" t="n">
        <f aca="false">IF(ISBLANK(TK_In!F27),"",TK_In!F27)</f>
        <v>55.4686064</v>
      </c>
      <c r="H590" s="12" t="s">
        <v>3188</v>
      </c>
    </row>
    <row r="591" customFormat="false" ht="17.15" hidden="false" customHeight="false" outlineLevel="0" collapsed="false">
      <c r="A591" s="0" t="s">
        <v>3189</v>
      </c>
      <c r="B591" s="6" t="s">
        <v>3190</v>
      </c>
      <c r="C591" s="0" t="s">
        <v>508</v>
      </c>
      <c r="D591" s="34" t="n">
        <f aca="false">IF(ISBLANK(TK_In!D28),"",TK_In!D28)</f>
        <v>42.2090232</v>
      </c>
      <c r="E591" s="34" t="n">
        <f aca="false">IF(ISBLANK(TK_In!E28),"",TK_In!E28)</f>
        <v>50.256352</v>
      </c>
      <c r="F591" s="34" t="n">
        <f aca="false">IF(ISBLANK(TK_In!F28),"",TK_In!F28)</f>
        <v>58.8235752</v>
      </c>
      <c r="H591" s="12" t="s">
        <v>3191</v>
      </c>
    </row>
    <row r="592" customFormat="false" ht="17.15" hidden="false" customHeight="false" outlineLevel="0" collapsed="false">
      <c r="A592" s="0" t="s">
        <v>3192</v>
      </c>
      <c r="B592" s="6" t="s">
        <v>3193</v>
      </c>
      <c r="C592" s="0" t="s">
        <v>508</v>
      </c>
      <c r="D592" s="34" t="n">
        <f aca="false">IF(ISBLANK(TK_In!D29),"",TK_In!D29)</f>
        <v>46.057578</v>
      </c>
      <c r="E592" s="34" t="n">
        <f aca="false">IF(ISBLANK(TK_In!E29),"",TK_In!E29)</f>
        <v>62.75578</v>
      </c>
      <c r="F592" s="34" t="n">
        <f aca="false">IF(ISBLANK(TK_In!F29),"",TK_In!F29)</f>
        <v>81.667558</v>
      </c>
      <c r="H592" s="12" t="s">
        <v>3194</v>
      </c>
    </row>
    <row r="593" customFormat="false" ht="17.15" hidden="false" customHeight="false" outlineLevel="0" collapsed="false">
      <c r="A593" s="0" t="s">
        <v>3195</v>
      </c>
      <c r="B593" s="6" t="s">
        <v>3196</v>
      </c>
      <c r="C593" s="0" t="s">
        <v>2051</v>
      </c>
      <c r="D593" s="34" t="n">
        <f aca="false">IF(ISBLANK(TK_In!D30),"",TK_In!D30)</f>
        <v>0.9</v>
      </c>
      <c r="E593" s="34" t="n">
        <f aca="false">IF(ISBLANK(TK_In!E30),"",TK_In!E30)</f>
        <v>1.1</v>
      </c>
      <c r="F593" s="34" t="n">
        <f aca="false">IF(ISBLANK(TK_In!F30),"",TK_In!F30)</f>
        <v>1.3</v>
      </c>
      <c r="H593" s="12" t="s">
        <v>3197</v>
      </c>
    </row>
    <row r="594" customFormat="false" ht="17.15" hidden="false" customHeight="false" outlineLevel="0" collapsed="false">
      <c r="A594" s="0" t="s">
        <v>3198</v>
      </c>
      <c r="B594" s="6" t="s">
        <v>3199</v>
      </c>
      <c r="C594" s="0" t="s">
        <v>2051</v>
      </c>
      <c r="D594" s="34" t="n">
        <f aca="false">IF(ISBLANK(TK_In!D31),"",TK_In!D31)</f>
        <v>2.8</v>
      </c>
      <c r="E594" s="34" t="n">
        <f aca="false">IF(ISBLANK(TK_In!E31),"",TK_In!E31)</f>
        <v>3.1</v>
      </c>
      <c r="F594" s="34" t="n">
        <f aca="false">IF(ISBLANK(TK_In!F31),"",TK_In!F31)</f>
        <v>3.4</v>
      </c>
      <c r="H594" s="12" t="s">
        <v>3200</v>
      </c>
    </row>
    <row r="595" customFormat="false" ht="17.15" hidden="false" customHeight="false" outlineLevel="0" collapsed="false">
      <c r="A595" s="0" t="s">
        <v>3201</v>
      </c>
      <c r="B595" s="6" t="s">
        <v>3202</v>
      </c>
      <c r="C595" s="0" t="s">
        <v>2051</v>
      </c>
      <c r="D595" s="34" t="n">
        <f aca="false">IF(ISBLANK(TK_In!D32),"",TK_In!D32)</f>
        <v>4</v>
      </c>
      <c r="E595" s="34" t="n">
        <f aca="false">IF(ISBLANK(TK_In!E32),"",TK_In!E32)</f>
        <v>4.3</v>
      </c>
      <c r="F595" s="34" t="n">
        <f aca="false">IF(ISBLANK(TK_In!F32),"",TK_In!F32)</f>
        <v>5</v>
      </c>
      <c r="H595" s="12" t="s">
        <v>3203</v>
      </c>
    </row>
    <row r="596" customFormat="false" ht="17.15" hidden="false" customHeight="false" outlineLevel="0" collapsed="false">
      <c r="A596" s="0" t="s">
        <v>3204</v>
      </c>
      <c r="B596" s="6" t="s">
        <v>3205</v>
      </c>
      <c r="C596" s="0" t="s">
        <v>2051</v>
      </c>
      <c r="D596" s="34" t="n">
        <f aca="false">IF(ISBLANK(TK_In!D33),"",TK_In!D33)</f>
        <v>7.5</v>
      </c>
      <c r="E596" s="34" t="n">
        <f aca="false">IF(ISBLANK(TK_In!E33),"",TK_In!E33)</f>
        <v>8.4</v>
      </c>
      <c r="F596" s="34" t="n">
        <f aca="false">IF(ISBLANK(TK_In!F33),"",TK_In!F33)</f>
        <v>9.1</v>
      </c>
      <c r="H596" s="12" t="s">
        <v>3206</v>
      </c>
    </row>
    <row r="597" customFormat="false" ht="17.15" hidden="false" customHeight="false" outlineLevel="0" collapsed="false">
      <c r="A597" s="0" t="s">
        <v>3207</v>
      </c>
      <c r="B597" s="6" t="s">
        <v>3208</v>
      </c>
      <c r="C597" s="0" t="s">
        <v>2051</v>
      </c>
      <c r="D597" s="34" t="n">
        <f aca="false">IF(ISBLANK(TK_In!D34),"",TK_In!D34)</f>
        <v>12.6</v>
      </c>
      <c r="E597" s="34" t="n">
        <f aca="false">IF(ISBLANK(TK_In!E34),"",TK_In!E34)</f>
        <v>16.8</v>
      </c>
      <c r="F597" s="34" t="n">
        <f aca="false">IF(ISBLANK(TK_In!F34),"",TK_In!F34)</f>
        <v>21</v>
      </c>
      <c r="H597" s="12" t="s">
        <v>3209</v>
      </c>
    </row>
    <row r="598" customFormat="false" ht="17.15" hidden="false" customHeight="false" outlineLevel="0" collapsed="false">
      <c r="A598" s="0" t="s">
        <v>3210</v>
      </c>
      <c r="B598" s="0" t="s">
        <v>3211</v>
      </c>
      <c r="C598" s="6" t="s">
        <v>2060</v>
      </c>
      <c r="D598" s="34" t="n">
        <f aca="false">IF(ISBLANK(TK_In!D35),"",TK_In!D35)</f>
        <v>0.05</v>
      </c>
      <c r="E598" s="34" t="n">
        <f aca="false">IF(ISBLANK(TK_In!E35),"",TK_In!E35)</f>
        <v>0.1</v>
      </c>
      <c r="F598" s="34" t="n">
        <f aca="false">IF(ISBLANK(TK_In!F35),"",TK_In!F35)</f>
        <v>0.15</v>
      </c>
      <c r="H598" s="12" t="s">
        <v>3212</v>
      </c>
    </row>
    <row r="599" customFormat="false" ht="17.15" hidden="false" customHeight="false" outlineLevel="0" collapsed="false">
      <c r="A599" s="0" t="s">
        <v>3213</v>
      </c>
      <c r="B599" s="0" t="s">
        <v>3214</v>
      </c>
      <c r="C599" s="6" t="s">
        <v>2060</v>
      </c>
      <c r="D599" s="34" t="n">
        <f aca="false">IF(ISBLANK(TK_In!D36),"",TK_In!D36)</f>
        <v>0.05</v>
      </c>
      <c r="E599" s="34" t="n">
        <f aca="false">IF(ISBLANK(TK_In!E36),"",TK_In!E36)</f>
        <v>0.1</v>
      </c>
      <c r="F599" s="34" t="n">
        <f aca="false">IF(ISBLANK(TK_In!F36),"",TK_In!F36)</f>
        <v>0.15</v>
      </c>
      <c r="H599" s="12" t="s">
        <v>3215</v>
      </c>
    </row>
    <row r="600" customFormat="false" ht="17.15" hidden="false" customHeight="false" outlineLevel="0" collapsed="false">
      <c r="A600" s="0" t="s">
        <v>3216</v>
      </c>
      <c r="B600" s="0" t="s">
        <v>3217</v>
      </c>
      <c r="C600" s="6" t="s">
        <v>2060</v>
      </c>
      <c r="D600" s="34" t="n">
        <f aca="false">IF(ISBLANK(TK_In!D37),"",TK_In!D37)</f>
        <v>0.05</v>
      </c>
      <c r="E600" s="34" t="n">
        <f aca="false">IF(ISBLANK(TK_In!E37),"",TK_In!E37)</f>
        <v>0.1</v>
      </c>
      <c r="F600" s="34" t="n">
        <f aca="false">IF(ISBLANK(TK_In!F37),"",TK_In!F37)</f>
        <v>0.15</v>
      </c>
      <c r="H600" s="12" t="s">
        <v>3218</v>
      </c>
    </row>
    <row r="601" customFormat="false" ht="17.15" hidden="false" customHeight="false" outlineLevel="0" collapsed="false">
      <c r="A601" s="0" t="s">
        <v>3219</v>
      </c>
      <c r="B601" s="0" t="s">
        <v>3220</v>
      </c>
      <c r="C601" s="6" t="s">
        <v>2060</v>
      </c>
      <c r="D601" s="34" t="n">
        <f aca="false">IF(ISBLANK(TK_In!D38),"",TK_In!D38)</f>
        <v>0.05</v>
      </c>
      <c r="E601" s="34" t="n">
        <f aca="false">IF(ISBLANK(TK_In!E38),"",TK_In!E38)</f>
        <v>0.1</v>
      </c>
      <c r="F601" s="34" t="n">
        <f aca="false">IF(ISBLANK(TK_In!F38),"",TK_In!F38)</f>
        <v>0.15</v>
      </c>
      <c r="H601" s="12" t="s">
        <v>3221</v>
      </c>
    </row>
    <row r="602" customFormat="false" ht="17.15" hidden="false" customHeight="false" outlineLevel="0" collapsed="false">
      <c r="A602" s="0" t="s">
        <v>3222</v>
      </c>
      <c r="B602" s="0" t="s">
        <v>3223</v>
      </c>
      <c r="C602" s="6" t="s">
        <v>2060</v>
      </c>
      <c r="D602" s="34" t="n">
        <f aca="false">IF(ISBLANK(TK_In!D39),"",TK_In!D39)</f>
        <v>0.05</v>
      </c>
      <c r="E602" s="34" t="n">
        <f aca="false">IF(ISBLANK(TK_In!E39),"",TK_In!E39)</f>
        <v>0.1</v>
      </c>
      <c r="F602" s="34" t="n">
        <f aca="false">IF(ISBLANK(TK_In!F39),"",TK_In!F39)</f>
        <v>0.15</v>
      </c>
      <c r="H602" s="12" t="s">
        <v>3224</v>
      </c>
    </row>
    <row r="603" customFormat="false" ht="17.15" hidden="false" customHeight="false" outlineLevel="0" collapsed="false">
      <c r="A603" s="0" t="s">
        <v>3225</v>
      </c>
      <c r="B603" s="6" t="s">
        <v>3226</v>
      </c>
      <c r="C603" s="0" t="s">
        <v>2069</v>
      </c>
      <c r="D603" s="34" t="n">
        <f aca="false">IF(ISBLANK(TK_In!D40),"",TK_In!D40)</f>
        <v>300</v>
      </c>
      <c r="E603" s="34" t="n">
        <f aca="false">IF(ISBLANK(TK_In!E40),"",TK_In!E40)</f>
        <v>500</v>
      </c>
      <c r="F603" s="34" t="n">
        <f aca="false">IF(ISBLANK(TK_In!F40),"",TK_In!F40)</f>
        <v>800</v>
      </c>
      <c r="H603" s="12" t="s">
        <v>3227</v>
      </c>
    </row>
    <row r="604" customFormat="false" ht="17.15" hidden="false" customHeight="false" outlineLevel="0" collapsed="false">
      <c r="A604" s="0" t="s">
        <v>3228</v>
      </c>
      <c r="B604" s="6" t="s">
        <v>3229</v>
      </c>
      <c r="C604" s="0" t="s">
        <v>2069</v>
      </c>
      <c r="D604" s="34" t="n">
        <f aca="false">IF(ISBLANK(TK_In!D41),"",TK_In!D41)</f>
        <v>300</v>
      </c>
      <c r="E604" s="34" t="n">
        <f aca="false">IF(ISBLANK(TK_In!E41),"",TK_In!E41)</f>
        <v>500</v>
      </c>
      <c r="F604" s="34" t="n">
        <f aca="false">IF(ISBLANK(TK_In!F41),"",TK_In!F41)</f>
        <v>800</v>
      </c>
      <c r="H604" s="12" t="s">
        <v>3230</v>
      </c>
    </row>
    <row r="605" customFormat="false" ht="17.15" hidden="false" customHeight="false" outlineLevel="0" collapsed="false">
      <c r="A605" s="0" t="s">
        <v>3231</v>
      </c>
      <c r="B605" s="6" t="s">
        <v>3232</v>
      </c>
      <c r="C605" s="0" t="s">
        <v>2069</v>
      </c>
      <c r="D605" s="34" t="n">
        <f aca="false">IF(ISBLANK(TK_In!D42),"",TK_In!D42)</f>
        <v>300</v>
      </c>
      <c r="E605" s="34" t="n">
        <f aca="false">IF(ISBLANK(TK_In!E42),"",TK_In!E42)</f>
        <v>500</v>
      </c>
      <c r="F605" s="34" t="n">
        <f aca="false">IF(ISBLANK(TK_In!F42),"",TK_In!F42)</f>
        <v>800</v>
      </c>
      <c r="H605" s="12" t="s">
        <v>3233</v>
      </c>
    </row>
    <row r="606" customFormat="false" ht="17.15" hidden="false" customHeight="false" outlineLevel="0" collapsed="false">
      <c r="A606" s="0" t="s">
        <v>3234</v>
      </c>
      <c r="B606" s="6" t="s">
        <v>3235</v>
      </c>
      <c r="C606" s="0" t="s">
        <v>2069</v>
      </c>
      <c r="D606" s="34" t="n">
        <f aca="false">IF(ISBLANK(TK_In!D43),"",TK_In!D43)</f>
        <v>300</v>
      </c>
      <c r="E606" s="34" t="n">
        <f aca="false">IF(ISBLANK(TK_In!E43),"",TK_In!E43)</f>
        <v>500</v>
      </c>
      <c r="F606" s="34" t="n">
        <f aca="false">IF(ISBLANK(TK_In!F43),"",TK_In!F43)</f>
        <v>800</v>
      </c>
      <c r="H606" s="12" t="s">
        <v>3236</v>
      </c>
    </row>
    <row r="607" customFormat="false" ht="17.15" hidden="false" customHeight="false" outlineLevel="0" collapsed="false">
      <c r="A607" s="0" t="s">
        <v>3237</v>
      </c>
      <c r="B607" s="6" t="s">
        <v>3238</v>
      </c>
      <c r="C607" s="0" t="s">
        <v>2069</v>
      </c>
      <c r="D607" s="34" t="n">
        <f aca="false">IF(ISBLANK(TK_In!D44),"",TK_In!D44)</f>
        <v>300</v>
      </c>
      <c r="E607" s="34" t="n">
        <f aca="false">IF(ISBLANK(TK_In!E44),"",TK_In!E44)</f>
        <v>500</v>
      </c>
      <c r="F607" s="34" t="n">
        <f aca="false">IF(ISBLANK(TK_In!F44),"",TK_In!F44)</f>
        <v>800</v>
      </c>
      <c r="H607" s="12" t="s">
        <v>3239</v>
      </c>
    </row>
    <row r="608" customFormat="false" ht="17.15" hidden="false" customHeight="false" outlineLevel="0" collapsed="false">
      <c r="A608" s="0" t="s">
        <v>3240</v>
      </c>
      <c r="B608" s="0" t="s">
        <v>2076</v>
      </c>
      <c r="C608" s="6" t="s">
        <v>2078</v>
      </c>
      <c r="D608" s="34" t="n">
        <f aca="false">IF(ISBLANK(TK_In!D45),"",TK_In!D45)</f>
        <v>0.7</v>
      </c>
      <c r="E608" s="34" t="n">
        <f aca="false">IF(ISBLANK(TK_In!E45),"",TK_In!E45)</f>
        <v>0.8</v>
      </c>
      <c r="F608" s="34" t="n">
        <f aca="false">IF(ISBLANK(TK_In!F45),"",TK_In!F45)</f>
        <v>1.15</v>
      </c>
      <c r="H608" s="12" t="s">
        <v>3241</v>
      </c>
    </row>
    <row r="609" customFormat="false" ht="17.15" hidden="false" customHeight="false" outlineLevel="0" collapsed="false">
      <c r="A609" s="0" t="s">
        <v>3242</v>
      </c>
      <c r="B609" s="0" t="s">
        <v>2082</v>
      </c>
      <c r="C609" s="6" t="s">
        <v>2078</v>
      </c>
      <c r="D609" s="34" t="n">
        <f aca="false">IF(ISBLANK(TK_In!D46),"",TK_In!D46)</f>
        <v>0.6</v>
      </c>
      <c r="E609" s="34" t="n">
        <f aca="false">IF(ISBLANK(TK_In!E46),"",TK_In!E46)</f>
        <v>0.8</v>
      </c>
      <c r="F609" s="34" t="n">
        <f aca="false">IF(ISBLANK(TK_In!F46),"",TK_In!F46)</f>
        <v>1.1</v>
      </c>
      <c r="H609" s="12" t="s">
        <v>3243</v>
      </c>
    </row>
    <row r="610" customFormat="false" ht="17.15" hidden="false" customHeight="false" outlineLevel="0" collapsed="false">
      <c r="A610" s="0" t="s">
        <v>3244</v>
      </c>
      <c r="B610" s="0" t="s">
        <v>2086</v>
      </c>
      <c r="C610" s="6" t="s">
        <v>2078</v>
      </c>
      <c r="D610" s="34" t="n">
        <f aca="false">IF(ISBLANK(TK_In!D47),"",TK_In!D47)</f>
        <v>0.3</v>
      </c>
      <c r="E610" s="34" t="n">
        <f aca="false">IF(ISBLANK(TK_In!E47),"",TK_In!E47)</f>
        <v>0.5</v>
      </c>
      <c r="F610" s="34" t="n">
        <f aca="false">IF(ISBLANK(TK_In!F47),"",TK_In!F47)</f>
        <v>0.8</v>
      </c>
      <c r="H610" s="12" t="s">
        <v>3245</v>
      </c>
    </row>
    <row r="611" customFormat="false" ht="17.15" hidden="false" customHeight="false" outlineLevel="0" collapsed="false">
      <c r="A611" s="0" t="s">
        <v>3246</v>
      </c>
      <c r="B611" s="0" t="s">
        <v>2090</v>
      </c>
      <c r="C611" s="6" t="s">
        <v>2078</v>
      </c>
      <c r="D611" s="34" t="n">
        <f aca="false">IF(ISBLANK(TK_In!D48),"",TK_In!D48)</f>
        <v>0.2</v>
      </c>
      <c r="E611" s="34" t="n">
        <f aca="false">IF(ISBLANK(TK_In!E48),"",TK_In!E48)</f>
        <v>0.4</v>
      </c>
      <c r="F611" s="34" t="n">
        <f aca="false">IF(ISBLANK(TK_In!F48),"",TK_In!F48)</f>
        <v>0.8</v>
      </c>
      <c r="H611" s="12" t="s">
        <v>3247</v>
      </c>
    </row>
    <row r="612" customFormat="false" ht="17.15" hidden="false" customHeight="false" outlineLevel="0" collapsed="false">
      <c r="A612" s="0" t="s">
        <v>3248</v>
      </c>
      <c r="B612" s="0" t="s">
        <v>2094</v>
      </c>
      <c r="C612" s="6" t="s">
        <v>2078</v>
      </c>
      <c r="D612" s="34" t="n">
        <f aca="false">IF(ISBLANK(TK_In!D49),"",TK_In!D49)</f>
        <v>0.4</v>
      </c>
      <c r="E612" s="34" t="n">
        <f aca="false">IF(ISBLANK(TK_In!E49),"",TK_In!E49)</f>
        <v>0.6</v>
      </c>
      <c r="F612" s="34" t="n">
        <f aca="false">IF(ISBLANK(TK_In!F49),"",TK_In!F49)</f>
        <v>0.9</v>
      </c>
      <c r="H612" s="12" t="s">
        <v>3249</v>
      </c>
    </row>
    <row r="613" customFormat="false" ht="17.15" hidden="false" customHeight="false" outlineLevel="0" collapsed="false">
      <c r="A613" s="0" t="s">
        <v>3250</v>
      </c>
      <c r="B613" s="6" t="s">
        <v>2098</v>
      </c>
      <c r="C613" s="6" t="s">
        <v>2078</v>
      </c>
      <c r="D613" s="34" t="n">
        <f aca="false">IF(ISBLANK(TK_In!D50),"",TK_In!D50)</f>
        <v>0.05</v>
      </c>
      <c r="E613" s="34" t="n">
        <f aca="false">IF(ISBLANK(TK_In!E50),"",TK_In!E50)</f>
        <v>0.08</v>
      </c>
      <c r="F613" s="34" t="n">
        <f aca="false">IF(ISBLANK(TK_In!F50),"",TK_In!F50)</f>
        <v>0.15</v>
      </c>
      <c r="H613" s="12" t="s">
        <v>3251</v>
      </c>
    </row>
    <row r="614" customFormat="false" ht="17.15" hidden="false" customHeight="false" outlineLevel="0" collapsed="false">
      <c r="A614" s="0" t="s">
        <v>3252</v>
      </c>
      <c r="B614" s="0" t="s">
        <v>2102</v>
      </c>
      <c r="C614" s="6" t="s">
        <v>2078</v>
      </c>
      <c r="D614" s="34" t="n">
        <f aca="false">IF(ISBLANK(TK_In!D51),"",TK_In!D51)</f>
        <v>0.25</v>
      </c>
      <c r="E614" s="34" t="n">
        <f aca="false">IF(ISBLANK(TK_In!E51),"",TK_In!E51)</f>
        <v>0.55</v>
      </c>
      <c r="F614" s="34" t="n">
        <f aca="false">IF(ISBLANK(TK_In!F51),"",TK_In!F51)</f>
        <v>0.75</v>
      </c>
      <c r="H614" s="12" t="s">
        <v>3253</v>
      </c>
    </row>
    <row r="615" customFormat="false" ht="17.15" hidden="false" customHeight="false" outlineLevel="0" collapsed="false">
      <c r="A615" s="0" t="s">
        <v>3254</v>
      </c>
      <c r="B615" s="0" t="s">
        <v>2106</v>
      </c>
      <c r="C615" s="6" t="s">
        <v>2078</v>
      </c>
      <c r="D615" s="34" t="n">
        <f aca="false">IF(ISBLANK(TK_In!D52),"",TK_In!D52)</f>
        <v>0.67</v>
      </c>
      <c r="E615" s="34" t="n">
        <f aca="false">IF(ISBLANK(TK_In!E52),"",TK_In!E52)</f>
        <v>0.85</v>
      </c>
      <c r="F615" s="34" t="n">
        <f aca="false">IF(ISBLANK(TK_In!F52),"",TK_In!F52)</f>
        <v>1.12</v>
      </c>
      <c r="H615" s="12" t="s">
        <v>3255</v>
      </c>
    </row>
    <row r="616" customFormat="false" ht="17.15" hidden="false" customHeight="false" outlineLevel="0" collapsed="false">
      <c r="A616" s="0" t="s">
        <v>3256</v>
      </c>
      <c r="B616" s="0" t="s">
        <v>2110</v>
      </c>
      <c r="C616" s="6" t="s">
        <v>2078</v>
      </c>
      <c r="D616" s="34" t="n">
        <f aca="false">IF(ISBLANK(TK_In!D53),"",TK_In!D53)</f>
        <v>0.65</v>
      </c>
      <c r="E616" s="34" t="n">
        <f aca="false">IF(ISBLANK(TK_In!E53),"",TK_In!E53)</f>
        <v>0.7</v>
      </c>
      <c r="F616" s="34" t="n">
        <f aca="false">IF(ISBLANK(TK_In!F53),"",TK_In!F53)</f>
        <v>0.9</v>
      </c>
      <c r="H616" s="12" t="s">
        <v>3257</v>
      </c>
    </row>
    <row r="617" customFormat="false" ht="17.15" hidden="false" customHeight="false" outlineLevel="0" collapsed="false">
      <c r="A617" s="0" t="s">
        <v>3258</v>
      </c>
      <c r="B617" s="0" t="s">
        <v>2114</v>
      </c>
      <c r="C617" s="6" t="s">
        <v>2078</v>
      </c>
      <c r="D617" s="34" t="n">
        <f aca="false">IF(ISBLANK(TK_In!D54),"",TK_In!D54)</f>
        <v>0.45</v>
      </c>
      <c r="E617" s="34" t="n">
        <f aca="false">IF(ISBLANK(TK_In!E54),"",TK_In!E54)</f>
        <v>0.61</v>
      </c>
      <c r="F617" s="34" t="n">
        <f aca="false">IF(ISBLANK(TK_In!F54),"",TK_In!F54)</f>
        <v>0.7</v>
      </c>
      <c r="H617" s="12" t="s">
        <v>3259</v>
      </c>
    </row>
    <row r="618" customFormat="false" ht="17.15" hidden="false" customHeight="false" outlineLevel="0" collapsed="false">
      <c r="A618" s="0" t="s">
        <v>3260</v>
      </c>
      <c r="B618" s="0" t="s">
        <v>2118</v>
      </c>
      <c r="C618" s="6" t="s">
        <v>2078</v>
      </c>
      <c r="D618" s="34" t="n">
        <f aca="false">IF(ISBLANK(TK_In!D55),"",TK_In!D55)</f>
        <v>0.8</v>
      </c>
      <c r="E618" s="34" t="n">
        <f aca="false">IF(ISBLANK(TK_In!E55),"",TK_In!E55)</f>
        <v>1</v>
      </c>
      <c r="F618" s="34" t="n">
        <f aca="false">IF(ISBLANK(TK_In!F55),"",TK_In!F55)</f>
        <v>1.2</v>
      </c>
      <c r="H618" s="12" t="s">
        <v>3261</v>
      </c>
    </row>
    <row r="619" customFormat="false" ht="17.15" hidden="false" customHeight="false" outlineLevel="0" collapsed="false">
      <c r="A619" s="0" t="s">
        <v>3262</v>
      </c>
      <c r="B619" s="0" t="s">
        <v>2122</v>
      </c>
      <c r="C619" s="6" t="s">
        <v>2078</v>
      </c>
      <c r="D619" s="34" t="n">
        <f aca="false">IF(ISBLANK(TK_In!D56),"",TK_In!D56)</f>
        <v>0.7</v>
      </c>
      <c r="E619" s="34" t="n">
        <f aca="false">IF(ISBLANK(TK_In!E56),"",TK_In!E56)</f>
        <v>0.8</v>
      </c>
      <c r="F619" s="34" t="n">
        <f aca="false">IF(ISBLANK(TK_In!F56),"",TK_In!F56)</f>
        <v>1</v>
      </c>
      <c r="H619" s="12" t="s">
        <v>3263</v>
      </c>
    </row>
    <row r="620" customFormat="false" ht="17.15" hidden="false" customHeight="false" outlineLevel="0" collapsed="false">
      <c r="A620" s="0" t="s">
        <v>3264</v>
      </c>
      <c r="B620" s="6" t="s">
        <v>2126</v>
      </c>
      <c r="C620" s="6" t="s">
        <v>2078</v>
      </c>
      <c r="D620" s="34" t="n">
        <f aca="false">IF(ISBLANK(TK_In!D57),"",TK_In!D57)</f>
        <v>0.45</v>
      </c>
      <c r="E620" s="34" t="n">
        <f aca="false">IF(ISBLANK(TK_In!E57),"",TK_In!E57)</f>
        <v>0.55</v>
      </c>
      <c r="F620" s="34" t="n">
        <f aca="false">IF(ISBLANK(TK_In!F57),"",TK_In!F57)</f>
        <v>0.7</v>
      </c>
      <c r="H620" s="12" t="s">
        <v>3265</v>
      </c>
    </row>
    <row r="621" customFormat="false" ht="17.15" hidden="false" customHeight="false" outlineLevel="0" collapsed="false">
      <c r="A621" s="0" t="s">
        <v>3266</v>
      </c>
      <c r="B621" s="0" t="s">
        <v>2130</v>
      </c>
      <c r="C621" s="6" t="s">
        <v>2078</v>
      </c>
      <c r="D621" s="34" t="n">
        <f aca="false">IF(ISBLANK(TK_In!D58),"",TK_In!D58)</f>
        <v>0.4</v>
      </c>
      <c r="E621" s="34" t="n">
        <f aca="false">IF(ISBLANK(TK_In!E58),"",TK_In!E58)</f>
        <v>0.5</v>
      </c>
      <c r="F621" s="34" t="n">
        <f aca="false">IF(ISBLANK(TK_In!F58),"",TK_In!F58)</f>
        <v>0.6</v>
      </c>
      <c r="H621" s="12" t="s">
        <v>3267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3268</v>
      </c>
    </row>
    <row r="3" customFormat="false" ht="15" hidden="false" customHeight="false" outlineLevel="0" collapsed="false">
      <c r="A3" s="5" t="s">
        <v>2135</v>
      </c>
      <c r="B3" s="4" t="s">
        <v>45</v>
      </c>
      <c r="C3" s="4" t="s">
        <v>3269</v>
      </c>
      <c r="D3" s="4" t="s">
        <v>3270</v>
      </c>
      <c r="E3" s="4" t="s">
        <v>3271</v>
      </c>
      <c r="F3" s="4" t="s">
        <v>3272</v>
      </c>
      <c r="G3" s="4" t="s">
        <v>2142</v>
      </c>
      <c r="H3" s="4" t="s">
        <v>40</v>
      </c>
    </row>
    <row r="4" customFormat="false" ht="17.15" hidden="false" customHeight="false" outlineLevel="0" collapsed="false">
      <c r="A4" s="0" t="s">
        <v>3273</v>
      </c>
      <c r="B4" s="0" t="s">
        <v>3274</v>
      </c>
      <c r="C4" s="22" t="n">
        <f aca="false">Mkt!C33</f>
        <v>35</v>
      </c>
      <c r="D4" s="0" t="n">
        <v>35</v>
      </c>
      <c r="E4" s="12" t="n">
        <f aca="false">IF(ISNUMBER(D4),C4-D4,"")</f>
        <v>0</v>
      </c>
      <c r="F4" s="0" t="str">
        <f aca="false">IF(NOT(ISNUMBER(D4)),"WARN",IF(ABS(E4)&lt;0.000000001,"OK","ERROR"))</f>
        <v>OK</v>
      </c>
      <c r="G4" s="6" t="s">
        <v>3275</v>
      </c>
      <c r="H4" s="12" t="s">
        <v>3276</v>
      </c>
    </row>
    <row r="5" customFormat="false" ht="17.15" hidden="false" customHeight="false" outlineLevel="0" collapsed="false">
      <c r="A5" s="0" t="s">
        <v>3277</v>
      </c>
      <c r="B5" s="0" t="s">
        <v>3278</v>
      </c>
      <c r="C5" s="22" t="n">
        <f aca="false">Mkt!D33</f>
        <v>55.227347</v>
      </c>
      <c r="D5" s="0" t="n">
        <v>55.227347</v>
      </c>
      <c r="E5" s="12" t="n">
        <f aca="false">IF(ISNUMBER(D5),C5-D5,"")</f>
        <v>0</v>
      </c>
      <c r="F5" s="0" t="str">
        <f aca="false">IF(NOT(ISNUMBER(D5)),"WARN",IF(ABS(E5)&lt;0.000000001,"OK","ERROR"))</f>
        <v>OK</v>
      </c>
      <c r="G5" s="6" t="s">
        <v>3275</v>
      </c>
      <c r="H5" s="12" t="s">
        <v>3276</v>
      </c>
    </row>
    <row r="6" customFormat="false" ht="17.15" hidden="false" customHeight="false" outlineLevel="0" collapsed="false">
      <c r="A6" s="0" t="s">
        <v>3279</v>
      </c>
      <c r="B6" s="0" t="s">
        <v>3280</v>
      </c>
      <c r="C6" s="22" t="n">
        <f aca="false">Mkt!E33</f>
        <v>154.08429813</v>
      </c>
      <c r="D6" s="0" t="n">
        <v>154.08429813</v>
      </c>
      <c r="E6" s="12" t="n">
        <f aca="false">IF(ISNUMBER(D6),C6-D6,"")</f>
        <v>0</v>
      </c>
      <c r="F6" s="0" t="str">
        <f aca="false">IF(NOT(ISNUMBER(D6)),"WARN",IF(ABS(E6)&lt;0.000000001,"OK","ERROR"))</f>
        <v>OK</v>
      </c>
      <c r="G6" s="6" t="s">
        <v>3275</v>
      </c>
      <c r="H6" s="12" t="s">
        <v>3276</v>
      </c>
    </row>
    <row r="7" customFormat="false" ht="17.15" hidden="false" customHeight="false" outlineLevel="0" collapsed="false">
      <c r="A7" s="0" t="s">
        <v>3281</v>
      </c>
      <c r="B7" s="0" t="s">
        <v>3282</v>
      </c>
      <c r="C7" s="22" t="n">
        <f aca="false">Mkt!F33</f>
        <v>245.76445551735</v>
      </c>
      <c r="D7" s="0" t="n">
        <v>245.76445551735</v>
      </c>
      <c r="E7" s="12" t="n">
        <f aca="false">IF(ISNUMBER(D7),C7-D7,"")</f>
        <v>0</v>
      </c>
      <c r="F7" s="0" t="str">
        <f aca="false">IF(NOT(ISNUMBER(D7)),"WARN",IF(ABS(E7)&lt;0.000000001,"OK","ERROR"))</f>
        <v>OK</v>
      </c>
      <c r="G7" s="6" t="s">
        <v>3275</v>
      </c>
      <c r="H7" s="12" t="s">
        <v>3276</v>
      </c>
    </row>
    <row r="8" customFormat="false" ht="17.15" hidden="false" customHeight="false" outlineLevel="0" collapsed="false">
      <c r="A8" s="0" t="s">
        <v>3283</v>
      </c>
      <c r="B8" s="0" t="s">
        <v>3284</v>
      </c>
      <c r="C8" s="22" t="n">
        <f aca="false">Mkt!G33</f>
        <v>315.192914201001</v>
      </c>
      <c r="D8" s="0" t="n">
        <v>315.192914201001</v>
      </c>
      <c r="E8" s="12" t="n">
        <f aca="false">IF(ISNUMBER(D8),C8-D8,"")</f>
        <v>0</v>
      </c>
      <c r="F8" s="0" t="str">
        <f aca="false">IF(NOT(ISNUMBER(D8)),"WARN",IF(ABS(E8)&lt;0.000000001,"OK","ERROR"))</f>
        <v>OK</v>
      </c>
      <c r="G8" s="6" t="s">
        <v>3275</v>
      </c>
      <c r="H8" s="12" t="s">
        <v>3276</v>
      </c>
    </row>
    <row r="9" customFormat="false" ht="17.15" hidden="false" customHeight="false" outlineLevel="0" collapsed="false">
      <c r="A9" s="0" t="s">
        <v>3285</v>
      </c>
      <c r="B9" s="0" t="s">
        <v>3286</v>
      </c>
      <c r="C9" s="22" t="n">
        <f aca="false">Mkt!C34</f>
        <v>35</v>
      </c>
      <c r="D9" s="0" t="n">
        <v>35</v>
      </c>
      <c r="E9" s="12" t="n">
        <f aca="false">IF(ISNUMBER(D9),C9-D9,"")</f>
        <v>0</v>
      </c>
      <c r="F9" s="0" t="str">
        <f aca="false">IF(NOT(ISNUMBER(D9)),"WARN",IF(ABS(E9)&lt;0.000000001,"OK","ERROR"))</f>
        <v>OK</v>
      </c>
      <c r="G9" s="6" t="s">
        <v>3275</v>
      </c>
      <c r="H9" s="12" t="s">
        <v>3276</v>
      </c>
    </row>
    <row r="10" customFormat="false" ht="17.15" hidden="false" customHeight="false" outlineLevel="0" collapsed="false">
      <c r="A10" s="0" t="s">
        <v>3287</v>
      </c>
      <c r="B10" s="0" t="s">
        <v>3288</v>
      </c>
      <c r="C10" s="22" t="n">
        <f aca="false">Mkt!D34</f>
        <v>55.227347</v>
      </c>
      <c r="D10" s="0" t="n">
        <v>55.227347</v>
      </c>
      <c r="E10" s="12" t="n">
        <f aca="false">IF(ISNUMBER(D10),C10-D10,"")</f>
        <v>0</v>
      </c>
      <c r="F10" s="0" t="str">
        <f aca="false">IF(NOT(ISNUMBER(D10)),"WARN",IF(ABS(E10)&lt;0.000000001,"OK","ERROR"))</f>
        <v>OK</v>
      </c>
      <c r="G10" s="6" t="s">
        <v>3275</v>
      </c>
      <c r="H10" s="12" t="s">
        <v>3276</v>
      </c>
    </row>
    <row r="11" customFormat="false" ht="17.15" hidden="false" customHeight="false" outlineLevel="0" collapsed="false">
      <c r="A11" s="0" t="s">
        <v>3289</v>
      </c>
      <c r="B11" s="0" t="s">
        <v>3290</v>
      </c>
      <c r="C11" s="22" t="n">
        <f aca="false">Mkt!E34</f>
        <v>154.08429813</v>
      </c>
      <c r="D11" s="0" t="n">
        <v>154.08429813</v>
      </c>
      <c r="E11" s="12" t="n">
        <f aca="false">IF(ISNUMBER(D11),C11-D11,"")</f>
        <v>0</v>
      </c>
      <c r="F11" s="0" t="str">
        <f aca="false">IF(NOT(ISNUMBER(D11)),"WARN",IF(ABS(E11)&lt;0.000000001,"OK","ERROR"))</f>
        <v>OK</v>
      </c>
      <c r="G11" s="6" t="s">
        <v>3275</v>
      </c>
      <c r="H11" s="12" t="s">
        <v>3276</v>
      </c>
    </row>
    <row r="12" customFormat="false" ht="17.15" hidden="false" customHeight="false" outlineLevel="0" collapsed="false">
      <c r="A12" s="0" t="s">
        <v>3291</v>
      </c>
      <c r="B12" s="0" t="s">
        <v>3292</v>
      </c>
      <c r="C12" s="22" t="n">
        <f aca="false">Mkt!F34</f>
        <v>162.0745416</v>
      </c>
      <c r="D12" s="0" t="n">
        <v>162.0745416</v>
      </c>
      <c r="E12" s="12" t="n">
        <f aca="false">IF(ISNUMBER(D12),C12-D12,"")</f>
        <v>0</v>
      </c>
      <c r="F12" s="0" t="str">
        <f aca="false">IF(NOT(ISNUMBER(D12)),"WARN",IF(ABS(E12)&lt;0.000000001,"OK","ERROR"))</f>
        <v>OK</v>
      </c>
      <c r="G12" s="6" t="s">
        <v>3275</v>
      </c>
      <c r="H12" s="12" t="s">
        <v>3276</v>
      </c>
    </row>
    <row r="13" customFormat="false" ht="17.15" hidden="false" customHeight="false" outlineLevel="0" collapsed="false">
      <c r="A13" s="0" t="s">
        <v>3293</v>
      </c>
      <c r="B13" s="0" t="s">
        <v>3294</v>
      </c>
      <c r="C13" s="22" t="n">
        <f aca="false">Mkt!G34</f>
        <v>223.865460585</v>
      </c>
      <c r="D13" s="0" t="n">
        <v>223.865460585</v>
      </c>
      <c r="E13" s="12" t="n">
        <f aca="false">IF(ISNUMBER(D13),C13-D13,"")</f>
        <v>0</v>
      </c>
      <c r="F13" s="0" t="str">
        <f aca="false">IF(NOT(ISNUMBER(D13)),"WARN",IF(ABS(E13)&lt;0.000000001,"OK","ERROR"))</f>
        <v>OK</v>
      </c>
      <c r="G13" s="6" t="s">
        <v>3275</v>
      </c>
      <c r="H13" s="12" t="s">
        <v>3276</v>
      </c>
    </row>
    <row r="14" customFormat="false" ht="17.15" hidden="false" customHeight="false" outlineLevel="0" collapsed="false">
      <c r="A14" s="0" t="s">
        <v>3295</v>
      </c>
      <c r="B14" s="0" t="s">
        <v>3296</v>
      </c>
      <c r="C14" s="22" t="n">
        <f aca="false">Mkt!C35</f>
        <v>35</v>
      </c>
      <c r="D14" s="0" t="n">
        <v>35</v>
      </c>
      <c r="E14" s="12" t="n">
        <f aca="false">IF(ISNUMBER(D14),C14-D14,"")</f>
        <v>0</v>
      </c>
      <c r="F14" s="0" t="str">
        <f aca="false">IF(NOT(ISNUMBER(D14)),"WARN",IF(ABS(E14)&lt;0.000000001,"OK","ERROR"))</f>
        <v>OK</v>
      </c>
      <c r="G14" s="6" t="s">
        <v>3275</v>
      </c>
      <c r="H14" s="12" t="s">
        <v>3276</v>
      </c>
    </row>
    <row r="15" customFormat="false" ht="17.15" hidden="false" customHeight="false" outlineLevel="0" collapsed="false">
      <c r="A15" s="0" t="s">
        <v>3297</v>
      </c>
      <c r="B15" s="0" t="s">
        <v>3298</v>
      </c>
      <c r="C15" s="22" t="n">
        <f aca="false">Mkt!D35</f>
        <v>55.227347</v>
      </c>
      <c r="D15" s="0" t="n">
        <v>55.227347</v>
      </c>
      <c r="E15" s="12" t="n">
        <f aca="false">IF(ISNUMBER(D15),C15-D15,"")</f>
        <v>0</v>
      </c>
      <c r="F15" s="0" t="str">
        <f aca="false">IF(NOT(ISNUMBER(D15)),"WARN",IF(ABS(E15)&lt;0.000000001,"OK","ERROR"))</f>
        <v>OK</v>
      </c>
      <c r="G15" s="6" t="s">
        <v>3275</v>
      </c>
      <c r="H15" s="12" t="s">
        <v>3276</v>
      </c>
    </row>
    <row r="16" customFormat="false" ht="17.15" hidden="false" customHeight="false" outlineLevel="0" collapsed="false">
      <c r="A16" s="0" t="s">
        <v>3299</v>
      </c>
      <c r="B16" s="0" t="s">
        <v>3300</v>
      </c>
      <c r="C16" s="22" t="n">
        <f aca="false">Mkt!E35</f>
        <v>154.08429813</v>
      </c>
      <c r="D16" s="0" t="n">
        <v>154.08429813</v>
      </c>
      <c r="E16" s="12" t="n">
        <f aca="false">IF(ISNUMBER(D16),C16-D16,"")</f>
        <v>0</v>
      </c>
      <c r="F16" s="0" t="str">
        <f aca="false">IF(NOT(ISNUMBER(D16)),"WARN",IF(ABS(E16)&lt;0.000000001,"OK","ERROR"))</f>
        <v>OK</v>
      </c>
      <c r="G16" s="6" t="s">
        <v>3275</v>
      </c>
      <c r="H16" s="12" t="s">
        <v>3276</v>
      </c>
    </row>
    <row r="17" customFormat="false" ht="17.15" hidden="false" customHeight="false" outlineLevel="0" collapsed="false">
      <c r="A17" s="0" t="s">
        <v>3301</v>
      </c>
      <c r="B17" s="0" t="s">
        <v>3302</v>
      </c>
      <c r="C17" s="22" t="n">
        <f aca="false">Mkt!F35</f>
        <v>97.24472496</v>
      </c>
      <c r="D17" s="0" t="n">
        <v>97.24472496</v>
      </c>
      <c r="E17" s="12" t="n">
        <f aca="false">IF(ISNUMBER(D17),C17-D17,"")</f>
        <v>0</v>
      </c>
      <c r="F17" s="0" t="str">
        <f aca="false">IF(NOT(ISNUMBER(D17)),"WARN",IF(ABS(E17)&lt;0.000000001,"OK","ERROR"))</f>
        <v>OK</v>
      </c>
      <c r="G17" s="6" t="s">
        <v>3275</v>
      </c>
      <c r="H17" s="12" t="s">
        <v>3276</v>
      </c>
    </row>
    <row r="18" customFormat="false" ht="17.15" hidden="false" customHeight="false" outlineLevel="0" collapsed="false">
      <c r="A18" s="0" t="s">
        <v>3303</v>
      </c>
      <c r="B18" s="0" t="s">
        <v>3304</v>
      </c>
      <c r="C18" s="22" t="n">
        <f aca="false">Mkt!G35</f>
        <v>132.7390495704</v>
      </c>
      <c r="D18" s="0" t="n">
        <v>132.7390495704</v>
      </c>
      <c r="E18" s="12" t="n">
        <f aca="false">IF(ISNUMBER(D18),C18-D18,"")</f>
        <v>0</v>
      </c>
      <c r="F18" s="0" t="str">
        <f aca="false">IF(NOT(ISNUMBER(D18)),"WARN",IF(ABS(E18)&lt;0.000000001,"OK","ERROR"))</f>
        <v>OK</v>
      </c>
      <c r="G18" s="6" t="s">
        <v>3275</v>
      </c>
      <c r="H18" s="12" t="s">
        <v>3276</v>
      </c>
    </row>
    <row r="19" customFormat="false" ht="17.15" hidden="false" customHeight="false" outlineLevel="0" collapsed="false">
      <c r="A19" s="0" t="s">
        <v>3305</v>
      </c>
      <c r="B19" s="6" t="s">
        <v>3306</v>
      </c>
      <c r="C19" s="0" t="n">
        <f aca="false">um28_A</f>
        <v>1</v>
      </c>
      <c r="F19" s="0" t="str">
        <f aca="false">IF(ABS(C19-1)&lt;0.000000001,"OK","ERROR")</f>
        <v>OK</v>
      </c>
      <c r="G19" s="6" t="s">
        <v>3307</v>
      </c>
    </row>
    <row r="20" customFormat="false" ht="17.15" hidden="false" customHeight="false" outlineLevel="0" collapsed="false">
      <c r="A20" s="0" t="s">
        <v>3308</v>
      </c>
      <c r="B20" s="6" t="s">
        <v>3309</v>
      </c>
      <c r="C20" s="0" t="n">
        <f aca="false">um29_A</f>
        <v>1</v>
      </c>
      <c r="F20" s="0" t="str">
        <f aca="false">IF(ABS(C20-1)&lt;0.000000001,"OK","ERROR")</f>
        <v>OK</v>
      </c>
      <c r="G20" s="6" t="s">
        <v>3307</v>
      </c>
    </row>
    <row r="21" customFormat="false" ht="17.15" hidden="false" customHeight="false" outlineLevel="0" collapsed="false">
      <c r="A21" s="0" t="s">
        <v>3310</v>
      </c>
      <c r="B21" s="6" t="s">
        <v>3311</v>
      </c>
      <c r="C21" s="0" t="n">
        <f aca="false">um28_B</f>
        <v>0.8</v>
      </c>
      <c r="D21" s="0" t="str">
        <f aca="false">um28_B_lo&amp;"–"&amp;um28_B_hi</f>
        <v>0.7–0.9</v>
      </c>
      <c r="F21" s="0" t="str">
        <f aca="false">IF(AND(C21&gt;=um28_B_lo,C21&lt;=um28_B_hi),"OK","ERROR")</f>
        <v>OK</v>
      </c>
      <c r="G21" s="6" t="s">
        <v>3307</v>
      </c>
    </row>
    <row r="22" customFormat="false" ht="17.15" hidden="false" customHeight="false" outlineLevel="0" collapsed="false">
      <c r="A22" s="0" t="s">
        <v>3312</v>
      </c>
      <c r="B22" s="6" t="s">
        <v>3313</v>
      </c>
      <c r="C22" s="0" t="n">
        <f aca="false">um29_B</f>
        <v>0.85</v>
      </c>
      <c r="D22" s="0" t="str">
        <f aca="false">um29_B_lo&amp;"–"&amp;um29_B_hi</f>
        <v>0.75–0.95</v>
      </c>
      <c r="F22" s="0" t="str">
        <f aca="false">IF(AND(C22&gt;=um29_B_lo,C22&lt;=um29_B_hi),"OK","ERROR")</f>
        <v>OK</v>
      </c>
      <c r="G22" s="6" t="s">
        <v>3307</v>
      </c>
    </row>
    <row r="23" customFormat="false" ht="17.15" hidden="false" customHeight="false" outlineLevel="0" collapsed="false">
      <c r="A23" s="0" t="s">
        <v>3314</v>
      </c>
      <c r="B23" s="6" t="s">
        <v>3315</v>
      </c>
      <c r="C23" s="0" t="n">
        <f aca="false">um28_C</f>
        <v>0.6</v>
      </c>
      <c r="D23" s="0" t="str">
        <f aca="false">um28_C_lo&amp;"–"&amp;um28_C_hi</f>
        <v>0.5–0.7</v>
      </c>
      <c r="F23" s="0" t="str">
        <f aca="false">IF(AND(C23&gt;=um28_C_lo,C23&lt;=um28_C_hi),"OK","ERROR")</f>
        <v>OK</v>
      </c>
      <c r="G23" s="6" t="s">
        <v>3307</v>
      </c>
    </row>
    <row r="24" customFormat="false" ht="17.15" hidden="false" customHeight="false" outlineLevel="0" collapsed="false">
      <c r="A24" s="0" t="s">
        <v>3316</v>
      </c>
      <c r="B24" s="6" t="s">
        <v>3317</v>
      </c>
      <c r="C24" s="0" t="n">
        <f aca="false">um29_C</f>
        <v>0.6</v>
      </c>
      <c r="D24" s="0" t="str">
        <f aca="false">um29_C_lo&amp;"–"&amp;um29_C_hi</f>
        <v>0.5–0.7</v>
      </c>
      <c r="F24" s="0" t="str">
        <f aca="false">IF(AND(C24&gt;=um29_C_lo,C24&lt;=um29_C_hi),"OK","ERROR")</f>
        <v>OK</v>
      </c>
      <c r="G24" s="6" t="s">
        <v>3307</v>
      </c>
    </row>
    <row r="25" customFormat="false" ht="17.15" hidden="false" customHeight="false" outlineLevel="0" collapsed="false">
      <c r="A25" s="0" t="s">
        <v>3318</v>
      </c>
      <c r="B25" s="0" t="s">
        <v>3319</v>
      </c>
      <c r="F25" s="0" t="str">
        <f aca="false">IF(AND(um28_A&gt;=um28_B,um28_B&gt;=um28_C),"OK","ERROR")</f>
        <v>OK</v>
      </c>
      <c r="G25" s="6" t="s">
        <v>3307</v>
      </c>
    </row>
    <row r="26" customFormat="false" ht="17.15" hidden="false" customHeight="false" outlineLevel="0" collapsed="false">
      <c r="A26" s="0" t="s">
        <v>3320</v>
      </c>
      <c r="B26" s="0" t="s">
        <v>3321</v>
      </c>
      <c r="F26" s="0" t="str">
        <f aca="false">IF(AND(um29_A&gt;=um29_B,um29_B&gt;=um29_C),"OK","ERROR")</f>
        <v>OK</v>
      </c>
      <c r="G26" s="6" t="s">
        <v>3307</v>
      </c>
    </row>
    <row r="27" customFormat="false" ht="17.15" hidden="false" customHeight="false" outlineLevel="0" collapsed="false">
      <c r="A27" s="0" t="s">
        <v>3322</v>
      </c>
      <c r="B27" s="6" t="s">
        <v>3323</v>
      </c>
      <c r="C27" s="0" t="n">
        <f aca="false">TK_In!$M$60</f>
        <v>0</v>
      </c>
      <c r="F27" s="0" t="str">
        <f aca="false">IF(C27=0,"OK","WARN")</f>
        <v>OK</v>
      </c>
      <c r="G27" s="6" t="s">
        <v>3324</v>
      </c>
      <c r="H27" s="0" t="s">
        <v>3325</v>
      </c>
    </row>
    <row r="28" customFormat="false" ht="17.15" hidden="false" customHeight="false" outlineLevel="0" collapsed="false">
      <c r="A28" s="0" t="s">
        <v>3326</v>
      </c>
      <c r="B28" s="0" t="s">
        <v>3327</v>
      </c>
      <c r="C28" s="14" t="n">
        <f aca="false">Units!C12</f>
        <v>15.2</v>
      </c>
      <c r="D28" s="22" t="n">
        <f aca="false">Mkt!D15</f>
        <v>15.2</v>
      </c>
      <c r="E28" s="12" t="n">
        <f aca="false">C28-D28</f>
        <v>0</v>
      </c>
      <c r="F28" s="0" t="str">
        <f aca="false">IF(ABS(E28)&lt;0.000000001,"OK","ERROR")</f>
        <v>OK</v>
      </c>
      <c r="G28" s="6" t="s">
        <v>3328</v>
      </c>
    </row>
    <row r="29" customFormat="false" ht="17.15" hidden="false" customHeight="false" outlineLevel="0" collapsed="false">
      <c r="A29" s="0" t="s">
        <v>3329</v>
      </c>
      <c r="B29" s="0" t="s">
        <v>3330</v>
      </c>
      <c r="C29" s="14" t="n">
        <f aca="false">Units!D12</f>
        <v>23.7</v>
      </c>
      <c r="D29" s="22" t="n">
        <f aca="false">Mkt!E15</f>
        <v>23.7</v>
      </c>
      <c r="E29" s="12" t="n">
        <f aca="false">C29-D29</f>
        <v>0</v>
      </c>
      <c r="F29" s="0" t="str">
        <f aca="false">IF(ABS(E29)&lt;0.000000001,"OK","ERROR")</f>
        <v>OK</v>
      </c>
      <c r="G29" s="6" t="s">
        <v>3328</v>
      </c>
    </row>
    <row r="30" customFormat="false" ht="17.15" hidden="false" customHeight="false" outlineLevel="0" collapsed="false">
      <c r="A30" s="0" t="s">
        <v>3331</v>
      </c>
      <c r="B30" s="0" t="s">
        <v>3332</v>
      </c>
      <c r="C30" s="14" t="n">
        <f aca="false">Units!E12</f>
        <v>26.5</v>
      </c>
      <c r="D30" s="22" t="n">
        <f aca="false">Mkt!F15</f>
        <v>26.5</v>
      </c>
      <c r="E30" s="12" t="n">
        <f aca="false">C30-D30</f>
        <v>0</v>
      </c>
      <c r="F30" s="0" t="str">
        <f aca="false">IF(ABS(E30)&lt;0.000000001,"OK","ERROR")</f>
        <v>OK</v>
      </c>
      <c r="G30" s="6" t="s">
        <v>3328</v>
      </c>
    </row>
    <row r="31" customFormat="false" ht="17.15" hidden="false" customHeight="false" outlineLevel="0" collapsed="false">
      <c r="A31" s="0" t="s">
        <v>3333</v>
      </c>
      <c r="B31" s="0" t="s">
        <v>3334</v>
      </c>
      <c r="C31" s="17" t="n">
        <f aca="false">g29_bw</f>
        <v>-0.5</v>
      </c>
      <c r="D31" s="0" t="str">
        <f aca="false">g29_bw_lo&amp;"–"&amp;g29_bw_hi</f>
        <v>-0.7–-0.3</v>
      </c>
      <c r="F31" s="0" t="str">
        <f aca="false">IF(AND(C31&gt;=g29_bw_lo,C31&lt;=g29_bw_hi),"OK","ERROR")</f>
        <v>OK</v>
      </c>
      <c r="G31" s="6" t="s">
        <v>3307</v>
      </c>
    </row>
    <row r="32" customFormat="false" ht="17.15" hidden="false" customHeight="false" outlineLevel="0" collapsed="false">
      <c r="A32" s="0" t="s">
        <v>3335</v>
      </c>
      <c r="B32" s="0" t="s">
        <v>3336</v>
      </c>
      <c r="C32" s="17" t="n">
        <f aca="false">g29_rb</f>
        <v>0.15</v>
      </c>
      <c r="D32" s="0" t="str">
        <f aca="false">g29_rb_lo&amp;"–"&amp;g29_rb_hi</f>
        <v>0.05–0.25</v>
      </c>
      <c r="F32" s="0" t="str">
        <f aca="false">IF(AND(C32&gt;=g29_rb_lo,C32&lt;=g29_rb_hi),"OK","ERROR")</f>
        <v>OK</v>
      </c>
      <c r="G32" s="6" t="s">
        <v>3307</v>
      </c>
    </row>
    <row r="33" customFormat="false" ht="17.15" hidden="false" customHeight="false" outlineLevel="0" collapsed="false">
      <c r="A33" s="0" t="s">
        <v>3337</v>
      </c>
      <c r="B33" s="0" t="s">
        <v>3338</v>
      </c>
      <c r="C33" s="17" t="n">
        <f aca="false">g29_ru</f>
        <v>0.15</v>
      </c>
      <c r="D33" s="0" t="str">
        <f aca="false">g29_ru_lo&amp;"–"&amp;g29_ru_hi</f>
        <v>0.05–0.25</v>
      </c>
      <c r="F33" s="0" t="str">
        <f aca="false">IF(AND(C33&gt;=g29_ru_lo,C33&lt;=g29_ru_hi),"OK","ERROR")</f>
        <v>OK</v>
      </c>
      <c r="G33" s="6" t="s">
        <v>3307</v>
      </c>
    </row>
    <row r="34" customFormat="false" ht="17.15" hidden="false" customHeight="false" outlineLevel="0" collapsed="false">
      <c r="A34" s="0" t="s">
        <v>3339</v>
      </c>
      <c r="B34" s="0" t="s">
        <v>3340</v>
      </c>
      <c r="C34" s="17" t="n">
        <f aca="false">g29_hp</f>
        <v>0</v>
      </c>
      <c r="D34" s="0" t="str">
        <f aca="false">g29_hp_lo&amp;"–"&amp;g29_hp_hi</f>
        <v>0–0</v>
      </c>
      <c r="F34" s="0" t="str">
        <f aca="false">IF(AND(C34&gt;=g29_hp_lo,C34&lt;=g29_hp_hi),"OK","ERROR")</f>
        <v>OK</v>
      </c>
      <c r="G34" s="6" t="s">
        <v>3307</v>
      </c>
    </row>
    <row r="35" customFormat="false" ht="17.15" hidden="false" customHeight="false" outlineLevel="0" collapsed="false">
      <c r="A35" s="0" t="s">
        <v>3341</v>
      </c>
      <c r="B35" s="0" t="s">
        <v>3342</v>
      </c>
      <c r="C35" s="17" t="n">
        <f aca="false">g29_amd</f>
        <v>0.15</v>
      </c>
      <c r="D35" s="0" t="str">
        <f aca="false">g29_amd_lo&amp;"–"&amp;g29_amd_hi</f>
        <v>0.05–0.25</v>
      </c>
      <c r="F35" s="0" t="str">
        <f aca="false">IF(AND(C35&gt;=g29_amd_lo,C35&lt;=g29_amd_hi),"OK","ERROR")</f>
        <v>OK</v>
      </c>
      <c r="G35" s="6" t="s">
        <v>3307</v>
      </c>
    </row>
    <row r="36" customFormat="false" ht="17.15" hidden="false" customHeight="false" outlineLevel="0" collapsed="false">
      <c r="A36" s="0" t="s">
        <v>3343</v>
      </c>
      <c r="B36" s="0" t="s">
        <v>3344</v>
      </c>
      <c r="C36" s="17" t="n">
        <f aca="false">g29_tpu</f>
        <v>0.15</v>
      </c>
      <c r="D36" s="0" t="str">
        <f aca="false">g29_tpu_lo&amp;"–"&amp;g29_tpu_hi</f>
        <v>0.05–0.25</v>
      </c>
      <c r="F36" s="0" t="str">
        <f aca="false">IF(AND(C36&gt;=g29_tpu_lo,C36&lt;=g29_tpu_hi),"OK","ERROR")</f>
        <v>OK</v>
      </c>
      <c r="G36" s="6" t="s">
        <v>3307</v>
      </c>
    </row>
    <row r="37" customFormat="false" ht="17.15" hidden="false" customHeight="false" outlineLevel="0" collapsed="false">
      <c r="A37" s="0" t="s">
        <v>3345</v>
      </c>
      <c r="B37" s="0" t="s">
        <v>3346</v>
      </c>
      <c r="C37" s="17" t="n">
        <f aca="false">g29_trn</f>
        <v>0.15</v>
      </c>
      <c r="D37" s="0" t="str">
        <f aca="false">g29_trn_lo&amp;"–"&amp;g29_trn_hi</f>
        <v>0.05–0.25</v>
      </c>
      <c r="F37" s="0" t="str">
        <f aca="false">IF(AND(C37&gt;=g29_trn_lo,C37&lt;=g29_trn_hi),"OK","ERROR")</f>
        <v>OK</v>
      </c>
      <c r="G37" s="6" t="s">
        <v>3307</v>
      </c>
    </row>
    <row r="38" customFormat="false" ht="17.15" hidden="false" customHeight="false" outlineLevel="0" collapsed="false">
      <c r="A38" s="0" t="s">
        <v>3347</v>
      </c>
      <c r="B38" s="0" t="s">
        <v>3348</v>
      </c>
      <c r="C38" s="17" t="n">
        <f aca="false">g29_oth</f>
        <v>0.15</v>
      </c>
      <c r="D38" s="0" t="str">
        <f aca="false">g29_oth_lo&amp;"–"&amp;g29_oth_hi</f>
        <v>0.05–0.25</v>
      </c>
      <c r="F38" s="0" t="str">
        <f aca="false">IF(AND(C38&gt;=g29_oth_lo,C38&lt;=g29_oth_hi),"OK","ERROR")</f>
        <v>OK</v>
      </c>
      <c r="G38" s="6" t="s">
        <v>3307</v>
      </c>
    </row>
    <row r="39" customFormat="false" ht="17.15" hidden="false" customHeight="false" outlineLevel="0" collapsed="false">
      <c r="A39" s="0" t="s">
        <v>3349</v>
      </c>
      <c r="B39" s="0" t="s">
        <v>3350</v>
      </c>
      <c r="C39" s="15" t="n">
        <f aca="false">ShareTbl!D7</f>
        <v>0.95</v>
      </c>
      <c r="D39" s="0" t="n">
        <v>1</v>
      </c>
      <c r="F39" s="0" t="str">
        <f aca="false">IF(C39&lt;=1+0.000000001,"OK","ERROR")</f>
        <v>OK</v>
      </c>
      <c r="G39" s="6" t="s">
        <v>3351</v>
      </c>
    </row>
    <row r="40" customFormat="false" ht="17.15" hidden="false" customHeight="false" outlineLevel="0" collapsed="false">
      <c r="A40" s="0" t="s">
        <v>3352</v>
      </c>
      <c r="B40" s="0" t="s">
        <v>3353</v>
      </c>
      <c r="C40" s="15" t="n">
        <f aca="false">ShareTbl!E7</f>
        <v>0.95</v>
      </c>
      <c r="D40" s="0" t="n">
        <v>1</v>
      </c>
      <c r="F40" s="0" t="str">
        <f aca="false">IF(C40&lt;=1+0.000000001,"OK","ERROR")</f>
        <v>OK</v>
      </c>
      <c r="G40" s="6" t="s">
        <v>3351</v>
      </c>
    </row>
    <row r="41" customFormat="false" ht="17.15" hidden="false" customHeight="false" outlineLevel="0" collapsed="false">
      <c r="A41" s="0" t="s">
        <v>3354</v>
      </c>
      <c r="B41" s="0" t="s">
        <v>3355</v>
      </c>
      <c r="C41" s="15" t="n">
        <f aca="false">ShareTbl!F7</f>
        <v>0.98</v>
      </c>
      <c r="D41" s="0" t="n">
        <v>1</v>
      </c>
      <c r="F41" s="0" t="str">
        <f aca="false">IF(C41&lt;=1+0.000000001,"OK","ERROR")</f>
        <v>OK</v>
      </c>
      <c r="G41" s="6" t="s">
        <v>3351</v>
      </c>
    </row>
    <row r="42" customFormat="false" ht="17.15" hidden="false" customHeight="false" outlineLevel="0" collapsed="false">
      <c r="A42" s="0" t="s">
        <v>3356</v>
      </c>
      <c r="B42" s="6" t="s">
        <v>3357</v>
      </c>
      <c r="C42" s="15" t="n">
        <f aca="false">ShareTbl!D13</f>
        <v>0.4</v>
      </c>
      <c r="D42" s="0" t="n">
        <v>1</v>
      </c>
      <c r="F42" s="0" t="str">
        <f aca="false">IF(C42&lt;=1+0.000000001,"OK","ERROR")</f>
        <v>OK</v>
      </c>
      <c r="G42" s="6" t="s">
        <v>3351</v>
      </c>
    </row>
    <row r="43" customFormat="false" ht="17.15" hidden="false" customHeight="false" outlineLevel="0" collapsed="false">
      <c r="A43" s="0" t="s">
        <v>3358</v>
      </c>
      <c r="B43" s="6" t="s">
        <v>3359</v>
      </c>
      <c r="C43" s="15" t="n">
        <f aca="false">ShareTbl!E13</f>
        <v>0.61</v>
      </c>
      <c r="D43" s="0" t="n">
        <v>1</v>
      </c>
      <c r="F43" s="0" t="str">
        <f aca="false">IF(C43&lt;=1+0.000000001,"OK","ERROR")</f>
        <v>OK</v>
      </c>
      <c r="G43" s="6" t="s">
        <v>3351</v>
      </c>
    </row>
    <row r="44" customFormat="false" ht="17.15" hidden="false" customHeight="false" outlineLevel="0" collapsed="false">
      <c r="A44" s="0" t="s">
        <v>3360</v>
      </c>
      <c r="B44" s="6" t="s">
        <v>3361</v>
      </c>
      <c r="C44" s="15" t="n">
        <f aca="false">ShareTbl!F13</f>
        <v>0.7</v>
      </c>
      <c r="D44" s="0" t="n">
        <v>1</v>
      </c>
      <c r="F44" s="0" t="str">
        <f aca="false">IF(C44&lt;=1+0.000000001,"OK","ERROR")</f>
        <v>OK</v>
      </c>
      <c r="G44" s="6" t="s">
        <v>3351</v>
      </c>
    </row>
    <row r="45" customFormat="false" ht="17.15" hidden="false" customHeight="false" outlineLevel="0" collapsed="false">
      <c r="A45" s="0" t="s">
        <v>3362</v>
      </c>
      <c r="B45" s="0" t="s">
        <v>3363</v>
      </c>
      <c r="C45" s="15" t="n">
        <f aca="false">ShareTbl!D18</f>
        <v>0.4</v>
      </c>
      <c r="D45" s="0" t="n">
        <v>1</v>
      </c>
      <c r="F45" s="0" t="str">
        <f aca="false">IF(C45&lt;=1+0.000000001,"OK","ERROR")</f>
        <v>OK</v>
      </c>
      <c r="G45" s="6" t="s">
        <v>3351</v>
      </c>
    </row>
    <row r="46" customFormat="false" ht="17.15" hidden="false" customHeight="false" outlineLevel="0" collapsed="false">
      <c r="A46" s="0" t="s">
        <v>3364</v>
      </c>
      <c r="B46" s="0" t="s">
        <v>3365</v>
      </c>
      <c r="C46" s="15" t="n">
        <f aca="false">ShareTbl!E18</f>
        <v>0.65</v>
      </c>
      <c r="D46" s="0" t="n">
        <v>1</v>
      </c>
      <c r="F46" s="0" t="str">
        <f aca="false">IF(C46&lt;=1+0.000000001,"OK","ERROR")</f>
        <v>OK</v>
      </c>
      <c r="G46" s="6" t="s">
        <v>3351</v>
      </c>
    </row>
    <row r="47" customFormat="false" ht="17.15" hidden="false" customHeight="false" outlineLevel="0" collapsed="false">
      <c r="A47" s="0" t="s">
        <v>3366</v>
      </c>
      <c r="B47" s="0" t="s">
        <v>3367</v>
      </c>
      <c r="C47" s="15" t="n">
        <f aca="false">ShareTbl!F18</f>
        <v>0.63</v>
      </c>
      <c r="D47" s="0" t="n">
        <v>1</v>
      </c>
      <c r="F47" s="0" t="str">
        <f aca="false">IF(C47&lt;=1+0.000000001,"OK","ERROR")</f>
        <v>OK</v>
      </c>
      <c r="G47" s="6" t="s">
        <v>3351</v>
      </c>
    </row>
    <row r="48" customFormat="false" ht="17.15" hidden="false" customHeight="false" outlineLevel="0" collapsed="false">
      <c r="A48" s="0" t="s">
        <v>3368</v>
      </c>
      <c r="B48" s="0" t="s">
        <v>3369</v>
      </c>
      <c r="C48" s="15" t="n">
        <f aca="false">ShareTbl!D23</f>
        <v>0.4</v>
      </c>
      <c r="D48" s="0" t="n">
        <v>1</v>
      </c>
      <c r="F48" s="0" t="str">
        <f aca="false">IF(C48&lt;=1+0.000000001,"OK","ERROR")</f>
        <v>OK</v>
      </c>
      <c r="G48" s="6" t="s">
        <v>3351</v>
      </c>
    </row>
    <row r="49" customFormat="false" ht="17.15" hidden="false" customHeight="false" outlineLevel="0" collapsed="false">
      <c r="A49" s="0" t="s">
        <v>3370</v>
      </c>
      <c r="B49" s="0" t="s">
        <v>3371</v>
      </c>
      <c r="C49" s="15" t="n">
        <f aca="false">ShareTbl!E23</f>
        <v>0.6</v>
      </c>
      <c r="D49" s="0" t="n">
        <v>1</v>
      </c>
      <c r="F49" s="0" t="str">
        <f aca="false">IF(C49&lt;=1+0.000000001,"OK","ERROR")</f>
        <v>OK</v>
      </c>
      <c r="G49" s="6" t="s">
        <v>3351</v>
      </c>
    </row>
    <row r="50" customFormat="false" ht="17.15" hidden="false" customHeight="false" outlineLevel="0" collapsed="false">
      <c r="A50" s="0" t="s">
        <v>3372</v>
      </c>
      <c r="B50" s="0" t="s">
        <v>3373</v>
      </c>
      <c r="C50" s="15" t="n">
        <f aca="false">ShareTbl!F23</f>
        <v>0.53</v>
      </c>
      <c r="D50" s="0" t="n">
        <v>1</v>
      </c>
      <c r="F50" s="0" t="str">
        <f aca="false">IF(C50&lt;=1+0.000000001,"OK","ERROR")</f>
        <v>OK</v>
      </c>
      <c r="G50" s="6" t="s">
        <v>3351</v>
      </c>
    </row>
    <row r="51" customFormat="false" ht="17.15" hidden="false" customHeight="false" outlineLevel="0" collapsed="false">
      <c r="A51" s="0" t="s">
        <v>3374</v>
      </c>
      <c r="B51" s="0" t="s">
        <v>3375</v>
      </c>
      <c r="C51" s="15" t="n">
        <f aca="false">ShareTbl!D28</f>
        <v>0.4</v>
      </c>
      <c r="D51" s="0" t="n">
        <v>1</v>
      </c>
      <c r="F51" s="0" t="str">
        <f aca="false">IF(C51&lt;=1+0.000000001,"OK","ERROR")</f>
        <v>OK</v>
      </c>
      <c r="G51" s="6" t="s">
        <v>3351</v>
      </c>
    </row>
    <row r="52" customFormat="false" ht="17.15" hidden="false" customHeight="false" outlineLevel="0" collapsed="false">
      <c r="A52" s="0" t="s">
        <v>3376</v>
      </c>
      <c r="B52" s="0" t="s">
        <v>3377</v>
      </c>
      <c r="C52" s="15" t="n">
        <f aca="false">ShareTbl!E28</f>
        <v>0.5</v>
      </c>
      <c r="D52" s="0" t="n">
        <v>1</v>
      </c>
      <c r="F52" s="0" t="str">
        <f aca="false">IF(C52&lt;=1+0.000000001,"OK","ERROR")</f>
        <v>OK</v>
      </c>
      <c r="G52" s="6" t="s">
        <v>3351</v>
      </c>
    </row>
    <row r="53" customFormat="false" ht="17.15" hidden="false" customHeight="false" outlineLevel="0" collapsed="false">
      <c r="A53" s="0" t="s">
        <v>3378</v>
      </c>
      <c r="B53" s="0" t="s">
        <v>3379</v>
      </c>
      <c r="C53" s="15" t="n">
        <f aca="false">ShareTbl!F28</f>
        <v>0.43</v>
      </c>
      <c r="D53" s="0" t="n">
        <v>1</v>
      </c>
      <c r="F53" s="0" t="str">
        <f aca="false">IF(C53&lt;=1+0.000000001,"OK","ERROR")</f>
        <v>OK</v>
      </c>
      <c r="G53" s="6" t="s">
        <v>3351</v>
      </c>
    </row>
    <row r="54" customFormat="false" ht="17.15" hidden="false" customHeight="false" outlineLevel="0" collapsed="false">
      <c r="A54" s="0" t="s">
        <v>3380</v>
      </c>
      <c r="B54" s="0" t="s">
        <v>3381</v>
      </c>
      <c r="C54" s="15" t="n">
        <f aca="false">ShareTbl!D36</f>
        <v>0.5</v>
      </c>
      <c r="D54" s="0" t="n">
        <v>1</v>
      </c>
      <c r="F54" s="0" t="str">
        <f aca="false">IF(C54&lt;=1+0.000000001,"OK","ERROR")</f>
        <v>OK</v>
      </c>
      <c r="G54" s="6" t="s">
        <v>3351</v>
      </c>
    </row>
    <row r="55" customFormat="false" ht="17.15" hidden="false" customHeight="false" outlineLevel="0" collapsed="false">
      <c r="A55" s="0" t="s">
        <v>3382</v>
      </c>
      <c r="B55" s="0" t="s">
        <v>3383</v>
      </c>
      <c r="C55" s="15" t="n">
        <f aca="false">ShareTbl!E36</f>
        <v>0.65</v>
      </c>
      <c r="D55" s="0" t="n">
        <v>1</v>
      </c>
      <c r="F55" s="0" t="str">
        <f aca="false">IF(C55&lt;=1+0.000000001,"OK","ERROR")</f>
        <v>OK</v>
      </c>
      <c r="G55" s="6" t="s">
        <v>3351</v>
      </c>
    </row>
    <row r="56" customFormat="false" ht="17.15" hidden="false" customHeight="false" outlineLevel="0" collapsed="false">
      <c r="A56" s="0" t="s">
        <v>3384</v>
      </c>
      <c r="B56" s="0" t="s">
        <v>3385</v>
      </c>
      <c r="C56" s="15" t="n">
        <f aca="false">ShareTbl!F36</f>
        <v>0.75</v>
      </c>
      <c r="D56" s="0" t="n">
        <v>1</v>
      </c>
      <c r="F56" s="0" t="str">
        <f aca="false">IF(C56&lt;=1+0.000000001,"OK","ERROR")</f>
        <v>OK</v>
      </c>
      <c r="G56" s="6" t="s">
        <v>3351</v>
      </c>
    </row>
    <row r="57" customFormat="false" ht="17.15" hidden="false" customHeight="false" outlineLevel="0" collapsed="false">
      <c r="A57" s="0" t="s">
        <v>3386</v>
      </c>
      <c r="B57" s="0" t="s">
        <v>3387</v>
      </c>
      <c r="C57" s="17" t="n">
        <f aca="false">ShareTbl!D45</f>
        <v>0.99</v>
      </c>
      <c r="D57" s="0" t="n">
        <v>1</v>
      </c>
      <c r="F57" s="0" t="str">
        <f aca="false">IF(C57&lt;=1+0.000000001,"OK","ERROR")</f>
        <v>OK</v>
      </c>
      <c r="G57" s="6" t="s">
        <v>3351</v>
      </c>
    </row>
    <row r="58" customFormat="false" ht="17.15" hidden="false" customHeight="false" outlineLevel="0" collapsed="false">
      <c r="A58" s="0" t="s">
        <v>3388</v>
      </c>
      <c r="B58" s="0" t="s">
        <v>3389</v>
      </c>
      <c r="C58" s="17" t="n">
        <f aca="false">ShareTbl!E45</f>
        <v>0.995</v>
      </c>
      <c r="D58" s="0" t="n">
        <v>1</v>
      </c>
      <c r="F58" s="0" t="str">
        <f aca="false">IF(C58&lt;=1+0.000000001,"OK","ERROR")</f>
        <v>OK</v>
      </c>
      <c r="G58" s="6" t="s">
        <v>3351</v>
      </c>
    </row>
    <row r="59" customFormat="false" ht="17.15" hidden="false" customHeight="false" outlineLevel="0" collapsed="false">
      <c r="A59" s="0" t="s">
        <v>3390</v>
      </c>
      <c r="B59" s="0" t="s">
        <v>3391</v>
      </c>
      <c r="C59" s="17" t="n">
        <f aca="false">ShareTbl!F45</f>
        <v>0.996</v>
      </c>
      <c r="D59" s="0" t="n">
        <v>1</v>
      </c>
      <c r="F59" s="0" t="str">
        <f aca="false">IF(C59&lt;=1+0.000000001,"OK","ERROR")</f>
        <v>OK</v>
      </c>
      <c r="G59" s="6" t="s">
        <v>3351</v>
      </c>
    </row>
    <row r="60" customFormat="false" ht="17.15" hidden="false" customHeight="false" outlineLevel="0" collapsed="false">
      <c r="A60" s="0" t="s">
        <v>3392</v>
      </c>
      <c r="B60" s="0" t="s">
        <v>3393</v>
      </c>
      <c r="C60" s="17" t="n">
        <f aca="false">ShareTbl!G45</f>
        <v>0.995</v>
      </c>
      <c r="D60" s="0" t="n">
        <v>1</v>
      </c>
      <c r="F60" s="0" t="str">
        <f aca="false">IF(C60&lt;=1+0.000000001,"OK","ERROR")</f>
        <v>OK</v>
      </c>
      <c r="G60" s="6" t="s">
        <v>3351</v>
      </c>
    </row>
    <row r="61" customFormat="false" ht="17.15" hidden="false" customHeight="false" outlineLevel="0" collapsed="false">
      <c r="A61" s="0" t="s">
        <v>3394</v>
      </c>
      <c r="B61" s="6" t="s">
        <v>3395</v>
      </c>
      <c r="C61" s="17" t="n">
        <f aca="false">ShareTbl!D52</f>
        <v>0.88</v>
      </c>
      <c r="D61" s="0" t="n">
        <v>1</v>
      </c>
      <c r="F61" s="0" t="str">
        <f aca="false">IF(C61&lt;=1+0.000000001,"OK","ERROR")</f>
        <v>OK</v>
      </c>
      <c r="G61" s="6" t="s">
        <v>3351</v>
      </c>
    </row>
    <row r="62" customFormat="false" ht="17.15" hidden="false" customHeight="false" outlineLevel="0" collapsed="false">
      <c r="A62" s="0" t="s">
        <v>3396</v>
      </c>
      <c r="B62" s="6" t="s">
        <v>3397</v>
      </c>
      <c r="C62" s="17" t="n">
        <f aca="false">ShareTbl!E52</f>
        <v>0.895</v>
      </c>
      <c r="D62" s="0" t="n">
        <v>1</v>
      </c>
      <c r="F62" s="0" t="str">
        <f aca="false">IF(C62&lt;=1+0.000000001,"OK","ERROR")</f>
        <v>OK</v>
      </c>
      <c r="G62" s="6" t="s">
        <v>3351</v>
      </c>
    </row>
    <row r="63" customFormat="false" ht="17.15" hidden="false" customHeight="false" outlineLevel="0" collapsed="false">
      <c r="A63" s="0" t="s">
        <v>3398</v>
      </c>
      <c r="B63" s="6" t="s">
        <v>3399</v>
      </c>
      <c r="C63" s="17" t="n">
        <f aca="false">ShareTbl!F52</f>
        <v>0.89</v>
      </c>
      <c r="D63" s="0" t="n">
        <v>1</v>
      </c>
      <c r="F63" s="0" t="str">
        <f aca="false">IF(C63&lt;=1+0.000000001,"OK","ERROR")</f>
        <v>OK</v>
      </c>
      <c r="G63" s="6" t="s">
        <v>3351</v>
      </c>
    </row>
    <row r="64" customFormat="false" ht="17.15" hidden="false" customHeight="false" outlineLevel="0" collapsed="false">
      <c r="A64" s="0" t="s">
        <v>3400</v>
      </c>
      <c r="B64" s="6" t="s">
        <v>3401</v>
      </c>
      <c r="C64" s="17" t="n">
        <f aca="false">ShareTbl!G52</f>
        <v>0.885</v>
      </c>
      <c r="D64" s="0" t="n">
        <v>1</v>
      </c>
      <c r="F64" s="0" t="str">
        <f aca="false">IF(C64&lt;=1+0.000000001,"OK","ERROR")</f>
        <v>OK</v>
      </c>
      <c r="G64" s="6" t="s">
        <v>3351</v>
      </c>
    </row>
    <row r="65" customFormat="false" ht="17.15" hidden="false" customHeight="false" outlineLevel="0" collapsed="false">
      <c r="A65" s="0" t="s">
        <v>3402</v>
      </c>
      <c r="B65" s="0" t="s">
        <v>3403</v>
      </c>
      <c r="C65" s="17" t="n">
        <f aca="false">ShareTbl!D58</f>
        <v>0.759815255723819</v>
      </c>
      <c r="D65" s="0" t="n">
        <v>1</v>
      </c>
      <c r="F65" s="0" t="str">
        <f aca="false">IF(C65&lt;=1+0.000000001,"OK","ERROR")</f>
        <v>OK</v>
      </c>
      <c r="G65" s="6" t="s">
        <v>3351</v>
      </c>
    </row>
    <row r="66" customFormat="false" ht="17.15" hidden="false" customHeight="false" outlineLevel="0" collapsed="false">
      <c r="A66" s="0" t="s">
        <v>3404</v>
      </c>
      <c r="B66" s="0" t="s">
        <v>3405</v>
      </c>
      <c r="C66" s="17" t="n">
        <f aca="false">ShareTbl!E58</f>
        <v>0.748245990386685</v>
      </c>
      <c r="D66" s="0" t="n">
        <v>1</v>
      </c>
      <c r="F66" s="0" t="str">
        <f aca="false">IF(C66&lt;=1+0.000000001,"OK","ERROR")</f>
        <v>OK</v>
      </c>
      <c r="G66" s="6" t="s">
        <v>3351</v>
      </c>
    </row>
    <row r="67" customFormat="false" ht="17.15" hidden="false" customHeight="false" outlineLevel="0" collapsed="false">
      <c r="A67" s="0" t="s">
        <v>3406</v>
      </c>
      <c r="B67" s="0" t="s">
        <v>3407</v>
      </c>
      <c r="C67" s="17" t="n">
        <f aca="false">ShareTbl!F58</f>
        <v>0.736676725049551</v>
      </c>
      <c r="D67" s="0" t="n">
        <v>1</v>
      </c>
      <c r="F67" s="0" t="str">
        <f aca="false">IF(C67&lt;=1+0.000000001,"OK","ERROR")</f>
        <v>OK</v>
      </c>
      <c r="G67" s="6" t="s">
        <v>3351</v>
      </c>
    </row>
    <row r="68" customFormat="false" ht="17.15" hidden="false" customHeight="false" outlineLevel="0" collapsed="false">
      <c r="A68" s="0" t="s">
        <v>3408</v>
      </c>
      <c r="B68" s="0" t="s">
        <v>3409</v>
      </c>
      <c r="C68" s="17" t="n">
        <f aca="false">ShareTbl!G58</f>
        <v>0.716300293896065</v>
      </c>
      <c r="D68" s="0" t="n">
        <v>1</v>
      </c>
      <c r="F68" s="0" t="str">
        <f aca="false">IF(C68&lt;=1+0.000000001,"OK","ERROR")</f>
        <v>OK</v>
      </c>
      <c r="G68" s="6" t="s">
        <v>3351</v>
      </c>
    </row>
    <row r="69" customFormat="false" ht="17.15" hidden="false" customHeight="false" outlineLevel="0" collapsed="false">
      <c r="A69" s="0" t="s">
        <v>3410</v>
      </c>
      <c r="B69" s="0" t="s">
        <v>3411</v>
      </c>
      <c r="C69" s="17" t="n">
        <f aca="false">ShareTbl!D63</f>
        <v>0.759815255723819</v>
      </c>
      <c r="D69" s="0" t="n">
        <v>1</v>
      </c>
      <c r="F69" s="0" t="str">
        <f aca="false">IF(C69&lt;=1+0.000000001,"OK","ERROR")</f>
        <v>OK</v>
      </c>
      <c r="G69" s="6" t="s">
        <v>3351</v>
      </c>
    </row>
    <row r="70" customFormat="false" ht="17.15" hidden="false" customHeight="false" outlineLevel="0" collapsed="false">
      <c r="A70" s="0" t="s">
        <v>3412</v>
      </c>
      <c r="B70" s="0" t="s">
        <v>3413</v>
      </c>
      <c r="C70" s="17" t="n">
        <f aca="false">ShareTbl!E63</f>
        <v>0.73063165875398</v>
      </c>
      <c r="D70" s="0" t="n">
        <v>1</v>
      </c>
      <c r="F70" s="0" t="str">
        <f aca="false">IF(C70&lt;=1+0.000000001,"OK","ERROR")</f>
        <v>OK</v>
      </c>
      <c r="G70" s="6" t="s">
        <v>3351</v>
      </c>
    </row>
    <row r="71" customFormat="false" ht="17.15" hidden="false" customHeight="false" outlineLevel="0" collapsed="false">
      <c r="A71" s="0" t="s">
        <v>3414</v>
      </c>
      <c r="B71" s="0" t="s">
        <v>3415</v>
      </c>
      <c r="C71" s="17" t="n">
        <f aca="false">ShareTbl!F63</f>
        <v>0.701448061784142</v>
      </c>
      <c r="D71" s="0" t="n">
        <v>1</v>
      </c>
      <c r="F71" s="0" t="str">
        <f aca="false">IF(C71&lt;=1+0.000000001,"OK","ERROR")</f>
        <v>OK</v>
      </c>
      <c r="G71" s="6" t="s">
        <v>3351</v>
      </c>
    </row>
    <row r="72" customFormat="false" ht="17.15" hidden="false" customHeight="false" outlineLevel="0" collapsed="false">
      <c r="A72" s="0" t="s">
        <v>3416</v>
      </c>
      <c r="B72" s="0" t="s">
        <v>3417</v>
      </c>
      <c r="C72" s="17" t="n">
        <f aca="false">ShareTbl!G63</f>
        <v>0.672264464814303</v>
      </c>
      <c r="D72" s="0" t="n">
        <v>1</v>
      </c>
      <c r="F72" s="0" t="str">
        <f aca="false">IF(C72&lt;=1+0.000000001,"OK","ERROR")</f>
        <v>OK</v>
      </c>
      <c r="G72" s="6" t="s">
        <v>3351</v>
      </c>
    </row>
    <row r="73" customFormat="false" ht="17.15" hidden="false" customHeight="false" outlineLevel="0" collapsed="false">
      <c r="A73" s="0" t="s">
        <v>3418</v>
      </c>
      <c r="B73" s="0" t="s">
        <v>3419</v>
      </c>
      <c r="C73" s="17" t="n">
        <f aca="false">ShareTbl!D68</f>
        <v>0.759815255723819</v>
      </c>
      <c r="D73" s="0" t="n">
        <v>1</v>
      </c>
      <c r="F73" s="0" t="str">
        <f aca="false">IF(C73&lt;=1+0.000000001,"OK","ERROR")</f>
        <v>OK</v>
      </c>
      <c r="G73" s="6" t="s">
        <v>3351</v>
      </c>
    </row>
    <row r="74" customFormat="false" ht="17.15" hidden="false" customHeight="false" outlineLevel="0" collapsed="false">
      <c r="A74" s="0" t="s">
        <v>3420</v>
      </c>
      <c r="B74" s="0" t="s">
        <v>3421</v>
      </c>
      <c r="C74" s="17" t="n">
        <f aca="false">ShareTbl!E68</f>
        <v>0.704210161304923</v>
      </c>
      <c r="D74" s="0" t="n">
        <v>1</v>
      </c>
      <c r="F74" s="0" t="str">
        <f aca="false">IF(C74&lt;=1+0.000000001,"OK","ERROR")</f>
        <v>OK</v>
      </c>
      <c r="G74" s="6" t="s">
        <v>3351</v>
      </c>
    </row>
    <row r="75" customFormat="false" ht="17.15" hidden="false" customHeight="false" outlineLevel="0" collapsed="false">
      <c r="A75" s="0" t="s">
        <v>3422</v>
      </c>
      <c r="B75" s="0" t="s">
        <v>3423</v>
      </c>
      <c r="C75" s="17" t="n">
        <f aca="false">ShareTbl!F68</f>
        <v>0.666219398518733</v>
      </c>
      <c r="D75" s="0" t="n">
        <v>1</v>
      </c>
      <c r="F75" s="0" t="str">
        <f aca="false">IF(C75&lt;=1+0.000000001,"OK","ERROR")</f>
        <v>OK</v>
      </c>
      <c r="G75" s="6" t="s">
        <v>3351</v>
      </c>
    </row>
    <row r="76" customFormat="false" ht="17.15" hidden="false" customHeight="false" outlineLevel="0" collapsed="false">
      <c r="A76" s="0" t="s">
        <v>3424</v>
      </c>
      <c r="B76" s="0" t="s">
        <v>3425</v>
      </c>
      <c r="C76" s="17" t="n">
        <f aca="false">ShareTbl!G68</f>
        <v>0.628228635732542</v>
      </c>
      <c r="D76" s="0" t="n">
        <v>1</v>
      </c>
      <c r="F76" s="0" t="str">
        <f aca="false">IF(C76&lt;=1+0.000000001,"OK","ERROR")</f>
        <v>OK</v>
      </c>
      <c r="G76" s="6" t="s">
        <v>3351</v>
      </c>
    </row>
    <row r="77" customFormat="false" ht="17.15" hidden="false" customHeight="false" outlineLevel="0" collapsed="false">
      <c r="A77" s="0" t="s">
        <v>3426</v>
      </c>
      <c r="B77" s="0" t="s">
        <v>3427</v>
      </c>
      <c r="C77" s="17" t="n">
        <f aca="false">ShareTbl!D75</f>
        <v>0.657628417556847</v>
      </c>
      <c r="D77" s="0" t="n">
        <v>1</v>
      </c>
      <c r="F77" s="0" t="str">
        <f aca="false">IF(C77&lt;=1+0.000000001,"OK","ERROR")</f>
        <v>OK</v>
      </c>
      <c r="G77" s="6" t="s">
        <v>3351</v>
      </c>
    </row>
    <row r="78" customFormat="false" ht="17.15" hidden="false" customHeight="false" outlineLevel="0" collapsed="false">
      <c r="A78" s="0" t="s">
        <v>3428</v>
      </c>
      <c r="B78" s="0" t="s">
        <v>3429</v>
      </c>
      <c r="C78" s="17" t="n">
        <f aca="false">ShareTbl!E75</f>
        <v>0.655617074323022</v>
      </c>
      <c r="D78" s="0" t="n">
        <v>1</v>
      </c>
      <c r="F78" s="0" t="str">
        <f aca="false">IF(C78&lt;=1+0.000000001,"OK","ERROR")</f>
        <v>OK</v>
      </c>
      <c r="G78" s="6" t="s">
        <v>3351</v>
      </c>
    </row>
    <row r="79" customFormat="false" ht="17.15" hidden="false" customHeight="false" outlineLevel="0" collapsed="false">
      <c r="A79" s="0" t="s">
        <v>3430</v>
      </c>
      <c r="B79" s="0" t="s">
        <v>3431</v>
      </c>
      <c r="C79" s="17" t="n">
        <f aca="false">ShareTbl!F75</f>
        <v>0.645670692267188</v>
      </c>
      <c r="D79" s="0" t="n">
        <v>1</v>
      </c>
      <c r="F79" s="0" t="str">
        <f aca="false">IF(C79&lt;=1+0.000000001,"OK","ERROR")</f>
        <v>OK</v>
      </c>
      <c r="G79" s="6" t="s">
        <v>3351</v>
      </c>
    </row>
    <row r="80" customFormat="false" ht="17.15" hidden="false" customHeight="false" outlineLevel="0" collapsed="false">
      <c r="A80" s="0" t="s">
        <v>3432</v>
      </c>
      <c r="B80" s="0" t="s">
        <v>3433</v>
      </c>
      <c r="C80" s="17" t="n">
        <f aca="false">ShareTbl!G75</f>
        <v>0.635724310211354</v>
      </c>
      <c r="D80" s="0" t="n">
        <v>1</v>
      </c>
      <c r="F80" s="0" t="str">
        <f aca="false">IF(C80&lt;=1+0.000000001,"OK","ERROR")</f>
        <v>OK</v>
      </c>
      <c r="G80" s="6" t="s">
        <v>3351</v>
      </c>
    </row>
    <row r="81" customFormat="false" ht="17.15" hidden="false" customHeight="false" outlineLevel="0" collapsed="false">
      <c r="A81" s="0" t="s">
        <v>3434</v>
      </c>
      <c r="B81" s="0" t="s">
        <v>3435</v>
      </c>
      <c r="C81" s="17" t="n">
        <f aca="false">ShareTbl!D81</f>
        <v>0.657628417556847</v>
      </c>
      <c r="D81" s="0" t="n">
        <v>1</v>
      </c>
      <c r="F81" s="0" t="str">
        <f aca="false">IF(C81&lt;=1+0.000000001,"OK","ERROR")</f>
        <v>OK</v>
      </c>
      <c r="G81" s="6" t="s">
        <v>3351</v>
      </c>
    </row>
    <row r="82" customFormat="false" ht="17.15" hidden="false" customHeight="false" outlineLevel="0" collapsed="false">
      <c r="A82" s="0" t="s">
        <v>3436</v>
      </c>
      <c r="B82" s="0" t="s">
        <v>3437</v>
      </c>
      <c r="C82" s="17" t="n">
        <f aca="false">ShareTbl!E81</f>
        <v>0.632746996679005</v>
      </c>
      <c r="D82" s="0" t="n">
        <v>1</v>
      </c>
      <c r="F82" s="0" t="str">
        <f aca="false">IF(C82&lt;=1+0.000000001,"OK","ERROR")</f>
        <v>OK</v>
      </c>
      <c r="G82" s="6" t="s">
        <v>3351</v>
      </c>
    </row>
    <row r="83" customFormat="false" ht="17.15" hidden="false" customHeight="false" outlineLevel="0" collapsed="false">
      <c r="A83" s="0" t="s">
        <v>3438</v>
      </c>
      <c r="B83" s="0" t="s">
        <v>3439</v>
      </c>
      <c r="C83" s="17" t="n">
        <f aca="false">ShareTbl!F81</f>
        <v>0.606865575801162</v>
      </c>
      <c r="D83" s="0" t="n">
        <v>1</v>
      </c>
      <c r="F83" s="0" t="str">
        <f aca="false">IF(C83&lt;=1+0.000000001,"OK","ERROR")</f>
        <v>OK</v>
      </c>
      <c r="G83" s="6" t="s">
        <v>3351</v>
      </c>
    </row>
    <row r="84" customFormat="false" ht="17.15" hidden="false" customHeight="false" outlineLevel="0" collapsed="false">
      <c r="A84" s="0" t="s">
        <v>3440</v>
      </c>
      <c r="B84" s="0" t="s">
        <v>3441</v>
      </c>
      <c r="C84" s="17" t="n">
        <f aca="false">ShareTbl!G81</f>
        <v>0.58398415492332</v>
      </c>
      <c r="D84" s="0" t="n">
        <v>1</v>
      </c>
      <c r="F84" s="0" t="str">
        <f aca="false">IF(C84&lt;=1+0.000000001,"OK","ERROR")</f>
        <v>OK</v>
      </c>
      <c r="G84" s="6" t="s">
        <v>3351</v>
      </c>
    </row>
    <row r="85" customFormat="false" ht="17.15" hidden="false" customHeight="false" outlineLevel="0" collapsed="false">
      <c r="A85" s="0" t="s">
        <v>3442</v>
      </c>
      <c r="B85" s="0" t="s">
        <v>3443</v>
      </c>
      <c r="C85" s="17" t="n">
        <f aca="false">ShareTbl!D87</f>
        <v>0.657628417556847</v>
      </c>
      <c r="D85" s="0" t="n">
        <v>1</v>
      </c>
      <c r="F85" s="0" t="str">
        <f aca="false">IF(C85&lt;=1+0.000000001,"OK","ERROR")</f>
        <v>OK</v>
      </c>
      <c r="G85" s="6" t="s">
        <v>3351</v>
      </c>
    </row>
    <row r="86" customFormat="false" ht="17.15" hidden="false" customHeight="false" outlineLevel="0" collapsed="false">
      <c r="A86" s="0" t="s">
        <v>3444</v>
      </c>
      <c r="B86" s="0" t="s">
        <v>3445</v>
      </c>
      <c r="C86" s="17" t="n">
        <f aca="false">ShareTbl!E87</f>
        <v>0.611876919034988</v>
      </c>
      <c r="D86" s="0" t="n">
        <v>1</v>
      </c>
      <c r="F86" s="0" t="str">
        <f aca="false">IF(C86&lt;=1+0.000000001,"OK","ERROR")</f>
        <v>OK</v>
      </c>
      <c r="G86" s="6" t="s">
        <v>3351</v>
      </c>
    </row>
    <row r="87" customFormat="false" ht="17.15" hidden="false" customHeight="false" outlineLevel="0" collapsed="false">
      <c r="A87" s="0" t="s">
        <v>3446</v>
      </c>
      <c r="B87" s="0" t="s">
        <v>3447</v>
      </c>
      <c r="C87" s="17" t="n">
        <f aca="false">ShareTbl!F87</f>
        <v>0.574060459335137</v>
      </c>
      <c r="D87" s="0" t="n">
        <v>1</v>
      </c>
      <c r="F87" s="0" t="str">
        <f aca="false">IF(C87&lt;=1+0.000000001,"OK","ERROR")</f>
        <v>OK</v>
      </c>
      <c r="G87" s="6" t="s">
        <v>3351</v>
      </c>
    </row>
    <row r="88" customFormat="false" ht="17.15" hidden="false" customHeight="false" outlineLevel="0" collapsed="false">
      <c r="A88" s="0" t="s">
        <v>3448</v>
      </c>
      <c r="B88" s="0" t="s">
        <v>3449</v>
      </c>
      <c r="C88" s="17" t="n">
        <f aca="false">ShareTbl!G87</f>
        <v>0.545179038457294</v>
      </c>
      <c r="D88" s="0" t="n">
        <v>1</v>
      </c>
      <c r="F88" s="0" t="str">
        <f aca="false">IF(C88&lt;=1+0.000000001,"OK","ERROR")</f>
        <v>OK</v>
      </c>
      <c r="G88" s="6" t="s">
        <v>3351</v>
      </c>
    </row>
    <row r="89" customFormat="false" ht="17.15" hidden="false" customHeight="false" outlineLevel="0" collapsed="false">
      <c r="A89" s="0" t="s">
        <v>3450</v>
      </c>
      <c r="B89" s="0" t="s">
        <v>3451</v>
      </c>
      <c r="C89" s="32" t="n">
        <f aca="false">Rack!C15</f>
        <v>595.486111111111</v>
      </c>
      <c r="D89" s="22" t="n">
        <f aca="false">Deploy!C5</f>
        <v>781.872916666667</v>
      </c>
      <c r="F89" s="0" t="str">
        <f aca="false">IF(C89&lt;=D89+0.000000001,"OK","ERROR")</f>
        <v>OK</v>
      </c>
      <c r="G89" s="6" t="s">
        <v>3452</v>
      </c>
    </row>
    <row r="90" customFormat="false" ht="17.15" hidden="false" customHeight="false" outlineLevel="0" collapsed="false">
      <c r="A90" s="0" t="s">
        <v>3453</v>
      </c>
      <c r="B90" s="0" t="s">
        <v>3454</v>
      </c>
      <c r="C90" s="0" t="n">
        <f aca="false">SUMPRODUCT((In!A5:A483&lt;&gt;"")*(In!E5:E483&lt;&gt;"")*(In!G5:G483=""))</f>
        <v>0</v>
      </c>
      <c r="F90" s="0" t="str">
        <f aca="false">IF(C90=0,"OK","ERROR")</f>
        <v>OK</v>
      </c>
      <c r="G90" s="6" t="s">
        <v>3455</v>
      </c>
    </row>
    <row r="91" customFormat="false" ht="17.15" hidden="false" customHeight="false" outlineLevel="0" collapsed="false">
      <c r="A91" s="0" t="s">
        <v>3456</v>
      </c>
      <c r="B91" s="0" t="s">
        <v>3457</v>
      </c>
      <c r="C91" s="0" t="n">
        <f aca="false">SUMPRODUCT((In!A5:A483&lt;&gt;"")*(In!E5:E483&lt;&gt;"")*(In!H5:H483=""))</f>
        <v>0</v>
      </c>
      <c r="F91" s="0" t="str">
        <f aca="false">IF(C91=0,"OK","ERROR")</f>
        <v>OK</v>
      </c>
      <c r="G91" s="6" t="s">
        <v>3455</v>
      </c>
      <c r="H91" s="0" t="s">
        <v>3458</v>
      </c>
    </row>
    <row r="92" customFormat="false" ht="17.15" hidden="false" customHeight="false" outlineLevel="0" collapsed="false">
      <c r="A92" s="0" t="s">
        <v>3459</v>
      </c>
      <c r="B92" s="6" t="s">
        <v>3460</v>
      </c>
      <c r="C92" s="0" t="n">
        <f aca="false">SUMPRODUCT((In!A5:A483&lt;&gt;"")*(In!E5:E483&lt;&gt;"")*(ISNUMBER(SEARCH("Assumed",In!G5:G483))+ISNUMBER(SEARCH("Analogy",In!G5:G483))&gt;0)*((In!D5:D483="")+(In!F5:F483="")&gt;0))</f>
        <v>0</v>
      </c>
      <c r="F92" s="0" t="str">
        <f aca="false">IF(C92=0,"OK","ERROR")</f>
        <v>OK</v>
      </c>
      <c r="G92" s="6" t="s">
        <v>3455</v>
      </c>
      <c r="H92" s="0" t="s">
        <v>3461</v>
      </c>
    </row>
    <row r="93" customFormat="false" ht="17.15" hidden="false" customHeight="false" outlineLevel="0" collapsed="false">
      <c r="A93" s="0" t="s">
        <v>3462</v>
      </c>
      <c r="B93" s="0" t="s">
        <v>3463</v>
      </c>
      <c r="C93" s="0" t="n">
        <v>0</v>
      </c>
      <c r="F93" s="0" t="str">
        <f aca="false">IF(C93=0,"OK","ERROR")</f>
        <v>OK</v>
      </c>
      <c r="G93" s="6" t="s">
        <v>3455</v>
      </c>
    </row>
    <row r="94" customFormat="false" ht="17.15" hidden="false" customHeight="false" outlineLevel="0" collapsed="false">
      <c r="A94" s="0" t="s">
        <v>3464</v>
      </c>
      <c r="B94" s="6" t="s">
        <v>3465</v>
      </c>
      <c r="C94" s="0" t="n">
        <f aca="false">COUNTIF(Conflicts!L4:L25,"待*")</f>
        <v>10</v>
      </c>
      <c r="F94" s="0" t="str">
        <f aca="false">IF(C94=0,"OK","WARN")</f>
        <v>WARN</v>
      </c>
      <c r="G94" s="6" t="s">
        <v>3455</v>
      </c>
      <c r="H94" s="0" t="s">
        <v>3466</v>
      </c>
    </row>
    <row r="96" customFormat="false" ht="15" hidden="false" customHeight="false" outlineLevel="0" collapsed="false">
      <c r="A96" s="10" t="s">
        <v>3467</v>
      </c>
      <c r="C96" s="35" t="n">
        <f aca="false">COUNTIF(F4:F94,"ERROR")</f>
        <v>0</v>
      </c>
    </row>
    <row r="97" customFormat="false" ht="15" hidden="false" customHeight="false" outlineLevel="0" collapsed="false">
      <c r="A97" s="10" t="s">
        <v>3468</v>
      </c>
      <c r="C97" s="35" t="n">
        <f aca="false">COUNTIF(F4:F94,"WARN")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3469</v>
      </c>
    </row>
    <row r="3" customFormat="false" ht="17.15" hidden="false" customHeight="false" outlineLevel="0" collapsed="false">
      <c r="A3" s="4" t="s">
        <v>3470</v>
      </c>
      <c r="B3" s="4" t="s">
        <v>3471</v>
      </c>
      <c r="C3" s="4" t="s">
        <v>45</v>
      </c>
      <c r="D3" s="4" t="s">
        <v>3472</v>
      </c>
      <c r="E3" s="4" t="s">
        <v>3473</v>
      </c>
      <c r="F3" s="5" t="s">
        <v>3474</v>
      </c>
      <c r="G3" s="4" t="s">
        <v>2145</v>
      </c>
    </row>
    <row r="4" customFormat="false" ht="79.85" hidden="false" customHeight="false" outlineLevel="0" collapsed="false">
      <c r="A4" s="3" t="s">
        <v>3475</v>
      </c>
      <c r="B4" s="2" t="s">
        <v>3476</v>
      </c>
      <c r="C4" s="2" t="s">
        <v>3477</v>
      </c>
      <c r="D4" s="2" t="s">
        <v>3478</v>
      </c>
      <c r="E4" s="3" t="s">
        <v>3479</v>
      </c>
      <c r="F4" s="2" t="s">
        <v>3480</v>
      </c>
      <c r="G4" s="2" t="s">
        <v>3481</v>
      </c>
    </row>
    <row r="5" customFormat="false" ht="79.85" hidden="false" customHeight="false" outlineLevel="0" collapsed="false">
      <c r="A5" s="36" t="s">
        <v>3482</v>
      </c>
      <c r="B5" s="37" t="s">
        <v>3483</v>
      </c>
      <c r="C5" s="37" t="s">
        <v>21</v>
      </c>
      <c r="D5" s="36" t="s">
        <v>3484</v>
      </c>
      <c r="E5" s="36" t="s">
        <v>3485</v>
      </c>
      <c r="F5" s="37" t="s">
        <v>3486</v>
      </c>
      <c r="G5" s="37" t="s">
        <v>3487</v>
      </c>
    </row>
    <row r="6" customFormat="false" ht="64.15" hidden="false" customHeight="false" outlineLevel="0" collapsed="false">
      <c r="A6" s="3" t="s">
        <v>3488</v>
      </c>
      <c r="B6" s="2" t="s">
        <v>3489</v>
      </c>
      <c r="C6" s="2" t="s">
        <v>3490</v>
      </c>
      <c r="D6" s="3" t="s">
        <v>3491</v>
      </c>
      <c r="E6" s="3" t="s">
        <v>3485</v>
      </c>
      <c r="F6" s="2" t="s">
        <v>3492</v>
      </c>
      <c r="G6" s="2" t="s">
        <v>3481</v>
      </c>
    </row>
    <row r="7" customFormat="false" ht="95.5" hidden="false" customHeight="false" outlineLevel="0" collapsed="false">
      <c r="A7" s="36" t="s">
        <v>3493</v>
      </c>
      <c r="B7" s="37" t="s">
        <v>3476</v>
      </c>
      <c r="C7" s="37" t="s">
        <v>3494</v>
      </c>
      <c r="D7" s="37" t="s">
        <v>3495</v>
      </c>
      <c r="E7" s="36" t="s">
        <v>3485</v>
      </c>
      <c r="F7" s="37" t="s">
        <v>3496</v>
      </c>
      <c r="G7" s="37" t="s">
        <v>3487</v>
      </c>
    </row>
    <row r="8" customFormat="false" ht="64.15" hidden="false" customHeight="false" outlineLevel="0" collapsed="false">
      <c r="A8" s="3" t="s">
        <v>3497</v>
      </c>
      <c r="B8" s="2" t="s">
        <v>3489</v>
      </c>
      <c r="C8" s="2" t="s">
        <v>3498</v>
      </c>
      <c r="D8" s="3" t="s">
        <v>3499</v>
      </c>
      <c r="E8" s="3" t="s">
        <v>3485</v>
      </c>
      <c r="F8" s="2" t="s">
        <v>3492</v>
      </c>
      <c r="G8" s="2" t="s">
        <v>3481</v>
      </c>
    </row>
    <row r="9" customFormat="false" ht="48.5" hidden="false" customHeight="false" outlineLevel="0" collapsed="false">
      <c r="A9" s="36" t="s">
        <v>3500</v>
      </c>
      <c r="B9" s="37" t="s">
        <v>3476</v>
      </c>
      <c r="C9" s="37" t="s">
        <v>3501</v>
      </c>
      <c r="D9" s="36" t="s">
        <v>3502</v>
      </c>
      <c r="E9" s="36" t="s">
        <v>3485</v>
      </c>
      <c r="F9" s="37" t="s">
        <v>3503</v>
      </c>
      <c r="G9" s="37" t="s">
        <v>3487</v>
      </c>
    </row>
    <row r="10" customFormat="false" ht="48.5" hidden="false" customHeight="false" outlineLevel="0" collapsed="false">
      <c r="A10" s="3" t="s">
        <v>3504</v>
      </c>
      <c r="B10" s="2" t="s">
        <v>3455</v>
      </c>
      <c r="C10" s="2" t="s">
        <v>3505</v>
      </c>
      <c r="D10" s="2" t="s">
        <v>3506</v>
      </c>
      <c r="E10" s="3" t="s">
        <v>3485</v>
      </c>
      <c r="F10" s="2" t="s">
        <v>3507</v>
      </c>
      <c r="G10" s="2" t="s">
        <v>3481</v>
      </c>
    </row>
    <row r="11" customFormat="false" ht="95.5" hidden="false" customHeight="false" outlineLevel="0" collapsed="false">
      <c r="A11" s="36" t="s">
        <v>3508</v>
      </c>
      <c r="B11" s="37" t="s">
        <v>3476</v>
      </c>
      <c r="C11" s="36" t="s">
        <v>3509</v>
      </c>
      <c r="D11" s="36" t="s">
        <v>3510</v>
      </c>
      <c r="E11" s="36" t="s">
        <v>3485</v>
      </c>
      <c r="F11" s="37" t="s">
        <v>3511</v>
      </c>
      <c r="G11" s="37" t="s">
        <v>3487</v>
      </c>
    </row>
    <row r="12" customFormat="false" ht="48.5" hidden="false" customHeight="false" outlineLevel="0" collapsed="false">
      <c r="A12" s="3" t="s">
        <v>3512</v>
      </c>
      <c r="B12" s="2" t="s">
        <v>3455</v>
      </c>
      <c r="C12" s="3" t="s">
        <v>3513</v>
      </c>
      <c r="D12" s="3" t="s">
        <v>3514</v>
      </c>
      <c r="E12" s="3" t="s">
        <v>3485</v>
      </c>
      <c r="F12" s="2" t="s">
        <v>3515</v>
      </c>
      <c r="G12" s="2" t="s">
        <v>3481</v>
      </c>
    </row>
    <row r="13" customFormat="false" ht="48.5" hidden="false" customHeight="false" outlineLevel="0" collapsed="false">
      <c r="A13" s="3" t="s">
        <v>3516</v>
      </c>
      <c r="B13" s="2" t="s">
        <v>3489</v>
      </c>
      <c r="C13" s="2" t="s">
        <v>3517</v>
      </c>
      <c r="D13" s="3" t="s">
        <v>3518</v>
      </c>
      <c r="E13" s="3" t="s">
        <v>3485</v>
      </c>
      <c r="F13" s="2" t="s">
        <v>3515</v>
      </c>
      <c r="G13" s="2" t="s">
        <v>3481</v>
      </c>
    </row>
    <row r="14" customFormat="false" ht="95.5" hidden="false" customHeight="false" outlineLevel="0" collapsed="false">
      <c r="A14" s="3" t="s">
        <v>3519</v>
      </c>
      <c r="B14" s="2" t="s">
        <v>3476</v>
      </c>
      <c r="C14" s="3" t="s">
        <v>3520</v>
      </c>
      <c r="D14" s="3" t="s">
        <v>3521</v>
      </c>
      <c r="E14" s="3" t="s">
        <v>3485</v>
      </c>
      <c r="F14" s="2" t="s">
        <v>3515</v>
      </c>
      <c r="G14" s="2" t="s">
        <v>3481</v>
      </c>
    </row>
    <row r="15" customFormat="false" ht="48.5" hidden="false" customHeight="false" outlineLevel="0" collapsed="false">
      <c r="A15" s="3" t="s">
        <v>3522</v>
      </c>
      <c r="B15" s="2" t="s">
        <v>3489</v>
      </c>
      <c r="C15" s="2" t="s">
        <v>3523</v>
      </c>
      <c r="D15" s="2" t="s">
        <v>3524</v>
      </c>
      <c r="E15" s="3" t="s">
        <v>3485</v>
      </c>
      <c r="F15" s="2" t="s">
        <v>3515</v>
      </c>
      <c r="G15" s="2" t="s">
        <v>3481</v>
      </c>
    </row>
    <row r="16" customFormat="false" ht="48.5" hidden="false" customHeight="false" outlineLevel="0" collapsed="false">
      <c r="A16" s="3" t="s">
        <v>3525</v>
      </c>
      <c r="B16" s="2" t="s">
        <v>3526</v>
      </c>
      <c r="C16" s="3" t="s">
        <v>3527</v>
      </c>
      <c r="D16" s="2" t="s">
        <v>3528</v>
      </c>
      <c r="E16" s="3" t="s">
        <v>3529</v>
      </c>
      <c r="F16" s="2" t="s">
        <v>3530</v>
      </c>
      <c r="G16" s="2" t="s">
        <v>3481</v>
      </c>
    </row>
    <row r="17" customFormat="false" ht="111.15" hidden="false" customHeight="false" outlineLevel="0" collapsed="false">
      <c r="A17" s="36" t="s">
        <v>3531</v>
      </c>
      <c r="B17" s="37" t="s">
        <v>3476</v>
      </c>
      <c r="C17" s="36" t="s">
        <v>3532</v>
      </c>
      <c r="D17" s="36" t="s">
        <v>3533</v>
      </c>
      <c r="E17" s="36" t="s">
        <v>3485</v>
      </c>
      <c r="F17" s="37" t="s">
        <v>3511</v>
      </c>
      <c r="G17" s="37" t="s">
        <v>3487</v>
      </c>
    </row>
    <row r="18" customFormat="false" ht="111.15" hidden="false" customHeight="false" outlineLevel="0" collapsed="false">
      <c r="A18" s="36" t="s">
        <v>3534</v>
      </c>
      <c r="B18" s="37" t="s">
        <v>3476</v>
      </c>
      <c r="C18" s="36" t="s">
        <v>3535</v>
      </c>
      <c r="D18" s="37" t="s">
        <v>3536</v>
      </c>
      <c r="E18" s="36" t="s">
        <v>3485</v>
      </c>
      <c r="F18" s="37" t="s">
        <v>3537</v>
      </c>
      <c r="G18" s="37" t="s">
        <v>3487</v>
      </c>
    </row>
    <row r="19" customFormat="false" ht="142.5" hidden="false" customHeight="false" outlineLevel="0" collapsed="false">
      <c r="A19" s="36" t="s">
        <v>3538</v>
      </c>
      <c r="B19" s="37" t="s">
        <v>3476</v>
      </c>
      <c r="C19" s="36" t="s">
        <v>3539</v>
      </c>
      <c r="D19" s="36" t="s">
        <v>3540</v>
      </c>
      <c r="E19" s="36" t="s">
        <v>3485</v>
      </c>
      <c r="F19" s="37" t="s">
        <v>3541</v>
      </c>
      <c r="G19" s="37" t="s">
        <v>3487</v>
      </c>
    </row>
    <row r="20" customFormat="false" ht="48.5" hidden="false" customHeight="false" outlineLevel="0" collapsed="false">
      <c r="A20" s="3" t="s">
        <v>3542</v>
      </c>
      <c r="B20" s="2" t="s">
        <v>3543</v>
      </c>
      <c r="C20" s="3" t="s">
        <v>3544</v>
      </c>
      <c r="D20" s="2" t="s">
        <v>3545</v>
      </c>
      <c r="E20" s="3" t="s">
        <v>3485</v>
      </c>
      <c r="F20" s="3" t="s">
        <v>3546</v>
      </c>
      <c r="G20" s="2" t="s">
        <v>3547</v>
      </c>
    </row>
    <row r="21" customFormat="false" ht="111.15" hidden="false" customHeight="false" outlineLevel="0" collapsed="false">
      <c r="A21" s="36" t="s">
        <v>3548</v>
      </c>
      <c r="B21" s="37" t="s">
        <v>3476</v>
      </c>
      <c r="C21" s="36" t="s">
        <v>3549</v>
      </c>
      <c r="D21" s="37" t="s">
        <v>3550</v>
      </c>
      <c r="E21" s="36" t="s">
        <v>3485</v>
      </c>
      <c r="F21" s="37" t="s">
        <v>3551</v>
      </c>
      <c r="G21" s="37" t="s">
        <v>3487</v>
      </c>
    </row>
    <row r="22" customFormat="false" ht="79.85" hidden="false" customHeight="false" outlineLevel="0" collapsed="false">
      <c r="A22" s="36" t="s">
        <v>3552</v>
      </c>
      <c r="B22" s="37" t="s">
        <v>3476</v>
      </c>
      <c r="C22" s="36" t="s">
        <v>3553</v>
      </c>
      <c r="D22" s="36" t="s">
        <v>3554</v>
      </c>
      <c r="E22" s="36" t="s">
        <v>3485</v>
      </c>
      <c r="F22" s="36" t="s">
        <v>3555</v>
      </c>
      <c r="G22" s="37" t="s">
        <v>3487</v>
      </c>
    </row>
    <row r="23" customFormat="false" ht="173.85" hidden="false" customHeight="false" outlineLevel="0" collapsed="false">
      <c r="A23" s="36" t="s">
        <v>3556</v>
      </c>
      <c r="B23" s="37" t="s">
        <v>3476</v>
      </c>
      <c r="C23" s="36" t="s">
        <v>3557</v>
      </c>
      <c r="D23" s="36" t="s">
        <v>3558</v>
      </c>
      <c r="E23" s="36" t="s">
        <v>3485</v>
      </c>
      <c r="F23" s="36" t="s">
        <v>3559</v>
      </c>
      <c r="G23" s="37" t="s">
        <v>3487</v>
      </c>
    </row>
    <row r="24" customFormat="false" ht="126.85" hidden="false" customHeight="false" outlineLevel="0" collapsed="false">
      <c r="A24" s="36" t="s">
        <v>3560</v>
      </c>
      <c r="B24" s="37" t="s">
        <v>3476</v>
      </c>
      <c r="C24" s="36" t="s">
        <v>3561</v>
      </c>
      <c r="D24" s="36" t="s">
        <v>3562</v>
      </c>
      <c r="E24" s="36" t="s">
        <v>3485</v>
      </c>
      <c r="F24" s="36" t="s">
        <v>3563</v>
      </c>
      <c r="G24" s="37" t="s">
        <v>3487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3564</v>
      </c>
    </row>
    <row r="3" customFormat="false" ht="15" hidden="false" customHeight="false" outlineLevel="0" collapsed="false">
      <c r="A3" s="5" t="s">
        <v>2135</v>
      </c>
      <c r="B3" s="4" t="s">
        <v>3473</v>
      </c>
      <c r="C3" s="4" t="s">
        <v>3565</v>
      </c>
      <c r="D3" s="4" t="s">
        <v>2146</v>
      </c>
      <c r="E3" s="4" t="s">
        <v>50</v>
      </c>
      <c r="F3" s="4" t="s">
        <v>3566</v>
      </c>
      <c r="G3" s="4" t="s">
        <v>3567</v>
      </c>
      <c r="H3" s="4" t="s">
        <v>3568</v>
      </c>
      <c r="I3" s="4" t="s">
        <v>3569</v>
      </c>
      <c r="J3" s="4" t="s">
        <v>3570</v>
      </c>
      <c r="K3" s="4" t="s">
        <v>3571</v>
      </c>
      <c r="L3" s="4" t="s">
        <v>3572</v>
      </c>
    </row>
    <row r="4" customFormat="false" ht="17.15" hidden="false" customHeight="false" outlineLevel="0" collapsed="false">
      <c r="A4" s="6" t="s">
        <v>3573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2026-10-27T11:34:33Z</dcterms:created>
  <dc:creator>openpyxl</dc:creator>
  <dc:description/>
  <dc:language>en-US</dc:language>
  <cp:lastModifiedBy/>
  <dcterms:modified xsi:type="dcterms:W3CDTF">2026-10-27T11:34:33Z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