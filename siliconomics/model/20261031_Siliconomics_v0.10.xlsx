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cen" sheetId="2" state="visible" r:id="rId4"/>
    <sheet name="In" sheetId="3" state="visible" r:id="rId5"/>
    <sheet name="Units" sheetId="4" state="visible" r:id="rId6"/>
    <sheet name="ShareTbl" sheetId="5" state="visible" r:id="rId7"/>
    <sheet name="Deploy" sheetId="6" state="visible" r:id="rId8"/>
    <sheet name="ABF" sheetId="7" state="visible" r:id="rId9"/>
    <sheet name="PGW" sheetId="8" state="visible" r:id="rId10"/>
    <sheet name="Rack" sheetId="9" state="visible" r:id="rId11"/>
    <sheet name="Equip" sheetId="10" state="visible" r:id="rId12"/>
    <sheet name="Path" sheetId="11" state="visible" r:id="rId13"/>
    <sheet name="Mkt" sheetId="12" state="visible" r:id="rId14"/>
    <sheet name="TK_In" sheetId="13" state="visible" r:id="rId15"/>
    <sheet name="Conflicts" sheetId="14" state="visible" r:id="rId16"/>
    <sheet name="Interface" sheetId="15" state="visible" r:id="rId17"/>
    <sheet name="Checks" sheetId="16" state="visible" r:id="rId18"/>
    <sheet name="Decisions" sheetId="17" state="visible" r:id="rId19"/>
    <sheet name="DB_Evidence" sheetId="18" state="visible" r:id="rId20"/>
  </sheets>
  <definedNames>
    <definedName function="false" hidden="false" name="abfcap_ib_27" vbProcedure="false">In!$E$388</definedName>
    <definedName function="false" hidden="false" name="abfcap_ib_27_hi" vbProcedure="false">In!$F$388</definedName>
    <definedName function="false" hidden="false" name="abfcap_ib_27_lo" vbProcedure="false">In!$D$388</definedName>
    <definedName function="false" hidden="false" name="abfcap_ib_28" vbProcedure="false">In!$E$389</definedName>
    <definedName function="false" hidden="false" name="abfcap_ib_28_hi" vbProcedure="false">In!$F$389</definedName>
    <definedName function="false" hidden="false" name="abfcap_ib_28_lo" vbProcedure="false">In!$D$389</definedName>
    <definedName function="false" hidden="false" name="abfcap_ib_29" vbProcedure="false">In!$E$390</definedName>
    <definedName function="false" hidden="false" name="abfcap_ib_29_hi" vbProcedure="false">In!$F$390</definedName>
    <definedName function="false" hidden="false" name="abfcap_ib_29_lo" vbProcedure="false">In!$D$390</definedName>
    <definedName function="false" hidden="false" name="abfcap_ks_27" vbProcedure="false">In!$E$397</definedName>
    <definedName function="false" hidden="false" name="abfcap_ks_27_hi" vbProcedure="false">In!$F$397</definedName>
    <definedName function="false" hidden="false" name="abfcap_ks_27_lo" vbProcedure="false">In!$D$397</definedName>
    <definedName function="false" hidden="false" name="abfcap_ks_28" vbProcedure="false">In!$E$398</definedName>
    <definedName function="false" hidden="false" name="abfcap_ks_28_hi" vbProcedure="false">In!$F$398</definedName>
    <definedName function="false" hidden="false" name="abfcap_ks_28_lo" vbProcedure="false">In!$D$398</definedName>
    <definedName function="false" hidden="false" name="abfcap_ks_29" vbProcedure="false">In!$E$399</definedName>
    <definedName function="false" hidden="false" name="abfcap_ks_29_hi" vbProcedure="false">In!$F$399</definedName>
    <definedName function="false" hidden="false" name="abfcap_ks_29_lo" vbProcedure="false">In!$D$399</definedName>
    <definedName function="false" hidden="false" name="abfcap_np_27" vbProcedure="false">In!$E$394</definedName>
    <definedName function="false" hidden="false" name="abfcap_np_27_hi" vbProcedure="false">In!$F$394</definedName>
    <definedName function="false" hidden="false" name="abfcap_np_27_lo" vbProcedure="false">In!$D$394</definedName>
    <definedName function="false" hidden="false" name="abfcap_np_28" vbProcedure="false">In!$E$395</definedName>
    <definedName function="false" hidden="false" name="abfcap_np_28_hi" vbProcedure="false">In!$F$395</definedName>
    <definedName function="false" hidden="false" name="abfcap_np_28_lo" vbProcedure="false">In!$D$395</definedName>
    <definedName function="false" hidden="false" name="abfcap_np_29" vbProcedure="false">In!$E$396</definedName>
    <definedName function="false" hidden="false" name="abfcap_np_29_hi" vbProcedure="false">In!$F$396</definedName>
    <definedName function="false" hidden="false" name="abfcap_np_29_lo" vbProcedure="false">In!$D$396</definedName>
    <definedName function="false" hidden="false" name="abfcap_oth_27" vbProcedure="false">In!$E$400</definedName>
    <definedName function="false" hidden="false" name="abfcap_oth_27_hi" vbProcedure="false">In!$F$400</definedName>
    <definedName function="false" hidden="false" name="abfcap_oth_27_lo" vbProcedure="false">In!$D$400</definedName>
    <definedName function="false" hidden="false" name="abfcap_oth_28" vbProcedure="false">In!$E$401</definedName>
    <definedName function="false" hidden="false" name="abfcap_oth_28_hi" vbProcedure="false">In!$F$401</definedName>
    <definedName function="false" hidden="false" name="abfcap_oth_28_lo" vbProcedure="false">In!$D$401</definedName>
    <definedName function="false" hidden="false" name="abfcap_oth_29" vbProcedure="false">In!$E$402</definedName>
    <definedName function="false" hidden="false" name="abfcap_oth_29_hi" vbProcedure="false">In!$F$402</definedName>
    <definedName function="false" hidden="false" name="abfcap_oth_29_lo" vbProcedure="false">In!$D$402</definedName>
    <definedName function="false" hidden="false" name="abfcap_un_27" vbProcedure="false">In!$E$391</definedName>
    <definedName function="false" hidden="false" name="abfcap_un_27_hi" vbProcedure="false">In!$F$391</definedName>
    <definedName function="false" hidden="false" name="abfcap_un_27_lo" vbProcedure="false">In!$D$391</definedName>
    <definedName function="false" hidden="false" name="abfcap_un_28" vbProcedure="false">In!$E$392</definedName>
    <definedName function="false" hidden="false" name="abfcap_un_28_hi" vbProcedure="false">In!$F$392</definedName>
    <definedName function="false" hidden="false" name="abfcap_un_28_lo" vbProcedure="false">In!$D$392</definedName>
    <definedName function="false" hidden="false" name="abfcap_un_29" vbProcedure="false">In!$E$393</definedName>
    <definedName function="false" hidden="false" name="abfcap_un_29_hi" vbProcedure="false">In!$F$393</definedName>
    <definedName function="false" hidden="false" name="abfcap_un_29_lo" vbProcedure="false">In!$D$393</definedName>
    <definedName function="false" hidden="false" name="abffilm_27" vbProcedure="false">In!$E$403</definedName>
    <definedName function="false" hidden="false" name="abffilm_27_hi" vbProcedure="false">In!$F$403</definedName>
    <definedName function="false" hidden="false" name="abffilm_27_lo" vbProcedure="false">In!$D$403</definedName>
    <definedName function="false" hidden="false" name="abffilm_28" vbProcedure="false">In!$E$404</definedName>
    <definedName function="false" hidden="false" name="abffilm_28_hi" vbProcedure="false">In!$F$404</definedName>
    <definedName function="false" hidden="false" name="abffilm_28_lo" vbProcedure="false">In!$D$404</definedName>
    <definedName function="false" hidden="false" name="abffilm_29" vbProcedure="false">In!$E$405</definedName>
    <definedName function="false" hidden="false" name="abffilm_29_hi" vbProcedure="false">In!$F$405</definedName>
    <definedName function="false" hidden="false" name="abffilm_29_lo" vbProcedure="false">In!$D$405</definedName>
    <definedName function="false" hidden="false" name="abfm_25" vbProcedure="false">In!$E$378</definedName>
    <definedName function="false" hidden="false" name="abfm_g26" vbProcedure="false">In!$E$379</definedName>
    <definedName function="false" hidden="false" name="abfm_g26_hi" vbProcedure="false">In!$F$379</definedName>
    <definedName function="false" hidden="false" name="abfm_g26_lo" vbProcedure="false">In!$D$379</definedName>
    <definedName function="false" hidden="false" name="abfrev_ib26" vbProcedure="false">In!$E$384</definedName>
    <definedName function="false" hidden="false" name="abfrev_ib26_hi" vbProcedure="false">In!$F$384</definedName>
    <definedName function="false" hidden="false" name="abfrev_ib26_lo" vbProcedure="false">In!$D$384</definedName>
    <definedName function="false" hidden="false" name="abfrev_ks26" vbProcedure="false">In!$E$387</definedName>
    <definedName function="false" hidden="false" name="abfrev_np26" vbProcedure="false">In!$E$386</definedName>
    <definedName function="false" hidden="false" name="abfrev_un26" vbProcedure="false">In!$E$385</definedName>
    <definedName function="false" hidden="false" name="abf_accsh26" vbProcedure="false">In!$E$381</definedName>
    <definedName function="false" hidden="false" name="abf_accsh26_hi" vbProcedure="false">In!$F$381</definedName>
    <definedName function="false" hidden="false" name="abf_accsh26_lo" vbProcedure="false">In!$D$381</definedName>
    <definedName function="false" hidden="false" name="abf_ai26" vbProcedure="false">In!$E$380</definedName>
    <definedName function="false" hidden="false" name="abf_ai26_hi" vbProcedure="false">In!$F$380</definedName>
    <definedName function="false" hidden="false" name="abf_ai26_lo" vbProcedure="false">In!$D$380</definedName>
    <definedName function="false" hidden="false" name="abf_gap_26" vbProcedure="false">In!$E$353</definedName>
    <definedName function="false" hidden="false" name="abf_gap_26_hi" vbProcedure="false">In!$F$353</definedName>
    <definedName function="false" hidden="false" name="abf_gap_26_lo" vbProcedure="false">In!$D$353</definedName>
    <definedName function="false" hidden="false" name="abf_gap_27" vbProcedure="false">In!$E$354</definedName>
    <definedName function="false" hidden="false" name="abf_gap_27_hi" vbProcedure="false">In!$F$354</definedName>
    <definedName function="false" hidden="false" name="abf_gap_27_lo" vbProcedure="false">In!$D$354</definedName>
    <definedName function="false" hidden="false" name="abf_gap_28" vbProcedure="false">In!$E$355</definedName>
    <definedName function="false" hidden="false" name="abf_gap_28_hi" vbProcedure="false">In!$F$355</definedName>
    <definedName function="false" hidden="false" name="abf_gap_28_lo" vbProcedure="false">In!$D$355</definedName>
    <definedName function="false" hidden="false" name="abf_gasp" vbProcedure="false">In!$E$325</definedName>
    <definedName function="false" hidden="false" name="abf_gasp_hi" vbProcedure="false">In!$F$325</definedName>
    <definedName function="false" hidden="false" name="abf_gasp_lo" vbProcedure="false">In!$D$325</definedName>
    <definedName function="false" hidden="false" name="abf_gnai" vbProcedure="false">In!$E$383</definedName>
    <definedName function="false" hidden="false" name="abf_gnai_hi" vbProcedure="false">In!$F$383</definedName>
    <definedName function="false" hidden="false" name="abf_gnai_lo" vbProcedure="false">In!$D$383</definedName>
    <definedName function="false" hidden="false" name="abf_ibrel_27" vbProcedure="false">In!$E$320</definedName>
    <definedName function="false" hidden="false" name="abf_ibrel_27_hi" vbProcedure="false">In!$F$320</definedName>
    <definedName function="false" hidden="false" name="abf_ibrel_27_lo" vbProcedure="false">In!$D$320</definedName>
    <definedName function="false" hidden="false" name="abf_ibrel_28" vbProcedure="false">In!$E$321</definedName>
    <definedName function="false" hidden="false" name="abf_ibrel_28_hi" vbProcedure="false">In!$F$321</definedName>
    <definedName function="false" hidden="false" name="abf_ibrel_28_lo" vbProcedure="false">In!$D$321</definedName>
    <definedName function="false" hidden="false" name="abf_ibrel_29" vbProcedure="false">In!$E$322</definedName>
    <definedName function="false" hidden="false" name="abf_ibrel_29_hi" vbProcedure="false">In!$F$322</definedName>
    <definedName function="false" hidden="false" name="abf_ibrel_29_lo" vbProcedure="false">In!$D$322</definedName>
    <definedName function="false" hidden="false" name="abf_ibsh26" vbProcedure="false">In!$E$319</definedName>
    <definedName function="false" hidden="false" name="abf_ibsh26_hi" vbProcedure="false">In!$F$319</definedName>
    <definedName function="false" hidden="false" name="abf_ibsh26_lo" vbProcedure="false">In!$D$319</definedName>
    <definedName function="false" hidden="false" name="abf_ks_nv_26" vbProcedure="false">In!$E$345</definedName>
    <definedName function="false" hidden="false" name="abf_ks_nv_26_hi" vbProcedure="false">In!$F$345</definedName>
    <definedName function="false" hidden="false" name="abf_ks_nv_26_lo" vbProcedure="false">In!$D$345</definedName>
    <definedName function="false" hidden="false" name="abf_ks_nv_27" vbProcedure="false">In!$E$346</definedName>
    <definedName function="false" hidden="false" name="abf_ks_nv_27_hi" vbProcedure="false">In!$F$346</definedName>
    <definedName function="false" hidden="false" name="abf_ks_nv_27_lo" vbProcedure="false">In!$D$346</definedName>
    <definedName function="false" hidden="false" name="abf_ks_nv_28" vbProcedure="false">In!$E$347</definedName>
    <definedName function="false" hidden="false" name="abf_ks_nv_28_hi" vbProcedure="false">In!$F$347</definedName>
    <definedName function="false" hidden="false" name="abf_ks_nv_28_lo" vbProcedure="false">In!$D$347</definedName>
    <definedName function="false" hidden="false" name="abf_ks_nv_29" vbProcedure="false">In!$E$348</definedName>
    <definedName function="false" hidden="false" name="abf_ks_nv_29_hi" vbProcedure="false">In!$F$348</definedName>
    <definedName function="false" hidden="false" name="abf_ks_nv_29_lo" vbProcedure="false">In!$D$348</definedName>
    <definedName function="false" hidden="false" name="abf_ks_ot_26" vbProcedure="false">In!$E$349</definedName>
    <definedName function="false" hidden="false" name="abf_ks_ot_26_hi" vbProcedure="false">In!$F$349</definedName>
    <definedName function="false" hidden="false" name="abf_ks_ot_26_lo" vbProcedure="false">In!$D$349</definedName>
    <definedName function="false" hidden="false" name="abf_ks_ot_27" vbProcedure="false">In!$E$350</definedName>
    <definedName function="false" hidden="false" name="abf_ks_ot_27_hi" vbProcedure="false">In!$F$350</definedName>
    <definedName function="false" hidden="false" name="abf_ks_ot_27_lo" vbProcedure="false">In!$D$350</definedName>
    <definedName function="false" hidden="false" name="abf_ks_ot_28" vbProcedure="false">In!$E$351</definedName>
    <definedName function="false" hidden="false" name="abf_ks_ot_28_hi" vbProcedure="false">In!$F$351</definedName>
    <definedName function="false" hidden="false" name="abf_ks_ot_28_lo" vbProcedure="false">In!$D$351</definedName>
    <definedName function="false" hidden="false" name="abf_ks_ot_29" vbProcedure="false">In!$E$352</definedName>
    <definedName function="false" hidden="false" name="abf_ks_ot_29_hi" vbProcedure="false">In!$F$352</definedName>
    <definedName function="false" hidden="false" name="abf_ks_ot_29_lo" vbProcedure="false">In!$D$352</definedName>
    <definedName function="false" hidden="false" name="abf_np_nv_26" vbProcedure="false">In!$E$337</definedName>
    <definedName function="false" hidden="false" name="abf_np_nv_26_hi" vbProcedure="false">In!$F$337</definedName>
    <definedName function="false" hidden="false" name="abf_np_nv_26_lo" vbProcedure="false">In!$D$337</definedName>
    <definedName function="false" hidden="false" name="abf_np_nv_27" vbProcedure="false">In!$E$338</definedName>
    <definedName function="false" hidden="false" name="abf_np_nv_27_hi" vbProcedure="false">In!$F$338</definedName>
    <definedName function="false" hidden="false" name="abf_np_nv_27_lo" vbProcedure="false">In!$D$338</definedName>
    <definedName function="false" hidden="false" name="abf_np_nv_28" vbProcedure="false">In!$E$339</definedName>
    <definedName function="false" hidden="false" name="abf_np_nv_28_hi" vbProcedure="false">In!$F$339</definedName>
    <definedName function="false" hidden="false" name="abf_np_nv_28_lo" vbProcedure="false">In!$D$339</definedName>
    <definedName function="false" hidden="false" name="abf_np_nv_29" vbProcedure="false">In!$E$340</definedName>
    <definedName function="false" hidden="false" name="abf_np_nv_29_hi" vbProcedure="false">In!$F$340</definedName>
    <definedName function="false" hidden="false" name="abf_np_nv_29_lo" vbProcedure="false">In!$D$340</definedName>
    <definedName function="false" hidden="false" name="abf_np_ot_26" vbProcedure="false">In!$E$341</definedName>
    <definedName function="false" hidden="false" name="abf_np_ot_26_hi" vbProcedure="false">In!$F$341</definedName>
    <definedName function="false" hidden="false" name="abf_np_ot_26_lo" vbProcedure="false">In!$D$341</definedName>
    <definedName function="false" hidden="false" name="abf_np_ot_27" vbProcedure="false">In!$E$342</definedName>
    <definedName function="false" hidden="false" name="abf_np_ot_27_hi" vbProcedure="false">In!$F$342</definedName>
    <definedName function="false" hidden="false" name="abf_np_ot_27_lo" vbProcedure="false">In!$D$342</definedName>
    <definedName function="false" hidden="false" name="abf_np_ot_28" vbProcedure="false">In!$E$343</definedName>
    <definedName function="false" hidden="false" name="abf_np_ot_28_hi" vbProcedure="false">In!$F$343</definedName>
    <definedName function="false" hidden="false" name="abf_np_ot_28_lo" vbProcedure="false">In!$D$343</definedName>
    <definedName function="false" hidden="false" name="abf_np_ot_29" vbProcedure="false">In!$E$344</definedName>
    <definedName function="false" hidden="false" name="abf_np_ot_29_hi" vbProcedure="false">In!$F$344</definedName>
    <definedName function="false" hidden="false" name="abf_np_ot_29_lo" vbProcedure="false">In!$D$344</definedName>
    <definedName function="false" hidden="false" name="abf_oai_el" vbProcedure="false">In!$E$382</definedName>
    <definedName function="false" hidden="false" name="abf_oai_el_hi" vbProcedure="false">In!$F$382</definedName>
    <definedName function="false" hidden="false" name="abf_oai_el_lo" vbProcedure="false">In!$D$382</definedName>
    <definedName function="false" hidden="false" name="abf_pp_27" vbProcedure="false">In!$E$326</definedName>
    <definedName function="false" hidden="false" name="abf_pp_27_hi" vbProcedure="false">In!$F$326</definedName>
    <definedName function="false" hidden="false" name="abf_pp_27_lo" vbProcedure="false">In!$D$326</definedName>
    <definedName function="false" hidden="false" name="abf_pp_28" vbProcedure="false">In!$E$327</definedName>
    <definedName function="false" hidden="false" name="abf_pp_28_hi" vbProcedure="false">In!$F$327</definedName>
    <definedName function="false" hidden="false" name="abf_pp_28_lo" vbProcedure="false">In!$D$327</definedName>
    <definedName function="false" hidden="false" name="abf_pp_29" vbProcedure="false">In!$E$328</definedName>
    <definedName function="false" hidden="false" name="abf_pp_29_hi" vbProcedure="false">In!$F$328</definedName>
    <definedName function="false" hidden="false" name="abf_pp_29_lo" vbProcedure="false">In!$D$328</definedName>
    <definedName function="false" hidden="false" name="abf_un_nv_26" vbProcedure="false">In!$E$329</definedName>
    <definedName function="false" hidden="false" name="abf_un_nv_26_hi" vbProcedure="false">In!$F$329</definedName>
    <definedName function="false" hidden="false" name="abf_un_nv_26_lo" vbProcedure="false">In!$D$329</definedName>
    <definedName function="false" hidden="false" name="abf_un_nv_27" vbProcedure="false">In!$E$330</definedName>
    <definedName function="false" hidden="false" name="abf_un_nv_27_hi" vbProcedure="false">In!$F$330</definedName>
    <definedName function="false" hidden="false" name="abf_un_nv_27_lo" vbProcedure="false">In!$D$330</definedName>
    <definedName function="false" hidden="false" name="abf_un_nv_28" vbProcedure="false">In!$E$331</definedName>
    <definedName function="false" hidden="false" name="abf_un_nv_28_hi" vbProcedure="false">In!$F$331</definedName>
    <definedName function="false" hidden="false" name="abf_un_nv_28_lo" vbProcedure="false">In!$D$331</definedName>
    <definedName function="false" hidden="false" name="abf_un_nv_29" vbProcedure="false">In!$E$332</definedName>
    <definedName function="false" hidden="false" name="abf_un_nv_29_hi" vbProcedure="false">In!$F$332</definedName>
    <definedName function="false" hidden="false" name="abf_un_nv_29_lo" vbProcedure="false">In!$D$332</definedName>
    <definedName function="false" hidden="false" name="abf_un_ot_26" vbProcedure="false">In!$E$333</definedName>
    <definedName function="false" hidden="false" name="abf_un_ot_26_hi" vbProcedure="false">In!$F$333</definedName>
    <definedName function="false" hidden="false" name="abf_un_ot_26_lo" vbProcedure="false">In!$D$333</definedName>
    <definedName function="false" hidden="false" name="abf_un_ot_27" vbProcedure="false">In!$E$334</definedName>
    <definedName function="false" hidden="false" name="abf_un_ot_27_hi" vbProcedure="false">In!$F$334</definedName>
    <definedName function="false" hidden="false" name="abf_un_ot_27_lo" vbProcedure="false">In!$D$334</definedName>
    <definedName function="false" hidden="false" name="abf_un_ot_28" vbProcedure="false">In!$E$335</definedName>
    <definedName function="false" hidden="false" name="abf_un_ot_28_hi" vbProcedure="false">In!$F$335</definedName>
    <definedName function="false" hidden="false" name="abf_un_ot_28_lo" vbProcedure="false">In!$D$335</definedName>
    <definedName function="false" hidden="false" name="abf_un_ot_29" vbProcedure="false">In!$E$336</definedName>
    <definedName function="false" hidden="false" name="abf_un_ot_29_hi" vbProcedure="false">In!$F$336</definedName>
    <definedName function="false" hidden="false" name="abf_un_ot_29_lo" vbProcedure="false">In!$D$336</definedName>
    <definedName function="false" hidden="false" name="abf_vot" vbProcedure="false">In!$E$324</definedName>
    <definedName function="false" hidden="false" name="abf_vot_hi" vbProcedure="false">In!$F$324</definedName>
    <definedName function="false" hidden="false" name="abf_vot_lo" vbProcedure="false">In!$D$324</definedName>
    <definedName function="false" hidden="false" name="abf_wot_ib" vbProcedure="false">In!$E$323</definedName>
    <definedName function="false" hidden="false" name="abf_wot_ib_hi" vbProcedure="false">In!$F$323</definedName>
    <definedName function="false" hidden="false" name="abf_wot_ib_lo" vbProcedure="false">In!$D$323</definedName>
    <definedName function="false" hidden="false" name="al27_A" vbProcedure="false">In!$E$211</definedName>
    <definedName function="false" hidden="false" name="al27_A_hi" vbProcedure="false">In!$F$211</definedName>
    <definedName function="false" hidden="false" name="al27_A_lo" vbProcedure="false">In!$D$211</definedName>
    <definedName function="false" hidden="false" name="al27_B" vbProcedure="false">In!$E$212</definedName>
    <definedName function="false" hidden="false" name="al27_B_hi" vbProcedure="false">In!$F$212</definedName>
    <definedName function="false" hidden="false" name="al27_B_lo" vbProcedure="false">In!$D$212</definedName>
    <definedName function="false" hidden="false" name="al27_C" vbProcedure="false">In!$E$213</definedName>
    <definedName function="false" hidden="false" name="al27_C_hi" vbProcedure="false">In!$F$213</definedName>
    <definedName function="false" hidden="false" name="al27_C_lo" vbProcedure="false">In!$D$213</definedName>
    <definedName function="false" hidden="false" name="al28_A" vbProcedure="false">In!$E$214</definedName>
    <definedName function="false" hidden="false" name="al28_A_hi" vbProcedure="false">In!$F$214</definedName>
    <definedName function="false" hidden="false" name="al28_A_lo" vbProcedure="false">In!$D$214</definedName>
    <definedName function="false" hidden="false" name="al28_B" vbProcedure="false">In!$E$215</definedName>
    <definedName function="false" hidden="false" name="al28_B_hi" vbProcedure="false">In!$F$215</definedName>
    <definedName function="false" hidden="false" name="al28_B_lo" vbProcedure="false">In!$D$215</definedName>
    <definedName function="false" hidden="false" name="al28_C" vbProcedure="false">In!$E$216</definedName>
    <definedName function="false" hidden="false" name="al28_C_hi" vbProcedure="false">In!$F$216</definedName>
    <definedName function="false" hidden="false" name="al28_C_lo" vbProcedure="false">In!$D$216</definedName>
    <definedName function="false" hidden="false" name="al_trn_26" vbProcedure="false">In!$E$210</definedName>
    <definedName function="false" hidden="false" name="al_trn_26_hi" vbProcedure="false">In!$F$210</definedName>
    <definedName function="false" hidden="false" name="al_trn_26_lo" vbProcedure="false">In!$D$210</definedName>
    <definedName function="false" hidden="false" name="asm_fxrel_27" vbProcedure="false">In!$E$653</definedName>
    <definedName function="false" hidden="false" name="asm_fxrel_27_hi" vbProcedure="false">In!$F$653</definedName>
    <definedName function="false" hidden="false" name="asm_fxrel_27_lo" vbProcedure="false">In!$D$653</definedName>
    <definedName function="false" hidden="false" name="asm_fxrel_28" vbProcedure="false">In!$E$654</definedName>
    <definedName function="false" hidden="false" name="asm_fxrel_28_hi" vbProcedure="false">In!$F$654</definedName>
    <definedName function="false" hidden="false" name="asm_fxrel_28_lo" vbProcedure="false">In!$D$654</definedName>
    <definedName function="false" hidden="false" name="asm_fxrel_29" vbProcedure="false">In!$E$655</definedName>
    <definedName function="false" hidden="false" name="asm_fxrel_29_hi" vbProcedure="false">In!$F$655</definedName>
    <definedName function="false" hidden="false" name="asm_fxrel_29_lo" vbProcedure="false">In!$D$655</definedName>
    <definedName function="false" hidden="false" name="asm_fxsh_26" vbProcedure="false">In!$E$647</definedName>
    <definedName function="false" hidden="false" name="asm_odm_gb" vbProcedure="false">In!$E$449</definedName>
    <definedName function="false" hidden="false" name="asm_odm_gb_hi" vbProcedure="false">In!$F$449</definedName>
    <definedName function="false" hidden="false" name="asm_odm_gb_lo" vbProcedure="false">In!$D$449</definedName>
    <definedName function="false" hidden="false" name="asm_odm_vr" vbProcedure="false">In!$E$450</definedName>
    <definedName function="false" hidden="false" name="asm_odm_vr_hi" vbProcedure="false">In!$F$450</definedName>
    <definedName function="false" hidden="false" name="asm_odm_vr_lo" vbProcedure="false">In!$D$450</definedName>
    <definedName function="false" hidden="false" name="asm_qurel_27" vbProcedure="false">In!$E$650</definedName>
    <definedName function="false" hidden="false" name="asm_qurel_27_hi" vbProcedure="false">In!$F$650</definedName>
    <definedName function="false" hidden="false" name="asm_qurel_27_lo" vbProcedure="false">In!$D$650</definedName>
    <definedName function="false" hidden="false" name="asm_qurel_28" vbProcedure="false">In!$E$651</definedName>
    <definedName function="false" hidden="false" name="asm_qurel_28_hi" vbProcedure="false">In!$F$651</definedName>
    <definedName function="false" hidden="false" name="asm_qurel_28_lo" vbProcedure="false">In!$D$651</definedName>
    <definedName function="false" hidden="false" name="asm_qurel_29" vbProcedure="false">In!$E$652</definedName>
    <definedName function="false" hidden="false" name="asm_qurel_29_hi" vbProcedure="false">In!$F$652</definedName>
    <definedName function="false" hidden="false" name="asm_qurel_29_lo" vbProcedure="false">In!$D$652</definedName>
    <definedName function="false" hidden="false" name="asm_qush_26" vbProcedure="false">In!$E$646</definedName>
    <definedName function="false" hidden="false" name="asm_wirel_27" vbProcedure="false">In!$E$656</definedName>
    <definedName function="false" hidden="false" name="asm_wirel_27_hi" vbProcedure="false">In!$F$656</definedName>
    <definedName function="false" hidden="false" name="asm_wirel_27_lo" vbProcedure="false">In!$D$656</definedName>
    <definedName function="false" hidden="false" name="asm_wirel_28" vbProcedure="false">In!$E$657</definedName>
    <definedName function="false" hidden="false" name="asm_wirel_28_hi" vbProcedure="false">In!$F$657</definedName>
    <definedName function="false" hidden="false" name="asm_wirel_28_lo" vbProcedure="false">In!$D$657</definedName>
    <definedName function="false" hidden="false" name="asm_wirel_29" vbProcedure="false">In!$E$658</definedName>
    <definedName function="false" hidden="false" name="asm_wirel_29_hi" vbProcedure="false">In!$F$658</definedName>
    <definedName function="false" hidden="false" name="asm_wirel_29_lo" vbProcedure="false">In!$D$658</definedName>
    <definedName function="false" hidden="false" name="asm_wish_26" vbProcedure="false">In!$E$648</definedName>
    <definedName function="false" hidden="false" name="asm_wyai_26" vbProcedure="false">In!$E$451</definedName>
    <definedName function="false" hidden="false" name="asm_wyai_26_hi" vbProcedure="false">In!$F$451</definedName>
    <definedName function="false" hidden="false" name="asm_wyai_26_lo" vbProcedure="false">In!$D$451</definedName>
    <definedName function="false" hidden="false" name="asm_wyam" vbProcedure="false">In!$E$662</definedName>
    <definedName function="false" hidden="false" name="asm_wyam_hi" vbProcedure="false">In!$F$662</definedName>
    <definedName function="false" hidden="false" name="asm_wyam_lo" vbProcedure="false">In!$D$662</definedName>
    <definedName function="false" hidden="false" name="asm_wyrel_27" vbProcedure="false">In!$E$659</definedName>
    <definedName function="false" hidden="false" name="asm_wyrel_27_hi" vbProcedure="false">In!$F$659</definedName>
    <definedName function="false" hidden="false" name="asm_wyrel_27_lo" vbProcedure="false">In!$D$659</definedName>
    <definedName function="false" hidden="false" name="asm_wyrel_28" vbProcedure="false">In!$E$660</definedName>
    <definedName function="false" hidden="false" name="asm_wyrel_28_hi" vbProcedure="false">In!$F$660</definedName>
    <definedName function="false" hidden="false" name="asm_wyrel_28_lo" vbProcedure="false">In!$D$660</definedName>
    <definedName function="false" hidden="false" name="asm_wyrel_29" vbProcedure="false">In!$E$661</definedName>
    <definedName function="false" hidden="false" name="asm_wyrel_29_hi" vbProcedure="false">In!$F$661</definedName>
    <definedName function="false" hidden="false" name="asm_wyrel_29_lo" vbProcedure="false">In!$D$661</definedName>
    <definedName function="false" hidden="false" name="asm_wysh_26" vbProcedure="false">In!$E$649</definedName>
    <definedName function="false" hidden="false" name="ccl_cmpx_27" vbProcedure="false">In!$E$422</definedName>
    <definedName function="false" hidden="false" name="ccl_cmpx_27_hi" vbProcedure="false">In!$F$422</definedName>
    <definedName function="false" hidden="false" name="ccl_cmpx_27_lo" vbProcedure="false">In!$D$422</definedName>
    <definedName function="false" hidden="false" name="ccl_cmpx_28" vbProcedure="false">In!$E$423</definedName>
    <definedName function="false" hidden="false" name="ccl_cmpx_28_hi" vbProcedure="false">In!$F$423</definedName>
    <definedName function="false" hidden="false" name="ccl_cmpx_28_lo" vbProcedure="false">In!$D$423</definedName>
    <definedName function="false" hidden="false" name="ccl_cmpx_29" vbProcedure="false">In!$E$424</definedName>
    <definedName function="false" hidden="false" name="ccl_cmpx_29_hi" vbProcedure="false">In!$F$424</definedName>
    <definedName function="false" hidden="false" name="ccl_cmpx_29_lo" vbProcedure="false">In!$D$424</definedName>
    <definedName function="false" hidden="false" name="ccl_cmp_26" vbProcedure="false">In!$E$419</definedName>
    <definedName function="false" hidden="false" name="ccl_cmp_26_hi" vbProcedure="false">In!$F$419</definedName>
    <definedName function="false" hidden="false" name="ccl_cmp_26_lo" vbProcedure="false">In!$D$419</definedName>
    <definedName function="false" hidden="false" name="ccl_swx_27" vbProcedure="false">In!$E$425</definedName>
    <definedName function="false" hidden="false" name="ccl_swx_27_hi" vbProcedure="false">In!$F$425</definedName>
    <definedName function="false" hidden="false" name="ccl_swx_27_lo" vbProcedure="false">In!$D$425</definedName>
    <definedName function="false" hidden="false" name="ccl_swx_28" vbProcedure="false">In!$E$426</definedName>
    <definedName function="false" hidden="false" name="ccl_swx_28_hi" vbProcedure="false">In!$F$426</definedName>
    <definedName function="false" hidden="false" name="ccl_swx_28_lo" vbProcedure="false">In!$D$426</definedName>
    <definedName function="false" hidden="false" name="ccl_swx_29" vbProcedure="false">In!$E$427</definedName>
    <definedName function="false" hidden="false" name="ccl_swx_29_hi" vbProcedure="false">In!$F$427</definedName>
    <definedName function="false" hidden="false" name="ccl_swx_29_lo" vbProcedure="false">In!$D$427</definedName>
    <definedName function="false" hidden="false" name="ccl_sw_26" vbProcedure="false">In!$E$420</definedName>
    <definedName function="false" hidden="false" name="ccl_sw_26_hi" vbProcedure="false">In!$F$420</definedName>
    <definedName function="false" hidden="false" name="ccl_sw_26_lo" vbProcedure="false">In!$D$420</definedName>
    <definedName function="false" hidden="false" name="ccl_ubbx_27" vbProcedure="false">In!$E$428</definedName>
    <definedName function="false" hidden="false" name="ccl_ubbx_27_hi" vbProcedure="false">In!$F$428</definedName>
    <definedName function="false" hidden="false" name="ccl_ubbx_27_lo" vbProcedure="false">In!$D$428</definedName>
    <definedName function="false" hidden="false" name="ccl_ubbx_28" vbProcedure="false">In!$E$429</definedName>
    <definedName function="false" hidden="false" name="ccl_ubbx_28_hi" vbProcedure="false">In!$F$429</definedName>
    <definedName function="false" hidden="false" name="ccl_ubbx_28_lo" vbProcedure="false">In!$D$429</definedName>
    <definedName function="false" hidden="false" name="ccl_ubbx_29" vbProcedure="false">In!$E$430</definedName>
    <definedName function="false" hidden="false" name="ccl_ubbx_29_hi" vbProcedure="false">In!$F$430</definedName>
    <definedName function="false" hidden="false" name="ccl_ubbx_29_lo" vbProcedure="false">In!$D$430</definedName>
    <definedName function="false" hidden="false" name="ccl_ubb_26" vbProcedure="false">In!$E$421</definedName>
    <definedName function="false" hidden="false" name="ccl_ubb_26_hi" vbProcedure="false">In!$F$421</definedName>
    <definedName function="false" hidden="false" name="ccl_ubb_26_lo" vbProcedure="false">In!$D$421</definedName>
    <definedName function="false" hidden="false" name="core_oth" vbProcedure="false">In!$E$186</definedName>
    <definedName function="false" hidden="false" name="core_oth_hi" vbProcedure="false">In!$F$186</definedName>
    <definedName function="false" hidden="false" name="core_oth_lo" vbProcedure="false">In!$D$186</definedName>
    <definedName function="false" hidden="false" name="core_tpu" vbProcedure="false">In!$E$185</definedName>
    <definedName function="false" hidden="false" name="core_tpu_hi" vbProcedure="false">In!$F$185</definedName>
    <definedName function="false" hidden="false" name="core_tpu_lo" vbProcedure="false">In!$D$185</definedName>
    <definedName function="false" hidden="false" name="cposh_cohr_27" vbProcedure="false">In!$E$306</definedName>
    <definedName function="false" hidden="false" name="cposh_cohr_27_hi" vbProcedure="false">In!$F$306</definedName>
    <definedName function="false" hidden="false" name="cposh_cohr_27_lo" vbProcedure="false">In!$D$306</definedName>
    <definedName function="false" hidden="false" name="cposh_cohr_28" vbProcedure="false">In!$E$307</definedName>
    <definedName function="false" hidden="false" name="cposh_cohr_28_hi" vbProcedure="false">In!$F$307</definedName>
    <definedName function="false" hidden="false" name="cposh_cohr_28_lo" vbProcedure="false">In!$D$307</definedName>
    <definedName function="false" hidden="false" name="cposh_cohr_29" vbProcedure="false">In!$E$308</definedName>
    <definedName function="false" hidden="false" name="cposh_cohr_29_hi" vbProcedure="false">In!$F$308</definedName>
    <definedName function="false" hidden="false" name="cposh_cohr_29_lo" vbProcedure="false">In!$D$308</definedName>
    <definedName function="false" hidden="false" name="cposh_eoptolink_27" vbProcedure="false">In!$E$312</definedName>
    <definedName function="false" hidden="false" name="cposh_eoptolink_27_hi" vbProcedure="false">In!$F$312</definedName>
    <definedName function="false" hidden="false" name="cposh_eoptolink_27_lo" vbProcedure="false">In!$D$312</definedName>
    <definedName function="false" hidden="false" name="cposh_eoptolink_28" vbProcedure="false">In!$E$313</definedName>
    <definedName function="false" hidden="false" name="cposh_eoptolink_28_hi" vbProcedure="false">In!$F$313</definedName>
    <definedName function="false" hidden="false" name="cposh_eoptolink_28_lo" vbProcedure="false">In!$D$313</definedName>
    <definedName function="false" hidden="false" name="cposh_eoptolink_29" vbProcedure="false">In!$E$314</definedName>
    <definedName function="false" hidden="false" name="cposh_eoptolink_29_hi" vbProcedure="false">In!$F$314</definedName>
    <definedName function="false" hidden="false" name="cposh_eoptolink_29_lo" vbProcedure="false">In!$D$314</definedName>
    <definedName function="false" hidden="false" name="cposh_fabrinet_27" vbProcedure="false">In!$E$315</definedName>
    <definedName function="false" hidden="false" name="cposh_fabrinet_27_hi" vbProcedure="false">In!$F$315</definedName>
    <definedName function="false" hidden="false" name="cposh_fabrinet_27_lo" vbProcedure="false">In!$D$315</definedName>
    <definedName function="false" hidden="false" name="cposh_fabrinet_28" vbProcedure="false">In!$E$316</definedName>
    <definedName function="false" hidden="false" name="cposh_fabrinet_28_hi" vbProcedure="false">In!$F$316</definedName>
    <definedName function="false" hidden="false" name="cposh_fabrinet_28_lo" vbProcedure="false">In!$D$316</definedName>
    <definedName function="false" hidden="false" name="cposh_fabrinet_29" vbProcedure="false">In!$E$317</definedName>
    <definedName function="false" hidden="false" name="cposh_fabrinet_29_hi" vbProcedure="false">In!$F$317</definedName>
    <definedName function="false" hidden="false" name="cposh_fabrinet_29_lo" vbProcedure="false">In!$D$317</definedName>
    <definedName function="false" hidden="false" name="cposh_innolight_27" vbProcedure="false">In!$E$309</definedName>
    <definedName function="false" hidden="false" name="cposh_innolight_27_hi" vbProcedure="false">In!$F$309</definedName>
    <definedName function="false" hidden="false" name="cposh_innolight_27_lo" vbProcedure="false">In!$D$309</definedName>
    <definedName function="false" hidden="false" name="cposh_innolight_28" vbProcedure="false">In!$E$310</definedName>
    <definedName function="false" hidden="false" name="cposh_innolight_28_hi" vbProcedure="false">In!$F$310</definedName>
    <definedName function="false" hidden="false" name="cposh_innolight_28_lo" vbProcedure="false">In!$D$310</definedName>
    <definedName function="false" hidden="false" name="cposh_innolight_29" vbProcedure="false">In!$E$311</definedName>
    <definedName function="false" hidden="false" name="cposh_innolight_29_hi" vbProcedure="false">In!$F$311</definedName>
    <definedName function="false" hidden="false" name="cposh_innolight_29_lo" vbProcedure="false">In!$D$311</definedName>
    <definedName function="false" hidden="false" name="cposh_lite_27" vbProcedure="false">In!$E$303</definedName>
    <definedName function="false" hidden="false" name="cposh_lite_27_hi" vbProcedure="false">In!$F$303</definedName>
    <definedName function="false" hidden="false" name="cposh_lite_27_lo" vbProcedure="false">In!$D$303</definedName>
    <definedName function="false" hidden="false" name="cposh_lite_28" vbProcedure="false">In!$E$304</definedName>
    <definedName function="false" hidden="false" name="cposh_lite_28_hi" vbProcedure="false">In!$F$304</definedName>
    <definedName function="false" hidden="false" name="cposh_lite_28_lo" vbProcedure="false">In!$D$304</definedName>
    <definedName function="false" hidden="false" name="cposh_lite_29" vbProcedure="false">In!$E$305</definedName>
    <definedName function="false" hidden="false" name="cposh_lite_29_hi" vbProcedure="false">In!$F$305</definedName>
    <definedName function="false" hidden="false" name="cposh_lite_29_lo" vbProcedure="false">In!$D$305</definedName>
    <definedName function="false" hidden="false" name="cpo_A_26" vbProcedure="false">In!$E$288</definedName>
    <definedName function="false" hidden="false" name="cpo_A_26_hi" vbProcedure="false">In!$F$288</definedName>
    <definedName function="false" hidden="false" name="cpo_A_26_lo" vbProcedure="false">In!$D$288</definedName>
    <definedName function="false" hidden="false" name="cpo_A_27" vbProcedure="false">In!$E$289</definedName>
    <definedName function="false" hidden="false" name="cpo_A_27_hi" vbProcedure="false">In!$F$289</definedName>
    <definedName function="false" hidden="false" name="cpo_A_27_lo" vbProcedure="false">In!$D$289</definedName>
    <definedName function="false" hidden="false" name="cpo_A_28" vbProcedure="false">In!$E$290</definedName>
    <definedName function="false" hidden="false" name="cpo_A_28_hi" vbProcedure="false">In!$F$290</definedName>
    <definedName function="false" hidden="false" name="cpo_A_28_lo" vbProcedure="false">In!$D$290</definedName>
    <definedName function="false" hidden="false" name="cpo_A_29" vbProcedure="false">In!$E$291</definedName>
    <definedName function="false" hidden="false" name="cpo_A_29_hi" vbProcedure="false">In!$F$291</definedName>
    <definedName function="false" hidden="false" name="cpo_A_29_lo" vbProcedure="false">In!$D$291</definedName>
    <definedName function="false" hidden="false" name="cpo_B_26" vbProcedure="false">In!$E$292</definedName>
    <definedName function="false" hidden="false" name="cpo_B_26_hi" vbProcedure="false">In!$F$292</definedName>
    <definedName function="false" hidden="false" name="cpo_B_26_lo" vbProcedure="false">In!$D$292</definedName>
    <definedName function="false" hidden="false" name="cpo_B_27" vbProcedure="false">In!$E$293</definedName>
    <definedName function="false" hidden="false" name="cpo_B_27_hi" vbProcedure="false">In!$F$293</definedName>
    <definedName function="false" hidden="false" name="cpo_B_27_lo" vbProcedure="false">In!$D$293</definedName>
    <definedName function="false" hidden="false" name="cpo_B_28" vbProcedure="false">In!$E$294</definedName>
    <definedName function="false" hidden="false" name="cpo_B_28_hi" vbProcedure="false">In!$F$294</definedName>
    <definedName function="false" hidden="false" name="cpo_B_28_lo" vbProcedure="false">In!$D$294</definedName>
    <definedName function="false" hidden="false" name="cpo_B_29" vbProcedure="false">In!$E$295</definedName>
    <definedName function="false" hidden="false" name="cpo_B_29_hi" vbProcedure="false">In!$F$295</definedName>
    <definedName function="false" hidden="false" name="cpo_B_29_lo" vbProcedure="false">In!$D$295</definedName>
    <definedName function="false" hidden="false" name="cpo_C_26" vbProcedure="false">In!$E$296</definedName>
    <definedName function="false" hidden="false" name="cpo_C_26_hi" vbProcedure="false">In!$F$296</definedName>
    <definedName function="false" hidden="false" name="cpo_C_26_lo" vbProcedure="false">In!$D$296</definedName>
    <definedName function="false" hidden="false" name="cpo_C_27" vbProcedure="false">In!$E$297</definedName>
    <definedName function="false" hidden="false" name="cpo_C_27_hi" vbProcedure="false">In!$F$297</definedName>
    <definedName function="false" hidden="false" name="cpo_C_27_lo" vbProcedure="false">In!$D$297</definedName>
    <definedName function="false" hidden="false" name="cpo_C_28" vbProcedure="false">In!$E$298</definedName>
    <definedName function="false" hidden="false" name="cpo_C_28_hi" vbProcedure="false">In!$F$298</definedName>
    <definedName function="false" hidden="false" name="cpo_C_28_lo" vbProcedure="false">In!$D$298</definedName>
    <definedName function="false" hidden="false" name="cpo_C_29" vbProcedure="false">In!$E$299</definedName>
    <definedName function="false" hidden="false" name="cpo_C_29_hi" vbProcedure="false">In!$F$299</definedName>
    <definedName function="false" hidden="false" name="cpo_C_29_lo" vbProcedure="false">In!$D$299</definedName>
    <definedName function="false" hidden="false" name="cqA_10" vbProcedure="false">In!$E$15</definedName>
    <definedName function="false" hidden="false" name="cqA_11" vbProcedure="false">In!$E$16</definedName>
    <definedName function="false" hidden="false" name="cqA_12" vbProcedure="false">In!$E$17</definedName>
    <definedName function="false" hidden="false" name="cqA_13" vbProcedure="false">In!$E$18</definedName>
    <definedName function="false" hidden="false" name="cqA_14" vbProcedure="false">In!$E$19</definedName>
    <definedName function="false" hidden="false" name="cqA_15" vbProcedure="false">In!$E$20</definedName>
    <definedName function="false" hidden="false" name="cqA_16" vbProcedure="false">In!$E$21</definedName>
    <definedName function="false" hidden="false" name="cqA_16_hi" vbProcedure="false">In!$F$21</definedName>
    <definedName function="false" hidden="false" name="cqA_16_lo" vbProcedure="false">In!$D$21</definedName>
    <definedName function="false" hidden="false" name="cqA_17" vbProcedure="false">In!$E$22</definedName>
    <definedName function="false" hidden="false" name="cqA_17_hi" vbProcedure="false">In!$F$22</definedName>
    <definedName function="false" hidden="false" name="cqA_17_lo" vbProcedure="false">In!$D$22</definedName>
    <definedName function="false" hidden="false" name="cqA_18" vbProcedure="false">In!$E$23</definedName>
    <definedName function="false" hidden="false" name="cqA_18_hi" vbProcedure="false">In!$F$23</definedName>
    <definedName function="false" hidden="false" name="cqA_18_lo" vbProcedure="false">In!$D$23</definedName>
    <definedName function="false" hidden="false" name="cqA_19" vbProcedure="false">In!$E$24</definedName>
    <definedName function="false" hidden="false" name="cqA_19_hi" vbProcedure="false">In!$F$24</definedName>
    <definedName function="false" hidden="false" name="cqA_19_lo" vbProcedure="false">In!$D$24</definedName>
    <definedName function="false" hidden="false" name="cqA_8" vbProcedure="false">In!$E$13</definedName>
    <definedName function="false" hidden="false" name="cqA_9" vbProcedure="false">In!$E$14</definedName>
    <definedName function="false" hidden="false" name="cqB_10" vbProcedure="false">In!$E$27</definedName>
    <definedName function="false" hidden="false" name="cqB_11" vbProcedure="false">In!$E$28</definedName>
    <definedName function="false" hidden="false" name="cqB_12" vbProcedure="false">In!$E$29</definedName>
    <definedName function="false" hidden="false" name="cqB_13" vbProcedure="false">In!$E$30</definedName>
    <definedName function="false" hidden="false" name="cqB_14" vbProcedure="false">In!$E$31</definedName>
    <definedName function="false" hidden="false" name="cqB_15" vbProcedure="false">In!$E$32</definedName>
    <definedName function="false" hidden="false" name="cqB_16" vbProcedure="false">In!$E$33</definedName>
    <definedName function="false" hidden="false" name="cqB_16_hi" vbProcedure="false">In!$F$33</definedName>
    <definedName function="false" hidden="false" name="cqB_16_lo" vbProcedure="false">In!$D$33</definedName>
    <definedName function="false" hidden="false" name="cqB_17" vbProcedure="false">In!$E$34</definedName>
    <definedName function="false" hidden="false" name="cqB_17_hi" vbProcedure="false">In!$F$34</definedName>
    <definedName function="false" hidden="false" name="cqB_17_lo" vbProcedure="false">In!$D$34</definedName>
    <definedName function="false" hidden="false" name="cqB_18" vbProcedure="false">In!$E$35</definedName>
    <definedName function="false" hidden="false" name="cqB_18_hi" vbProcedure="false">In!$F$35</definedName>
    <definedName function="false" hidden="false" name="cqB_18_lo" vbProcedure="false">In!$D$35</definedName>
    <definedName function="false" hidden="false" name="cqB_19" vbProcedure="false">In!$E$36</definedName>
    <definedName function="false" hidden="false" name="cqB_19_hi" vbProcedure="false">In!$F$36</definedName>
    <definedName function="false" hidden="false" name="cqB_19_lo" vbProcedure="false">In!$D$36</definedName>
    <definedName function="false" hidden="false" name="cqB_8" vbProcedure="false">In!$E$25</definedName>
    <definedName function="false" hidden="false" name="cqB_9" vbProcedure="false">In!$E$26</definedName>
    <definedName function="false" hidden="false" name="cqC_10" vbProcedure="false">In!$E$39</definedName>
    <definedName function="false" hidden="false" name="cqC_10_hi" vbProcedure="false">In!$F$39</definedName>
    <definedName function="false" hidden="false" name="cqC_10_lo" vbProcedure="false">In!$D$39</definedName>
    <definedName function="false" hidden="false" name="cqC_11" vbProcedure="false">In!$E$40</definedName>
    <definedName function="false" hidden="false" name="cqC_11_hi" vbProcedure="false">In!$F$40</definedName>
    <definedName function="false" hidden="false" name="cqC_11_lo" vbProcedure="false">In!$D$40</definedName>
    <definedName function="false" hidden="false" name="cqC_12" vbProcedure="false">In!$E$41</definedName>
    <definedName function="false" hidden="false" name="cqC_12_hi" vbProcedure="false">In!$F$41</definedName>
    <definedName function="false" hidden="false" name="cqC_12_lo" vbProcedure="false">In!$D$41</definedName>
    <definedName function="false" hidden="false" name="cqC_13" vbProcedure="false">In!$E$42</definedName>
    <definedName function="false" hidden="false" name="cqC_13_hi" vbProcedure="false">In!$F$42</definedName>
    <definedName function="false" hidden="false" name="cqC_13_lo" vbProcedure="false">In!$D$42</definedName>
    <definedName function="false" hidden="false" name="cqC_14" vbProcedure="false">In!$E$43</definedName>
    <definedName function="false" hidden="false" name="cqC_14_hi" vbProcedure="false">In!$F$43</definedName>
    <definedName function="false" hidden="false" name="cqC_14_lo" vbProcedure="false">In!$D$43</definedName>
    <definedName function="false" hidden="false" name="cqC_15" vbProcedure="false">In!$E$44</definedName>
    <definedName function="false" hidden="false" name="cqC_15_hi" vbProcedure="false">In!$F$44</definedName>
    <definedName function="false" hidden="false" name="cqC_15_lo" vbProcedure="false">In!$D$44</definedName>
    <definedName function="false" hidden="false" name="cqC_16" vbProcedure="false">In!$E$45</definedName>
    <definedName function="false" hidden="false" name="cqC_16_hi" vbProcedure="false">In!$F$45</definedName>
    <definedName function="false" hidden="false" name="cqC_16_lo" vbProcedure="false">In!$D$45</definedName>
    <definedName function="false" hidden="false" name="cqC_17" vbProcedure="false">In!$E$46</definedName>
    <definedName function="false" hidden="false" name="cqC_17_hi" vbProcedure="false">In!$F$46</definedName>
    <definedName function="false" hidden="false" name="cqC_17_lo" vbProcedure="false">In!$D$46</definedName>
    <definedName function="false" hidden="false" name="cqC_18" vbProcedure="false">In!$E$47</definedName>
    <definedName function="false" hidden="false" name="cqC_18_hi" vbProcedure="false">In!$F$47</definedName>
    <definedName function="false" hidden="false" name="cqC_18_lo" vbProcedure="false">In!$D$47</definedName>
    <definedName function="false" hidden="false" name="cqC_19" vbProcedure="false">In!$E$48</definedName>
    <definedName function="false" hidden="false" name="cqC_19_hi" vbProcedure="false">In!$F$48</definedName>
    <definedName function="false" hidden="false" name="cqC_19_lo" vbProcedure="false">In!$D$48</definedName>
    <definedName function="false" hidden="false" name="cqC_8" vbProcedure="false">In!$E$37</definedName>
    <definedName function="false" hidden="false" name="cqC_8_hi" vbProcedure="false">In!$F$37</definedName>
    <definedName function="false" hidden="false" name="cqC_8_lo" vbProcedure="false">In!$D$37</definedName>
    <definedName function="false" hidden="false" name="cqC_9" vbProcedure="false">In!$E$38</definedName>
    <definedName function="false" hidden="false" name="cqC_9_hi" vbProcedure="false">In!$F$38</definedName>
    <definedName function="false" hidden="false" name="cqC_9_lo" vbProcedure="false">In!$D$38</definedName>
    <definedName function="false" hidden="false" name="cq_1" vbProcedure="false">In!$E$6</definedName>
    <definedName function="false" hidden="false" name="cq_2" vbProcedure="false">In!$E$7</definedName>
    <definedName function="false" hidden="false" name="cq_3" vbProcedure="false">In!$E$8</definedName>
    <definedName function="false" hidden="false" name="cq_4" vbProcedure="false">In!$E$9</definedName>
    <definedName function="false" hidden="false" name="cq_5" vbProcedure="false">In!$E$10</definedName>
    <definedName function="false" hidden="false" name="cq_6" vbProcedure="false">In!$E$11</definedName>
    <definedName function="false" hidden="false" name="cq_7" vbProcedure="false">In!$E$12</definedName>
    <definedName function="false" hidden="false" name="cw_capend25" vbProcedure="false">In!$E$369</definedName>
    <definedName function="false" hidden="false" name="cw_capend26" vbProcedure="false">In!$E$370</definedName>
    <definedName function="false" hidden="false" name="cw_capend27" vbProcedure="false">In!$E$371</definedName>
    <definedName function="false" hidden="false" name="cw_capend28" vbProcedure="false">In!$E$372</definedName>
    <definedName function="false" hidden="false" name="cw_capend29" vbProcedure="false">In!$E$373</definedName>
    <definedName function="false" hidden="false" name="cw_capend29_hi" vbProcedure="false">In!$F$373</definedName>
    <definedName function="false" hidden="false" name="cw_capend29_lo" vbProcedure="false">In!$D$373</definedName>
    <definedName function="false" hidden="false" name="cw_msdem26" vbProcedure="false">In!$E$375</definedName>
    <definedName function="false" hidden="false" name="cw_msdem27" vbProcedure="false">In!$E$376</definedName>
    <definedName function="false" hidden="false" name="cw_osat" vbProcedure="false">In!$E$374</definedName>
    <definedName function="false" hidden="false" name="cw_osat_hi" vbProcedure="false">In!$F$374</definedName>
    <definedName function="false" hidden="false" name="cw_osat_lo" vbProcedure="false">In!$D$374</definedName>
    <definedName function="false" hidden="false" name="cw_oth26" vbProcedure="false">In!$E$367</definedName>
    <definedName function="false" hidden="false" name="cw_oth26_hi" vbProcedure="false">In!$F$367</definedName>
    <definedName function="false" hidden="false" name="cw_oth26_lo" vbProcedure="false">In!$D$367</definedName>
    <definedName function="false" hidden="false" name="cw_oth_g" vbProcedure="false">In!$E$368</definedName>
    <definedName function="false" hidden="false" name="cw_oth_g_hi" vbProcedure="false">In!$F$368</definedName>
    <definedName function="false" hidden="false" name="cw_oth_g_lo" vbProcedure="false">In!$D$368</definedName>
    <definedName function="false" hidden="false" name="cw_pp_AMD8" vbProcedure="false">In!$E$361</definedName>
    <definedName function="false" hidden="false" name="cw_pp_AMD8_hi" vbProcedure="false">In!$F$361</definedName>
    <definedName function="false" hidden="false" name="cw_pp_AMD8_lo" vbProcedure="false">In!$D$361</definedName>
    <definedName function="false" hidden="false" name="cw_pp_AMDR" vbProcedure="false">In!$E$362</definedName>
    <definedName function="false" hidden="false" name="cw_pp_AMDR_hi" vbProcedure="false">In!$F$362</definedName>
    <definedName function="false" hidden="false" name="cw_pp_AMDR_lo" vbProcedure="false">In!$D$362</definedName>
    <definedName function="false" hidden="false" name="cw_pp_ASIC" vbProcedure="false">In!$E$366</definedName>
    <definedName function="false" hidden="false" name="cw_pp_ASIC_hi" vbProcedure="false">In!$F$366</definedName>
    <definedName function="false" hidden="false" name="cw_pp_ASIC_lo" vbProcedure="false">In!$D$366</definedName>
    <definedName function="false" hidden="false" name="cw_pp_GB" vbProcedure="false">In!$E$357</definedName>
    <definedName function="false" hidden="false" name="cw_pp_GB_hi" vbProcedure="false">In!$F$357</definedName>
    <definedName function="false" hidden="false" name="cw_pp_GB_lo" vbProcedure="false">In!$D$357</definedName>
    <definedName function="false" hidden="false" name="cw_pp_HP" vbProcedure="false">In!$E$360</definedName>
    <definedName function="false" hidden="false" name="cw_pp_HP_hi" vbProcedure="false">In!$F$360</definedName>
    <definedName function="false" hidden="false" name="cw_pp_HP_lo" vbProcedure="false">In!$D$360</definedName>
    <definedName function="false" hidden="false" name="cw_pp_RU" vbProcedure="false">In!$E$359</definedName>
    <definedName function="false" hidden="false" name="cw_pp_RU_hi" vbProcedure="false">In!$F$359</definedName>
    <definedName function="false" hidden="false" name="cw_pp_RU_lo" vbProcedure="false">In!$D$359</definedName>
    <definedName function="false" hidden="false" name="cw_pp_TPU7" vbProcedure="false">In!$E$363</definedName>
    <definedName function="false" hidden="false" name="cw_pp_TPU7_hi" vbProcedure="false">In!$F$363</definedName>
    <definedName function="false" hidden="false" name="cw_pp_TPU7_lo" vbProcedure="false">In!$D$363</definedName>
    <definedName function="false" hidden="false" name="cw_pp_TPU8" vbProcedure="false">In!$E$364</definedName>
    <definedName function="false" hidden="false" name="cw_pp_TPU8_hi" vbProcedure="false">In!$F$364</definedName>
    <definedName function="false" hidden="false" name="cw_pp_TPU8_lo" vbProcedure="false">In!$D$364</definedName>
    <definedName function="false" hidden="false" name="cw_pp_TRN" vbProcedure="false">In!$E$365</definedName>
    <definedName function="false" hidden="false" name="cw_pp_TRN_hi" vbProcedure="false">In!$F$365</definedName>
    <definedName function="false" hidden="false" name="cw_pp_TRN_lo" vbProcedure="false">In!$D$365</definedName>
    <definedName function="false" hidden="false" name="cw_pp_VR" vbProcedure="false">In!$E$358</definedName>
    <definedName function="false" hidden="false" name="cw_pp_VR_hi" vbProcedure="false">In!$F$358</definedName>
    <definedName function="false" hidden="false" name="cw_pp_VR_lo" vbProcedure="false">In!$D$358</definedName>
    <definedName function="false" hidden="false" name="c_AMD8_nic" vbProcedure="false">In!$E$247</definedName>
    <definedName function="false" hidden="false" name="c_AMD8_nic_hi" vbProcedure="false">In!$F$247</definedName>
    <definedName function="false" hidden="false" name="c_AMD8_nic_lo" vbProcedure="false">In!$D$247</definedName>
    <definedName function="false" hidden="false" name="c_AMD8_so_cu" vbProcedure="false">In!$E$246</definedName>
    <definedName function="false" hidden="false" name="c_AMD8_so_cu_hi" vbProcedure="false">In!$F$246</definedName>
    <definedName function="false" hidden="false" name="c_AMD8_so_cu_lo" vbProcedure="false">In!$D$246</definedName>
    <definedName function="false" hidden="false" name="c_AMD8_so_opt" vbProcedure="false">In!$E$245</definedName>
    <definedName function="false" hidden="false" name="c_AMD8_so_opt_hi" vbProcedure="false">In!$F$245</definedName>
    <definedName function="false" hidden="false" name="c_AMD8_so_opt_lo" vbProcedure="false">In!$D$245</definedName>
    <definedName function="false" hidden="false" name="c_AMD8_so_sw" vbProcedure="false">In!$E$244</definedName>
    <definedName function="false" hidden="false" name="c_AMD8_so_sw_hi" vbProcedure="false">In!$F$244</definedName>
    <definedName function="false" hidden="false" name="c_AMD8_so_sw_lo" vbProcedure="false">In!$D$244</definedName>
    <definedName function="false" hidden="false" name="c_AMD8_su_ic" vbProcedure="false">In!$E$243</definedName>
    <definedName function="false" hidden="false" name="c_AMD8_su_ic_hi" vbProcedure="false">In!$F$243</definedName>
    <definedName function="false" hidden="false" name="c_AMD8_su_ic_lo" vbProcedure="false">In!$D$243</definedName>
    <definedName function="false" hidden="false" name="c_AMD8_su_sw" vbProcedure="false">In!$E$242</definedName>
    <definedName function="false" hidden="false" name="c_AMD8_su_sw_hi" vbProcedure="false">In!$F$242</definedName>
    <definedName function="false" hidden="false" name="c_AMD8_su_sw_lo" vbProcedure="false">In!$D$242</definedName>
    <definedName function="false" hidden="false" name="c_AMDR_nic" vbProcedure="false">In!$E$253</definedName>
    <definedName function="false" hidden="false" name="c_AMDR_nic_hi" vbProcedure="false">In!$F$253</definedName>
    <definedName function="false" hidden="false" name="c_AMDR_nic_lo" vbProcedure="false">In!$D$253</definedName>
    <definedName function="false" hidden="false" name="c_AMDR_so_cu" vbProcedure="false">In!$E$252</definedName>
    <definedName function="false" hidden="false" name="c_AMDR_so_cu_hi" vbProcedure="false">In!$F$252</definedName>
    <definedName function="false" hidden="false" name="c_AMDR_so_cu_lo" vbProcedure="false">In!$D$252</definedName>
    <definedName function="false" hidden="false" name="c_AMDR_so_opt" vbProcedure="false">In!$E$251</definedName>
    <definedName function="false" hidden="false" name="c_AMDR_so_opt_hi" vbProcedure="false">In!$F$251</definedName>
    <definedName function="false" hidden="false" name="c_AMDR_so_opt_lo" vbProcedure="false">In!$D$251</definedName>
    <definedName function="false" hidden="false" name="c_AMDR_so_sw" vbProcedure="false">In!$E$250</definedName>
    <definedName function="false" hidden="false" name="c_AMDR_so_sw_hi" vbProcedure="false">In!$F$250</definedName>
    <definedName function="false" hidden="false" name="c_AMDR_so_sw_lo" vbProcedure="false">In!$D$250</definedName>
    <definedName function="false" hidden="false" name="c_AMDR_su_ic" vbProcedure="false">In!$E$249</definedName>
    <definedName function="false" hidden="false" name="c_AMDR_su_ic_hi" vbProcedure="false">In!$F$249</definedName>
    <definedName function="false" hidden="false" name="c_AMDR_su_ic_lo" vbProcedure="false">In!$D$249</definedName>
    <definedName function="false" hidden="false" name="c_AMDR_su_sw" vbProcedure="false">In!$E$248</definedName>
    <definedName function="false" hidden="false" name="c_AMDR_su_sw_hi" vbProcedure="false">In!$F$248</definedName>
    <definedName function="false" hidden="false" name="c_AMDR_su_sw_lo" vbProcedure="false">In!$D$248</definedName>
    <definedName function="false" hidden="false" name="c_ASIC_nic" vbProcedure="false">In!$E$271</definedName>
    <definedName function="false" hidden="false" name="c_ASIC_nic_hi" vbProcedure="false">In!$F$271</definedName>
    <definedName function="false" hidden="false" name="c_ASIC_nic_lo" vbProcedure="false">In!$D$271</definedName>
    <definedName function="false" hidden="false" name="c_ASIC_so_cu" vbProcedure="false">In!$E$270</definedName>
    <definedName function="false" hidden="false" name="c_ASIC_so_cu_hi" vbProcedure="false">In!$F$270</definedName>
    <definedName function="false" hidden="false" name="c_ASIC_so_cu_lo" vbProcedure="false">In!$D$270</definedName>
    <definedName function="false" hidden="false" name="c_ASIC_so_opt" vbProcedure="false">In!$E$269</definedName>
    <definedName function="false" hidden="false" name="c_ASIC_so_opt_hi" vbProcedure="false">In!$F$269</definedName>
    <definedName function="false" hidden="false" name="c_ASIC_so_opt_lo" vbProcedure="false">In!$D$269</definedName>
    <definedName function="false" hidden="false" name="c_ASIC_so_sw" vbProcedure="false">In!$E$268</definedName>
    <definedName function="false" hidden="false" name="c_ASIC_so_sw_hi" vbProcedure="false">In!$F$268</definedName>
    <definedName function="false" hidden="false" name="c_ASIC_so_sw_lo" vbProcedure="false">In!$D$268</definedName>
    <definedName function="false" hidden="false" name="c_ASIC_su_ic" vbProcedure="false">In!$E$267</definedName>
    <definedName function="false" hidden="false" name="c_ASIC_su_ic_hi" vbProcedure="false">In!$F$267</definedName>
    <definedName function="false" hidden="false" name="c_ASIC_su_ic_lo" vbProcedure="false">In!$D$267</definedName>
    <definedName function="false" hidden="false" name="c_ASIC_su_sw" vbProcedure="false">In!$E$266</definedName>
    <definedName function="false" hidden="false" name="c_ASIC_su_sw_hi" vbProcedure="false">In!$F$266</definedName>
    <definedName function="false" hidden="false" name="c_ASIC_su_sw_lo" vbProcedure="false">In!$D$266</definedName>
    <definedName function="false" hidden="false" name="c_GB_nic" vbProcedure="false">In!$E$223</definedName>
    <definedName function="false" hidden="false" name="c_GB_nic_hi" vbProcedure="false">In!$F$223</definedName>
    <definedName function="false" hidden="false" name="c_GB_nic_lo" vbProcedure="false">In!$D$223</definedName>
    <definedName function="false" hidden="false" name="c_GB_so_cu" vbProcedure="false">In!$E$222</definedName>
    <definedName function="false" hidden="false" name="c_GB_so_cu_hi" vbProcedure="false">In!$F$222</definedName>
    <definedName function="false" hidden="false" name="c_GB_so_cu_lo" vbProcedure="false">In!$D$222</definedName>
    <definedName function="false" hidden="false" name="c_GB_so_opt" vbProcedure="false">In!$E$221</definedName>
    <definedName function="false" hidden="false" name="c_GB_so_opt_hi" vbProcedure="false">In!$F$221</definedName>
    <definedName function="false" hidden="false" name="c_GB_so_opt_lo" vbProcedure="false">In!$D$221</definedName>
    <definedName function="false" hidden="false" name="c_GB_so_sw" vbProcedure="false">In!$E$220</definedName>
    <definedName function="false" hidden="false" name="c_GB_so_sw_hi" vbProcedure="false">In!$F$220</definedName>
    <definedName function="false" hidden="false" name="c_GB_so_sw_lo" vbProcedure="false">In!$D$220</definedName>
    <definedName function="false" hidden="false" name="c_GB_su_ic" vbProcedure="false">In!$E$219</definedName>
    <definedName function="false" hidden="false" name="c_GB_su_ic_hi" vbProcedure="false">In!$F$219</definedName>
    <definedName function="false" hidden="false" name="c_GB_su_ic_lo" vbProcedure="false">In!$D$219</definedName>
    <definedName function="false" hidden="false" name="c_GB_su_sw" vbProcedure="false">In!$E$218</definedName>
    <definedName function="false" hidden="false" name="c_GB_su_sw_hi" vbProcedure="false">In!$F$218</definedName>
    <definedName function="false" hidden="false" name="c_GB_su_sw_lo" vbProcedure="false">In!$D$218</definedName>
    <definedName function="false" hidden="false" name="c_HP_nic" vbProcedure="false">In!$E$241</definedName>
    <definedName function="false" hidden="false" name="c_HP_nic_hi" vbProcedure="false">In!$F$241</definedName>
    <definedName function="false" hidden="false" name="c_HP_nic_lo" vbProcedure="false">In!$D$241</definedName>
    <definedName function="false" hidden="false" name="c_HP_so_cu" vbProcedure="false">In!$E$240</definedName>
    <definedName function="false" hidden="false" name="c_HP_so_cu_hi" vbProcedure="false">In!$F$240</definedName>
    <definedName function="false" hidden="false" name="c_HP_so_cu_lo" vbProcedure="false">In!$D$240</definedName>
    <definedName function="false" hidden="false" name="c_HP_so_opt" vbProcedure="false">In!$E$239</definedName>
    <definedName function="false" hidden="false" name="c_HP_so_opt_hi" vbProcedure="false">In!$F$239</definedName>
    <definedName function="false" hidden="false" name="c_HP_so_opt_lo" vbProcedure="false">In!$D$239</definedName>
    <definedName function="false" hidden="false" name="c_HP_so_sw" vbProcedure="false">In!$E$238</definedName>
    <definedName function="false" hidden="false" name="c_HP_so_sw_hi" vbProcedure="false">In!$F$238</definedName>
    <definedName function="false" hidden="false" name="c_HP_so_sw_lo" vbProcedure="false">In!$D$238</definedName>
    <definedName function="false" hidden="false" name="c_HP_su_ic" vbProcedure="false">In!$E$237</definedName>
    <definedName function="false" hidden="false" name="c_HP_su_ic_hi" vbProcedure="false">In!$F$237</definedName>
    <definedName function="false" hidden="false" name="c_HP_su_ic_lo" vbProcedure="false">In!$D$237</definedName>
    <definedName function="false" hidden="false" name="c_HP_su_sw" vbProcedure="false">In!$E$236</definedName>
    <definedName function="false" hidden="false" name="c_HP_su_sw_hi" vbProcedure="false">In!$F$236</definedName>
    <definedName function="false" hidden="false" name="c_HP_su_sw_lo" vbProcedure="false">In!$D$236</definedName>
    <definedName function="false" hidden="false" name="c_RU_nic" vbProcedure="false">In!$E$235</definedName>
    <definedName function="false" hidden="false" name="c_RU_nic_hi" vbProcedure="false">In!$F$235</definedName>
    <definedName function="false" hidden="false" name="c_RU_nic_lo" vbProcedure="false">In!$D$235</definedName>
    <definedName function="false" hidden="false" name="c_RU_so_cu" vbProcedure="false">In!$E$234</definedName>
    <definedName function="false" hidden="false" name="c_RU_so_cu_hi" vbProcedure="false">In!$F$234</definedName>
    <definedName function="false" hidden="false" name="c_RU_so_cu_lo" vbProcedure="false">In!$D$234</definedName>
    <definedName function="false" hidden="false" name="c_RU_so_opt" vbProcedure="false">In!$E$233</definedName>
    <definedName function="false" hidden="false" name="c_RU_so_opt_hi" vbProcedure="false">In!$F$233</definedName>
    <definedName function="false" hidden="false" name="c_RU_so_opt_lo" vbProcedure="false">In!$D$233</definedName>
    <definedName function="false" hidden="false" name="c_RU_so_sw" vbProcedure="false">In!$E$232</definedName>
    <definedName function="false" hidden="false" name="c_RU_so_sw_hi" vbProcedure="false">In!$F$232</definedName>
    <definedName function="false" hidden="false" name="c_RU_so_sw_lo" vbProcedure="false">In!$D$232</definedName>
    <definedName function="false" hidden="false" name="c_RU_su_ic" vbProcedure="false">In!$E$231</definedName>
    <definedName function="false" hidden="false" name="c_RU_su_ic_hi" vbProcedure="false">In!$F$231</definedName>
    <definedName function="false" hidden="false" name="c_RU_su_ic_lo" vbProcedure="false">In!$D$231</definedName>
    <definedName function="false" hidden="false" name="c_RU_su_sw" vbProcedure="false">In!$E$230</definedName>
    <definedName function="false" hidden="false" name="c_RU_su_sw_hi" vbProcedure="false">In!$F$230</definedName>
    <definedName function="false" hidden="false" name="c_RU_su_sw_lo" vbProcedure="false">In!$D$230</definedName>
    <definedName function="false" hidden="false" name="c_TPU_nic" vbProcedure="false">In!$E$259</definedName>
    <definedName function="false" hidden="false" name="c_TPU_nic_hi" vbProcedure="false">In!$F$259</definedName>
    <definedName function="false" hidden="false" name="c_TPU_nic_lo" vbProcedure="false">In!$D$259</definedName>
    <definedName function="false" hidden="false" name="c_TPU_so_cu" vbProcedure="false">In!$E$258</definedName>
    <definedName function="false" hidden="false" name="c_TPU_so_cu_hi" vbProcedure="false">In!$F$258</definedName>
    <definedName function="false" hidden="false" name="c_TPU_so_cu_lo" vbProcedure="false">In!$D$258</definedName>
    <definedName function="false" hidden="false" name="c_TPU_so_opt" vbProcedure="false">In!$E$257</definedName>
    <definedName function="false" hidden="false" name="c_TPU_so_opt_hi" vbProcedure="false">In!$F$257</definedName>
    <definedName function="false" hidden="false" name="c_TPU_so_opt_lo" vbProcedure="false">In!$D$257</definedName>
    <definedName function="false" hidden="false" name="c_TPU_so_sw" vbProcedure="false">In!$E$256</definedName>
    <definedName function="false" hidden="false" name="c_TPU_so_sw_hi" vbProcedure="false">In!$F$256</definedName>
    <definedName function="false" hidden="false" name="c_TPU_so_sw_lo" vbProcedure="false">In!$D$256</definedName>
    <definedName function="false" hidden="false" name="c_TPU_su_ic" vbProcedure="false">In!$E$255</definedName>
    <definedName function="false" hidden="false" name="c_TPU_su_ic_hi" vbProcedure="false">In!$F$255</definedName>
    <definedName function="false" hidden="false" name="c_TPU_su_ic_lo" vbProcedure="false">In!$D$255</definedName>
    <definedName function="false" hidden="false" name="c_TPU_su_sw" vbProcedure="false">In!$E$254</definedName>
    <definedName function="false" hidden="false" name="c_TPU_su_sw_hi" vbProcedure="false">In!$F$254</definedName>
    <definedName function="false" hidden="false" name="c_TPU_su_sw_lo" vbProcedure="false">In!$D$254</definedName>
    <definedName function="false" hidden="false" name="c_TRN_nic" vbProcedure="false">In!$E$265</definedName>
    <definedName function="false" hidden="false" name="c_TRN_nic_hi" vbProcedure="false">In!$F$265</definedName>
    <definedName function="false" hidden="false" name="c_TRN_nic_lo" vbProcedure="false">In!$D$265</definedName>
    <definedName function="false" hidden="false" name="c_TRN_so_cu" vbProcedure="false">In!$E$264</definedName>
    <definedName function="false" hidden="false" name="c_TRN_so_cu_hi" vbProcedure="false">In!$F$264</definedName>
    <definedName function="false" hidden="false" name="c_TRN_so_cu_lo" vbProcedure="false">In!$D$264</definedName>
    <definedName function="false" hidden="false" name="c_TRN_so_opt" vbProcedure="false">In!$E$263</definedName>
    <definedName function="false" hidden="false" name="c_TRN_so_opt_hi" vbProcedure="false">In!$F$263</definedName>
    <definedName function="false" hidden="false" name="c_TRN_so_opt_lo" vbProcedure="false">In!$D$263</definedName>
    <definedName function="false" hidden="false" name="c_TRN_so_sw" vbProcedure="false">In!$E$262</definedName>
    <definedName function="false" hidden="false" name="c_TRN_so_sw_hi" vbProcedure="false">In!$F$262</definedName>
    <definedName function="false" hidden="false" name="c_TRN_so_sw_lo" vbProcedure="false">In!$D$262</definedName>
    <definedName function="false" hidden="false" name="c_TRN_su_ic" vbProcedure="false">In!$E$261</definedName>
    <definedName function="false" hidden="false" name="c_TRN_su_ic_hi" vbProcedure="false">In!$F$261</definedName>
    <definedName function="false" hidden="false" name="c_TRN_su_ic_lo" vbProcedure="false">In!$D$261</definedName>
    <definedName function="false" hidden="false" name="c_TRN_su_sw" vbProcedure="false">In!$E$260</definedName>
    <definedName function="false" hidden="false" name="c_TRN_su_sw_hi" vbProcedure="false">In!$F$260</definedName>
    <definedName function="false" hidden="false" name="c_TRN_su_sw_lo" vbProcedure="false">In!$D$260</definedName>
    <definedName function="false" hidden="false" name="c_VR_nic" vbProcedure="false">In!$E$229</definedName>
    <definedName function="false" hidden="false" name="c_VR_nic_hi" vbProcedure="false">In!$F$229</definedName>
    <definedName function="false" hidden="false" name="c_VR_nic_lo" vbProcedure="false">In!$D$229</definedName>
    <definedName function="false" hidden="false" name="c_VR_so_cu" vbProcedure="false">In!$E$228</definedName>
    <definedName function="false" hidden="false" name="c_VR_so_cu_hi" vbProcedure="false">In!$F$228</definedName>
    <definedName function="false" hidden="false" name="c_VR_so_cu_lo" vbProcedure="false">In!$D$228</definedName>
    <definedName function="false" hidden="false" name="c_VR_so_opt" vbProcedure="false">In!$E$227</definedName>
    <definedName function="false" hidden="false" name="c_VR_so_opt_hi" vbProcedure="false">In!$F$227</definedName>
    <definedName function="false" hidden="false" name="c_VR_so_opt_lo" vbProcedure="false">In!$D$227</definedName>
    <definedName function="false" hidden="false" name="c_VR_so_sw" vbProcedure="false">In!$E$226</definedName>
    <definedName function="false" hidden="false" name="c_VR_so_sw_hi" vbProcedure="false">In!$F$226</definedName>
    <definedName function="false" hidden="false" name="c_VR_so_sw_lo" vbProcedure="false">In!$D$226</definedName>
    <definedName function="false" hidden="false" name="c_VR_su_ic" vbProcedure="false">In!$E$225</definedName>
    <definedName function="false" hidden="false" name="c_VR_su_ic_hi" vbProcedure="false">In!$F$225</definedName>
    <definedName function="false" hidden="false" name="c_VR_su_ic_lo" vbProcedure="false">In!$D$225</definedName>
    <definedName function="false" hidden="false" name="c_VR_su_sw" vbProcedure="false">In!$E$224</definedName>
    <definedName function="false" hidden="false" name="c_VR_su_sw_hi" vbProcedure="false">In!$F$224</definedName>
    <definedName function="false" hidden="false" name="c_VR_su_sw_lo" vbProcedure="false">In!$D$224</definedName>
    <definedName function="false" hidden="false" name="eq_adv_other" vbProcedure="false">In!$E$517</definedName>
    <definedName function="false" hidden="false" name="eq_adv_other_hi" vbProcedure="false">In!$F$517</definedName>
    <definedName function="false" hidden="false" name="eq_adv_other_lo" vbProcedure="false">In!$D$517</definedName>
    <definedName function="false" hidden="false" name="eq_ck_B_28" vbProcedure="false">In!$E$513</definedName>
    <definedName function="false" hidden="false" name="eq_ck_B_28_hi" vbProcedure="false">In!$F$513</definedName>
    <definedName function="false" hidden="false" name="eq_ck_B_28_lo" vbProcedure="false">In!$D$513</definedName>
    <definedName function="false" hidden="false" name="eq_ck_B_29" vbProcedure="false">In!$E$515</definedName>
    <definedName function="false" hidden="false" name="eq_ck_B_29_hi" vbProcedure="false">In!$F$515</definedName>
    <definedName function="false" hidden="false" name="eq_ck_B_29_lo" vbProcedure="false">In!$D$515</definedName>
    <definedName function="false" hidden="false" name="eq_ck_C_28" vbProcedure="false">In!$E$514</definedName>
    <definedName function="false" hidden="false" name="eq_ck_C_28_hi" vbProcedure="false">In!$F$514</definedName>
    <definedName function="false" hidden="false" name="eq_ck_C_28_lo" vbProcedure="false">In!$D$514</definedName>
    <definedName function="false" hidden="false" name="eq_ck_C_29" vbProcedure="false">In!$E$516</definedName>
    <definedName function="false" hidden="false" name="eq_ck_C_29_hi" vbProcedure="false">In!$F$516</definedName>
    <definedName function="false" hidden="false" name="eq_ck_C_29_lo" vbProcedure="false">In!$D$516</definedName>
    <definedName function="false" hidden="false" name="eq_fx_jpy" vbProcedure="false">In!$E$482</definedName>
    <definedName function="false" hidden="false" name="eq_fx_jpy_hi" vbProcedure="false">In!$F$482</definedName>
    <definedName function="false" hidden="false" name="eq_fx_jpy_lo" vbProcedure="false">In!$D$482</definedName>
    <definedName function="false" hidden="false" name="eq_fx_twd" vbProcedure="false">In!$E$484</definedName>
    <definedName function="false" hidden="false" name="eq_fx_twd_hi" vbProcedure="false">In!$F$484</definedName>
    <definedName function="false" hidden="false" name="eq_fx_twd_lo" vbProcedure="false">In!$D$484</definedName>
    <definedName function="false" hidden="false" name="eq_g29" vbProcedure="false">In!$E$512</definedName>
    <definedName function="false" hidden="false" name="eq_g29_hi" vbProcedure="false">In!$F$512</definedName>
    <definedName function="false" hidden="false" name="eq_g29_lo" vbProcedure="false">In!$D$512</definedName>
    <definedName function="false" hidden="false" name="eq_g_dram_26" vbProcedure="false">In!$E$488</definedName>
    <definedName function="false" hidden="false" name="eq_g_dram_27" vbProcedure="false">In!$E$489</definedName>
    <definedName function="false" hidden="false" name="eq_g_dram_28" vbProcedure="false">In!$E$490</definedName>
    <definedName function="false" hidden="false" name="eq_g_fd_26" vbProcedure="false">In!$E$496</definedName>
    <definedName function="false" hidden="false" name="eq_g_fd_27" vbProcedure="false">In!$E$497</definedName>
    <definedName function="false" hidden="false" name="eq_g_fd_28" vbProcedure="false">In!$E$498</definedName>
    <definedName function="false" hidden="false" name="eq_g_nand_26" vbProcedure="false">In!$E$492</definedName>
    <definedName function="false" hidden="false" name="eq_g_nand_27" vbProcedure="false">In!$E$493</definedName>
    <definedName function="false" hidden="false" name="eq_g_nand_28" vbProcedure="false">In!$E$494</definedName>
    <definedName function="false" hidden="false" name="eq_g_oth_dram" vbProcedure="false">In!$E$474</definedName>
    <definedName function="false" hidden="false" name="eq_g_oth_dram_hi" vbProcedure="false">In!$F$474</definedName>
    <definedName function="false" hidden="false" name="eq_g_oth_dram_lo" vbProcedure="false">In!$D$474</definedName>
    <definedName function="false" hidden="false" name="eq_g_oth_fd" vbProcedure="false">In!$E$476</definedName>
    <definedName function="false" hidden="false" name="eq_g_oth_fd_hi" vbProcedure="false">In!$F$476</definedName>
    <definedName function="false" hidden="false" name="eq_g_oth_fd_lo" vbProcedure="false">In!$D$476</definedName>
    <definedName function="false" hidden="false" name="eq_g_oth_nand" vbProcedure="false">In!$E$475</definedName>
    <definedName function="false" hidden="false" name="eq_g_oth_nand_hi" vbProcedure="false">In!$F$475</definedName>
    <definedName function="false" hidden="false" name="eq_g_oth_nand_lo" vbProcedure="false">In!$D$475</definedName>
    <definedName function="false" hidden="false" name="eq_g_pkg_26" vbProcedure="false">In!$E$507</definedName>
    <definedName function="false" hidden="false" name="eq_g_test_26" vbProcedure="false">In!$E$504</definedName>
    <definedName function="false" hidden="false" name="eq_g_tot_26" vbProcedure="false">In!$E$510</definedName>
    <definedName function="false" hidden="false" name="eq_g_wfe_26" vbProcedure="false">In!$E$500</definedName>
    <definedName function="false" hidden="false" name="eq_g_wfe_27" vbProcedure="false">In!$E$501</definedName>
    <definedName function="false" hidden="false" name="eq_g_wfe_28" vbProcedure="false">In!$E$502</definedName>
    <definedName function="false" hidden="false" name="eq_ind_cxmt" vbProcedure="false">In!$E$478</definedName>
    <definedName function="false" hidden="false" name="eq_ind_cxmt_hi" vbProcedure="false">In!$F$478</definedName>
    <definedName function="false" hidden="false" name="eq_ind_cxmt_lo" vbProcedure="false">In!$D$478</definedName>
    <definedName function="false" hidden="false" name="eq_ind_kioxia" vbProcedure="false">In!$E$481</definedName>
    <definedName function="false" hidden="false" name="eq_ind_nand_ind" vbProcedure="false">In!$E$479</definedName>
    <definedName function="false" hidden="false" name="eq_ind_nanya" vbProcedure="false">In!$E$483</definedName>
    <definedName function="false" hidden="false" name="eq_ind_sandisk" vbProcedure="false">In!$E$486</definedName>
    <definedName function="false" hidden="false" name="eq_ind_winbond" vbProcedure="false">In!$E$485</definedName>
    <definedName function="false" hidden="false" name="eq_ind_ymtc_sh" vbProcedure="false">In!$E$480</definedName>
    <definedName function="false" hidden="false" name="eq_pkg_adv" vbProcedure="false">In!$E$518</definedName>
    <definedName function="false" hidden="false" name="eq_pkg_adv_hi" vbProcedure="false">In!$F$518</definedName>
    <definedName function="false" hidden="false" name="eq_pkg_adv_lo" vbProcedure="false">In!$D$518</definedName>
    <definedName function="false" hidden="false" name="eq_rc_gs26" vbProcedure="false">In!$E$525</definedName>
    <definedName function="false" hidden="false" name="eq_rc_gs27" vbProcedure="false">In!$E$526</definedName>
    <definedName function="false" hidden="false" name="eq_rc_gs28" vbProcedure="false">In!$E$527</definedName>
    <definedName function="false" hidden="false" name="eq_rc_kla26" vbProcedure="false">In!$E$521</definedName>
    <definedName function="false" hidden="false" name="eq_rc_kla27" vbProcedure="false">In!$E$522</definedName>
    <definedName function="false" hidden="false" name="eq_rc_lam26" vbProcedure="false">In!$E$519</definedName>
    <definedName function="false" hidden="false" name="eq_rc_lam27" vbProcedure="false">In!$E$520</definedName>
    <definedName function="false" hidden="false" name="eq_rc_ms27" vbProcedure="false">In!$E$523</definedName>
    <definedName function="false" hidden="false" name="eq_rc_ms28" vbProcedure="false">In!$E$524</definedName>
    <definedName function="false" hidden="false" name="eq_rc_thr" vbProcedure="false">In!$E$528</definedName>
    <definedName function="false" hidden="false" name="eq_sh_oth" vbProcedure="false">In!$E$477</definedName>
    <definedName function="false" hidden="false" name="eq_sh_oth_hi" vbProcedure="false">In!$F$477</definedName>
    <definedName function="false" hidden="false" name="eq_sh_oth_lo" vbProcedure="false">In!$D$477</definedName>
    <definedName function="false" hidden="false" name="eq_s_dram_26" vbProcedure="false">In!$E$487</definedName>
    <definedName function="false" hidden="false" name="eq_s_fd_26" vbProcedure="false">In!$E$495</definedName>
    <definedName function="false" hidden="false" name="eq_s_nand_26" vbProcedure="false">In!$E$491</definedName>
    <definedName function="false" hidden="false" name="eq_s_pkg_26" vbProcedure="false">In!$E$506</definedName>
    <definedName function="false" hidden="false" name="eq_s_pkg_28" vbProcedure="false">In!$E$508</definedName>
    <definedName function="false" hidden="false" name="eq_s_test_26" vbProcedure="false">In!$E$503</definedName>
    <definedName function="false" hidden="false" name="eq_s_test_28" vbProcedure="false">In!$E$505</definedName>
    <definedName function="false" hidden="false" name="eq_s_tot_26" vbProcedure="false">In!$E$509</definedName>
    <definedName function="false" hidden="false" name="eq_s_tot_28" vbProcedure="false">In!$E$511</definedName>
    <definedName function="false" hidden="false" name="eq_s_wfe_26" vbProcedure="false">In!$E$499</definedName>
    <definedName function="false" hidden="false" name="fx_krw" vbProcedure="false">In!$E$666</definedName>
    <definedName function="false" hidden="false" name="fx_krw_hi" vbProcedure="false">In!$F$666</definedName>
    <definedName function="false" hidden="false" name="fx_krw_lo" vbProcedure="false">In!$D$666</definedName>
    <definedName function="false" hidden="false" name="fx_rmb" vbProcedure="false">In!$E$665</definedName>
    <definedName function="false" hidden="false" name="fx_rmb_hi" vbProcedure="false">In!$F$665</definedName>
    <definedName function="false" hidden="false" name="fx_rmb_lo" vbProcedure="false">In!$D$665</definedName>
    <definedName function="false" hidden="false" name="fx_twd" vbProcedure="false">In!$E$664</definedName>
    <definedName function="false" hidden="false" name="fx_twd_hi" vbProcedure="false">In!$F$664</definedName>
    <definedName function="false" hidden="false" name="fx_twd_lo" vbProcedure="false">In!$D$664</definedName>
    <definedName function="false" hidden="false" name="f_hbm" vbProcedure="false">In!$E$187</definedName>
    <definedName function="false" hidden="false" name="f_hbm_hi" vbProcedure="false">In!$F$187</definedName>
    <definedName function="false" hidden="false" name="f_hbm_lo" vbProcedure="false">In!$D$187</definedName>
    <definedName function="false" hidden="false" name="g29_amd" vbProcedure="false">In!$E$176</definedName>
    <definedName function="false" hidden="false" name="g29_amd_hi" vbProcedure="false">In!$F$176</definedName>
    <definedName function="false" hidden="false" name="g29_amd_lo" vbProcedure="false">In!$D$176</definedName>
    <definedName function="false" hidden="false" name="g29_bw" vbProcedure="false">In!$E$172</definedName>
    <definedName function="false" hidden="false" name="g29_bw_hi" vbProcedure="false">In!$F$172</definedName>
    <definedName function="false" hidden="false" name="g29_bw_lo" vbProcedure="false">In!$D$172</definedName>
    <definedName function="false" hidden="false" name="g29_hp" vbProcedure="false">In!$E$175</definedName>
    <definedName function="false" hidden="false" name="g29_hp_hi" vbProcedure="false">In!$F$175</definedName>
    <definedName function="false" hidden="false" name="g29_hp_lo" vbProcedure="false">In!$D$175</definedName>
    <definedName function="false" hidden="false" name="g29_oth" vbProcedure="false">In!$E$179</definedName>
    <definedName function="false" hidden="false" name="g29_oth_hi" vbProcedure="false">In!$F$179</definedName>
    <definedName function="false" hidden="false" name="g29_oth_lo" vbProcedure="false">In!$D$179</definedName>
    <definedName function="false" hidden="false" name="g29_rb" vbProcedure="false">In!$E$173</definedName>
    <definedName function="false" hidden="false" name="g29_rb_hi" vbProcedure="false">In!$F$173</definedName>
    <definedName function="false" hidden="false" name="g29_rb_lo" vbProcedure="false">In!$D$173</definedName>
    <definedName function="false" hidden="false" name="g29_ru" vbProcedure="false">In!$E$174</definedName>
    <definedName function="false" hidden="false" name="g29_ru_hi" vbProcedure="false">In!$F$174</definedName>
    <definedName function="false" hidden="false" name="g29_ru_lo" vbProcedure="false">In!$D$174</definedName>
    <definedName function="false" hidden="false" name="g29_tpu" vbProcedure="false">In!$E$177</definedName>
    <definedName function="false" hidden="false" name="g29_tpu_hi" vbProcedure="false">In!$F$177</definedName>
    <definedName function="false" hidden="false" name="g29_tpu_lo" vbProcedure="false">In!$D$177</definedName>
    <definedName function="false" hidden="false" name="g29_trn" vbProcedure="false">In!$E$178</definedName>
    <definedName function="false" hidden="false" name="g29_trn_hi" vbProcedure="false">In!$F$178</definedName>
    <definedName function="false" hidden="false" name="g29_trn_lo" vbProcedure="false">In!$D$178</definedName>
    <definedName function="false" hidden="false" name="g_amd_26" vbProcedure="false">In!$E$120</definedName>
    <definedName function="false" hidden="false" name="g_amd_26_hi" vbProcedure="false">In!$F$120</definedName>
    <definedName function="false" hidden="false" name="g_amd_26_lo" vbProcedure="false">In!$D$120</definedName>
    <definedName function="false" hidden="false" name="g_amd_27" vbProcedure="false">In!$E$121</definedName>
    <definedName function="false" hidden="false" name="g_amd_27_hi" vbProcedure="false">In!$F$121</definedName>
    <definedName function="false" hidden="false" name="g_amd_27_lo" vbProcedure="false">In!$D$121</definedName>
    <definedName function="false" hidden="false" name="g_amd_28" vbProcedure="false">In!$E$122</definedName>
    <definedName function="false" hidden="false" name="g_amd_28_hi" vbProcedure="false">In!$F$122</definedName>
    <definedName function="false" hidden="false" name="g_amd_28_lo" vbProcedure="false">In!$D$122</definedName>
    <definedName function="false" hidden="false" name="g_bw_26" vbProcedure="false">In!$E$96</definedName>
    <definedName function="false" hidden="false" name="g_bw_27" vbProcedure="false">In!$E$97</definedName>
    <definedName function="false" hidden="false" name="g_bw_28" vbProcedure="false">In!$E$98</definedName>
    <definedName function="false" hidden="false" name="g_hp_26" vbProcedure="false">In!$E$114</definedName>
    <definedName function="false" hidden="false" name="g_hp_27" vbProcedure="false">In!$E$115</definedName>
    <definedName function="false" hidden="false" name="g_hp_28" vbProcedure="false">In!$E$116</definedName>
    <definedName function="false" hidden="false" name="g_oth_26" vbProcedure="false">In!$E$138</definedName>
    <definedName function="false" hidden="false" name="g_oth_26_hi" vbProcedure="false">In!$F$138</definedName>
    <definedName function="false" hidden="false" name="g_oth_26_lo" vbProcedure="false">In!$D$138</definedName>
    <definedName function="false" hidden="false" name="g_oth_27" vbProcedure="false">In!$E$139</definedName>
    <definedName function="false" hidden="false" name="g_oth_27_hi" vbProcedure="false">In!$F$139</definedName>
    <definedName function="false" hidden="false" name="g_oth_27_lo" vbProcedure="false">In!$D$139</definedName>
    <definedName function="false" hidden="false" name="g_oth_28" vbProcedure="false">In!$E$140</definedName>
    <definedName function="false" hidden="false" name="g_oth_28_hi" vbProcedure="false">In!$F$140</definedName>
    <definedName function="false" hidden="false" name="g_oth_28_lo" vbProcedure="false">In!$D$140</definedName>
    <definedName function="false" hidden="false" name="g_rb_26" vbProcedure="false">In!$E$102</definedName>
    <definedName function="false" hidden="false" name="g_rb_27" vbProcedure="false">In!$E$103</definedName>
    <definedName function="false" hidden="false" name="g_rb_28" vbProcedure="false">In!$E$104</definedName>
    <definedName function="false" hidden="false" name="g_ru_26" vbProcedure="false">In!$E$108</definedName>
    <definedName function="false" hidden="false" name="g_ru_27" vbProcedure="false">In!$E$109</definedName>
    <definedName function="false" hidden="false" name="g_ru_28" vbProcedure="false">In!$E$110</definedName>
    <definedName function="false" hidden="false" name="g_tpu_26" vbProcedure="false">In!$E$126</definedName>
    <definedName function="false" hidden="false" name="g_tpu_27" vbProcedure="false">In!$E$127</definedName>
    <definedName function="false" hidden="false" name="g_tpu_28" vbProcedure="false">In!$E$128</definedName>
    <definedName function="false" hidden="false" name="g_trn_26" vbProcedure="false">In!$E$132</definedName>
    <definedName function="false" hidden="false" name="g_trn_26_hi" vbProcedure="false">In!$F$132</definedName>
    <definedName function="false" hidden="false" name="g_trn_26_lo" vbProcedure="false">In!$D$132</definedName>
    <definedName function="false" hidden="false" name="g_trn_27" vbProcedure="false">In!$E$133</definedName>
    <definedName function="false" hidden="false" name="g_trn_27_hi" vbProcedure="false">In!$F$133</definedName>
    <definedName function="false" hidden="false" name="g_trn_27_lo" vbProcedure="false">In!$D$133</definedName>
    <definedName function="false" hidden="false" name="g_trn_28" vbProcedure="false">In!$E$134</definedName>
    <definedName function="false" hidden="false" name="g_trn_28_hi" vbProcedure="false">In!$F$134</definedName>
    <definedName function="false" hidden="false" name="g_trn_28_lo" vbProcedure="false">In!$D$134</definedName>
    <definedName function="false" hidden="false" name="hbmsh_mu_25" vbProcedure="false">In!$E$640</definedName>
    <definedName function="false" hidden="false" name="hbmsh_mu_25_hi" vbProcedure="false">In!$F$640</definedName>
    <definedName function="false" hidden="false" name="hbmsh_mu_25_lo" vbProcedure="false">In!$D$640</definedName>
    <definedName function="false" hidden="false" name="hbmsh_mu_26" vbProcedure="false">In!$E$641</definedName>
    <definedName function="false" hidden="false" name="hbmsh_mu_26_hi" vbProcedure="false">In!$F$641</definedName>
    <definedName function="false" hidden="false" name="hbmsh_mu_26_lo" vbProcedure="false">In!$D$641</definedName>
    <definedName function="false" hidden="false" name="hbmsh_mu_27" vbProcedure="false">In!$E$642</definedName>
    <definedName function="false" hidden="false" name="hbmsh_mu_27_hi" vbProcedure="false">In!$F$642</definedName>
    <definedName function="false" hidden="false" name="hbmsh_mu_27_lo" vbProcedure="false">In!$D$642</definedName>
    <definedName function="false" hidden="false" name="hbmsh_mu_28" vbProcedure="false">In!$E$643</definedName>
    <definedName function="false" hidden="false" name="hbmsh_mu_28_hi" vbProcedure="false">In!$F$643</definedName>
    <definedName function="false" hidden="false" name="hbmsh_mu_28_lo" vbProcedure="false">In!$D$643</definedName>
    <definedName function="false" hidden="false" name="hbmsh_mu_29" vbProcedure="false">In!$E$644</definedName>
    <definedName function="false" hidden="false" name="hbmsh_mu_29_hi" vbProcedure="false">In!$F$644</definedName>
    <definedName function="false" hidden="false" name="hbmsh_mu_29_lo" vbProcedure="false">In!$D$644</definedName>
    <definedName function="false" hidden="false" name="hbmsh_skh_25" vbProcedure="false">In!$E$630</definedName>
    <definedName function="false" hidden="false" name="hbmsh_skh_25_hi" vbProcedure="false">In!$F$630</definedName>
    <definedName function="false" hidden="false" name="hbmsh_skh_25_lo" vbProcedure="false">In!$D$630</definedName>
    <definedName function="false" hidden="false" name="hbmsh_skh_26" vbProcedure="false">In!$E$631</definedName>
    <definedName function="false" hidden="false" name="hbmsh_skh_26_hi" vbProcedure="false">In!$F$631</definedName>
    <definedName function="false" hidden="false" name="hbmsh_skh_26_lo" vbProcedure="false">In!$D$631</definedName>
    <definedName function="false" hidden="false" name="hbmsh_skh_27" vbProcedure="false">In!$E$632</definedName>
    <definedName function="false" hidden="false" name="hbmsh_skh_27_hi" vbProcedure="false">In!$F$632</definedName>
    <definedName function="false" hidden="false" name="hbmsh_skh_27_lo" vbProcedure="false">In!$D$632</definedName>
    <definedName function="false" hidden="false" name="hbmsh_skh_28" vbProcedure="false">In!$E$633</definedName>
    <definedName function="false" hidden="false" name="hbmsh_skh_28_hi" vbProcedure="false">In!$F$633</definedName>
    <definedName function="false" hidden="false" name="hbmsh_skh_28_lo" vbProcedure="false">In!$D$633</definedName>
    <definedName function="false" hidden="false" name="hbmsh_skh_29" vbProcedure="false">In!$E$634</definedName>
    <definedName function="false" hidden="false" name="hbmsh_skh_29_hi" vbProcedure="false">In!$F$634</definedName>
    <definedName function="false" hidden="false" name="hbmsh_skh_29_lo" vbProcedure="false">In!$D$634</definedName>
    <definedName function="false" hidden="false" name="hbmsh_ss_25" vbProcedure="false">In!$E$635</definedName>
    <definedName function="false" hidden="false" name="hbmsh_ss_25_hi" vbProcedure="false">In!$F$635</definedName>
    <definedName function="false" hidden="false" name="hbmsh_ss_25_lo" vbProcedure="false">In!$D$635</definedName>
    <definedName function="false" hidden="false" name="hbmsh_ss_26" vbProcedure="false">In!$E$636</definedName>
    <definedName function="false" hidden="false" name="hbmsh_ss_26_hi" vbProcedure="false">In!$F$636</definedName>
    <definedName function="false" hidden="false" name="hbmsh_ss_26_lo" vbProcedure="false">In!$D$636</definedName>
    <definedName function="false" hidden="false" name="hbmsh_ss_27" vbProcedure="false">In!$E$637</definedName>
    <definedName function="false" hidden="false" name="hbmsh_ss_27_hi" vbProcedure="false">In!$F$637</definedName>
    <definedName function="false" hidden="false" name="hbmsh_ss_27_lo" vbProcedure="false">In!$D$637</definedName>
    <definedName function="false" hidden="false" name="hbmsh_ss_28" vbProcedure="false">In!$E$638</definedName>
    <definedName function="false" hidden="false" name="hbmsh_ss_28_hi" vbProcedure="false">In!$F$638</definedName>
    <definedName function="false" hidden="false" name="hbmsh_ss_28_lo" vbProcedure="false">In!$D$638</definedName>
    <definedName function="false" hidden="false" name="hbmsh_ss_29" vbProcedure="false">In!$E$639</definedName>
    <definedName function="false" hidden="false" name="hbmsh_ss_29_hi" vbProcedure="false">In!$F$639</definedName>
    <definedName function="false" hidden="false" name="hbmsh_ss_29_lo" vbProcedure="false">In!$D$639</definedName>
    <definedName function="false" hidden="false" name="hbm_dem29" vbProcedure="false">In!$E$159</definedName>
    <definedName function="false" hidden="false" name="hbm_dem29_hi" vbProcedure="false">In!$F$159</definedName>
    <definedName function="false" hidden="false" name="hbm_dem29_lo" vbProcedure="false">In!$D$159</definedName>
    <definedName function="false" hidden="false" name="hbm_den_25" vbProcedure="false">In!$E$549</definedName>
    <definedName function="false" hidden="false" name="hbm_den_25_hi" vbProcedure="false">In!$F$549</definedName>
    <definedName function="false" hidden="false" name="hbm_den_25_lo" vbProcedure="false">In!$D$549</definedName>
    <definedName function="false" hidden="false" name="hbm_den_26" vbProcedure="false">In!$E$550</definedName>
    <definedName function="false" hidden="false" name="hbm_den_26_hi" vbProcedure="false">In!$F$550</definedName>
    <definedName function="false" hidden="false" name="hbm_den_26_lo" vbProcedure="false">In!$D$550</definedName>
    <definedName function="false" hidden="false" name="hbm_den_27" vbProcedure="false">In!$E$551</definedName>
    <definedName function="false" hidden="false" name="hbm_den_27_hi" vbProcedure="false">In!$F$551</definedName>
    <definedName function="false" hidden="false" name="hbm_den_27_lo" vbProcedure="false">In!$D$551</definedName>
    <definedName function="false" hidden="false" name="hbm_den_28" vbProcedure="false">In!$E$552</definedName>
    <definedName function="false" hidden="false" name="hbm_den_28_hi" vbProcedure="false">In!$F$552</definedName>
    <definedName function="false" hidden="false" name="hbm_den_28_lo" vbProcedure="false">In!$D$552</definedName>
    <definedName function="false" hidden="false" name="hbm_den_29" vbProcedure="false">In!$E$553</definedName>
    <definedName function="false" hidden="false" name="hbm_den_29_hi" vbProcedure="false">In!$F$553</definedName>
    <definedName function="false" hidden="false" name="hbm_den_29_lo" vbProcedure="false">In!$D$553</definedName>
    <definedName function="false" hidden="false" name="hbm_den_30" vbProcedure="false">In!$E$554</definedName>
    <definedName function="false" hidden="false" name="hbm_den_30_hi" vbProcedure="false">In!$F$554</definedName>
    <definedName function="false" hidden="false" name="hbm_den_30_lo" vbProcedure="false">In!$D$554</definedName>
    <definedName function="false" hidden="false" name="hbm_g26" vbProcedure="false">In!$E$150</definedName>
    <definedName function="false" hidden="false" name="hbm_g26_hi" vbProcedure="false">In!$F$150</definedName>
    <definedName function="false" hidden="false" name="hbm_g26_lo" vbProcedure="false">In!$D$150</definedName>
    <definedName function="false" hidden="false" name="hbm_gross" vbProcedure="false">In!$E$151</definedName>
    <definedName function="false" hidden="false" name="hbm_gross_hi" vbProcedure="false">In!$F$151</definedName>
    <definedName function="false" hidden="false" name="hbm_gross_lo" vbProcedure="false">In!$D$151</definedName>
    <definedName function="false" hidden="false" name="hbm_hbp_25" vbProcedure="false">In!$E$561</definedName>
    <definedName function="false" hidden="false" name="hbm_hbp_25_hi" vbProcedure="false">In!$F$561</definedName>
    <definedName function="false" hidden="false" name="hbm_hbp_25_lo" vbProcedure="false">In!$D$561</definedName>
    <definedName function="false" hidden="false" name="hbm_hbp_26" vbProcedure="false">In!$E$562</definedName>
    <definedName function="false" hidden="false" name="hbm_hbp_26_hi" vbProcedure="false">In!$F$562</definedName>
    <definedName function="false" hidden="false" name="hbm_hbp_26_lo" vbProcedure="false">In!$D$562</definedName>
    <definedName function="false" hidden="false" name="hbm_hbp_27" vbProcedure="false">In!$E$563</definedName>
    <definedName function="false" hidden="false" name="hbm_hbp_27_hi" vbProcedure="false">In!$F$563</definedName>
    <definedName function="false" hidden="false" name="hbm_hbp_27_lo" vbProcedure="false">In!$D$563</definedName>
    <definedName function="false" hidden="false" name="hbm_hbp_28" vbProcedure="false">In!$E$564</definedName>
    <definedName function="false" hidden="false" name="hbm_hbp_28_hi" vbProcedure="false">In!$F$564</definedName>
    <definedName function="false" hidden="false" name="hbm_hbp_28_lo" vbProcedure="false">In!$D$564</definedName>
    <definedName function="false" hidden="false" name="hbm_hbp_29" vbProcedure="false">In!$E$565</definedName>
    <definedName function="false" hidden="false" name="hbm_hbp_29_hi" vbProcedure="false">In!$F$565</definedName>
    <definedName function="false" hidden="false" name="hbm_hbp_29_lo" vbProcedure="false">In!$D$565</definedName>
    <definedName function="false" hidden="false" name="hbm_hbp_30" vbProcedure="false">In!$E$566</definedName>
    <definedName function="false" hidden="false" name="hbm_hbp_30_hi" vbProcedure="false">In!$F$566</definedName>
    <definedName function="false" hidden="false" name="hbm_hbp_30_lo" vbProcedure="false">In!$D$566</definedName>
    <definedName function="false" hidden="false" name="hbm_mkt25" vbProcedure="false">In!$E$149</definedName>
    <definedName function="false" hidden="false" name="hbm_mkt25_hi" vbProcedure="false">In!$F$149</definedName>
    <definedName function="false" hidden="false" name="hbm_mkt25_lo" vbProcedure="false">In!$D$149</definedName>
    <definedName function="false" hidden="false" name="hbm_p26" vbProcedure="false">In!$E$154</definedName>
    <definedName function="false" hidden="false" name="hbm_p26_hi" vbProcedure="false">In!$F$154</definedName>
    <definedName function="false" hidden="false" name="hbm_p26_lo" vbProcedure="false">In!$D$154</definedName>
    <definedName function="false" hidden="false" name="hbm_p27" vbProcedure="false">In!$E$155</definedName>
    <definedName function="false" hidden="false" name="hbm_p27_hi" vbProcedure="false">In!$F$155</definedName>
    <definedName function="false" hidden="false" name="hbm_p27_lo" vbProcedure="false">In!$D$155</definedName>
    <definedName function="false" hidden="false" name="hbm_p28_A" vbProcedure="false">In!$E$156</definedName>
    <definedName function="false" hidden="false" name="hbm_p28_A_hi" vbProcedure="false">In!$F$156</definedName>
    <definedName function="false" hidden="false" name="hbm_p28_A_lo" vbProcedure="false">In!$D$156</definedName>
    <definedName function="false" hidden="false" name="hbm_p28_B" vbProcedure="false">In!$E$157</definedName>
    <definedName function="false" hidden="false" name="hbm_p28_B_hi" vbProcedure="false">In!$F$157</definedName>
    <definedName function="false" hidden="false" name="hbm_p28_B_lo" vbProcedure="false">In!$D$157</definedName>
    <definedName function="false" hidden="false" name="hbm_p28_C" vbProcedure="false">In!$E$158</definedName>
    <definedName function="false" hidden="false" name="hbm_p28_C_hi" vbProcedure="false">In!$F$158</definedName>
    <definedName function="false" hidden="false" name="hbm_p28_C_lo" vbProcedure="false">In!$D$158</definedName>
    <definedName function="false" hidden="false" name="hbm_p29_A" vbProcedure="false">In!$E$161</definedName>
    <definedName function="false" hidden="false" name="hbm_p29_A_hi" vbProcedure="false">In!$F$161</definedName>
    <definedName function="false" hidden="false" name="hbm_p29_A_lo" vbProcedure="false">In!$D$161</definedName>
    <definedName function="false" hidden="false" name="hbm_p29_B" vbProcedure="false">In!$E$162</definedName>
    <definedName function="false" hidden="false" name="hbm_p29_B_hi" vbProcedure="false">In!$F$162</definedName>
    <definedName function="false" hidden="false" name="hbm_p29_B_lo" vbProcedure="false">In!$D$162</definedName>
    <definedName function="false" hidden="false" name="hbm_p29_C" vbProcedure="false">In!$E$163</definedName>
    <definedName function="false" hidden="false" name="hbm_p29_C_hi" vbProcedure="false">In!$F$163</definedName>
    <definedName function="false" hidden="false" name="hbm_p29_C_lo" vbProcedure="false">In!$D$163</definedName>
    <definedName function="false" hidden="false" name="hbm_stk_25" vbProcedure="false">In!$E$555</definedName>
    <definedName function="false" hidden="false" name="hbm_stk_25_hi" vbProcedure="false">In!$F$555</definedName>
    <definedName function="false" hidden="false" name="hbm_stk_25_lo" vbProcedure="false">In!$D$555</definedName>
    <definedName function="false" hidden="false" name="hbm_stk_26" vbProcedure="false">In!$E$556</definedName>
    <definedName function="false" hidden="false" name="hbm_stk_26_hi" vbProcedure="false">In!$F$556</definedName>
    <definedName function="false" hidden="false" name="hbm_stk_26_lo" vbProcedure="false">In!$D$556</definedName>
    <definedName function="false" hidden="false" name="hbm_stk_27" vbProcedure="false">In!$E$557</definedName>
    <definedName function="false" hidden="false" name="hbm_stk_27_hi" vbProcedure="false">In!$F$557</definedName>
    <definedName function="false" hidden="false" name="hbm_stk_27_lo" vbProcedure="false">In!$D$557</definedName>
    <definedName function="false" hidden="false" name="hbm_stk_28" vbProcedure="false">In!$E$558</definedName>
    <definedName function="false" hidden="false" name="hbm_stk_28_hi" vbProcedure="false">In!$F$558</definedName>
    <definedName function="false" hidden="false" name="hbm_stk_28_lo" vbProcedure="false">In!$D$558</definedName>
    <definedName function="false" hidden="false" name="hbm_stk_29" vbProcedure="false">In!$E$559</definedName>
    <definedName function="false" hidden="false" name="hbm_stk_29_hi" vbProcedure="false">In!$F$559</definedName>
    <definedName function="false" hidden="false" name="hbm_stk_29_lo" vbProcedure="false">In!$D$559</definedName>
    <definedName function="false" hidden="false" name="hbm_stk_30" vbProcedure="false">In!$E$560</definedName>
    <definedName function="false" hidden="false" name="hbm_stk_30_hi" vbProcedure="false">In!$F$560</definedName>
    <definedName function="false" hidden="false" name="hbm_stk_30_lo" vbProcedure="false">In!$D$560</definedName>
    <definedName function="false" hidden="false" name="hbm_sup27" vbProcedure="false">In!$E$152</definedName>
    <definedName function="false" hidden="false" name="hbm_sup27_hi" vbProcedure="false">In!$F$152</definedName>
    <definedName function="false" hidden="false" name="hbm_sup27_lo" vbProcedure="false">In!$D$152</definedName>
    <definedName function="false" hidden="false" name="hbm_sup28" vbProcedure="false">In!$E$153</definedName>
    <definedName function="false" hidden="false" name="hbm_sup28_hi" vbProcedure="false">In!$F$153</definedName>
    <definedName function="false" hidden="false" name="hbm_sup28_lo" vbProcedure="false">In!$D$153</definedName>
    <definedName function="false" hidden="false" name="hbm_sup29" vbProcedure="false">In!$E$160</definedName>
    <definedName function="false" hidden="false" name="hbm_sup29_hi" vbProcedure="false">In!$F$160</definedName>
    <definedName function="false" hidden="false" name="hbm_sup29_lo" vbProcedure="false">In!$D$160</definedName>
    <definedName function="false" hidden="false" name="it_AMD8" vbProcedure="false">In!$E$277</definedName>
    <definedName function="false" hidden="false" name="it_AMD8_hi" vbProcedure="false">In!$F$277</definedName>
    <definedName function="false" hidden="false" name="it_AMD8_lo" vbProcedure="false">In!$D$277</definedName>
    <definedName function="false" hidden="false" name="it_AMDR" vbProcedure="false">In!$E$278</definedName>
    <definedName function="false" hidden="false" name="it_AMDR_hi" vbProcedure="false">In!$F$278</definedName>
    <definedName function="false" hidden="false" name="it_AMDR_lo" vbProcedure="false">In!$D$278</definedName>
    <definedName function="false" hidden="false" name="it_ASIC" vbProcedure="false">In!$E$281</definedName>
    <definedName function="false" hidden="false" name="it_ASIC_hi" vbProcedure="false">In!$F$281</definedName>
    <definedName function="false" hidden="false" name="it_ASIC_lo" vbProcedure="false">In!$D$281</definedName>
    <definedName function="false" hidden="false" name="it_GB" vbProcedure="false">In!$E$273</definedName>
    <definedName function="false" hidden="false" name="it_HP" vbProcedure="false">In!$E$276</definedName>
    <definedName function="false" hidden="false" name="it_RU" vbProcedure="false">In!$E$275</definedName>
    <definedName function="false" hidden="false" name="it_TPU" vbProcedure="false">In!$E$279</definedName>
    <definedName function="false" hidden="false" name="it_TPU_hi" vbProcedure="false">In!$F$279</definedName>
    <definedName function="false" hidden="false" name="it_TPU_lo" vbProcedure="false">In!$D$279</definedName>
    <definedName function="false" hidden="false" name="it_TRN" vbProcedure="false">In!$E$280</definedName>
    <definedName function="false" hidden="false" name="it_TRN_hi" vbProcedure="false">In!$F$280</definedName>
    <definedName function="false" hidden="false" name="it_TRN_lo" vbProcedure="false">In!$D$280</definedName>
    <definedName function="false" hidden="false" name="it_VR" vbProcedure="false">In!$E$274</definedName>
    <definedName function="false" hidden="false" name="lc_adj_27" vbProcedure="false">In!$E$456</definedName>
    <definedName function="false" hidden="false" name="lc_adj_27_hi" vbProcedure="false">In!$F$456</definedName>
    <definedName function="false" hidden="false" name="lc_adj_27_lo" vbProcedure="false">In!$D$456</definedName>
    <definedName function="false" hidden="false" name="lc_adj_28" vbProcedure="false">In!$E$457</definedName>
    <definedName function="false" hidden="false" name="lc_adj_28_hi" vbProcedure="false">In!$F$457</definedName>
    <definedName function="false" hidden="false" name="lc_adj_28_lo" vbProcedure="false">In!$D$457</definedName>
    <definedName function="false" hidden="false" name="lc_adj_29" vbProcedure="false">In!$E$458</definedName>
    <definedName function="false" hidden="false" name="lc_adj_29_hi" vbProcedure="false">In!$F$458</definedName>
    <definedName function="false" hidden="false" name="lc_adj_29_lo" vbProcedure="false">In!$D$458</definedName>
    <definedName function="false" hidden="false" name="lc_aush_26" vbProcedure="false">In!$E$469</definedName>
    <definedName function="false" hidden="false" name="lc_avrel_27" vbProcedure="false">In!$E$466</definedName>
    <definedName function="false" hidden="false" name="lc_avrel_27_hi" vbProcedure="false">In!$F$466</definedName>
    <definedName function="false" hidden="false" name="lc_avrel_27_lo" vbProcedure="false">In!$D$466</definedName>
    <definedName function="false" hidden="false" name="lc_avrel_28" vbProcedure="false">In!$E$467</definedName>
    <definedName function="false" hidden="false" name="lc_avrel_28_hi" vbProcedure="false">In!$F$467</definedName>
    <definedName function="false" hidden="false" name="lc_avrel_28_lo" vbProcedure="false">In!$D$467</definedName>
    <definedName function="false" hidden="false" name="lc_avrel_29" vbProcedure="false">In!$E$468</definedName>
    <definedName function="false" hidden="false" name="lc_avrel_29_hi" vbProcedure="false">In!$F$468</definedName>
    <definedName function="false" hidden="false" name="lc_avrel_29_lo" vbProcedure="false">In!$D$468</definedName>
    <definedName function="false" hidden="false" name="lc_avsh_26" vbProcedure="false">In!$E$465</definedName>
    <definedName function="false" hidden="false" name="lc_cool_gb" vbProcedure="false">In!$E$453</definedName>
    <definedName function="false" hidden="false" name="lc_cool_gb_hi" vbProcedure="false">In!$F$453</definedName>
    <definedName function="false" hidden="false" name="lc_cool_gb_lo" vbProcedure="false">In!$D$453</definedName>
    <definedName function="false" hidden="false" name="lc_cool_vr" vbProcedure="false">In!$E$454</definedName>
    <definedName function="false" hidden="false" name="lc_cool_vr_hi" vbProcedure="false">In!$F$454</definedName>
    <definedName function="false" hidden="false" name="lc_cool_vr_lo" vbProcedure="false">In!$D$454</definedName>
    <definedName function="false" hidden="false" name="lc_jtsh_27" vbProcedure="false">In!$E$470</definedName>
    <definedName function="false" hidden="false" name="lc_jtsh_27_hi" vbProcedure="false">In!$F$470</definedName>
    <definedName function="false" hidden="false" name="lc_jtsh_27_lo" vbProcedure="false">In!$D$470</definedName>
    <definedName function="false" hidden="false" name="lc_jtsh_28" vbProcedure="false">In!$E$471</definedName>
    <definedName function="false" hidden="false" name="lc_jtsh_28_hi" vbProcedure="false">In!$F$471</definedName>
    <definedName function="false" hidden="false" name="lc_jtsh_28_lo" vbProcedure="false">In!$D$471</definedName>
    <definedName function="false" hidden="false" name="lc_jtsh_29" vbProcedure="false">In!$E$472</definedName>
    <definedName function="false" hidden="false" name="lc_jtsh_29_hi" vbProcedure="false">In!$F$472</definedName>
    <definedName function="false" hidden="false" name="lc_jtsh_29_lo" vbProcedure="false">In!$D$472</definedName>
    <definedName function="false" hidden="false" name="lc_mani" vbProcedure="false">In!$E$455</definedName>
    <definedName function="false" hidden="false" name="lc_mani_hi" vbProcedure="false">In!$F$455</definedName>
    <definedName function="false" hidden="false" name="lc_mani_lo" vbProcedure="false">In!$D$455</definedName>
    <definedName function="false" hidden="false" name="lc_pen_26" vbProcedure="false">In!$E$459</definedName>
    <definedName function="false" hidden="false" name="lc_pen_26_hi" vbProcedure="false">In!$F$459</definedName>
    <definedName function="false" hidden="false" name="lc_pen_26_lo" vbProcedure="false">In!$D$459</definedName>
    <definedName function="false" hidden="false" name="lc_pen_27" vbProcedure="false">In!$E$460</definedName>
    <definedName function="false" hidden="false" name="lc_pen_27_hi" vbProcedure="false">In!$F$460</definedName>
    <definedName function="false" hidden="false" name="lc_pen_27_lo" vbProcedure="false">In!$D$460</definedName>
    <definedName function="false" hidden="false" name="lc_pen_28" vbProcedure="false">In!$E$461</definedName>
    <definedName function="false" hidden="false" name="lc_pen_28_hi" vbProcedure="false">In!$F$461</definedName>
    <definedName function="false" hidden="false" name="lc_pen_28_lo" vbProcedure="false">In!$D$461</definedName>
    <definedName function="false" hidden="false" name="lc_pen_29" vbProcedure="false">In!$E$462</definedName>
    <definedName function="false" hidden="false" name="lc_pen_29_hi" vbProcedure="false">In!$F$462</definedName>
    <definedName function="false" hidden="false" name="lc_pen_29_lo" vbProcedure="false">In!$D$462</definedName>
    <definedName function="false" hidden="false" name="lc_tf_26" vbProcedure="false">In!$E$463</definedName>
    <definedName function="false" hidden="false" name="lc_tf_27" vbProcedure="false">In!$E$464</definedName>
    <definedName function="false" hidden="false" name="msh_oth_26" vbProcedure="false">In!$E$198</definedName>
    <definedName function="false" hidden="false" name="msh_oth_26_hi" vbProcedure="false">In!$F$198</definedName>
    <definedName function="false" hidden="false" name="msh_oth_26_lo" vbProcedure="false">In!$D$198</definedName>
    <definedName function="false" hidden="false" name="msh_oth_27" vbProcedure="false">In!$E$199</definedName>
    <definedName function="false" hidden="false" name="msh_oth_27_hi" vbProcedure="false">In!$F$199</definedName>
    <definedName function="false" hidden="false" name="msh_oth_27_lo" vbProcedure="false">In!$D$199</definedName>
    <definedName function="false" hidden="false" name="msh_oth_28" vbProcedure="false">In!$E$200</definedName>
    <definedName function="false" hidden="false" name="msh_oth_28_hi" vbProcedure="false">In!$F$200</definedName>
    <definedName function="false" hidden="false" name="msh_oth_28_lo" vbProcedure="false">In!$D$200</definedName>
    <definedName function="false" hidden="false" name="msh_tpu_26" vbProcedure="false">In!$E$201</definedName>
    <definedName function="false" hidden="false" name="msh_tpu_26_hi" vbProcedure="false">In!$F$201</definedName>
    <definedName function="false" hidden="false" name="msh_tpu_26_lo" vbProcedure="false">In!$D$201</definedName>
    <definedName function="false" hidden="false" name="msh_tpu_27" vbProcedure="false">In!$E$202</definedName>
    <definedName function="false" hidden="false" name="msh_tpu_27_hi" vbProcedure="false">In!$F$202</definedName>
    <definedName function="false" hidden="false" name="msh_tpu_27_lo" vbProcedure="false">In!$D$202</definedName>
    <definedName function="false" hidden="false" name="msh_tpu_28" vbProcedure="false">In!$E$203</definedName>
    <definedName function="false" hidden="false" name="msh_tpu_28_hi" vbProcedure="false">In!$F$203</definedName>
    <definedName function="false" hidden="false" name="msh_tpu_28_lo" vbProcedure="false">In!$D$203</definedName>
    <definedName function="false" hidden="false" name="msh_trn_26" vbProcedure="false">In!$E$195</definedName>
    <definedName function="false" hidden="false" name="msh_trn_26_hi" vbProcedure="false">In!$F$195</definedName>
    <definedName function="false" hidden="false" name="msh_trn_26_lo" vbProcedure="false">In!$D$195</definedName>
    <definedName function="false" hidden="false" name="msh_trn_27" vbProcedure="false">In!$E$196</definedName>
    <definedName function="false" hidden="false" name="msh_trn_27_hi" vbProcedure="false">In!$F$196</definedName>
    <definedName function="false" hidden="false" name="msh_trn_27_lo" vbProcedure="false">In!$D$196</definedName>
    <definedName function="false" hidden="false" name="msh_trn_28" vbProcedure="false">In!$E$197</definedName>
    <definedName function="false" hidden="false" name="msh_trn_28_hi" vbProcedure="false">In!$F$197</definedName>
    <definedName function="false" hidden="false" name="msh_trn_28_lo" vbProcedure="false">In!$D$197</definedName>
    <definedName function="false" hidden="false" name="mtk_oth_26" vbProcedure="false">In!$E$207</definedName>
    <definedName function="false" hidden="false" name="mtk_oth_26_hi" vbProcedure="false">In!$F$207</definedName>
    <definedName function="false" hidden="false" name="mtk_oth_26_lo" vbProcedure="false">In!$D$207</definedName>
    <definedName function="false" hidden="false" name="mtk_oth_27" vbProcedure="false">In!$E$208</definedName>
    <definedName function="false" hidden="false" name="mtk_oth_27_hi" vbProcedure="false">In!$F$208</definedName>
    <definedName function="false" hidden="false" name="mtk_oth_27_lo" vbProcedure="false">In!$D$208</definedName>
    <definedName function="false" hidden="false" name="mtk_oth_28" vbProcedure="false">In!$E$209</definedName>
    <definedName function="false" hidden="false" name="mtk_oth_28_hi" vbProcedure="false">In!$F$209</definedName>
    <definedName function="false" hidden="false" name="mtk_oth_28_lo" vbProcedure="false">In!$D$209</definedName>
    <definedName function="false" hidden="false" name="mtk_tpu_26" vbProcedure="false">In!$E$204</definedName>
    <definedName function="false" hidden="false" name="mtk_tpu_26_hi" vbProcedure="false">In!$F$204</definedName>
    <definedName function="false" hidden="false" name="mtk_tpu_26_lo" vbProcedure="false">In!$D$204</definedName>
    <definedName function="false" hidden="false" name="mtk_tpu_27" vbProcedure="false">In!$E$205</definedName>
    <definedName function="false" hidden="false" name="mtk_tpu_27_hi" vbProcedure="false">In!$F$205</definedName>
    <definedName function="false" hidden="false" name="mtk_tpu_27_lo" vbProcedure="false">In!$D$205</definedName>
    <definedName function="false" hidden="false" name="mtk_tpu_28" vbProcedure="false">In!$E$206</definedName>
    <definedName function="false" hidden="false" name="mtk_tpu_28_hi" vbProcedure="false">In!$F$206</definedName>
    <definedName function="false" hidden="false" name="mtk_tpu_28_lo" vbProcedure="false">In!$D$206</definedName>
    <definedName function="false" hidden="false" name="nd_ai25" vbProcedure="false">In!$E$577</definedName>
    <definedName function="false" hidden="false" name="nd_ai25_hi" vbProcedure="false">In!$F$577</definedName>
    <definedName function="false" hidden="false" name="nd_ai25_lo" vbProcedure="false">In!$D$577</definedName>
    <definedName function="false" hidden="false" name="nd_bits25" vbProcedure="false">In!$E$574</definedName>
    <definedName function="false" hidden="false" name="nd_bits25_hi" vbProcedure="false">In!$F$574</definedName>
    <definedName function="false" hidden="false" name="nd_bits25_lo" vbProcedure="false">In!$D$574</definedName>
    <definedName function="false" hidden="false" name="nd_dr_mu" vbProcedure="false">In!$E$628</definedName>
    <definedName function="false" hidden="false" name="nd_dr_mu_hi" vbProcedure="false">In!$F$628</definedName>
    <definedName function="false" hidden="false" name="nd_dr_mu_lo" vbProcedure="false">In!$D$628</definedName>
    <definedName function="false" hidden="false" name="nd_dr_sk" vbProcedure="false">In!$E$627</definedName>
    <definedName function="false" hidden="false" name="nd_dr_sk_hi" vbProcedure="false">In!$F$627</definedName>
    <definedName function="false" hidden="false" name="nd_dr_sk_lo" vbProcedure="false">In!$D$627</definedName>
    <definedName function="false" hidden="false" name="nd_dr_ss" vbProcedure="false">In!$E$626</definedName>
    <definedName function="false" hidden="false" name="nd_dr_ss_hi" vbProcedure="false">In!$F$626</definedName>
    <definedName function="false" hidden="false" name="nd_dr_ss_lo" vbProcedure="false">In!$D$626</definedName>
    <definedName function="false" hidden="false" name="nd_g25" vbProcedure="false">In!$E$575</definedName>
    <definedName function="false" hidden="false" name="nd_g25_hi" vbProcedure="false">In!$F$575</definedName>
    <definedName function="false" hidden="false" name="nd_g25_lo" vbProcedure="false">In!$D$575</definedName>
    <definedName function="false" hidden="false" name="nd_gs_26" vbProcedure="false">In!$E$590</definedName>
    <definedName function="false" hidden="false" name="nd_gs_26_hi" vbProcedure="false">In!$F$590</definedName>
    <definedName function="false" hidden="false" name="nd_gs_26_lo" vbProcedure="false">In!$D$590</definedName>
    <definedName function="false" hidden="false" name="nd_gs_27" vbProcedure="false">In!$E$591</definedName>
    <definedName function="false" hidden="false" name="nd_gs_27_hi" vbProcedure="false">In!$F$591</definedName>
    <definedName function="false" hidden="false" name="nd_gs_27_lo" vbProcedure="false">In!$D$591</definedName>
    <definedName function="false" hidden="false" name="nd_gs_28" vbProcedure="false">In!$E$592</definedName>
    <definedName function="false" hidden="false" name="nd_gs_28_hi" vbProcedure="false">In!$F$592</definedName>
    <definedName function="false" hidden="false" name="nd_gs_28_lo" vbProcedure="false">In!$D$592</definedName>
    <definedName function="false" hidden="false" name="nd_gs_29" vbProcedure="false">In!$E$593</definedName>
    <definedName function="false" hidden="false" name="nd_gs_29_hi" vbProcedure="false">In!$F$593</definedName>
    <definedName function="false" hidden="false" name="nd_gs_29_lo" vbProcedure="false">In!$D$593</definedName>
    <definedName function="false" hidden="false" name="nd_gs_30" vbProcedure="false">In!$E$594</definedName>
    <definedName function="false" hidden="false" name="nd_gs_30_hi" vbProcedure="false">In!$F$594</definedName>
    <definedName function="false" hidden="false" name="nd_gs_30_lo" vbProcedure="false">In!$D$594</definedName>
    <definedName function="false" hidden="false" name="nd_g_con_26" vbProcedure="false">In!$E$587</definedName>
    <definedName function="false" hidden="false" name="nd_g_con_26_hi" vbProcedure="false">In!$F$587</definedName>
    <definedName function="false" hidden="false" name="nd_g_con_26_lo" vbProcedure="false">In!$D$587</definedName>
    <definedName function="false" hidden="false" name="nd_g_con_27" vbProcedure="false">In!$E$588</definedName>
    <definedName function="false" hidden="false" name="nd_g_con_27_hi" vbProcedure="false">In!$F$588</definedName>
    <definedName function="false" hidden="false" name="nd_g_con_27_lo" vbProcedure="false">In!$D$588</definedName>
    <definedName function="false" hidden="false" name="nd_g_con_28" vbProcedure="false">In!$E$589</definedName>
    <definedName function="false" hidden="false" name="nd_g_con_28_hi" vbProcedure="false">In!$F$589</definedName>
    <definedName function="false" hidden="false" name="nd_g_con_28_lo" vbProcedure="false">In!$D$589</definedName>
    <definedName function="false" hidden="false" name="nd_g_mob_26" vbProcedure="false">In!$E$581</definedName>
    <definedName function="false" hidden="false" name="nd_g_mob_26_hi" vbProcedure="false">In!$F$581</definedName>
    <definedName function="false" hidden="false" name="nd_g_mob_26_lo" vbProcedure="false">In!$D$581</definedName>
    <definedName function="false" hidden="false" name="nd_g_mob_27" vbProcedure="false">In!$E$582</definedName>
    <definedName function="false" hidden="false" name="nd_g_mob_27_hi" vbProcedure="false">In!$F$582</definedName>
    <definedName function="false" hidden="false" name="nd_g_mob_27_lo" vbProcedure="false">In!$D$582</definedName>
    <definedName function="false" hidden="false" name="nd_g_mob_28" vbProcedure="false">In!$E$583</definedName>
    <definedName function="false" hidden="false" name="nd_g_mob_28_hi" vbProcedure="false">In!$F$583</definedName>
    <definedName function="false" hidden="false" name="nd_g_mob_28_lo" vbProcedure="false">In!$D$583</definedName>
    <definedName function="false" hidden="false" name="nd_g_nai" vbProcedure="false">In!$E$580</definedName>
    <definedName function="false" hidden="false" name="nd_g_nai_hi" vbProcedure="false">In!$F$580</definedName>
    <definedName function="false" hidden="false" name="nd_g_nai_lo" vbProcedure="false">In!$D$580</definedName>
    <definedName function="false" hidden="false" name="nd_g_pc_26" vbProcedure="false">In!$E$584</definedName>
    <definedName function="false" hidden="false" name="nd_g_pc_26_hi" vbProcedure="false">In!$F$584</definedName>
    <definedName function="false" hidden="false" name="nd_g_pc_26_lo" vbProcedure="false">In!$D$584</definedName>
    <definedName function="false" hidden="false" name="nd_g_pc_27" vbProcedure="false">In!$E$585</definedName>
    <definedName function="false" hidden="false" name="nd_g_pc_27_hi" vbProcedure="false">In!$F$585</definedName>
    <definedName function="false" hidden="false" name="nd_g_pc_27_lo" vbProcedure="false">In!$D$585</definedName>
    <definedName function="false" hidden="false" name="nd_g_pc_28" vbProcedure="false">In!$E$586</definedName>
    <definedName function="false" hidden="false" name="nd_g_pc_28_hi" vbProcedure="false">In!$F$586</definedName>
    <definedName function="false" hidden="false" name="nd_g_pc_28_lo" vbProcedure="false">In!$D$586</definedName>
    <definedName function="false" hidden="false" name="nd_p10" vbProcedure="false">In!$E$568</definedName>
    <definedName function="false" hidden="false" name="nd_p10_hi" vbProcedure="false">In!$F$568</definedName>
    <definedName function="false" hidden="false" name="nd_p10_lo" vbProcedure="false">In!$D$568</definedName>
    <definedName function="false" hidden="false" name="nd_rev24" vbProcedure="false">In!$E$625</definedName>
    <definedName function="false" hidden="false" name="nd_rv_kx_0" vbProcedure="false">In!$E$613</definedName>
    <definedName function="false" hidden="false" name="nd_rv_kx_1" vbProcedure="false">In!$E$614</definedName>
    <definedName function="false" hidden="false" name="nd_rv_kx_2" vbProcedure="false">In!$E$615</definedName>
    <definedName function="false" hidden="false" name="nd_rv_kx_3" vbProcedure="false">In!$E$616</definedName>
    <definedName function="false" hidden="false" name="nd_rv_kx_4" vbProcedure="false">In!$E$617</definedName>
    <definedName function="false" hidden="false" name="nd_rv_kx_5" vbProcedure="false">In!$E$618</definedName>
    <definedName function="false" hidden="false" name="nd_rv_mu_0" vbProcedure="false">In!$E$607</definedName>
    <definedName function="false" hidden="false" name="nd_rv_mu_1" vbProcedure="false">In!$E$608</definedName>
    <definedName function="false" hidden="false" name="nd_rv_mu_2" vbProcedure="false">In!$E$609</definedName>
    <definedName function="false" hidden="false" name="nd_rv_mu_3" vbProcedure="false">In!$E$610</definedName>
    <definedName function="false" hidden="false" name="nd_rv_mu_4" vbProcedure="false">In!$E$611</definedName>
    <definedName function="false" hidden="false" name="nd_rv_mu_5" vbProcedure="false">In!$E$612</definedName>
    <definedName function="false" hidden="false" name="nd_rv_sd_0" vbProcedure="false">In!$E$619</definedName>
    <definedName function="false" hidden="false" name="nd_rv_sd_1" vbProcedure="false">In!$E$620</definedName>
    <definedName function="false" hidden="false" name="nd_rv_sd_2" vbProcedure="false">In!$E$621</definedName>
    <definedName function="false" hidden="false" name="nd_rv_sd_3" vbProcedure="false">In!$E$622</definedName>
    <definedName function="false" hidden="false" name="nd_rv_sd_4" vbProcedure="false">In!$E$623</definedName>
    <definedName function="false" hidden="false" name="nd_rv_sd_5" vbProcedure="false">In!$E$624</definedName>
    <definedName function="false" hidden="false" name="nd_rv_sk_0" vbProcedure="false">In!$E$601</definedName>
    <definedName function="false" hidden="false" name="nd_rv_sk_1" vbProcedure="false">In!$E$602</definedName>
    <definedName function="false" hidden="false" name="nd_rv_sk_2" vbProcedure="false">In!$E$603</definedName>
    <definedName function="false" hidden="false" name="nd_rv_sk_3" vbProcedure="false">In!$E$604</definedName>
    <definedName function="false" hidden="false" name="nd_rv_sk_4" vbProcedure="false">In!$E$605</definedName>
    <definedName function="false" hidden="false" name="nd_rv_sk_5" vbProcedure="false">In!$E$606</definedName>
    <definedName function="false" hidden="false" name="nd_rv_ss_0" vbProcedure="false">In!$E$595</definedName>
    <definedName function="false" hidden="false" name="nd_rv_ss_1" vbProcedure="false">In!$E$596</definedName>
    <definedName function="false" hidden="false" name="nd_rv_ss_2" vbProcedure="false">In!$E$597</definedName>
    <definedName function="false" hidden="false" name="nd_rv_ss_3" vbProcedure="false">In!$E$598</definedName>
    <definedName function="false" hidden="false" name="nd_rv_ss_4" vbProcedure="false">In!$E$599</definedName>
    <definedName function="false" hidden="false" name="nd_rv_ss_5" vbProcedure="false">In!$E$600</definedName>
    <definedName function="false" hidden="false" name="nd_sh_essd25" vbProcedure="false">In!$E$576</definedName>
    <definedName function="false" hidden="false" name="nd_sh_essd25_hi" vbProcedure="false">In!$F$576</definedName>
    <definedName function="false" hidden="false" name="nd_sh_essd25_lo" vbProcedure="false">In!$D$576</definedName>
    <definedName function="false" hidden="false" name="nd_sh_mob25" vbProcedure="false">In!$E$578</definedName>
    <definedName function="false" hidden="false" name="nd_sh_mob25_hi" vbProcedure="false">In!$F$578</definedName>
    <definedName function="false" hidden="false" name="nd_sh_mob25_lo" vbProcedure="false">In!$D$578</definedName>
    <definedName function="false" hidden="false" name="nd_sh_pc25" vbProcedure="false">In!$E$579</definedName>
    <definedName function="false" hidden="false" name="nd_sh_pc25_hi" vbProcedure="false">In!$F$579</definedName>
    <definedName function="false" hidden="false" name="nd_sh_pc25_lo" vbProcedure="false">In!$D$579</definedName>
    <definedName function="false" hidden="false" name="nd_tb_26" vbProcedure="false">In!$E$569</definedName>
    <definedName function="false" hidden="false" name="nd_tb_26_hi" vbProcedure="false">In!$F$569</definedName>
    <definedName function="false" hidden="false" name="nd_tb_26_lo" vbProcedure="false">In!$D$569</definedName>
    <definedName function="false" hidden="false" name="nd_tb_27" vbProcedure="false">In!$E$570</definedName>
    <definedName function="false" hidden="false" name="nd_tb_27_hi" vbProcedure="false">In!$F$570</definedName>
    <definedName function="false" hidden="false" name="nd_tb_27_lo" vbProcedure="false">In!$D$570</definedName>
    <definedName function="false" hidden="false" name="nd_tb_28" vbProcedure="false">In!$E$571</definedName>
    <definedName function="false" hidden="false" name="nd_tb_28_hi" vbProcedure="false">In!$F$571</definedName>
    <definedName function="false" hidden="false" name="nd_tb_28_lo" vbProcedure="false">In!$D$571</definedName>
    <definedName function="false" hidden="false" name="nd_tb_29" vbProcedure="false">In!$E$572</definedName>
    <definedName function="false" hidden="false" name="nd_tb_29_hi" vbProcedure="false">In!$F$572</definedName>
    <definedName function="false" hidden="false" name="nd_tb_29_lo" vbProcedure="false">In!$D$572</definedName>
    <definedName function="false" hidden="false" name="nd_tb_30" vbProcedure="false">In!$E$573</definedName>
    <definedName function="false" hidden="false" name="nd_tb_30_hi" vbProcedure="false">In!$F$573</definedName>
    <definedName function="false" hidden="false" name="nd_tb_30_lo" vbProcedure="false">In!$D$573</definedName>
    <definedName function="false" hidden="false" name="nqA_10" vbProcedure="false">In!$E$58</definedName>
    <definedName function="false" hidden="false" name="nqA_11" vbProcedure="false">In!$E$59</definedName>
    <definedName function="false" hidden="false" name="nqA_12" vbProcedure="false">In!$E$60</definedName>
    <definedName function="false" hidden="false" name="nqA_13" vbProcedure="false">In!$E$61</definedName>
    <definedName function="false" hidden="false" name="nqA_14" vbProcedure="false">In!$E$62</definedName>
    <definedName function="false" hidden="false" name="nqA_15" vbProcedure="false">In!$E$63</definedName>
    <definedName function="false" hidden="false" name="nqA_16" vbProcedure="false">In!$E$64</definedName>
    <definedName function="false" hidden="false" name="nqA_16_hi" vbProcedure="false">In!$F$64</definedName>
    <definedName function="false" hidden="false" name="nqA_16_lo" vbProcedure="false">In!$D$64</definedName>
    <definedName function="false" hidden="false" name="nqA_17" vbProcedure="false">In!$E$65</definedName>
    <definedName function="false" hidden="false" name="nqA_17_hi" vbProcedure="false">In!$F$65</definedName>
    <definedName function="false" hidden="false" name="nqA_17_lo" vbProcedure="false">In!$D$65</definedName>
    <definedName function="false" hidden="false" name="nqA_18" vbProcedure="false">In!$E$66</definedName>
    <definedName function="false" hidden="false" name="nqA_18_hi" vbProcedure="false">In!$F$66</definedName>
    <definedName function="false" hidden="false" name="nqA_18_lo" vbProcedure="false">In!$D$66</definedName>
    <definedName function="false" hidden="false" name="nqA_19" vbProcedure="false">In!$E$67</definedName>
    <definedName function="false" hidden="false" name="nqA_19_hi" vbProcedure="false">In!$F$67</definedName>
    <definedName function="false" hidden="false" name="nqA_19_lo" vbProcedure="false">In!$D$67</definedName>
    <definedName function="false" hidden="false" name="nqA_8" vbProcedure="false">In!$E$56</definedName>
    <definedName function="false" hidden="false" name="nqA_9" vbProcedure="false">In!$E$57</definedName>
    <definedName function="false" hidden="false" name="nqB_10" vbProcedure="false">In!$E$70</definedName>
    <definedName function="false" hidden="false" name="nqB_11" vbProcedure="false">In!$E$71</definedName>
    <definedName function="false" hidden="false" name="nqB_12" vbProcedure="false">In!$E$72</definedName>
    <definedName function="false" hidden="false" name="nqB_13" vbProcedure="false">In!$E$73</definedName>
    <definedName function="false" hidden="false" name="nqB_14" vbProcedure="false">In!$E$74</definedName>
    <definedName function="false" hidden="false" name="nqB_15" vbProcedure="false">In!$E$75</definedName>
    <definedName function="false" hidden="false" name="nqB_16" vbProcedure="false">In!$E$76</definedName>
    <definedName function="false" hidden="false" name="nqB_16_hi" vbProcedure="false">In!$F$76</definedName>
    <definedName function="false" hidden="false" name="nqB_16_lo" vbProcedure="false">In!$D$76</definedName>
    <definedName function="false" hidden="false" name="nqB_17" vbProcedure="false">In!$E$77</definedName>
    <definedName function="false" hidden="false" name="nqB_17_hi" vbProcedure="false">In!$F$77</definedName>
    <definedName function="false" hidden="false" name="nqB_17_lo" vbProcedure="false">In!$D$77</definedName>
    <definedName function="false" hidden="false" name="nqB_18" vbProcedure="false">In!$E$78</definedName>
    <definedName function="false" hidden="false" name="nqB_18_hi" vbProcedure="false">In!$F$78</definedName>
    <definedName function="false" hidden="false" name="nqB_18_lo" vbProcedure="false">In!$D$78</definedName>
    <definedName function="false" hidden="false" name="nqB_19" vbProcedure="false">In!$E$79</definedName>
    <definedName function="false" hidden="false" name="nqB_19_hi" vbProcedure="false">In!$F$79</definedName>
    <definedName function="false" hidden="false" name="nqB_19_lo" vbProcedure="false">In!$D$79</definedName>
    <definedName function="false" hidden="false" name="nqB_8" vbProcedure="false">In!$E$68</definedName>
    <definedName function="false" hidden="false" name="nqB_9" vbProcedure="false">In!$E$69</definedName>
    <definedName function="false" hidden="false" name="nqC_10" vbProcedure="false">In!$E$82</definedName>
    <definedName function="false" hidden="false" name="nqC_10_hi" vbProcedure="false">In!$F$82</definedName>
    <definedName function="false" hidden="false" name="nqC_10_lo" vbProcedure="false">In!$D$82</definedName>
    <definedName function="false" hidden="false" name="nqC_11" vbProcedure="false">In!$E$83</definedName>
    <definedName function="false" hidden="false" name="nqC_11_hi" vbProcedure="false">In!$F$83</definedName>
    <definedName function="false" hidden="false" name="nqC_11_lo" vbProcedure="false">In!$D$83</definedName>
    <definedName function="false" hidden="false" name="nqC_12" vbProcedure="false">In!$E$84</definedName>
    <definedName function="false" hidden="false" name="nqC_12_hi" vbProcedure="false">In!$F$84</definedName>
    <definedName function="false" hidden="false" name="nqC_12_lo" vbProcedure="false">In!$D$84</definedName>
    <definedName function="false" hidden="false" name="nqC_13" vbProcedure="false">In!$E$85</definedName>
    <definedName function="false" hidden="false" name="nqC_13_hi" vbProcedure="false">In!$F$85</definedName>
    <definedName function="false" hidden="false" name="nqC_13_lo" vbProcedure="false">In!$D$85</definedName>
    <definedName function="false" hidden="false" name="nqC_14" vbProcedure="false">In!$E$86</definedName>
    <definedName function="false" hidden="false" name="nqC_14_hi" vbProcedure="false">In!$F$86</definedName>
    <definedName function="false" hidden="false" name="nqC_14_lo" vbProcedure="false">In!$D$86</definedName>
    <definedName function="false" hidden="false" name="nqC_15" vbProcedure="false">In!$E$87</definedName>
    <definedName function="false" hidden="false" name="nqC_15_hi" vbProcedure="false">In!$F$87</definedName>
    <definedName function="false" hidden="false" name="nqC_15_lo" vbProcedure="false">In!$D$87</definedName>
    <definedName function="false" hidden="false" name="nqC_16" vbProcedure="false">In!$E$88</definedName>
    <definedName function="false" hidden="false" name="nqC_16_hi" vbProcedure="false">In!$F$88</definedName>
    <definedName function="false" hidden="false" name="nqC_16_lo" vbProcedure="false">In!$D$88</definedName>
    <definedName function="false" hidden="false" name="nqC_17" vbProcedure="false">In!$E$89</definedName>
    <definedName function="false" hidden="false" name="nqC_17_hi" vbProcedure="false">In!$F$89</definedName>
    <definedName function="false" hidden="false" name="nqC_17_lo" vbProcedure="false">In!$D$89</definedName>
    <definedName function="false" hidden="false" name="nqC_18" vbProcedure="false">In!$E$90</definedName>
    <definedName function="false" hidden="false" name="nqC_18_hi" vbProcedure="false">In!$F$90</definedName>
    <definedName function="false" hidden="false" name="nqC_18_lo" vbProcedure="false">In!$D$90</definedName>
    <definedName function="false" hidden="false" name="nqC_19" vbProcedure="false">In!$E$91</definedName>
    <definedName function="false" hidden="false" name="nqC_19_hi" vbProcedure="false">In!$F$91</definedName>
    <definedName function="false" hidden="false" name="nqC_19_lo" vbProcedure="false">In!$D$91</definedName>
    <definedName function="false" hidden="false" name="nqC_8" vbProcedure="false">In!$E$80</definedName>
    <definedName function="false" hidden="false" name="nqC_8_hi" vbProcedure="false">In!$F$80</definedName>
    <definedName function="false" hidden="false" name="nqC_8_lo" vbProcedure="false">In!$D$80</definedName>
    <definedName function="false" hidden="false" name="nqC_9" vbProcedure="false">In!$E$81</definedName>
    <definedName function="false" hidden="false" name="nqC_9_hi" vbProcedure="false">In!$F$81</definedName>
    <definedName function="false" hidden="false" name="nqC_9_lo" vbProcedure="false">In!$D$81</definedName>
    <definedName function="false" hidden="false" name="nq_1" vbProcedure="false">In!$E$49</definedName>
    <definedName function="false" hidden="false" name="nq_2" vbProcedure="false">In!$E$50</definedName>
    <definedName function="false" hidden="false" name="nq_3" vbProcedure="false">In!$E$51</definedName>
    <definedName function="false" hidden="false" name="nq_4" vbProcedure="false">In!$E$52</definedName>
    <definedName function="false" hidden="false" name="nq_5" vbProcedure="false">In!$E$53</definedName>
    <definedName function="false" hidden="false" name="nq_6" vbProcedure="false">In!$E$54</definedName>
    <definedName function="false" hidden="false" name="nq_7" vbProcedure="false">In!$E$55</definedName>
    <definedName function="false" hidden="false" name="nq_7_hi" vbProcedure="false">In!$F$55</definedName>
    <definedName function="false" hidden="false" name="nq_7_lo" vbProcedure="false">In!$D$55</definedName>
    <definedName function="false" hidden="false" name="nv_content" vbProcedure="false">In!$E$166</definedName>
    <definedName function="false" hidden="false" name="nv_content_hi" vbProcedure="false">In!$F$166</definedName>
    <definedName function="false" hidden="false" name="nv_content_lo" vbProcedure="false">In!$D$166</definedName>
    <definedName function="false" hidden="false" name="nv_dc26" vbProcedure="false">In!$E$165</definedName>
    <definedName function="false" hidden="false" name="nv_dc26_hi" vbProcedure="false">In!$F$165</definedName>
    <definedName function="false" hidden="false" name="nv_dc26_lo" vbProcedure="false">In!$D$165</definedName>
    <definedName function="false" hidden="false" name="nv_hbm" vbProcedure="false">In!$E$167</definedName>
    <definedName function="false" hidden="false" name="nv_hbm_hi" vbProcedure="false">In!$F$167</definedName>
    <definedName function="false" hidden="false" name="nv_hbm_lo" vbProcedure="false">In!$D$167</definedName>
    <definedName function="false" hidden="false" name="pa_amd" vbProcedure="false">In!$E$181</definedName>
    <definedName function="false" hidden="false" name="pa_amd_hi" vbProcedure="false">In!$F$181</definedName>
    <definedName function="false" hidden="false" name="pa_amd_lo" vbProcedure="false">In!$D$181</definedName>
    <definedName function="false" hidden="false" name="pa_oth" vbProcedure="false">In!$E$184</definedName>
    <definedName function="false" hidden="false" name="pa_oth_hi" vbProcedure="false">In!$F$184</definedName>
    <definedName function="false" hidden="false" name="pa_oth_lo" vbProcedure="false">In!$D$184</definedName>
    <definedName function="false" hidden="false" name="pa_tpu" vbProcedure="false">In!$E$182</definedName>
    <definedName function="false" hidden="false" name="pa_tpu_hi" vbProcedure="false">In!$F$182</definedName>
    <definedName function="false" hidden="false" name="pa_tpu_lo" vbProcedure="false">In!$D$182</definedName>
    <definedName function="false" hidden="false" name="pa_trn" vbProcedure="false">In!$E$183</definedName>
    <definedName function="false" hidden="false" name="pa_trn_hi" vbProcedure="false">In!$F$183</definedName>
    <definedName function="false" hidden="false" name="pa_trn_lo" vbProcedure="false">In!$D$183</definedName>
    <definedName function="false" hidden="false" name="pcb_cmpx_27" vbProcedure="false">In!$E$410</definedName>
    <definedName function="false" hidden="false" name="pcb_cmpx_27_hi" vbProcedure="false">In!$F$410</definedName>
    <definedName function="false" hidden="false" name="pcb_cmpx_27_lo" vbProcedure="false">In!$D$410</definedName>
    <definedName function="false" hidden="false" name="pcb_cmpx_28" vbProcedure="false">In!$E$411</definedName>
    <definedName function="false" hidden="false" name="pcb_cmpx_28_hi" vbProcedure="false">In!$F$411</definedName>
    <definedName function="false" hidden="false" name="pcb_cmpx_28_lo" vbProcedure="false">In!$D$411</definedName>
    <definedName function="false" hidden="false" name="pcb_cmpx_29" vbProcedure="false">In!$E$412</definedName>
    <definedName function="false" hidden="false" name="pcb_cmpx_29_hi" vbProcedure="false">In!$F$412</definedName>
    <definedName function="false" hidden="false" name="pcb_cmpx_29_lo" vbProcedure="false">In!$D$412</definedName>
    <definedName function="false" hidden="false" name="pcb_cmp_26" vbProcedure="false">In!$E$407</definedName>
    <definedName function="false" hidden="false" name="pcb_cmp_26_hi" vbProcedure="false">In!$F$407</definedName>
    <definedName function="false" hidden="false" name="pcb_cmp_26_lo" vbProcedure="false">In!$D$407</definedName>
    <definedName function="false" hidden="false" name="pcb_midx_27" vbProcedure="false">In!$E$416</definedName>
    <definedName function="false" hidden="false" name="pcb_midx_27_hi" vbProcedure="false">In!$F$416</definedName>
    <definedName function="false" hidden="false" name="pcb_midx_27_lo" vbProcedure="false">In!$D$416</definedName>
    <definedName function="false" hidden="false" name="pcb_midx_28" vbProcedure="false">In!$E$417</definedName>
    <definedName function="false" hidden="false" name="pcb_midx_28_hi" vbProcedure="false">In!$F$417</definedName>
    <definedName function="false" hidden="false" name="pcb_midx_28_lo" vbProcedure="false">In!$D$417</definedName>
    <definedName function="false" hidden="false" name="pcb_midx_29" vbProcedure="false">In!$E$418</definedName>
    <definedName function="false" hidden="false" name="pcb_midx_29_hi" vbProcedure="false">In!$F$418</definedName>
    <definedName function="false" hidden="false" name="pcb_midx_29_lo" vbProcedure="false">In!$D$418</definedName>
    <definedName function="false" hidden="false" name="pcb_mid_26" vbProcedure="false">In!$E$409</definedName>
    <definedName function="false" hidden="false" name="pcb_mid_26_hi" vbProcedure="false">In!$F$409</definedName>
    <definedName function="false" hidden="false" name="pcb_mid_26_lo" vbProcedure="false">In!$D$409</definedName>
    <definedName function="false" hidden="false" name="pcb_swx_27" vbProcedure="false">In!$E$413</definedName>
    <definedName function="false" hidden="false" name="pcb_swx_27_hi" vbProcedure="false">In!$F$413</definedName>
    <definedName function="false" hidden="false" name="pcb_swx_27_lo" vbProcedure="false">In!$D$413</definedName>
    <definedName function="false" hidden="false" name="pcb_swx_28" vbProcedure="false">In!$E$414</definedName>
    <definedName function="false" hidden="false" name="pcb_swx_28_hi" vbProcedure="false">In!$F$414</definedName>
    <definedName function="false" hidden="false" name="pcb_swx_28_lo" vbProcedure="false">In!$D$414</definedName>
    <definedName function="false" hidden="false" name="pcb_swx_29" vbProcedure="false">In!$E$415</definedName>
    <definedName function="false" hidden="false" name="pcb_swx_29_hi" vbProcedure="false">In!$F$415</definedName>
    <definedName function="false" hidden="false" name="pcb_swx_29_lo" vbProcedure="false">In!$D$415</definedName>
    <definedName function="false" hidden="false" name="pcb_sw_26" vbProcedure="false">In!$E$408</definedName>
    <definedName function="false" hidden="false" name="pcb_sw_26_hi" vbProcedure="false">In!$F$408</definedName>
    <definedName function="false" hidden="false" name="pcb_sw_26_lo" vbProcedure="false">In!$D$408</definedName>
    <definedName function="false" hidden="false" name="pub26_hi" vbProcedure="false">In!$E$169</definedName>
    <definedName function="false" hidden="false" name="pub26_lo" vbProcedure="false">In!$E$168</definedName>
    <definedName function="false" hidden="false" name="pub27" vbProcedure="false">In!$E$170</definedName>
    <definedName function="false" hidden="false" name="pwr_drel_27" vbProcedure="false">In!$E$436</definedName>
    <definedName function="false" hidden="false" name="pwr_drel_27_hi" vbProcedure="false">In!$F$436</definedName>
    <definedName function="false" hidden="false" name="pwr_drel_27_lo" vbProcedure="false">In!$D$436</definedName>
    <definedName function="false" hidden="false" name="pwr_drel_28" vbProcedure="false">In!$E$437</definedName>
    <definedName function="false" hidden="false" name="pwr_drel_28_hi" vbProcedure="false">In!$F$437</definedName>
    <definedName function="false" hidden="false" name="pwr_drel_28_lo" vbProcedure="false">In!$D$437</definedName>
    <definedName function="false" hidden="false" name="pwr_drel_29" vbProcedure="false">In!$E$438</definedName>
    <definedName function="false" hidden="false" name="pwr_drel_29_hi" vbProcedure="false">In!$F$438</definedName>
    <definedName function="false" hidden="false" name="pwr_drel_29_lo" vbProcedure="false">In!$D$438</definedName>
    <definedName function="false" hidden="false" name="pwr_dsh_26" vbProcedure="false">In!$E$442</definedName>
    <definedName function="false" hidden="false" name="pwr_kgi_0701" vbProcedure="false">In!$E$444</definedName>
    <definedName function="false" hidden="false" name="pwr_kgi_0926" vbProcedure="false">In!$E$445</definedName>
    <definedName function="false" hidden="false" name="pwr_kgi_0926_hi" vbProcedure="false">In!$F$445</definedName>
    <definedName function="false" hidden="false" name="pwr_kgi_0926_lo" vbProcedure="false">In!$D$445</definedName>
    <definedName function="false" hidden="false" name="pwr_lrel_27" vbProcedure="false">In!$E$439</definedName>
    <definedName function="false" hidden="false" name="pwr_lrel_27_hi" vbProcedure="false">In!$F$439</definedName>
    <definedName function="false" hidden="false" name="pwr_lrel_27_lo" vbProcedure="false">In!$D$439</definedName>
    <definedName function="false" hidden="false" name="pwr_lrel_28" vbProcedure="false">In!$E$440</definedName>
    <definedName function="false" hidden="false" name="pwr_lrel_28_hi" vbProcedure="false">In!$F$440</definedName>
    <definedName function="false" hidden="false" name="pwr_lrel_28_lo" vbProcedure="false">In!$D$440</definedName>
    <definedName function="false" hidden="false" name="pwr_lrel_29" vbProcedure="false">In!$E$441</definedName>
    <definedName function="false" hidden="false" name="pwr_lrel_29_hi" vbProcedure="false">In!$F$441</definedName>
    <definedName function="false" hidden="false" name="pwr_lrel_29_lo" vbProcedure="false">In!$D$441</definedName>
    <definedName function="false" hidden="false" name="pwr_lsh_26" vbProcedure="false">In!$E$443</definedName>
    <definedName function="false" hidden="false" name="pwr_pkw_26" vbProcedure="false">In!$E$432</definedName>
    <definedName function="false" hidden="false" name="pwr_pkw_26_hi" vbProcedure="false">In!$F$432</definedName>
    <definedName function="false" hidden="false" name="pwr_pkw_26_lo" vbProcedure="false">In!$D$432</definedName>
    <definedName function="false" hidden="false" name="pwr_pkw_27" vbProcedure="false">In!$E$433</definedName>
    <definedName function="false" hidden="false" name="pwr_pkw_27_hi" vbProcedure="false">In!$F$433</definedName>
    <definedName function="false" hidden="false" name="pwr_pkw_27_lo" vbProcedure="false">In!$D$433</definedName>
    <definedName function="false" hidden="false" name="pwr_pkw_28" vbProcedure="false">In!$E$434</definedName>
    <definedName function="false" hidden="false" name="pwr_pkw_28_hi" vbProcedure="false">In!$F$434</definedName>
    <definedName function="false" hidden="false" name="pwr_pkw_28_lo" vbProcedure="false">In!$D$434</definedName>
    <definedName function="false" hidden="false" name="pwr_pkw_29" vbProcedure="false">In!$E$435</definedName>
    <definedName function="false" hidden="false" name="pwr_pkw_29_hi" vbProcedure="false">In!$F$435</definedName>
    <definedName function="false" hidden="false" name="pwr_pkw_29_lo" vbProcedure="false">In!$D$435</definedName>
    <definedName function="false" hidden="false" name="pwr_ubs_26" vbProcedure="false">In!$E$446</definedName>
    <definedName function="false" hidden="false" name="pwr_ubs_27" vbProcedure="false">In!$E$447</definedName>
    <definedName function="false" hidden="false" name="SGOV_Errors" vbProcedure="false">Checks!$C$108</definedName>
    <definedName function="false" hidden="false" name="SGOV_Warn" vbProcedure="false">Checks!$C$109</definedName>
    <definedName function="false" hidden="false" name="sh_oth_26" vbProcedure="false">In!$E$192</definedName>
    <definedName function="false" hidden="false" name="sh_oth_26_hi" vbProcedure="false">In!$F$192</definedName>
    <definedName function="false" hidden="false" name="sh_oth_26_lo" vbProcedure="false">In!$D$192</definedName>
    <definedName function="false" hidden="false" name="sh_oth_27" vbProcedure="false">In!$E$193</definedName>
    <definedName function="false" hidden="false" name="sh_oth_27_hi" vbProcedure="false">In!$F$193</definedName>
    <definedName function="false" hidden="false" name="sh_oth_27_lo" vbProcedure="false">In!$D$193</definedName>
    <definedName function="false" hidden="false" name="sh_oth_28" vbProcedure="false">In!$E$194</definedName>
    <definedName function="false" hidden="false" name="sh_oth_28_hi" vbProcedure="false">In!$F$194</definedName>
    <definedName function="false" hidden="false" name="sh_oth_28_lo" vbProcedure="false">In!$D$194</definedName>
    <definedName function="false" hidden="false" name="sh_tpu_26" vbProcedure="false">In!$E$189</definedName>
    <definedName function="false" hidden="false" name="sh_tpu_26_hi" vbProcedure="false">In!$F$189</definedName>
    <definedName function="false" hidden="false" name="sh_tpu_26_lo" vbProcedure="false">In!$D$189</definedName>
    <definedName function="false" hidden="false" name="sh_tpu_27" vbProcedure="false">In!$E$190</definedName>
    <definedName function="false" hidden="false" name="sh_tpu_27_hi" vbProcedure="false">In!$F$190</definedName>
    <definedName function="false" hidden="false" name="sh_tpu_27_lo" vbProcedure="false">In!$D$190</definedName>
    <definedName function="false" hidden="false" name="sh_tpu_28" vbProcedure="false">In!$E$191</definedName>
    <definedName function="false" hidden="false" name="sh_tpu_28_hi" vbProcedure="false">In!$F$191</definedName>
    <definedName function="false" hidden="false" name="sh_tpu_28_lo" vbProcedure="false">In!$D$191</definedName>
    <definedName function="false" hidden="false" name="SIF_abfcap_ib_27" vbProcedure="false">Interface!$E$373</definedName>
    <definedName function="false" hidden="false" name="SIF_abfcap_ib_27_hi" vbProcedure="false">Interface!$F$373</definedName>
    <definedName function="false" hidden="false" name="SIF_abfcap_ib_27_lo" vbProcedure="false">Interface!$D$373</definedName>
    <definedName function="false" hidden="false" name="SIF_abfcap_ib_28" vbProcedure="false">Interface!$E$374</definedName>
    <definedName function="false" hidden="false" name="SIF_abfcap_ib_28_hi" vbProcedure="false">Interface!$F$374</definedName>
    <definedName function="false" hidden="false" name="SIF_abfcap_ib_28_lo" vbProcedure="false">Interface!$D$374</definedName>
    <definedName function="false" hidden="false" name="SIF_abfcap_ib_29" vbProcedure="false">Interface!$E$375</definedName>
    <definedName function="false" hidden="false" name="SIF_abfcap_ib_29_hi" vbProcedure="false">Interface!$F$375</definedName>
    <definedName function="false" hidden="false" name="SIF_abfcap_ib_29_lo" vbProcedure="false">Interface!$D$375</definedName>
    <definedName function="false" hidden="false" name="SIF_abfcap_ks_27" vbProcedure="false">Interface!$E$382</definedName>
    <definedName function="false" hidden="false" name="SIF_abfcap_ks_27_hi" vbProcedure="false">Interface!$F$382</definedName>
    <definedName function="false" hidden="false" name="SIF_abfcap_ks_27_lo" vbProcedure="false">Interface!$D$382</definedName>
    <definedName function="false" hidden="false" name="SIF_abfcap_ks_28" vbProcedure="false">Interface!$E$383</definedName>
    <definedName function="false" hidden="false" name="SIF_abfcap_ks_28_hi" vbProcedure="false">Interface!$F$383</definedName>
    <definedName function="false" hidden="false" name="SIF_abfcap_ks_28_lo" vbProcedure="false">Interface!$D$383</definedName>
    <definedName function="false" hidden="false" name="SIF_abfcap_ks_29" vbProcedure="false">Interface!$E$384</definedName>
    <definedName function="false" hidden="false" name="SIF_abfcap_ks_29_hi" vbProcedure="false">Interface!$F$384</definedName>
    <definedName function="false" hidden="false" name="SIF_abfcap_ks_29_lo" vbProcedure="false">Interface!$D$384</definedName>
    <definedName function="false" hidden="false" name="SIF_abfcap_np_27" vbProcedure="false">Interface!$E$379</definedName>
    <definedName function="false" hidden="false" name="SIF_abfcap_np_27_hi" vbProcedure="false">Interface!$F$379</definedName>
    <definedName function="false" hidden="false" name="SIF_abfcap_np_27_lo" vbProcedure="false">Interface!$D$379</definedName>
    <definedName function="false" hidden="false" name="SIF_abfcap_np_28" vbProcedure="false">Interface!$E$380</definedName>
    <definedName function="false" hidden="false" name="SIF_abfcap_np_28_hi" vbProcedure="false">Interface!$F$380</definedName>
    <definedName function="false" hidden="false" name="SIF_abfcap_np_28_lo" vbProcedure="false">Interface!$D$380</definedName>
    <definedName function="false" hidden="false" name="SIF_abfcap_np_29" vbProcedure="false">Interface!$E$381</definedName>
    <definedName function="false" hidden="false" name="SIF_abfcap_np_29_hi" vbProcedure="false">Interface!$F$381</definedName>
    <definedName function="false" hidden="false" name="SIF_abfcap_np_29_lo" vbProcedure="false">Interface!$D$381</definedName>
    <definedName function="false" hidden="false" name="SIF_abfcap_oth_27" vbProcedure="false">Interface!$E$385</definedName>
    <definedName function="false" hidden="false" name="SIF_abfcap_oth_27_hi" vbProcedure="false">Interface!$F$385</definedName>
    <definedName function="false" hidden="false" name="SIF_abfcap_oth_27_lo" vbProcedure="false">Interface!$D$385</definedName>
    <definedName function="false" hidden="false" name="SIF_abfcap_oth_28" vbProcedure="false">Interface!$E$386</definedName>
    <definedName function="false" hidden="false" name="SIF_abfcap_oth_28_hi" vbProcedure="false">Interface!$F$386</definedName>
    <definedName function="false" hidden="false" name="SIF_abfcap_oth_28_lo" vbProcedure="false">Interface!$D$386</definedName>
    <definedName function="false" hidden="false" name="SIF_abfcap_oth_29" vbProcedure="false">Interface!$E$387</definedName>
    <definedName function="false" hidden="false" name="SIF_abfcap_oth_29_hi" vbProcedure="false">Interface!$F$387</definedName>
    <definedName function="false" hidden="false" name="SIF_abfcap_oth_29_lo" vbProcedure="false">Interface!$D$387</definedName>
    <definedName function="false" hidden="false" name="SIF_abfcap_un_27" vbProcedure="false">Interface!$E$376</definedName>
    <definedName function="false" hidden="false" name="SIF_abfcap_un_27_hi" vbProcedure="false">Interface!$F$376</definedName>
    <definedName function="false" hidden="false" name="SIF_abfcap_un_27_lo" vbProcedure="false">Interface!$D$376</definedName>
    <definedName function="false" hidden="false" name="SIF_abfcap_un_28" vbProcedure="false">Interface!$E$377</definedName>
    <definedName function="false" hidden="false" name="SIF_abfcap_un_28_hi" vbProcedure="false">Interface!$F$377</definedName>
    <definedName function="false" hidden="false" name="SIF_abfcap_un_28_lo" vbProcedure="false">Interface!$D$377</definedName>
    <definedName function="false" hidden="false" name="SIF_abfcap_un_29" vbProcedure="false">Interface!$E$378</definedName>
    <definedName function="false" hidden="false" name="SIF_abfcap_un_29_hi" vbProcedure="false">Interface!$F$378</definedName>
    <definedName function="false" hidden="false" name="SIF_abfcap_un_29_lo" vbProcedure="false">Interface!$D$378</definedName>
    <definedName function="false" hidden="false" name="SIF_ABFDemIdx_A" vbProcedure="false">Interface!$E$700:$H$700</definedName>
    <definedName function="false" hidden="false" name="SIF_ABFDemIdx_B" vbProcedure="false">Interface!$E$701:$H$701</definedName>
    <definedName function="false" hidden="false" name="SIF_ABFDemIdx_C" vbProcedure="false">Interface!$E$702:$H$702</definedName>
    <definedName function="false" hidden="false" name="SIF_ABFFilmIdx" vbProcedure="false">Interface!$E$704:$H$704</definedName>
    <definedName function="false" hidden="false" name="SIF_abffilm_27" vbProcedure="false">Interface!$E$388</definedName>
    <definedName function="false" hidden="false" name="SIF_abffilm_27_hi" vbProcedure="false">Interface!$F$388</definedName>
    <definedName function="false" hidden="false" name="SIF_abffilm_27_lo" vbProcedure="false">Interface!$D$388</definedName>
    <definedName function="false" hidden="false" name="SIF_abffilm_28" vbProcedure="false">Interface!$E$389</definedName>
    <definedName function="false" hidden="false" name="SIF_abffilm_28_hi" vbProcedure="false">Interface!$F$389</definedName>
    <definedName function="false" hidden="false" name="SIF_abffilm_28_lo" vbProcedure="false">Interface!$D$389</definedName>
    <definedName function="false" hidden="false" name="SIF_abffilm_29" vbProcedure="false">Interface!$E$390</definedName>
    <definedName function="false" hidden="false" name="SIF_abffilm_29_hi" vbProcedure="false">Interface!$F$390</definedName>
    <definedName function="false" hidden="false" name="SIF_abffilm_29_lo" vbProcedure="false">Interface!$D$390</definedName>
    <definedName function="false" hidden="false" name="SIF_ABFGap_A" vbProcedure="false">Interface!$E$706:$H$706</definedName>
    <definedName function="false" hidden="false" name="SIF_ABFGap_B" vbProcedure="false">Interface!$E$707:$H$707</definedName>
    <definedName function="false" hidden="false" name="SIF_ABFGap_C" vbProcedure="false">Interface!$E$708:$H$708</definedName>
    <definedName function="false" hidden="false" name="SIF_abfm_25" vbProcedure="false">Interface!$E$363</definedName>
    <definedName function="false" hidden="false" name="SIF_abfm_g26" vbProcedure="false">Interface!$E$364</definedName>
    <definedName function="false" hidden="false" name="SIF_abfm_g26_hi" vbProcedure="false">Interface!$F$364</definedName>
    <definedName function="false" hidden="false" name="SIF_abfm_g26_lo" vbProcedure="false">Interface!$D$364</definedName>
    <definedName function="false" hidden="false" name="SIF_abfrev_ib26" vbProcedure="false">Interface!$E$369</definedName>
    <definedName function="false" hidden="false" name="SIF_abfrev_ib26_hi" vbProcedure="false">Interface!$F$369</definedName>
    <definedName function="false" hidden="false" name="SIF_abfrev_ib26_lo" vbProcedure="false">Interface!$D$369</definedName>
    <definedName function="false" hidden="false" name="SIF_abfrev_ks26" vbProcedure="false">Interface!$E$372</definedName>
    <definedName function="false" hidden="false" name="SIF_abfrev_np26" vbProcedure="false">Interface!$E$371</definedName>
    <definedName function="false" hidden="false" name="SIF_abfrev_un26" vbProcedure="false">Interface!$E$370</definedName>
    <definedName function="false" hidden="false" name="SIF_ABFShareSum_nv" vbProcedure="false">Interface!$E$687:$H$687</definedName>
    <definedName function="false" hidden="false" name="SIF_ABFShareSum_ot" vbProcedure="false">Interface!$E$688:$H$688</definedName>
    <definedName function="false" hidden="false" name="SIF_ABFSubCapIdx" vbProcedure="false">Interface!$E$703:$H$703</definedName>
    <definedName function="false" hidden="false" name="SIF_ABFSupIdx" vbProcedure="false">Interface!$E$705:$H$705</definedName>
    <definedName function="false" hidden="false" name="SIF_abf_accsh26" vbProcedure="false">Interface!$E$366</definedName>
    <definedName function="false" hidden="false" name="SIF_abf_accsh26_hi" vbProcedure="false">Interface!$F$366</definedName>
    <definedName function="false" hidden="false" name="SIF_abf_accsh26_lo" vbProcedure="false">Interface!$D$366</definedName>
    <definedName function="false" hidden="false" name="SIF_abf_ai26" vbProcedure="false">Interface!$E$365</definedName>
    <definedName function="false" hidden="false" name="SIF_abf_ai26_hi" vbProcedure="false">Interface!$F$365</definedName>
    <definedName function="false" hidden="false" name="SIF_abf_ai26_lo" vbProcedure="false">Interface!$D$365</definedName>
    <definedName function="false" hidden="false" name="SIF_abf_gap_26" vbProcedure="false">Interface!$E$340</definedName>
    <definedName function="false" hidden="false" name="SIF_abf_gap_26_hi" vbProcedure="false">Interface!$F$340</definedName>
    <definedName function="false" hidden="false" name="SIF_abf_gap_26_lo" vbProcedure="false">Interface!$D$340</definedName>
    <definedName function="false" hidden="false" name="SIF_abf_gap_27" vbProcedure="false">Interface!$E$341</definedName>
    <definedName function="false" hidden="false" name="SIF_abf_gap_27_hi" vbProcedure="false">Interface!$F$341</definedName>
    <definedName function="false" hidden="false" name="SIF_abf_gap_27_lo" vbProcedure="false">Interface!$D$341</definedName>
    <definedName function="false" hidden="false" name="SIF_abf_gap_28" vbProcedure="false">Interface!$E$342</definedName>
    <definedName function="false" hidden="false" name="SIF_abf_gap_28_hi" vbProcedure="false">Interface!$F$342</definedName>
    <definedName function="false" hidden="false" name="SIF_abf_gap_28_lo" vbProcedure="false">Interface!$D$342</definedName>
    <definedName function="false" hidden="false" name="SIF_abf_gasp" vbProcedure="false">Interface!$E$312</definedName>
    <definedName function="false" hidden="false" name="SIF_abf_gasp_hi" vbProcedure="false">Interface!$F$312</definedName>
    <definedName function="false" hidden="false" name="SIF_abf_gasp_lo" vbProcedure="false">Interface!$D$312</definedName>
    <definedName function="false" hidden="false" name="SIF_abf_gnai" vbProcedure="false">Interface!$E$368</definedName>
    <definedName function="false" hidden="false" name="SIF_abf_gnai_hi" vbProcedure="false">Interface!$F$368</definedName>
    <definedName function="false" hidden="false" name="SIF_abf_gnai_lo" vbProcedure="false">Interface!$D$368</definedName>
    <definedName function="false" hidden="false" name="SIF_abf_ibrel_27" vbProcedure="false">Interface!$E$307</definedName>
    <definedName function="false" hidden="false" name="SIF_abf_ibrel_27_hi" vbProcedure="false">Interface!$F$307</definedName>
    <definedName function="false" hidden="false" name="SIF_abf_ibrel_27_lo" vbProcedure="false">Interface!$D$307</definedName>
    <definedName function="false" hidden="false" name="SIF_abf_ibrel_28" vbProcedure="false">Interface!$E$308</definedName>
    <definedName function="false" hidden="false" name="SIF_abf_ibrel_28_hi" vbProcedure="false">Interface!$F$308</definedName>
    <definedName function="false" hidden="false" name="SIF_abf_ibrel_28_lo" vbProcedure="false">Interface!$D$308</definedName>
    <definedName function="false" hidden="false" name="SIF_abf_ibrel_29" vbProcedure="false">Interface!$E$309</definedName>
    <definedName function="false" hidden="false" name="SIF_abf_ibrel_29_hi" vbProcedure="false">Interface!$F$309</definedName>
    <definedName function="false" hidden="false" name="SIF_abf_ibrel_29_lo" vbProcedure="false">Interface!$D$309</definedName>
    <definedName function="false" hidden="false" name="SIF_abf_ibsh26" vbProcedure="false">Interface!$E$306</definedName>
    <definedName function="false" hidden="false" name="SIF_abf_ibsh26_hi" vbProcedure="false">Interface!$F$306</definedName>
    <definedName function="false" hidden="false" name="SIF_abf_ibsh26_lo" vbProcedure="false">Interface!$D$306</definedName>
    <definedName function="false" hidden="false" name="SIF_abf_ks_nv_26" vbProcedure="false">Interface!$E$332</definedName>
    <definedName function="false" hidden="false" name="SIF_abf_ks_nv_26_hi" vbProcedure="false">Interface!$F$332</definedName>
    <definedName function="false" hidden="false" name="SIF_abf_ks_nv_26_lo" vbProcedure="false">Interface!$D$332</definedName>
    <definedName function="false" hidden="false" name="SIF_abf_ks_nv_27" vbProcedure="false">Interface!$E$333</definedName>
    <definedName function="false" hidden="false" name="SIF_abf_ks_nv_27_hi" vbProcedure="false">Interface!$F$333</definedName>
    <definedName function="false" hidden="false" name="SIF_abf_ks_nv_27_lo" vbProcedure="false">Interface!$D$333</definedName>
    <definedName function="false" hidden="false" name="SIF_abf_ks_nv_28" vbProcedure="false">Interface!$E$334</definedName>
    <definedName function="false" hidden="false" name="SIF_abf_ks_nv_28_hi" vbProcedure="false">Interface!$F$334</definedName>
    <definedName function="false" hidden="false" name="SIF_abf_ks_nv_28_lo" vbProcedure="false">Interface!$D$334</definedName>
    <definedName function="false" hidden="false" name="SIF_abf_ks_nv_29" vbProcedure="false">Interface!$E$335</definedName>
    <definedName function="false" hidden="false" name="SIF_abf_ks_nv_29_hi" vbProcedure="false">Interface!$F$335</definedName>
    <definedName function="false" hidden="false" name="SIF_abf_ks_nv_29_lo" vbProcedure="false">Interface!$D$335</definedName>
    <definedName function="false" hidden="false" name="SIF_abf_ks_ot_26" vbProcedure="false">Interface!$E$336</definedName>
    <definedName function="false" hidden="false" name="SIF_abf_ks_ot_26_hi" vbProcedure="false">Interface!$F$336</definedName>
    <definedName function="false" hidden="false" name="SIF_abf_ks_ot_26_lo" vbProcedure="false">Interface!$D$336</definedName>
    <definedName function="false" hidden="false" name="SIF_abf_ks_ot_27" vbProcedure="false">Interface!$E$337</definedName>
    <definedName function="false" hidden="false" name="SIF_abf_ks_ot_27_hi" vbProcedure="false">Interface!$F$337</definedName>
    <definedName function="false" hidden="false" name="SIF_abf_ks_ot_27_lo" vbProcedure="false">Interface!$D$337</definedName>
    <definedName function="false" hidden="false" name="SIF_abf_ks_ot_28" vbProcedure="false">Interface!$E$338</definedName>
    <definedName function="false" hidden="false" name="SIF_abf_ks_ot_28_hi" vbProcedure="false">Interface!$F$338</definedName>
    <definedName function="false" hidden="false" name="SIF_abf_ks_ot_28_lo" vbProcedure="false">Interface!$D$338</definedName>
    <definedName function="false" hidden="false" name="SIF_abf_ks_ot_29" vbProcedure="false">Interface!$E$339</definedName>
    <definedName function="false" hidden="false" name="SIF_abf_ks_ot_29_hi" vbProcedure="false">Interface!$F$339</definedName>
    <definedName function="false" hidden="false" name="SIF_abf_ks_ot_29_lo" vbProcedure="false">Interface!$D$339</definedName>
    <definedName function="false" hidden="false" name="SIF_abf_np_nv_26" vbProcedure="false">Interface!$E$324</definedName>
    <definedName function="false" hidden="false" name="SIF_abf_np_nv_26_hi" vbProcedure="false">Interface!$F$324</definedName>
    <definedName function="false" hidden="false" name="SIF_abf_np_nv_26_lo" vbProcedure="false">Interface!$D$324</definedName>
    <definedName function="false" hidden="false" name="SIF_abf_np_nv_27" vbProcedure="false">Interface!$E$325</definedName>
    <definedName function="false" hidden="false" name="SIF_abf_np_nv_27_hi" vbProcedure="false">Interface!$F$325</definedName>
    <definedName function="false" hidden="false" name="SIF_abf_np_nv_27_lo" vbProcedure="false">Interface!$D$325</definedName>
    <definedName function="false" hidden="false" name="SIF_abf_np_nv_28" vbProcedure="false">Interface!$E$326</definedName>
    <definedName function="false" hidden="false" name="SIF_abf_np_nv_28_hi" vbProcedure="false">Interface!$F$326</definedName>
    <definedName function="false" hidden="false" name="SIF_abf_np_nv_28_lo" vbProcedure="false">Interface!$D$326</definedName>
    <definedName function="false" hidden="false" name="SIF_abf_np_nv_29" vbProcedure="false">Interface!$E$327</definedName>
    <definedName function="false" hidden="false" name="SIF_abf_np_nv_29_hi" vbProcedure="false">Interface!$F$327</definedName>
    <definedName function="false" hidden="false" name="SIF_abf_np_nv_29_lo" vbProcedure="false">Interface!$D$327</definedName>
    <definedName function="false" hidden="false" name="SIF_abf_np_ot_26" vbProcedure="false">Interface!$E$328</definedName>
    <definedName function="false" hidden="false" name="SIF_abf_np_ot_26_hi" vbProcedure="false">Interface!$F$328</definedName>
    <definedName function="false" hidden="false" name="SIF_abf_np_ot_26_lo" vbProcedure="false">Interface!$D$328</definedName>
    <definedName function="false" hidden="false" name="SIF_abf_np_ot_27" vbProcedure="false">Interface!$E$329</definedName>
    <definedName function="false" hidden="false" name="SIF_abf_np_ot_27_hi" vbProcedure="false">Interface!$F$329</definedName>
    <definedName function="false" hidden="false" name="SIF_abf_np_ot_27_lo" vbProcedure="false">Interface!$D$329</definedName>
    <definedName function="false" hidden="false" name="SIF_abf_np_ot_28" vbProcedure="false">Interface!$E$330</definedName>
    <definedName function="false" hidden="false" name="SIF_abf_np_ot_28_hi" vbProcedure="false">Interface!$F$330</definedName>
    <definedName function="false" hidden="false" name="SIF_abf_np_ot_28_lo" vbProcedure="false">Interface!$D$330</definedName>
    <definedName function="false" hidden="false" name="SIF_abf_np_ot_29" vbProcedure="false">Interface!$E$331</definedName>
    <definedName function="false" hidden="false" name="SIF_abf_np_ot_29_hi" vbProcedure="false">Interface!$F$331</definedName>
    <definedName function="false" hidden="false" name="SIF_abf_np_ot_29_lo" vbProcedure="false">Interface!$D$331</definedName>
    <definedName function="false" hidden="false" name="SIF_abf_oai_el" vbProcedure="false">Interface!$E$367</definedName>
    <definedName function="false" hidden="false" name="SIF_abf_oai_el_hi" vbProcedure="false">Interface!$F$367</definedName>
    <definedName function="false" hidden="false" name="SIF_abf_oai_el_lo" vbProcedure="false">Interface!$D$367</definedName>
    <definedName function="false" hidden="false" name="SIF_abf_pp_27" vbProcedure="false">Interface!$E$313</definedName>
    <definedName function="false" hidden="false" name="SIF_abf_pp_27_hi" vbProcedure="false">Interface!$F$313</definedName>
    <definedName function="false" hidden="false" name="SIF_abf_pp_27_lo" vbProcedure="false">Interface!$D$313</definedName>
    <definedName function="false" hidden="false" name="SIF_abf_pp_28" vbProcedure="false">Interface!$E$314</definedName>
    <definedName function="false" hidden="false" name="SIF_abf_pp_28_hi" vbProcedure="false">Interface!$F$314</definedName>
    <definedName function="false" hidden="false" name="SIF_abf_pp_28_lo" vbProcedure="false">Interface!$D$314</definedName>
    <definedName function="false" hidden="false" name="SIF_abf_pp_29" vbProcedure="false">Interface!$E$315</definedName>
    <definedName function="false" hidden="false" name="SIF_abf_pp_29_hi" vbProcedure="false">Interface!$F$315</definedName>
    <definedName function="false" hidden="false" name="SIF_abf_pp_29_lo" vbProcedure="false">Interface!$D$315</definedName>
    <definedName function="false" hidden="false" name="SIF_abf_un_nv_26" vbProcedure="false">Interface!$E$316</definedName>
    <definedName function="false" hidden="false" name="SIF_abf_un_nv_26_hi" vbProcedure="false">Interface!$F$316</definedName>
    <definedName function="false" hidden="false" name="SIF_abf_un_nv_26_lo" vbProcedure="false">Interface!$D$316</definedName>
    <definedName function="false" hidden="false" name="SIF_abf_un_nv_27" vbProcedure="false">Interface!$E$317</definedName>
    <definedName function="false" hidden="false" name="SIF_abf_un_nv_27_hi" vbProcedure="false">Interface!$F$317</definedName>
    <definedName function="false" hidden="false" name="SIF_abf_un_nv_27_lo" vbProcedure="false">Interface!$D$317</definedName>
    <definedName function="false" hidden="false" name="SIF_abf_un_nv_28" vbProcedure="false">Interface!$E$318</definedName>
    <definedName function="false" hidden="false" name="SIF_abf_un_nv_28_hi" vbProcedure="false">Interface!$F$318</definedName>
    <definedName function="false" hidden="false" name="SIF_abf_un_nv_28_lo" vbProcedure="false">Interface!$D$318</definedName>
    <definedName function="false" hidden="false" name="SIF_abf_un_nv_29" vbProcedure="false">Interface!$E$319</definedName>
    <definedName function="false" hidden="false" name="SIF_abf_un_nv_29_hi" vbProcedure="false">Interface!$F$319</definedName>
    <definedName function="false" hidden="false" name="SIF_abf_un_nv_29_lo" vbProcedure="false">Interface!$D$319</definedName>
    <definedName function="false" hidden="false" name="SIF_abf_un_ot_26" vbProcedure="false">Interface!$E$320</definedName>
    <definedName function="false" hidden="false" name="SIF_abf_un_ot_26_hi" vbProcedure="false">Interface!$F$320</definedName>
    <definedName function="false" hidden="false" name="SIF_abf_un_ot_26_lo" vbProcedure="false">Interface!$D$320</definedName>
    <definedName function="false" hidden="false" name="SIF_abf_un_ot_27" vbProcedure="false">Interface!$E$321</definedName>
    <definedName function="false" hidden="false" name="SIF_abf_un_ot_27_hi" vbProcedure="false">Interface!$F$321</definedName>
    <definedName function="false" hidden="false" name="SIF_abf_un_ot_27_lo" vbProcedure="false">Interface!$D$321</definedName>
    <definedName function="false" hidden="false" name="SIF_abf_un_ot_28" vbProcedure="false">Interface!$E$322</definedName>
    <definedName function="false" hidden="false" name="SIF_abf_un_ot_28_hi" vbProcedure="false">Interface!$F$322</definedName>
    <definedName function="false" hidden="false" name="SIF_abf_un_ot_28_lo" vbProcedure="false">Interface!$D$322</definedName>
    <definedName function="false" hidden="false" name="SIF_abf_un_ot_29" vbProcedure="false">Interface!$E$323</definedName>
    <definedName function="false" hidden="false" name="SIF_abf_un_ot_29_hi" vbProcedure="false">Interface!$F$323</definedName>
    <definedName function="false" hidden="false" name="SIF_abf_un_ot_29_lo" vbProcedure="false">Interface!$D$323</definedName>
    <definedName function="false" hidden="false" name="SIF_abf_vot" vbProcedure="false">Interface!$E$311</definedName>
    <definedName function="false" hidden="false" name="SIF_abf_vot_hi" vbProcedure="false">Interface!$F$311</definedName>
    <definedName function="false" hidden="false" name="SIF_abf_vot_lo" vbProcedure="false">Interface!$D$311</definedName>
    <definedName function="false" hidden="false" name="SIF_abf_wot_ib" vbProcedure="false">Interface!$E$310</definedName>
    <definedName function="false" hidden="false" name="SIF_abf_wot_ib_hi" vbProcedure="false">Interface!$F$310</definedName>
    <definedName function="false" hidden="false" name="SIF_abf_wot_ib_lo" vbProcedure="false">Interface!$D$310</definedName>
    <definedName function="false" hidden="false" name="SIF_AIITCapex_A" vbProcedure="false">Interface!$E$691:$H$691</definedName>
    <definedName function="false" hidden="false" name="SIF_AIITCapex_B" vbProcedure="false">Interface!$E$692:$H$692</definedName>
    <definedName function="false" hidden="false" name="SIF_AIITCapex_C" vbProcedure="false">Interface!$E$693:$H$693</definedName>
    <definedName function="false" hidden="false" name="SIF_al27_A" vbProcedure="false">Interface!$E$204</definedName>
    <definedName function="false" hidden="false" name="SIF_al27_A_hi" vbProcedure="false">Interface!$F$204</definedName>
    <definedName function="false" hidden="false" name="SIF_al27_A_lo" vbProcedure="false">Interface!$D$204</definedName>
    <definedName function="false" hidden="false" name="SIF_al27_B" vbProcedure="false">Interface!$E$205</definedName>
    <definedName function="false" hidden="false" name="SIF_al27_B_hi" vbProcedure="false">Interface!$F$205</definedName>
    <definedName function="false" hidden="false" name="SIF_al27_B_lo" vbProcedure="false">Interface!$D$205</definedName>
    <definedName function="false" hidden="false" name="SIF_al27_C" vbProcedure="false">Interface!$E$206</definedName>
    <definedName function="false" hidden="false" name="SIF_al27_C_hi" vbProcedure="false">Interface!$F$206</definedName>
    <definedName function="false" hidden="false" name="SIF_al27_C_lo" vbProcedure="false">Interface!$D$206</definedName>
    <definedName function="false" hidden="false" name="SIF_al28_A" vbProcedure="false">Interface!$E$207</definedName>
    <definedName function="false" hidden="false" name="SIF_al28_A_hi" vbProcedure="false">Interface!$F$207</definedName>
    <definedName function="false" hidden="false" name="SIF_al28_A_lo" vbProcedure="false">Interface!$D$207</definedName>
    <definedName function="false" hidden="false" name="SIF_al28_B" vbProcedure="false">Interface!$E$208</definedName>
    <definedName function="false" hidden="false" name="SIF_al28_B_hi" vbProcedure="false">Interface!$F$208</definedName>
    <definedName function="false" hidden="false" name="SIF_al28_B_lo" vbProcedure="false">Interface!$D$208</definedName>
    <definedName function="false" hidden="false" name="SIF_al28_C" vbProcedure="false">Interface!$E$209</definedName>
    <definedName function="false" hidden="false" name="SIF_al28_C_hi" vbProcedure="false">Interface!$F$209</definedName>
    <definedName function="false" hidden="false" name="SIF_al28_C_lo" vbProcedure="false">Interface!$D$209</definedName>
    <definedName function="false" hidden="false" name="SIF_al_trn_26" vbProcedure="false">Interface!$E$203</definedName>
    <definedName function="false" hidden="false" name="SIF_al_trn_26_hi" vbProcedure="false">Interface!$F$203</definedName>
    <definedName function="false" hidden="false" name="SIF_al_trn_26_lo" vbProcedure="false">Interface!$D$203</definedName>
    <definedName function="false" hidden="false" name="SIF_ASICShareSum_oth" vbProcedure="false">Interface!$E$682:$G$682</definedName>
    <definedName function="false" hidden="false" name="SIF_ASICShareSum_tpu" vbProcedure="false">Interface!$E$681:$G$681</definedName>
    <definedName function="false" hidden="false" name="SIF_ASICShareSum_trnA" vbProcedure="false">Interface!$E$683:$G$683</definedName>
    <definedName function="false" hidden="false" name="SIF_ASICShareSum_trnB" vbProcedure="false">Interface!$E$684:$G$684</definedName>
    <definedName function="false" hidden="false" name="SIF_ASICShareSum_trnC" vbProcedure="false">Interface!$E$685:$G$685</definedName>
    <definedName function="false" hidden="false" name="SIF_AsmMkt_A" vbProcedure="false">Interface!$E$722:$H$722</definedName>
    <definedName function="false" hidden="false" name="SIF_AsmMkt_B" vbProcedure="false">Interface!$E$723:$H$723</definedName>
    <definedName function="false" hidden="false" name="SIF_AsmMkt_C" vbProcedure="false">Interface!$E$724:$H$724</definedName>
    <definedName function="false" hidden="false" name="SIF_AsmShareSum" vbProcedure="false">Interface!$E$766:$H$766</definedName>
    <definedName function="false" hidden="false" name="SIF_AsmShare_wy" vbProcedure="false">Interface!$E$768:$H$768</definedName>
    <definedName function="false" hidden="false" name="SIF_AsmWyTilt" vbProcedure="false">Interface!$E$767:$H$767</definedName>
    <definedName function="false" hidden="false" name="SIF_asm_fxrel_27" vbProcedure="false">Interface!$E$628</definedName>
    <definedName function="false" hidden="false" name="SIF_asm_fxrel_27_hi" vbProcedure="false">Interface!$F$628</definedName>
    <definedName function="false" hidden="false" name="SIF_asm_fxrel_27_lo" vbProcedure="false">Interface!$D$628</definedName>
    <definedName function="false" hidden="false" name="SIF_asm_fxrel_28" vbProcedure="false">Interface!$E$629</definedName>
    <definedName function="false" hidden="false" name="SIF_asm_fxrel_28_hi" vbProcedure="false">Interface!$F$629</definedName>
    <definedName function="false" hidden="false" name="SIF_asm_fxrel_28_lo" vbProcedure="false">Interface!$D$629</definedName>
    <definedName function="false" hidden="false" name="SIF_asm_fxrel_29" vbProcedure="false">Interface!$E$630</definedName>
    <definedName function="false" hidden="false" name="SIF_asm_fxrel_29_hi" vbProcedure="false">Interface!$F$630</definedName>
    <definedName function="false" hidden="false" name="SIF_asm_fxrel_29_lo" vbProcedure="false">Interface!$D$630</definedName>
    <definedName function="false" hidden="false" name="SIF_asm_fxsh_26" vbProcedure="false">Interface!$E$622</definedName>
    <definedName function="false" hidden="false" name="SIF_asm_odm_gb" vbProcedure="false">Interface!$E$431</definedName>
    <definedName function="false" hidden="false" name="SIF_asm_odm_gb_hi" vbProcedure="false">Interface!$F$431</definedName>
    <definedName function="false" hidden="false" name="SIF_asm_odm_gb_lo" vbProcedure="false">Interface!$D$431</definedName>
    <definedName function="false" hidden="false" name="SIF_asm_odm_vr" vbProcedure="false">Interface!$E$432</definedName>
    <definedName function="false" hidden="false" name="SIF_asm_odm_vr_hi" vbProcedure="false">Interface!$F$432</definedName>
    <definedName function="false" hidden="false" name="SIF_asm_odm_vr_lo" vbProcedure="false">Interface!$D$432</definedName>
    <definedName function="false" hidden="false" name="SIF_asm_qurel_27" vbProcedure="false">Interface!$E$625</definedName>
    <definedName function="false" hidden="false" name="SIF_asm_qurel_27_hi" vbProcedure="false">Interface!$F$625</definedName>
    <definedName function="false" hidden="false" name="SIF_asm_qurel_27_lo" vbProcedure="false">Interface!$D$625</definedName>
    <definedName function="false" hidden="false" name="SIF_asm_qurel_28" vbProcedure="false">Interface!$E$626</definedName>
    <definedName function="false" hidden="false" name="SIF_asm_qurel_28_hi" vbProcedure="false">Interface!$F$626</definedName>
    <definedName function="false" hidden="false" name="SIF_asm_qurel_28_lo" vbProcedure="false">Interface!$D$626</definedName>
    <definedName function="false" hidden="false" name="SIF_asm_qurel_29" vbProcedure="false">Interface!$E$627</definedName>
    <definedName function="false" hidden="false" name="SIF_asm_qurel_29_hi" vbProcedure="false">Interface!$F$627</definedName>
    <definedName function="false" hidden="false" name="SIF_asm_qurel_29_lo" vbProcedure="false">Interface!$D$627</definedName>
    <definedName function="false" hidden="false" name="SIF_asm_qush_26" vbProcedure="false">Interface!$E$621</definedName>
    <definedName function="false" hidden="false" name="SIF_asm_wirel_27" vbProcedure="false">Interface!$E$631</definedName>
    <definedName function="false" hidden="false" name="SIF_asm_wirel_27_hi" vbProcedure="false">Interface!$F$631</definedName>
    <definedName function="false" hidden="false" name="SIF_asm_wirel_27_lo" vbProcedure="false">Interface!$D$631</definedName>
    <definedName function="false" hidden="false" name="SIF_asm_wirel_28" vbProcedure="false">Interface!$E$632</definedName>
    <definedName function="false" hidden="false" name="SIF_asm_wirel_28_hi" vbProcedure="false">Interface!$F$632</definedName>
    <definedName function="false" hidden="false" name="SIF_asm_wirel_28_lo" vbProcedure="false">Interface!$D$632</definedName>
    <definedName function="false" hidden="false" name="SIF_asm_wirel_29" vbProcedure="false">Interface!$E$633</definedName>
    <definedName function="false" hidden="false" name="SIF_asm_wirel_29_hi" vbProcedure="false">Interface!$F$633</definedName>
    <definedName function="false" hidden="false" name="SIF_asm_wirel_29_lo" vbProcedure="false">Interface!$D$633</definedName>
    <definedName function="false" hidden="false" name="SIF_asm_wish_26" vbProcedure="false">Interface!$E$623</definedName>
    <definedName function="false" hidden="false" name="SIF_asm_wyai_26" vbProcedure="false">Interface!$E$433</definedName>
    <definedName function="false" hidden="false" name="SIF_asm_wyai_26_hi" vbProcedure="false">Interface!$F$433</definedName>
    <definedName function="false" hidden="false" name="SIF_asm_wyai_26_lo" vbProcedure="false">Interface!$D$433</definedName>
    <definedName function="false" hidden="false" name="SIF_asm_wyam" vbProcedure="false">Interface!$E$637</definedName>
    <definedName function="false" hidden="false" name="SIF_asm_wyam_hi" vbProcedure="false">Interface!$F$637</definedName>
    <definedName function="false" hidden="false" name="SIF_asm_wyam_lo" vbProcedure="false">Interface!$D$637</definedName>
    <definedName function="false" hidden="false" name="SIF_asm_wyrel_27" vbProcedure="false">Interface!$E$634</definedName>
    <definedName function="false" hidden="false" name="SIF_asm_wyrel_27_hi" vbProcedure="false">Interface!$F$634</definedName>
    <definedName function="false" hidden="false" name="SIF_asm_wyrel_27_lo" vbProcedure="false">Interface!$D$634</definedName>
    <definedName function="false" hidden="false" name="SIF_asm_wyrel_28" vbProcedure="false">Interface!$E$635</definedName>
    <definedName function="false" hidden="false" name="SIF_asm_wyrel_28_hi" vbProcedure="false">Interface!$F$635</definedName>
    <definedName function="false" hidden="false" name="SIF_asm_wyrel_28_lo" vbProcedure="false">Interface!$D$635</definedName>
    <definedName function="false" hidden="false" name="SIF_asm_wyrel_29" vbProcedure="false">Interface!$E$636</definedName>
    <definedName function="false" hidden="false" name="SIF_asm_wyrel_29_hi" vbProcedure="false">Interface!$F$636</definedName>
    <definedName function="false" hidden="false" name="SIF_asm_wyrel_29_lo" vbProcedure="false">Interface!$D$636</definedName>
    <definedName function="false" hidden="false" name="SIF_asm_wysh_26" vbProcedure="false">Interface!$E$624</definedName>
    <definedName function="false" hidden="false" name="SIF_CCLMkt_A" vbProcedure="false">Interface!$E$716:$H$716</definedName>
    <definedName function="false" hidden="false" name="SIF_CCLMkt_B" vbProcedure="false">Interface!$E$717:$H$717</definedName>
    <definedName function="false" hidden="false" name="SIF_CCLMkt_C" vbProcedure="false">Interface!$E$718:$H$718</definedName>
    <definedName function="false" hidden="false" name="SIF_CCLperGW" vbProcedure="false">Interface!$E$712:$H$712</definedName>
    <definedName function="false" hidden="false" name="SIF_ccl_cmpx_27" vbProcedure="false">Interface!$E$406</definedName>
    <definedName function="false" hidden="false" name="SIF_ccl_cmpx_27_hi" vbProcedure="false">Interface!$F$406</definedName>
    <definedName function="false" hidden="false" name="SIF_ccl_cmpx_27_lo" vbProcedure="false">Interface!$D$406</definedName>
    <definedName function="false" hidden="false" name="SIF_ccl_cmpx_28" vbProcedure="false">Interface!$E$407</definedName>
    <definedName function="false" hidden="false" name="SIF_ccl_cmpx_28_hi" vbProcedure="false">Interface!$F$407</definedName>
    <definedName function="false" hidden="false" name="SIF_ccl_cmpx_28_lo" vbProcedure="false">Interface!$D$407</definedName>
    <definedName function="false" hidden="false" name="SIF_ccl_cmpx_29" vbProcedure="false">Interface!$E$408</definedName>
    <definedName function="false" hidden="false" name="SIF_ccl_cmpx_29_hi" vbProcedure="false">Interface!$F$408</definedName>
    <definedName function="false" hidden="false" name="SIF_ccl_cmpx_29_lo" vbProcedure="false">Interface!$D$408</definedName>
    <definedName function="false" hidden="false" name="SIF_ccl_cmp_26" vbProcedure="false">Interface!$E$403</definedName>
    <definedName function="false" hidden="false" name="SIF_ccl_cmp_26_hi" vbProcedure="false">Interface!$F$403</definedName>
    <definedName function="false" hidden="false" name="SIF_ccl_cmp_26_lo" vbProcedure="false">Interface!$D$403</definedName>
    <definedName function="false" hidden="false" name="SIF_ccl_swx_27" vbProcedure="false">Interface!$E$409</definedName>
    <definedName function="false" hidden="false" name="SIF_ccl_swx_27_hi" vbProcedure="false">Interface!$F$409</definedName>
    <definedName function="false" hidden="false" name="SIF_ccl_swx_27_lo" vbProcedure="false">Interface!$D$409</definedName>
    <definedName function="false" hidden="false" name="SIF_ccl_swx_28" vbProcedure="false">Interface!$E$410</definedName>
    <definedName function="false" hidden="false" name="SIF_ccl_swx_28_hi" vbProcedure="false">Interface!$F$410</definedName>
    <definedName function="false" hidden="false" name="SIF_ccl_swx_28_lo" vbProcedure="false">Interface!$D$410</definedName>
    <definedName function="false" hidden="false" name="SIF_ccl_swx_29" vbProcedure="false">Interface!$E$411</definedName>
    <definedName function="false" hidden="false" name="SIF_ccl_swx_29_hi" vbProcedure="false">Interface!$F$411</definedName>
    <definedName function="false" hidden="false" name="SIF_ccl_swx_29_lo" vbProcedure="false">Interface!$D$411</definedName>
    <definedName function="false" hidden="false" name="SIF_ccl_sw_26" vbProcedure="false">Interface!$E$404</definedName>
    <definedName function="false" hidden="false" name="SIF_ccl_sw_26_hi" vbProcedure="false">Interface!$F$404</definedName>
    <definedName function="false" hidden="false" name="SIF_ccl_sw_26_lo" vbProcedure="false">Interface!$D$404</definedName>
    <definedName function="false" hidden="false" name="SIF_ccl_ubbx_27" vbProcedure="false">Interface!$E$412</definedName>
    <definedName function="false" hidden="false" name="SIF_ccl_ubbx_27_hi" vbProcedure="false">Interface!$F$412</definedName>
    <definedName function="false" hidden="false" name="SIF_ccl_ubbx_27_lo" vbProcedure="false">Interface!$D$412</definedName>
    <definedName function="false" hidden="false" name="SIF_ccl_ubbx_28" vbProcedure="false">Interface!$E$413</definedName>
    <definedName function="false" hidden="false" name="SIF_ccl_ubbx_28_hi" vbProcedure="false">Interface!$F$413</definedName>
    <definedName function="false" hidden="false" name="SIF_ccl_ubbx_28_lo" vbProcedure="false">Interface!$D$413</definedName>
    <definedName function="false" hidden="false" name="SIF_ccl_ubbx_29" vbProcedure="false">Interface!$E$414</definedName>
    <definedName function="false" hidden="false" name="SIF_ccl_ubbx_29_hi" vbProcedure="false">Interface!$F$414</definedName>
    <definedName function="false" hidden="false" name="SIF_ccl_ubbx_29_lo" vbProcedure="false">Interface!$D$414</definedName>
    <definedName function="false" hidden="false" name="SIF_ccl_ubb_26" vbProcedure="false">Interface!$E$405</definedName>
    <definedName function="false" hidden="false" name="SIF_ccl_ubb_26_hi" vbProcedure="false">Interface!$F$405</definedName>
    <definedName function="false" hidden="false" name="SIF_ccl_ubb_26_lo" vbProcedure="false">Interface!$D$405</definedName>
    <definedName function="false" hidden="false" name="SIF_core_oth" vbProcedure="false">Interface!$E$180</definedName>
    <definedName function="false" hidden="false" name="SIF_core_oth_hi" vbProcedure="false">Interface!$F$180</definedName>
    <definedName function="false" hidden="false" name="SIF_core_oth_lo" vbProcedure="false">Interface!$D$180</definedName>
    <definedName function="false" hidden="false" name="SIF_core_tpu" vbProcedure="false">Interface!$E$179</definedName>
    <definedName function="false" hidden="false" name="SIF_core_tpu_hi" vbProcedure="false">Interface!$F$179</definedName>
    <definedName function="false" hidden="false" name="SIF_core_tpu_lo" vbProcedure="false">Interface!$D$179</definedName>
    <definedName function="false" hidden="false" name="SIF_CPOShareSum" vbProcedure="false">Interface!$E$686:$G$686</definedName>
    <definedName function="false" hidden="false" name="SIF_cposh_cohr_27" vbProcedure="false">Interface!$E$294</definedName>
    <definedName function="false" hidden="false" name="SIF_cposh_cohr_27_hi" vbProcedure="false">Interface!$F$294</definedName>
    <definedName function="false" hidden="false" name="SIF_cposh_cohr_27_lo" vbProcedure="false">Interface!$D$294</definedName>
    <definedName function="false" hidden="false" name="SIF_cposh_cohr_28" vbProcedure="false">Interface!$E$295</definedName>
    <definedName function="false" hidden="false" name="SIF_cposh_cohr_28_hi" vbProcedure="false">Interface!$F$295</definedName>
    <definedName function="false" hidden="false" name="SIF_cposh_cohr_28_lo" vbProcedure="false">Interface!$D$295</definedName>
    <definedName function="false" hidden="false" name="SIF_cposh_cohr_29" vbProcedure="false">Interface!$E$296</definedName>
    <definedName function="false" hidden="false" name="SIF_cposh_cohr_29_hi" vbProcedure="false">Interface!$F$296</definedName>
    <definedName function="false" hidden="false" name="SIF_cposh_cohr_29_lo" vbProcedure="false">Interface!$D$296</definedName>
    <definedName function="false" hidden="false" name="SIF_cposh_eoptolink_27" vbProcedure="false">Interface!$E$300</definedName>
    <definedName function="false" hidden="false" name="SIF_cposh_eoptolink_27_hi" vbProcedure="false">Interface!$F$300</definedName>
    <definedName function="false" hidden="false" name="SIF_cposh_eoptolink_27_lo" vbProcedure="false">Interface!$D$300</definedName>
    <definedName function="false" hidden="false" name="SIF_cposh_eoptolink_28" vbProcedure="false">Interface!$E$301</definedName>
    <definedName function="false" hidden="false" name="SIF_cposh_eoptolink_28_hi" vbProcedure="false">Interface!$F$301</definedName>
    <definedName function="false" hidden="false" name="SIF_cposh_eoptolink_28_lo" vbProcedure="false">Interface!$D$301</definedName>
    <definedName function="false" hidden="false" name="SIF_cposh_eoptolink_29" vbProcedure="false">Interface!$E$302</definedName>
    <definedName function="false" hidden="false" name="SIF_cposh_eoptolink_29_hi" vbProcedure="false">Interface!$F$302</definedName>
    <definedName function="false" hidden="false" name="SIF_cposh_eoptolink_29_lo" vbProcedure="false">Interface!$D$302</definedName>
    <definedName function="false" hidden="false" name="SIF_cposh_fabrinet_27" vbProcedure="false">Interface!$E$303</definedName>
    <definedName function="false" hidden="false" name="SIF_cposh_fabrinet_27_hi" vbProcedure="false">Interface!$F$303</definedName>
    <definedName function="false" hidden="false" name="SIF_cposh_fabrinet_27_lo" vbProcedure="false">Interface!$D$303</definedName>
    <definedName function="false" hidden="false" name="SIF_cposh_fabrinet_28" vbProcedure="false">Interface!$E$304</definedName>
    <definedName function="false" hidden="false" name="SIF_cposh_fabrinet_28_hi" vbProcedure="false">Interface!$F$304</definedName>
    <definedName function="false" hidden="false" name="SIF_cposh_fabrinet_28_lo" vbProcedure="false">Interface!$D$304</definedName>
    <definedName function="false" hidden="false" name="SIF_cposh_fabrinet_29" vbProcedure="false">Interface!$E$305</definedName>
    <definedName function="false" hidden="false" name="SIF_cposh_fabrinet_29_hi" vbProcedure="false">Interface!$F$305</definedName>
    <definedName function="false" hidden="false" name="SIF_cposh_fabrinet_29_lo" vbProcedure="false">Interface!$D$305</definedName>
    <definedName function="false" hidden="false" name="SIF_cposh_innolight_27" vbProcedure="false">Interface!$E$297</definedName>
    <definedName function="false" hidden="false" name="SIF_cposh_innolight_27_hi" vbProcedure="false">Interface!$F$297</definedName>
    <definedName function="false" hidden="false" name="SIF_cposh_innolight_27_lo" vbProcedure="false">Interface!$D$297</definedName>
    <definedName function="false" hidden="false" name="SIF_cposh_innolight_28" vbProcedure="false">Interface!$E$298</definedName>
    <definedName function="false" hidden="false" name="SIF_cposh_innolight_28_hi" vbProcedure="false">Interface!$F$298</definedName>
    <definedName function="false" hidden="false" name="SIF_cposh_innolight_28_lo" vbProcedure="false">Interface!$D$298</definedName>
    <definedName function="false" hidden="false" name="SIF_cposh_innolight_29" vbProcedure="false">Interface!$E$299</definedName>
    <definedName function="false" hidden="false" name="SIF_cposh_innolight_29_hi" vbProcedure="false">Interface!$F$299</definedName>
    <definedName function="false" hidden="false" name="SIF_cposh_innolight_29_lo" vbProcedure="false">Interface!$D$299</definedName>
    <definedName function="false" hidden="false" name="SIF_cposh_lite_27" vbProcedure="false">Interface!$E$291</definedName>
    <definedName function="false" hidden="false" name="SIF_cposh_lite_27_hi" vbProcedure="false">Interface!$F$291</definedName>
    <definedName function="false" hidden="false" name="SIF_cposh_lite_27_lo" vbProcedure="false">Interface!$D$291</definedName>
    <definedName function="false" hidden="false" name="SIF_cposh_lite_28" vbProcedure="false">Interface!$E$292</definedName>
    <definedName function="false" hidden="false" name="SIF_cposh_lite_28_hi" vbProcedure="false">Interface!$F$292</definedName>
    <definedName function="false" hidden="false" name="SIF_cposh_lite_28_lo" vbProcedure="false">Interface!$D$292</definedName>
    <definedName function="false" hidden="false" name="SIF_cposh_lite_29" vbProcedure="false">Interface!$E$293</definedName>
    <definedName function="false" hidden="false" name="SIF_cposh_lite_29_hi" vbProcedure="false">Interface!$F$293</definedName>
    <definedName function="false" hidden="false" name="SIF_cposh_lite_29_lo" vbProcedure="false">Interface!$D$293</definedName>
    <definedName function="false" hidden="false" name="SIF_cpo_A_26" vbProcedure="false">Interface!$E$278</definedName>
    <definedName function="false" hidden="false" name="SIF_cpo_A_26_hi" vbProcedure="false">Interface!$F$278</definedName>
    <definedName function="false" hidden="false" name="SIF_cpo_A_26_lo" vbProcedure="false">Interface!$D$278</definedName>
    <definedName function="false" hidden="false" name="SIF_cpo_A_27" vbProcedure="false">Interface!$E$279</definedName>
    <definedName function="false" hidden="false" name="SIF_cpo_A_27_hi" vbProcedure="false">Interface!$F$279</definedName>
    <definedName function="false" hidden="false" name="SIF_cpo_A_27_lo" vbProcedure="false">Interface!$D$279</definedName>
    <definedName function="false" hidden="false" name="SIF_cpo_A_28" vbProcedure="false">Interface!$E$280</definedName>
    <definedName function="false" hidden="false" name="SIF_cpo_A_28_hi" vbProcedure="false">Interface!$F$280</definedName>
    <definedName function="false" hidden="false" name="SIF_cpo_A_28_lo" vbProcedure="false">Interface!$D$280</definedName>
    <definedName function="false" hidden="false" name="SIF_cpo_A_29" vbProcedure="false">Interface!$E$281</definedName>
    <definedName function="false" hidden="false" name="SIF_cpo_A_29_hi" vbProcedure="false">Interface!$F$281</definedName>
    <definedName function="false" hidden="false" name="SIF_cpo_A_29_lo" vbProcedure="false">Interface!$D$281</definedName>
    <definedName function="false" hidden="false" name="SIF_cpo_B_26" vbProcedure="false">Interface!$E$282</definedName>
    <definedName function="false" hidden="false" name="SIF_cpo_B_26_hi" vbProcedure="false">Interface!$F$282</definedName>
    <definedName function="false" hidden="false" name="SIF_cpo_B_26_lo" vbProcedure="false">Interface!$D$282</definedName>
    <definedName function="false" hidden="false" name="SIF_cpo_B_27" vbProcedure="false">Interface!$E$283</definedName>
    <definedName function="false" hidden="false" name="SIF_cpo_B_27_hi" vbProcedure="false">Interface!$F$283</definedName>
    <definedName function="false" hidden="false" name="SIF_cpo_B_27_lo" vbProcedure="false">Interface!$D$283</definedName>
    <definedName function="false" hidden="false" name="SIF_cpo_B_28" vbProcedure="false">Interface!$E$284</definedName>
    <definedName function="false" hidden="false" name="SIF_cpo_B_28_hi" vbProcedure="false">Interface!$F$284</definedName>
    <definedName function="false" hidden="false" name="SIF_cpo_B_28_lo" vbProcedure="false">Interface!$D$284</definedName>
    <definedName function="false" hidden="false" name="SIF_cpo_B_29" vbProcedure="false">Interface!$E$285</definedName>
    <definedName function="false" hidden="false" name="SIF_cpo_B_29_hi" vbProcedure="false">Interface!$F$285</definedName>
    <definedName function="false" hidden="false" name="SIF_cpo_B_29_lo" vbProcedure="false">Interface!$D$285</definedName>
    <definedName function="false" hidden="false" name="SIF_cpo_C_26" vbProcedure="false">Interface!$E$286</definedName>
    <definedName function="false" hidden="false" name="SIF_cpo_C_26_hi" vbProcedure="false">Interface!$F$286</definedName>
    <definedName function="false" hidden="false" name="SIF_cpo_C_26_lo" vbProcedure="false">Interface!$D$286</definedName>
    <definedName function="false" hidden="false" name="SIF_cpo_C_27" vbProcedure="false">Interface!$E$287</definedName>
    <definedName function="false" hidden="false" name="SIF_cpo_C_27_hi" vbProcedure="false">Interface!$F$287</definedName>
    <definedName function="false" hidden="false" name="SIF_cpo_C_27_lo" vbProcedure="false">Interface!$D$287</definedName>
    <definedName function="false" hidden="false" name="SIF_cpo_C_28" vbProcedure="false">Interface!$E$288</definedName>
    <definedName function="false" hidden="false" name="SIF_cpo_C_28_hi" vbProcedure="false">Interface!$F$288</definedName>
    <definedName function="false" hidden="false" name="SIF_cpo_C_28_lo" vbProcedure="false">Interface!$D$288</definedName>
    <definedName function="false" hidden="false" name="SIF_cpo_C_29" vbProcedure="false">Interface!$E$289</definedName>
    <definedName function="false" hidden="false" name="SIF_cpo_C_29_hi" vbProcedure="false">Interface!$F$289</definedName>
    <definedName function="false" hidden="false" name="SIF_cpo_C_29_lo" vbProcedure="false">Interface!$D$289</definedName>
    <definedName function="false" hidden="false" name="SIF_cqA_10" vbProcedure="false">Interface!$E$15</definedName>
    <definedName function="false" hidden="false" name="SIF_cqA_11" vbProcedure="false">Interface!$E$16</definedName>
    <definedName function="false" hidden="false" name="SIF_cqA_12" vbProcedure="false">Interface!$E$17</definedName>
    <definedName function="false" hidden="false" name="SIF_cqA_13" vbProcedure="false">Interface!$E$18</definedName>
    <definedName function="false" hidden="false" name="SIF_cqA_14" vbProcedure="false">Interface!$E$19</definedName>
    <definedName function="false" hidden="false" name="SIF_cqA_15" vbProcedure="false">Interface!$E$20</definedName>
    <definedName function="false" hidden="false" name="SIF_cqA_16" vbProcedure="false">Interface!$E$21</definedName>
    <definedName function="false" hidden="false" name="SIF_cqA_16_hi" vbProcedure="false">Interface!$F$21</definedName>
    <definedName function="false" hidden="false" name="SIF_cqA_16_lo" vbProcedure="false">Interface!$D$21</definedName>
    <definedName function="false" hidden="false" name="SIF_cqA_17" vbProcedure="false">Interface!$E$22</definedName>
    <definedName function="false" hidden="false" name="SIF_cqA_17_hi" vbProcedure="false">Interface!$F$22</definedName>
    <definedName function="false" hidden="false" name="SIF_cqA_17_lo" vbProcedure="false">Interface!$D$22</definedName>
    <definedName function="false" hidden="false" name="SIF_cqA_18" vbProcedure="false">Interface!$E$23</definedName>
    <definedName function="false" hidden="false" name="SIF_cqA_18_hi" vbProcedure="false">Interface!$F$23</definedName>
    <definedName function="false" hidden="false" name="SIF_cqA_18_lo" vbProcedure="false">Interface!$D$23</definedName>
    <definedName function="false" hidden="false" name="SIF_cqA_19" vbProcedure="false">Interface!$E$24</definedName>
    <definedName function="false" hidden="false" name="SIF_cqA_19_hi" vbProcedure="false">Interface!$F$24</definedName>
    <definedName function="false" hidden="false" name="SIF_cqA_19_lo" vbProcedure="false">Interface!$D$24</definedName>
    <definedName function="false" hidden="false" name="SIF_cqA_8" vbProcedure="false">Interface!$E$13</definedName>
    <definedName function="false" hidden="false" name="SIF_cqA_9" vbProcedure="false">Interface!$E$14</definedName>
    <definedName function="false" hidden="false" name="SIF_cqB_10" vbProcedure="false">Interface!$E$27</definedName>
    <definedName function="false" hidden="false" name="SIF_cqB_11" vbProcedure="false">Interface!$E$28</definedName>
    <definedName function="false" hidden="false" name="SIF_cqB_12" vbProcedure="false">Interface!$E$29</definedName>
    <definedName function="false" hidden="false" name="SIF_cqB_13" vbProcedure="false">Interface!$E$30</definedName>
    <definedName function="false" hidden="false" name="SIF_cqB_14" vbProcedure="false">Interface!$E$31</definedName>
    <definedName function="false" hidden="false" name="SIF_cqB_15" vbProcedure="false">Interface!$E$32</definedName>
    <definedName function="false" hidden="false" name="SIF_cqB_16" vbProcedure="false">Interface!$E$33</definedName>
    <definedName function="false" hidden="false" name="SIF_cqB_16_hi" vbProcedure="false">Interface!$F$33</definedName>
    <definedName function="false" hidden="false" name="SIF_cqB_16_lo" vbProcedure="false">Interface!$D$33</definedName>
    <definedName function="false" hidden="false" name="SIF_cqB_17" vbProcedure="false">Interface!$E$34</definedName>
    <definedName function="false" hidden="false" name="SIF_cqB_17_hi" vbProcedure="false">Interface!$F$34</definedName>
    <definedName function="false" hidden="false" name="SIF_cqB_17_lo" vbProcedure="false">Interface!$D$34</definedName>
    <definedName function="false" hidden="false" name="SIF_cqB_18" vbProcedure="false">Interface!$E$35</definedName>
    <definedName function="false" hidden="false" name="SIF_cqB_18_hi" vbProcedure="false">Interface!$F$35</definedName>
    <definedName function="false" hidden="false" name="SIF_cqB_18_lo" vbProcedure="false">Interface!$D$35</definedName>
    <definedName function="false" hidden="false" name="SIF_cqB_19" vbProcedure="false">Interface!$E$36</definedName>
    <definedName function="false" hidden="false" name="SIF_cqB_19_hi" vbProcedure="false">Interface!$F$36</definedName>
    <definedName function="false" hidden="false" name="SIF_cqB_19_lo" vbProcedure="false">Interface!$D$36</definedName>
    <definedName function="false" hidden="false" name="SIF_cqB_8" vbProcedure="false">Interface!$E$25</definedName>
    <definedName function="false" hidden="false" name="SIF_cqB_9" vbProcedure="false">Interface!$E$26</definedName>
    <definedName function="false" hidden="false" name="SIF_cqC_10" vbProcedure="false">Interface!$E$39</definedName>
    <definedName function="false" hidden="false" name="SIF_cqC_10_hi" vbProcedure="false">Interface!$F$39</definedName>
    <definedName function="false" hidden="false" name="SIF_cqC_10_lo" vbProcedure="false">Interface!$D$39</definedName>
    <definedName function="false" hidden="false" name="SIF_cqC_11" vbProcedure="false">Interface!$E$40</definedName>
    <definedName function="false" hidden="false" name="SIF_cqC_11_hi" vbProcedure="false">Interface!$F$40</definedName>
    <definedName function="false" hidden="false" name="SIF_cqC_11_lo" vbProcedure="false">Interface!$D$40</definedName>
    <definedName function="false" hidden="false" name="SIF_cqC_12" vbProcedure="false">Interface!$E$41</definedName>
    <definedName function="false" hidden="false" name="SIF_cqC_12_hi" vbProcedure="false">Interface!$F$41</definedName>
    <definedName function="false" hidden="false" name="SIF_cqC_12_lo" vbProcedure="false">Interface!$D$41</definedName>
    <definedName function="false" hidden="false" name="SIF_cqC_13" vbProcedure="false">Interface!$E$42</definedName>
    <definedName function="false" hidden="false" name="SIF_cqC_13_hi" vbProcedure="false">Interface!$F$42</definedName>
    <definedName function="false" hidden="false" name="SIF_cqC_13_lo" vbProcedure="false">Interface!$D$42</definedName>
    <definedName function="false" hidden="false" name="SIF_cqC_14" vbProcedure="false">Interface!$E$43</definedName>
    <definedName function="false" hidden="false" name="SIF_cqC_14_hi" vbProcedure="false">Interface!$F$43</definedName>
    <definedName function="false" hidden="false" name="SIF_cqC_14_lo" vbProcedure="false">Interface!$D$43</definedName>
    <definedName function="false" hidden="false" name="SIF_cqC_15" vbProcedure="false">Interface!$E$44</definedName>
    <definedName function="false" hidden="false" name="SIF_cqC_15_hi" vbProcedure="false">Interface!$F$44</definedName>
    <definedName function="false" hidden="false" name="SIF_cqC_15_lo" vbProcedure="false">Interface!$D$44</definedName>
    <definedName function="false" hidden="false" name="SIF_cqC_16" vbProcedure="false">Interface!$E$45</definedName>
    <definedName function="false" hidden="false" name="SIF_cqC_16_hi" vbProcedure="false">Interface!$F$45</definedName>
    <definedName function="false" hidden="false" name="SIF_cqC_16_lo" vbProcedure="false">Interface!$D$45</definedName>
    <definedName function="false" hidden="false" name="SIF_cqC_17" vbProcedure="false">Interface!$E$46</definedName>
    <definedName function="false" hidden="false" name="SIF_cqC_17_hi" vbProcedure="false">Interface!$F$46</definedName>
    <definedName function="false" hidden="false" name="SIF_cqC_17_lo" vbProcedure="false">Interface!$D$46</definedName>
    <definedName function="false" hidden="false" name="SIF_cqC_18" vbProcedure="false">Interface!$E$47</definedName>
    <definedName function="false" hidden="false" name="SIF_cqC_18_hi" vbProcedure="false">Interface!$F$47</definedName>
    <definedName function="false" hidden="false" name="SIF_cqC_18_lo" vbProcedure="false">Interface!$D$47</definedName>
    <definedName function="false" hidden="false" name="SIF_cqC_19" vbProcedure="false">Interface!$E$48</definedName>
    <definedName function="false" hidden="false" name="SIF_cqC_19_hi" vbProcedure="false">Interface!$F$48</definedName>
    <definedName function="false" hidden="false" name="SIF_cqC_19_lo" vbProcedure="false">Interface!$D$48</definedName>
    <definedName function="false" hidden="false" name="SIF_cqC_8" vbProcedure="false">Interface!$E$37</definedName>
    <definedName function="false" hidden="false" name="SIF_cqC_8_hi" vbProcedure="false">Interface!$F$37</definedName>
    <definedName function="false" hidden="false" name="SIF_cqC_8_lo" vbProcedure="false">Interface!$D$37</definedName>
    <definedName function="false" hidden="false" name="SIF_cqC_9" vbProcedure="false">Interface!$E$38</definedName>
    <definedName function="false" hidden="false" name="SIF_cqC_9_hi" vbProcedure="false">Interface!$F$38</definedName>
    <definedName function="false" hidden="false" name="SIF_cqC_9_lo" vbProcedure="false">Interface!$D$38</definedName>
    <definedName function="false" hidden="false" name="SIF_cq_1" vbProcedure="false">Interface!$E$6</definedName>
    <definedName function="false" hidden="false" name="SIF_cq_2" vbProcedure="false">Interface!$E$7</definedName>
    <definedName function="false" hidden="false" name="SIF_cq_3" vbProcedure="false">Interface!$E$8</definedName>
    <definedName function="false" hidden="false" name="SIF_cq_4" vbProcedure="false">Interface!$E$9</definedName>
    <definedName function="false" hidden="false" name="SIF_cq_5" vbProcedure="false">Interface!$E$10</definedName>
    <definedName function="false" hidden="false" name="SIF_cq_6" vbProcedure="false">Interface!$E$11</definedName>
    <definedName function="false" hidden="false" name="SIF_cq_7" vbProcedure="false">Interface!$E$12</definedName>
    <definedName function="false" hidden="false" name="SIF_cw_capend25" vbProcedure="false">Interface!$E$355</definedName>
    <definedName function="false" hidden="false" name="SIF_cw_capend26" vbProcedure="false">Interface!$E$356</definedName>
    <definedName function="false" hidden="false" name="SIF_cw_capend27" vbProcedure="false">Interface!$E$357</definedName>
    <definedName function="false" hidden="false" name="SIF_cw_capend28" vbProcedure="false">Interface!$E$358</definedName>
    <definedName function="false" hidden="false" name="SIF_cw_capend29" vbProcedure="false">Interface!$E$359</definedName>
    <definedName function="false" hidden="false" name="SIF_cw_capend29_hi" vbProcedure="false">Interface!$F$359</definedName>
    <definedName function="false" hidden="false" name="SIF_cw_capend29_lo" vbProcedure="false">Interface!$D$359</definedName>
    <definedName function="false" hidden="false" name="SIF_cw_msdem26" vbProcedure="false">Interface!$E$361</definedName>
    <definedName function="false" hidden="false" name="SIF_cw_msdem27" vbProcedure="false">Interface!$E$362</definedName>
    <definedName function="false" hidden="false" name="SIF_cw_osat" vbProcedure="false">Interface!$E$360</definedName>
    <definedName function="false" hidden="false" name="SIF_cw_osat_hi" vbProcedure="false">Interface!$F$360</definedName>
    <definedName function="false" hidden="false" name="SIF_cw_osat_lo" vbProcedure="false">Interface!$D$360</definedName>
    <definedName function="false" hidden="false" name="SIF_cw_oth26" vbProcedure="false">Interface!$E$353</definedName>
    <definedName function="false" hidden="false" name="SIF_cw_oth26_hi" vbProcedure="false">Interface!$F$353</definedName>
    <definedName function="false" hidden="false" name="SIF_cw_oth26_lo" vbProcedure="false">Interface!$D$353</definedName>
    <definedName function="false" hidden="false" name="SIF_cw_oth_g" vbProcedure="false">Interface!$E$354</definedName>
    <definedName function="false" hidden="false" name="SIF_cw_oth_g_hi" vbProcedure="false">Interface!$F$354</definedName>
    <definedName function="false" hidden="false" name="SIF_cw_oth_g_lo" vbProcedure="false">Interface!$D$354</definedName>
    <definedName function="false" hidden="false" name="SIF_cw_pp_AMD8" vbProcedure="false">Interface!$E$347</definedName>
    <definedName function="false" hidden="false" name="SIF_cw_pp_AMD8_hi" vbProcedure="false">Interface!$F$347</definedName>
    <definedName function="false" hidden="false" name="SIF_cw_pp_AMD8_lo" vbProcedure="false">Interface!$D$347</definedName>
    <definedName function="false" hidden="false" name="SIF_cw_pp_AMDR" vbProcedure="false">Interface!$E$348</definedName>
    <definedName function="false" hidden="false" name="SIF_cw_pp_AMDR_hi" vbProcedure="false">Interface!$F$348</definedName>
    <definedName function="false" hidden="false" name="SIF_cw_pp_AMDR_lo" vbProcedure="false">Interface!$D$348</definedName>
    <definedName function="false" hidden="false" name="SIF_cw_pp_ASIC" vbProcedure="false">Interface!$E$352</definedName>
    <definedName function="false" hidden="false" name="SIF_cw_pp_ASIC_hi" vbProcedure="false">Interface!$F$352</definedName>
    <definedName function="false" hidden="false" name="SIF_cw_pp_ASIC_lo" vbProcedure="false">Interface!$D$352</definedName>
    <definedName function="false" hidden="false" name="SIF_cw_pp_GB" vbProcedure="false">Interface!$E$343</definedName>
    <definedName function="false" hidden="false" name="SIF_cw_pp_GB_hi" vbProcedure="false">Interface!$F$343</definedName>
    <definedName function="false" hidden="false" name="SIF_cw_pp_GB_lo" vbProcedure="false">Interface!$D$343</definedName>
    <definedName function="false" hidden="false" name="SIF_cw_pp_HP" vbProcedure="false">Interface!$E$346</definedName>
    <definedName function="false" hidden="false" name="SIF_cw_pp_HP_hi" vbProcedure="false">Interface!$F$346</definedName>
    <definedName function="false" hidden="false" name="SIF_cw_pp_HP_lo" vbProcedure="false">Interface!$D$346</definedName>
    <definedName function="false" hidden="false" name="SIF_cw_pp_RU" vbProcedure="false">Interface!$E$345</definedName>
    <definedName function="false" hidden="false" name="SIF_cw_pp_RU_hi" vbProcedure="false">Interface!$F$345</definedName>
    <definedName function="false" hidden="false" name="SIF_cw_pp_RU_lo" vbProcedure="false">Interface!$D$345</definedName>
    <definedName function="false" hidden="false" name="SIF_cw_pp_TPU7" vbProcedure="false">Interface!$E$349</definedName>
    <definedName function="false" hidden="false" name="SIF_cw_pp_TPU7_hi" vbProcedure="false">Interface!$F$349</definedName>
    <definedName function="false" hidden="false" name="SIF_cw_pp_TPU7_lo" vbProcedure="false">Interface!$D$349</definedName>
    <definedName function="false" hidden="false" name="SIF_cw_pp_TPU8" vbProcedure="false">Interface!$E$350</definedName>
    <definedName function="false" hidden="false" name="SIF_cw_pp_TPU8_hi" vbProcedure="false">Interface!$F$350</definedName>
    <definedName function="false" hidden="false" name="SIF_cw_pp_TPU8_lo" vbProcedure="false">Interface!$D$350</definedName>
    <definedName function="false" hidden="false" name="SIF_cw_pp_TRN" vbProcedure="false">Interface!$E$351</definedName>
    <definedName function="false" hidden="false" name="SIF_cw_pp_TRN_hi" vbProcedure="false">Interface!$F$351</definedName>
    <definedName function="false" hidden="false" name="SIF_cw_pp_TRN_lo" vbProcedure="false">Interface!$D$351</definedName>
    <definedName function="false" hidden="false" name="SIF_cw_pp_VR" vbProcedure="false">Interface!$E$344</definedName>
    <definedName function="false" hidden="false" name="SIF_cw_pp_VR_hi" vbProcedure="false">Interface!$F$344</definedName>
    <definedName function="false" hidden="false" name="SIF_cw_pp_VR_lo" vbProcedure="false">Interface!$D$344</definedName>
    <definedName function="false" hidden="false" name="SIF_c_AMD8_nic" vbProcedure="false">Interface!$E$239</definedName>
    <definedName function="false" hidden="false" name="SIF_c_AMD8_nic_hi" vbProcedure="false">Interface!$F$239</definedName>
    <definedName function="false" hidden="false" name="SIF_c_AMD8_nic_lo" vbProcedure="false">Interface!$D$239</definedName>
    <definedName function="false" hidden="false" name="SIF_c_AMD8_so_cu" vbProcedure="false">Interface!$E$238</definedName>
    <definedName function="false" hidden="false" name="SIF_c_AMD8_so_cu_hi" vbProcedure="false">Interface!$F$238</definedName>
    <definedName function="false" hidden="false" name="SIF_c_AMD8_so_cu_lo" vbProcedure="false">Interface!$D$238</definedName>
    <definedName function="false" hidden="false" name="SIF_c_AMD8_so_opt" vbProcedure="false">Interface!$E$237</definedName>
    <definedName function="false" hidden="false" name="SIF_c_AMD8_so_opt_hi" vbProcedure="false">Interface!$F$237</definedName>
    <definedName function="false" hidden="false" name="SIF_c_AMD8_so_opt_lo" vbProcedure="false">Interface!$D$237</definedName>
    <definedName function="false" hidden="false" name="SIF_c_AMD8_so_sw" vbProcedure="false">Interface!$E$236</definedName>
    <definedName function="false" hidden="false" name="SIF_c_AMD8_so_sw_hi" vbProcedure="false">Interface!$F$236</definedName>
    <definedName function="false" hidden="false" name="SIF_c_AMD8_so_sw_lo" vbProcedure="false">Interface!$D$236</definedName>
    <definedName function="false" hidden="false" name="SIF_c_AMD8_su_ic" vbProcedure="false">Interface!$E$235</definedName>
    <definedName function="false" hidden="false" name="SIF_c_AMD8_su_ic_hi" vbProcedure="false">Interface!$F$235</definedName>
    <definedName function="false" hidden="false" name="SIF_c_AMD8_su_ic_lo" vbProcedure="false">Interface!$D$235</definedName>
    <definedName function="false" hidden="false" name="SIF_c_AMD8_su_sw" vbProcedure="false">Interface!$E$234</definedName>
    <definedName function="false" hidden="false" name="SIF_c_AMD8_su_sw_hi" vbProcedure="false">Interface!$F$234</definedName>
    <definedName function="false" hidden="false" name="SIF_c_AMD8_su_sw_lo" vbProcedure="false">Interface!$D$234</definedName>
    <definedName function="false" hidden="false" name="SIF_c_AMDR_nic" vbProcedure="false">Interface!$E$245</definedName>
    <definedName function="false" hidden="false" name="SIF_c_AMDR_nic_hi" vbProcedure="false">Interface!$F$245</definedName>
    <definedName function="false" hidden="false" name="SIF_c_AMDR_nic_lo" vbProcedure="false">Interface!$D$245</definedName>
    <definedName function="false" hidden="false" name="SIF_c_AMDR_so_cu" vbProcedure="false">Interface!$E$244</definedName>
    <definedName function="false" hidden="false" name="SIF_c_AMDR_so_cu_hi" vbProcedure="false">Interface!$F$244</definedName>
    <definedName function="false" hidden="false" name="SIF_c_AMDR_so_cu_lo" vbProcedure="false">Interface!$D$244</definedName>
    <definedName function="false" hidden="false" name="SIF_c_AMDR_so_opt" vbProcedure="false">Interface!$E$243</definedName>
    <definedName function="false" hidden="false" name="SIF_c_AMDR_so_opt_hi" vbProcedure="false">Interface!$F$243</definedName>
    <definedName function="false" hidden="false" name="SIF_c_AMDR_so_opt_lo" vbProcedure="false">Interface!$D$243</definedName>
    <definedName function="false" hidden="false" name="SIF_c_AMDR_so_sw" vbProcedure="false">Interface!$E$242</definedName>
    <definedName function="false" hidden="false" name="SIF_c_AMDR_so_sw_hi" vbProcedure="false">Interface!$F$242</definedName>
    <definedName function="false" hidden="false" name="SIF_c_AMDR_so_sw_lo" vbProcedure="false">Interface!$D$242</definedName>
    <definedName function="false" hidden="false" name="SIF_c_AMDR_su_ic" vbProcedure="false">Interface!$E$241</definedName>
    <definedName function="false" hidden="false" name="SIF_c_AMDR_su_ic_hi" vbProcedure="false">Interface!$F$241</definedName>
    <definedName function="false" hidden="false" name="SIF_c_AMDR_su_ic_lo" vbProcedure="false">Interface!$D$241</definedName>
    <definedName function="false" hidden="false" name="SIF_c_AMDR_su_sw" vbProcedure="false">Interface!$E$240</definedName>
    <definedName function="false" hidden="false" name="SIF_c_AMDR_su_sw_hi" vbProcedure="false">Interface!$F$240</definedName>
    <definedName function="false" hidden="false" name="SIF_c_AMDR_su_sw_lo" vbProcedure="false">Interface!$D$240</definedName>
    <definedName function="false" hidden="false" name="SIF_c_ASIC_nic" vbProcedure="false">Interface!$E$263</definedName>
    <definedName function="false" hidden="false" name="SIF_c_ASIC_nic_hi" vbProcedure="false">Interface!$F$263</definedName>
    <definedName function="false" hidden="false" name="SIF_c_ASIC_nic_lo" vbProcedure="false">Interface!$D$263</definedName>
    <definedName function="false" hidden="false" name="SIF_c_ASIC_so_cu" vbProcedure="false">Interface!$E$262</definedName>
    <definedName function="false" hidden="false" name="SIF_c_ASIC_so_cu_hi" vbProcedure="false">Interface!$F$262</definedName>
    <definedName function="false" hidden="false" name="SIF_c_ASIC_so_cu_lo" vbProcedure="false">Interface!$D$262</definedName>
    <definedName function="false" hidden="false" name="SIF_c_ASIC_so_opt" vbProcedure="false">Interface!$E$261</definedName>
    <definedName function="false" hidden="false" name="SIF_c_ASIC_so_opt_hi" vbProcedure="false">Interface!$F$261</definedName>
    <definedName function="false" hidden="false" name="SIF_c_ASIC_so_opt_lo" vbProcedure="false">Interface!$D$261</definedName>
    <definedName function="false" hidden="false" name="SIF_c_ASIC_so_sw" vbProcedure="false">Interface!$E$260</definedName>
    <definedName function="false" hidden="false" name="SIF_c_ASIC_so_sw_hi" vbProcedure="false">Interface!$F$260</definedName>
    <definedName function="false" hidden="false" name="SIF_c_ASIC_so_sw_lo" vbProcedure="false">Interface!$D$260</definedName>
    <definedName function="false" hidden="false" name="SIF_c_ASIC_su_ic" vbProcedure="false">Interface!$E$259</definedName>
    <definedName function="false" hidden="false" name="SIF_c_ASIC_su_ic_hi" vbProcedure="false">Interface!$F$259</definedName>
    <definedName function="false" hidden="false" name="SIF_c_ASIC_su_ic_lo" vbProcedure="false">Interface!$D$259</definedName>
    <definedName function="false" hidden="false" name="SIF_c_ASIC_su_sw" vbProcedure="false">Interface!$E$258</definedName>
    <definedName function="false" hidden="false" name="SIF_c_ASIC_su_sw_hi" vbProcedure="false">Interface!$F$258</definedName>
    <definedName function="false" hidden="false" name="SIF_c_ASIC_su_sw_lo" vbProcedure="false">Interface!$D$258</definedName>
    <definedName function="false" hidden="false" name="SIF_c_GB_nic" vbProcedure="false">Interface!$E$215</definedName>
    <definedName function="false" hidden="false" name="SIF_c_GB_nic_hi" vbProcedure="false">Interface!$F$215</definedName>
    <definedName function="false" hidden="false" name="SIF_c_GB_nic_lo" vbProcedure="false">Interface!$D$215</definedName>
    <definedName function="false" hidden="false" name="SIF_c_GB_so_cu" vbProcedure="false">Interface!$E$214</definedName>
    <definedName function="false" hidden="false" name="SIF_c_GB_so_cu_hi" vbProcedure="false">Interface!$F$214</definedName>
    <definedName function="false" hidden="false" name="SIF_c_GB_so_cu_lo" vbProcedure="false">Interface!$D$214</definedName>
    <definedName function="false" hidden="false" name="SIF_c_GB_so_opt" vbProcedure="false">Interface!$E$213</definedName>
    <definedName function="false" hidden="false" name="SIF_c_GB_so_opt_hi" vbProcedure="false">Interface!$F$213</definedName>
    <definedName function="false" hidden="false" name="SIF_c_GB_so_opt_lo" vbProcedure="false">Interface!$D$213</definedName>
    <definedName function="false" hidden="false" name="SIF_c_GB_so_sw" vbProcedure="false">Interface!$E$212</definedName>
    <definedName function="false" hidden="false" name="SIF_c_GB_so_sw_hi" vbProcedure="false">Interface!$F$212</definedName>
    <definedName function="false" hidden="false" name="SIF_c_GB_so_sw_lo" vbProcedure="false">Interface!$D$212</definedName>
    <definedName function="false" hidden="false" name="SIF_c_GB_su_ic" vbProcedure="false">Interface!$E$211</definedName>
    <definedName function="false" hidden="false" name="SIF_c_GB_su_ic_hi" vbProcedure="false">Interface!$F$211</definedName>
    <definedName function="false" hidden="false" name="SIF_c_GB_su_ic_lo" vbProcedure="false">Interface!$D$211</definedName>
    <definedName function="false" hidden="false" name="SIF_c_GB_su_sw" vbProcedure="false">Interface!$E$210</definedName>
    <definedName function="false" hidden="false" name="SIF_c_GB_su_sw_hi" vbProcedure="false">Interface!$F$210</definedName>
    <definedName function="false" hidden="false" name="SIF_c_GB_su_sw_lo" vbProcedure="false">Interface!$D$210</definedName>
    <definedName function="false" hidden="false" name="SIF_c_HP_nic" vbProcedure="false">Interface!$E$233</definedName>
    <definedName function="false" hidden="false" name="SIF_c_HP_nic_hi" vbProcedure="false">Interface!$F$233</definedName>
    <definedName function="false" hidden="false" name="SIF_c_HP_nic_lo" vbProcedure="false">Interface!$D$233</definedName>
    <definedName function="false" hidden="false" name="SIF_c_HP_so_cu" vbProcedure="false">Interface!$E$232</definedName>
    <definedName function="false" hidden="false" name="SIF_c_HP_so_cu_hi" vbProcedure="false">Interface!$F$232</definedName>
    <definedName function="false" hidden="false" name="SIF_c_HP_so_cu_lo" vbProcedure="false">Interface!$D$232</definedName>
    <definedName function="false" hidden="false" name="SIF_c_HP_so_opt" vbProcedure="false">Interface!$E$231</definedName>
    <definedName function="false" hidden="false" name="SIF_c_HP_so_opt_hi" vbProcedure="false">Interface!$F$231</definedName>
    <definedName function="false" hidden="false" name="SIF_c_HP_so_opt_lo" vbProcedure="false">Interface!$D$231</definedName>
    <definedName function="false" hidden="false" name="SIF_c_HP_so_sw" vbProcedure="false">Interface!$E$230</definedName>
    <definedName function="false" hidden="false" name="SIF_c_HP_so_sw_hi" vbProcedure="false">Interface!$F$230</definedName>
    <definedName function="false" hidden="false" name="SIF_c_HP_so_sw_lo" vbProcedure="false">Interface!$D$230</definedName>
    <definedName function="false" hidden="false" name="SIF_c_HP_su_ic" vbProcedure="false">Interface!$E$229</definedName>
    <definedName function="false" hidden="false" name="SIF_c_HP_su_ic_hi" vbProcedure="false">Interface!$F$229</definedName>
    <definedName function="false" hidden="false" name="SIF_c_HP_su_ic_lo" vbProcedure="false">Interface!$D$229</definedName>
    <definedName function="false" hidden="false" name="SIF_c_HP_su_sw" vbProcedure="false">Interface!$E$228</definedName>
    <definedName function="false" hidden="false" name="SIF_c_HP_su_sw_hi" vbProcedure="false">Interface!$F$228</definedName>
    <definedName function="false" hidden="false" name="SIF_c_HP_su_sw_lo" vbProcedure="false">Interface!$D$228</definedName>
    <definedName function="false" hidden="false" name="SIF_c_RU_nic" vbProcedure="false">Interface!$E$227</definedName>
    <definedName function="false" hidden="false" name="SIF_c_RU_nic_hi" vbProcedure="false">Interface!$F$227</definedName>
    <definedName function="false" hidden="false" name="SIF_c_RU_nic_lo" vbProcedure="false">Interface!$D$227</definedName>
    <definedName function="false" hidden="false" name="SIF_c_RU_so_cu" vbProcedure="false">Interface!$E$226</definedName>
    <definedName function="false" hidden="false" name="SIF_c_RU_so_cu_hi" vbProcedure="false">Interface!$F$226</definedName>
    <definedName function="false" hidden="false" name="SIF_c_RU_so_cu_lo" vbProcedure="false">Interface!$D$226</definedName>
    <definedName function="false" hidden="false" name="SIF_c_RU_so_opt" vbProcedure="false">Interface!$E$225</definedName>
    <definedName function="false" hidden="false" name="SIF_c_RU_so_opt_hi" vbProcedure="false">Interface!$F$225</definedName>
    <definedName function="false" hidden="false" name="SIF_c_RU_so_opt_lo" vbProcedure="false">Interface!$D$225</definedName>
    <definedName function="false" hidden="false" name="SIF_c_RU_so_sw" vbProcedure="false">Interface!$E$224</definedName>
    <definedName function="false" hidden="false" name="SIF_c_RU_so_sw_hi" vbProcedure="false">Interface!$F$224</definedName>
    <definedName function="false" hidden="false" name="SIF_c_RU_so_sw_lo" vbProcedure="false">Interface!$D$224</definedName>
    <definedName function="false" hidden="false" name="SIF_c_RU_su_ic" vbProcedure="false">Interface!$E$223</definedName>
    <definedName function="false" hidden="false" name="SIF_c_RU_su_ic_hi" vbProcedure="false">Interface!$F$223</definedName>
    <definedName function="false" hidden="false" name="SIF_c_RU_su_ic_lo" vbProcedure="false">Interface!$D$223</definedName>
    <definedName function="false" hidden="false" name="SIF_c_RU_su_sw" vbProcedure="false">Interface!$E$222</definedName>
    <definedName function="false" hidden="false" name="SIF_c_RU_su_sw_hi" vbProcedure="false">Interface!$F$222</definedName>
    <definedName function="false" hidden="false" name="SIF_c_RU_su_sw_lo" vbProcedure="false">Interface!$D$222</definedName>
    <definedName function="false" hidden="false" name="SIF_c_TPU_nic" vbProcedure="false">Interface!$E$251</definedName>
    <definedName function="false" hidden="false" name="SIF_c_TPU_nic_hi" vbProcedure="false">Interface!$F$251</definedName>
    <definedName function="false" hidden="false" name="SIF_c_TPU_nic_lo" vbProcedure="false">Interface!$D$251</definedName>
    <definedName function="false" hidden="false" name="SIF_c_TPU_so_cu" vbProcedure="false">Interface!$E$250</definedName>
    <definedName function="false" hidden="false" name="SIF_c_TPU_so_cu_hi" vbProcedure="false">Interface!$F$250</definedName>
    <definedName function="false" hidden="false" name="SIF_c_TPU_so_cu_lo" vbProcedure="false">Interface!$D$250</definedName>
    <definedName function="false" hidden="false" name="SIF_c_TPU_so_opt" vbProcedure="false">Interface!$E$249</definedName>
    <definedName function="false" hidden="false" name="SIF_c_TPU_so_opt_hi" vbProcedure="false">Interface!$F$249</definedName>
    <definedName function="false" hidden="false" name="SIF_c_TPU_so_opt_lo" vbProcedure="false">Interface!$D$249</definedName>
    <definedName function="false" hidden="false" name="SIF_c_TPU_so_sw" vbProcedure="false">Interface!$E$248</definedName>
    <definedName function="false" hidden="false" name="SIF_c_TPU_so_sw_hi" vbProcedure="false">Interface!$F$248</definedName>
    <definedName function="false" hidden="false" name="SIF_c_TPU_so_sw_lo" vbProcedure="false">Interface!$D$248</definedName>
    <definedName function="false" hidden="false" name="SIF_c_TPU_su_ic" vbProcedure="false">Interface!$E$247</definedName>
    <definedName function="false" hidden="false" name="SIF_c_TPU_su_ic_hi" vbProcedure="false">Interface!$F$247</definedName>
    <definedName function="false" hidden="false" name="SIF_c_TPU_su_ic_lo" vbProcedure="false">Interface!$D$247</definedName>
    <definedName function="false" hidden="false" name="SIF_c_TPU_su_sw" vbProcedure="false">Interface!$E$246</definedName>
    <definedName function="false" hidden="false" name="SIF_c_TPU_su_sw_hi" vbProcedure="false">Interface!$F$246</definedName>
    <definedName function="false" hidden="false" name="SIF_c_TPU_su_sw_lo" vbProcedure="false">Interface!$D$246</definedName>
    <definedName function="false" hidden="false" name="SIF_c_TRN_nic" vbProcedure="false">Interface!$E$257</definedName>
    <definedName function="false" hidden="false" name="SIF_c_TRN_nic_hi" vbProcedure="false">Interface!$F$257</definedName>
    <definedName function="false" hidden="false" name="SIF_c_TRN_nic_lo" vbProcedure="false">Interface!$D$257</definedName>
    <definedName function="false" hidden="false" name="SIF_c_TRN_so_cu" vbProcedure="false">Interface!$E$256</definedName>
    <definedName function="false" hidden="false" name="SIF_c_TRN_so_cu_hi" vbProcedure="false">Interface!$F$256</definedName>
    <definedName function="false" hidden="false" name="SIF_c_TRN_so_cu_lo" vbProcedure="false">Interface!$D$256</definedName>
    <definedName function="false" hidden="false" name="SIF_c_TRN_so_opt" vbProcedure="false">Interface!$E$255</definedName>
    <definedName function="false" hidden="false" name="SIF_c_TRN_so_opt_hi" vbProcedure="false">Interface!$F$255</definedName>
    <definedName function="false" hidden="false" name="SIF_c_TRN_so_opt_lo" vbProcedure="false">Interface!$D$255</definedName>
    <definedName function="false" hidden="false" name="SIF_c_TRN_so_sw" vbProcedure="false">Interface!$E$254</definedName>
    <definedName function="false" hidden="false" name="SIF_c_TRN_so_sw_hi" vbProcedure="false">Interface!$F$254</definedName>
    <definedName function="false" hidden="false" name="SIF_c_TRN_so_sw_lo" vbProcedure="false">Interface!$D$254</definedName>
    <definedName function="false" hidden="false" name="SIF_c_TRN_su_ic" vbProcedure="false">Interface!$E$253</definedName>
    <definedName function="false" hidden="false" name="SIF_c_TRN_su_ic_hi" vbProcedure="false">Interface!$F$253</definedName>
    <definedName function="false" hidden="false" name="SIF_c_TRN_su_ic_lo" vbProcedure="false">Interface!$D$253</definedName>
    <definedName function="false" hidden="false" name="SIF_c_TRN_su_sw" vbProcedure="false">Interface!$E$252</definedName>
    <definedName function="false" hidden="false" name="SIF_c_TRN_su_sw_hi" vbProcedure="false">Interface!$F$252</definedName>
    <definedName function="false" hidden="false" name="SIF_c_TRN_su_sw_lo" vbProcedure="false">Interface!$D$252</definedName>
    <definedName function="false" hidden="false" name="SIF_c_VR_nic" vbProcedure="false">Interface!$E$221</definedName>
    <definedName function="false" hidden="false" name="SIF_c_VR_nic_hi" vbProcedure="false">Interface!$F$221</definedName>
    <definedName function="false" hidden="false" name="SIF_c_VR_nic_lo" vbProcedure="false">Interface!$D$221</definedName>
    <definedName function="false" hidden="false" name="SIF_c_VR_so_cu" vbProcedure="false">Interface!$E$220</definedName>
    <definedName function="false" hidden="false" name="SIF_c_VR_so_cu_hi" vbProcedure="false">Interface!$F$220</definedName>
    <definedName function="false" hidden="false" name="SIF_c_VR_so_cu_lo" vbProcedure="false">Interface!$D$220</definedName>
    <definedName function="false" hidden="false" name="SIF_c_VR_so_opt" vbProcedure="false">Interface!$E$219</definedName>
    <definedName function="false" hidden="false" name="SIF_c_VR_so_opt_hi" vbProcedure="false">Interface!$F$219</definedName>
    <definedName function="false" hidden="false" name="SIF_c_VR_so_opt_lo" vbProcedure="false">Interface!$D$219</definedName>
    <definedName function="false" hidden="false" name="SIF_c_VR_so_sw" vbProcedure="false">Interface!$E$218</definedName>
    <definedName function="false" hidden="false" name="SIF_c_VR_so_sw_hi" vbProcedure="false">Interface!$F$218</definedName>
    <definedName function="false" hidden="false" name="SIF_c_VR_so_sw_lo" vbProcedure="false">Interface!$D$218</definedName>
    <definedName function="false" hidden="false" name="SIF_c_VR_su_ic" vbProcedure="false">Interface!$E$217</definedName>
    <definedName function="false" hidden="false" name="SIF_c_VR_su_ic_hi" vbProcedure="false">Interface!$F$217</definedName>
    <definedName function="false" hidden="false" name="SIF_c_VR_su_ic_lo" vbProcedure="false">Interface!$D$217</definedName>
    <definedName function="false" hidden="false" name="SIF_c_VR_su_sw" vbProcedure="false">Interface!$E$216</definedName>
    <definedName function="false" hidden="false" name="SIF_c_VR_su_sw_hi" vbProcedure="false">Interface!$F$216</definedName>
    <definedName function="false" hidden="false" name="SIF_c_VR_su_sw_lo" vbProcedure="false">Interface!$D$216</definedName>
    <definedName function="false" hidden="false" name="SIF_DeployGW_A" vbProcedure="false">Interface!$E$695:$H$695</definedName>
    <definedName function="false" hidden="false" name="SIF_DeployGW_B" vbProcedure="false">Interface!$E$696:$H$696</definedName>
    <definedName function="false" hidden="false" name="SIF_DeployGW_C" vbProcedure="false">Interface!$E$697:$H$697</definedName>
    <definedName function="false" hidden="false" name="SIF_eq_adv_other" vbProcedure="false">Interface!$E$497</definedName>
    <definedName function="false" hidden="false" name="SIF_eq_adv_other_hi" vbProcedure="false">Interface!$F$497</definedName>
    <definedName function="false" hidden="false" name="SIF_eq_adv_other_lo" vbProcedure="false">Interface!$D$497</definedName>
    <definedName function="false" hidden="false" name="SIF_eq_ck_B_28" vbProcedure="false">Interface!$E$493</definedName>
    <definedName function="false" hidden="false" name="SIF_eq_ck_B_28_hi" vbProcedure="false">Interface!$F$493</definedName>
    <definedName function="false" hidden="false" name="SIF_eq_ck_B_28_lo" vbProcedure="false">Interface!$D$493</definedName>
    <definedName function="false" hidden="false" name="SIF_eq_ck_B_29" vbProcedure="false">Interface!$E$495</definedName>
    <definedName function="false" hidden="false" name="SIF_eq_ck_B_29_hi" vbProcedure="false">Interface!$F$495</definedName>
    <definedName function="false" hidden="false" name="SIF_eq_ck_B_29_lo" vbProcedure="false">Interface!$D$495</definedName>
    <definedName function="false" hidden="false" name="SIF_eq_ck_C_28" vbProcedure="false">Interface!$E$494</definedName>
    <definedName function="false" hidden="false" name="SIF_eq_ck_C_28_hi" vbProcedure="false">Interface!$F$494</definedName>
    <definedName function="false" hidden="false" name="SIF_eq_ck_C_28_lo" vbProcedure="false">Interface!$D$494</definedName>
    <definedName function="false" hidden="false" name="SIF_eq_ck_C_29" vbProcedure="false">Interface!$E$496</definedName>
    <definedName function="false" hidden="false" name="SIF_eq_ck_C_29_hi" vbProcedure="false">Interface!$F$496</definedName>
    <definedName function="false" hidden="false" name="SIF_eq_ck_C_29_lo" vbProcedure="false">Interface!$D$496</definedName>
    <definedName function="false" hidden="false" name="SIF_eq_fx_jpy" vbProcedure="false">Interface!$E$462</definedName>
    <definedName function="false" hidden="false" name="SIF_eq_fx_jpy_hi" vbProcedure="false">Interface!$F$462</definedName>
    <definedName function="false" hidden="false" name="SIF_eq_fx_jpy_lo" vbProcedure="false">Interface!$D$462</definedName>
    <definedName function="false" hidden="false" name="SIF_eq_fx_twd" vbProcedure="false">Interface!$E$464</definedName>
    <definedName function="false" hidden="false" name="SIF_eq_fx_twd_hi" vbProcedure="false">Interface!$F$464</definedName>
    <definedName function="false" hidden="false" name="SIF_eq_fx_twd_lo" vbProcedure="false">Interface!$D$464</definedName>
    <definedName function="false" hidden="false" name="SIF_eq_g29" vbProcedure="false">Interface!$E$492</definedName>
    <definedName function="false" hidden="false" name="SIF_eq_g29_hi" vbProcedure="false">Interface!$F$492</definedName>
    <definedName function="false" hidden="false" name="SIF_eq_g29_lo" vbProcedure="false">Interface!$D$492</definedName>
    <definedName function="false" hidden="false" name="SIF_eq_g_dram_26" vbProcedure="false">Interface!$E$468</definedName>
    <definedName function="false" hidden="false" name="SIF_eq_g_dram_27" vbProcedure="false">Interface!$E$469</definedName>
    <definedName function="false" hidden="false" name="SIF_eq_g_dram_28" vbProcedure="false">Interface!$E$470</definedName>
    <definedName function="false" hidden="false" name="SIF_eq_g_fd_26" vbProcedure="false">Interface!$E$476</definedName>
    <definedName function="false" hidden="false" name="SIF_eq_g_fd_27" vbProcedure="false">Interface!$E$477</definedName>
    <definedName function="false" hidden="false" name="SIF_eq_g_fd_28" vbProcedure="false">Interface!$E$478</definedName>
    <definedName function="false" hidden="false" name="SIF_eq_g_nand_26" vbProcedure="false">Interface!$E$472</definedName>
    <definedName function="false" hidden="false" name="SIF_eq_g_nand_27" vbProcedure="false">Interface!$E$473</definedName>
    <definedName function="false" hidden="false" name="SIF_eq_g_nand_28" vbProcedure="false">Interface!$E$474</definedName>
    <definedName function="false" hidden="false" name="SIF_eq_g_oth_dram" vbProcedure="false">Interface!$E$454</definedName>
    <definedName function="false" hidden="false" name="SIF_eq_g_oth_dram_hi" vbProcedure="false">Interface!$F$454</definedName>
    <definedName function="false" hidden="false" name="SIF_eq_g_oth_dram_lo" vbProcedure="false">Interface!$D$454</definedName>
    <definedName function="false" hidden="false" name="SIF_eq_g_oth_fd" vbProcedure="false">Interface!$E$456</definedName>
    <definedName function="false" hidden="false" name="SIF_eq_g_oth_fd_hi" vbProcedure="false">Interface!$F$456</definedName>
    <definedName function="false" hidden="false" name="SIF_eq_g_oth_fd_lo" vbProcedure="false">Interface!$D$456</definedName>
    <definedName function="false" hidden="false" name="SIF_eq_g_oth_nand" vbProcedure="false">Interface!$E$455</definedName>
    <definedName function="false" hidden="false" name="SIF_eq_g_oth_nand_hi" vbProcedure="false">Interface!$F$455</definedName>
    <definedName function="false" hidden="false" name="SIF_eq_g_oth_nand_lo" vbProcedure="false">Interface!$D$455</definedName>
    <definedName function="false" hidden="false" name="SIF_eq_g_pkg_26" vbProcedure="false">Interface!$E$487</definedName>
    <definedName function="false" hidden="false" name="SIF_eq_g_test_26" vbProcedure="false">Interface!$E$484</definedName>
    <definedName function="false" hidden="false" name="SIF_eq_g_tot_26" vbProcedure="false">Interface!$E$490</definedName>
    <definedName function="false" hidden="false" name="SIF_eq_g_wfe_26" vbProcedure="false">Interface!$E$480</definedName>
    <definedName function="false" hidden="false" name="SIF_eq_g_wfe_27" vbProcedure="false">Interface!$E$481</definedName>
    <definedName function="false" hidden="false" name="SIF_eq_g_wfe_28" vbProcedure="false">Interface!$E$482</definedName>
    <definedName function="false" hidden="false" name="SIF_eq_ind_cxmt" vbProcedure="false">Interface!$E$458</definedName>
    <definedName function="false" hidden="false" name="SIF_eq_ind_cxmt_hi" vbProcedure="false">Interface!$F$458</definedName>
    <definedName function="false" hidden="false" name="SIF_eq_ind_cxmt_lo" vbProcedure="false">Interface!$D$458</definedName>
    <definedName function="false" hidden="false" name="SIF_eq_ind_kioxia" vbProcedure="false">Interface!$E$461</definedName>
    <definedName function="false" hidden="false" name="SIF_eq_ind_nand_ind" vbProcedure="false">Interface!$E$459</definedName>
    <definedName function="false" hidden="false" name="SIF_eq_ind_nanya" vbProcedure="false">Interface!$E$463</definedName>
    <definedName function="false" hidden="false" name="SIF_eq_ind_sandisk" vbProcedure="false">Interface!$E$466</definedName>
    <definedName function="false" hidden="false" name="SIF_eq_ind_winbond" vbProcedure="false">Interface!$E$465</definedName>
    <definedName function="false" hidden="false" name="SIF_eq_ind_ymtc_sh" vbProcedure="false">Interface!$E$460</definedName>
    <definedName function="false" hidden="false" name="SIF_eq_pkg_adv" vbProcedure="false">Interface!$E$498</definedName>
    <definedName function="false" hidden="false" name="SIF_eq_pkg_adv_hi" vbProcedure="false">Interface!$F$498</definedName>
    <definedName function="false" hidden="false" name="SIF_eq_pkg_adv_lo" vbProcedure="false">Interface!$D$498</definedName>
    <definedName function="false" hidden="false" name="SIF_eq_rc_gs26" vbProcedure="false">Interface!$E$505</definedName>
    <definedName function="false" hidden="false" name="SIF_eq_rc_gs27" vbProcedure="false">Interface!$E$506</definedName>
    <definedName function="false" hidden="false" name="SIF_eq_rc_gs28" vbProcedure="false">Interface!$E$507</definedName>
    <definedName function="false" hidden="false" name="SIF_eq_rc_kla26" vbProcedure="false">Interface!$E$501</definedName>
    <definedName function="false" hidden="false" name="SIF_eq_rc_kla27" vbProcedure="false">Interface!$E$502</definedName>
    <definedName function="false" hidden="false" name="SIF_eq_rc_lam26" vbProcedure="false">Interface!$E$499</definedName>
    <definedName function="false" hidden="false" name="SIF_eq_rc_lam27" vbProcedure="false">Interface!$E$500</definedName>
    <definedName function="false" hidden="false" name="SIF_eq_rc_ms27" vbProcedure="false">Interface!$E$503</definedName>
    <definedName function="false" hidden="false" name="SIF_eq_rc_ms28" vbProcedure="false">Interface!$E$504</definedName>
    <definedName function="false" hidden="false" name="SIF_eq_rc_thr" vbProcedure="false">Interface!$E$508</definedName>
    <definedName function="false" hidden="false" name="SIF_eq_sh_oth" vbProcedure="false">Interface!$E$457</definedName>
    <definedName function="false" hidden="false" name="SIF_eq_sh_oth_hi" vbProcedure="false">Interface!$F$457</definedName>
    <definedName function="false" hidden="false" name="SIF_eq_sh_oth_lo" vbProcedure="false">Interface!$D$457</definedName>
    <definedName function="false" hidden="false" name="SIF_eq_s_dram_26" vbProcedure="false">Interface!$E$467</definedName>
    <definedName function="false" hidden="false" name="SIF_eq_s_fd_26" vbProcedure="false">Interface!$E$475</definedName>
    <definedName function="false" hidden="false" name="SIF_eq_s_nand_26" vbProcedure="false">Interface!$E$471</definedName>
    <definedName function="false" hidden="false" name="SIF_eq_s_pkg_26" vbProcedure="false">Interface!$E$486</definedName>
    <definedName function="false" hidden="false" name="SIF_eq_s_pkg_28" vbProcedure="false">Interface!$E$488</definedName>
    <definedName function="false" hidden="false" name="SIF_eq_s_test_26" vbProcedure="false">Interface!$E$483</definedName>
    <definedName function="false" hidden="false" name="SIF_eq_s_test_28" vbProcedure="false">Interface!$E$485</definedName>
    <definedName function="false" hidden="false" name="SIF_eq_s_tot_26" vbProcedure="false">Interface!$E$489</definedName>
    <definedName function="false" hidden="false" name="SIF_eq_s_tot_28" vbProcedure="false">Interface!$E$491</definedName>
    <definedName function="false" hidden="false" name="SIF_eq_s_wfe_26" vbProcedure="false">Interface!$E$479</definedName>
    <definedName function="false" hidden="false" name="SIF_fx_krw" vbProcedure="false">Interface!$E$640</definedName>
    <definedName function="false" hidden="false" name="SIF_fx_krw_hi" vbProcedure="false">Interface!$F$640</definedName>
    <definedName function="false" hidden="false" name="SIF_fx_krw_lo" vbProcedure="false">Interface!$D$640</definedName>
    <definedName function="false" hidden="false" name="SIF_fx_rmb" vbProcedure="false">Interface!$E$639</definedName>
    <definedName function="false" hidden="false" name="SIF_fx_rmb_hi" vbProcedure="false">Interface!$F$639</definedName>
    <definedName function="false" hidden="false" name="SIF_fx_rmb_lo" vbProcedure="false">Interface!$D$639</definedName>
    <definedName function="false" hidden="false" name="SIF_fx_twd" vbProcedure="false">Interface!$E$638</definedName>
    <definedName function="false" hidden="false" name="SIF_fx_twd_hi" vbProcedure="false">Interface!$F$638</definedName>
    <definedName function="false" hidden="false" name="SIF_fx_twd_lo" vbProcedure="false">Interface!$D$638</definedName>
    <definedName function="false" hidden="false" name="SIF_f_hbm" vbProcedure="false">Interface!$E$181</definedName>
    <definedName function="false" hidden="false" name="SIF_f_hbm_hi" vbProcedure="false">Interface!$F$181</definedName>
    <definedName function="false" hidden="false" name="SIF_f_hbm_lo" vbProcedure="false">Interface!$D$181</definedName>
    <definedName function="false" hidden="false" name="SIF_g29_amd" vbProcedure="false">Interface!$E$171</definedName>
    <definedName function="false" hidden="false" name="SIF_g29_amd_hi" vbProcedure="false">Interface!$F$171</definedName>
    <definedName function="false" hidden="false" name="SIF_g29_amd_lo" vbProcedure="false">Interface!$D$171</definedName>
    <definedName function="false" hidden="false" name="SIF_g29_bw" vbProcedure="false">Interface!$E$167</definedName>
    <definedName function="false" hidden="false" name="SIF_g29_bw_hi" vbProcedure="false">Interface!$F$167</definedName>
    <definedName function="false" hidden="false" name="SIF_g29_bw_lo" vbProcedure="false">Interface!$D$167</definedName>
    <definedName function="false" hidden="false" name="SIF_g29_hp" vbProcedure="false">Interface!$E$170</definedName>
    <definedName function="false" hidden="false" name="SIF_g29_hp_hi" vbProcedure="false">Interface!$F$170</definedName>
    <definedName function="false" hidden="false" name="SIF_g29_hp_lo" vbProcedure="false">Interface!$D$170</definedName>
    <definedName function="false" hidden="false" name="SIF_g29_oth" vbProcedure="false">Interface!$E$174</definedName>
    <definedName function="false" hidden="false" name="SIF_g29_oth_hi" vbProcedure="false">Interface!$F$174</definedName>
    <definedName function="false" hidden="false" name="SIF_g29_oth_lo" vbProcedure="false">Interface!$D$174</definedName>
    <definedName function="false" hidden="false" name="SIF_g29_rb" vbProcedure="false">Interface!$E$168</definedName>
    <definedName function="false" hidden="false" name="SIF_g29_rb_hi" vbProcedure="false">Interface!$F$168</definedName>
    <definedName function="false" hidden="false" name="SIF_g29_rb_lo" vbProcedure="false">Interface!$D$168</definedName>
    <definedName function="false" hidden="false" name="SIF_g29_ru" vbProcedure="false">Interface!$E$169</definedName>
    <definedName function="false" hidden="false" name="SIF_g29_ru_hi" vbProcedure="false">Interface!$F$169</definedName>
    <definedName function="false" hidden="false" name="SIF_g29_ru_lo" vbProcedure="false">Interface!$D$169</definedName>
    <definedName function="false" hidden="false" name="SIF_g29_tpu" vbProcedure="false">Interface!$E$172</definedName>
    <definedName function="false" hidden="false" name="SIF_g29_tpu_hi" vbProcedure="false">Interface!$F$172</definedName>
    <definedName function="false" hidden="false" name="SIF_g29_tpu_lo" vbProcedure="false">Interface!$D$172</definedName>
    <definedName function="false" hidden="false" name="SIF_g29_trn" vbProcedure="false">Interface!$E$173</definedName>
    <definedName function="false" hidden="false" name="SIF_g29_trn_hi" vbProcedure="false">Interface!$F$173</definedName>
    <definedName function="false" hidden="false" name="SIF_g29_trn_lo" vbProcedure="false">Interface!$D$173</definedName>
    <definedName function="false" hidden="false" name="SIF_GPUSysMkt_A" vbProcedure="false">Interface!$E$729:$H$729</definedName>
    <definedName function="false" hidden="false" name="SIF_GPUSysMkt_B" vbProcedure="false">Interface!$E$730:$H$730</definedName>
    <definedName function="false" hidden="false" name="SIF_GPUSysMkt_C" vbProcedure="false">Interface!$E$731:$H$731</definedName>
    <definedName function="false" hidden="false" name="SIF_g_amd_26" vbProcedure="false">Interface!$E$119</definedName>
    <definedName function="false" hidden="false" name="SIF_g_amd_26_hi" vbProcedure="false">Interface!$F$119</definedName>
    <definedName function="false" hidden="false" name="SIF_g_amd_26_lo" vbProcedure="false">Interface!$D$119</definedName>
    <definedName function="false" hidden="false" name="SIF_g_amd_27" vbProcedure="false">Interface!$E$120</definedName>
    <definedName function="false" hidden="false" name="SIF_g_amd_27_hi" vbProcedure="false">Interface!$F$120</definedName>
    <definedName function="false" hidden="false" name="SIF_g_amd_27_lo" vbProcedure="false">Interface!$D$120</definedName>
    <definedName function="false" hidden="false" name="SIF_g_amd_28" vbProcedure="false">Interface!$E$121</definedName>
    <definedName function="false" hidden="false" name="SIF_g_amd_28_hi" vbProcedure="false">Interface!$F$121</definedName>
    <definedName function="false" hidden="false" name="SIF_g_amd_28_lo" vbProcedure="false">Interface!$D$121</definedName>
    <definedName function="false" hidden="false" name="SIF_g_bw_26" vbProcedure="false">Interface!$E$95</definedName>
    <definedName function="false" hidden="false" name="SIF_g_bw_27" vbProcedure="false">Interface!$E$96</definedName>
    <definedName function="false" hidden="false" name="SIF_g_bw_28" vbProcedure="false">Interface!$E$97</definedName>
    <definedName function="false" hidden="false" name="SIF_g_hp_26" vbProcedure="false">Interface!$E$113</definedName>
    <definedName function="false" hidden="false" name="SIF_g_hp_27" vbProcedure="false">Interface!$E$114</definedName>
    <definedName function="false" hidden="false" name="SIF_g_hp_28" vbProcedure="false">Interface!$E$115</definedName>
    <definedName function="false" hidden="false" name="SIF_g_oth_26" vbProcedure="false">Interface!$E$137</definedName>
    <definedName function="false" hidden="false" name="SIF_g_oth_26_hi" vbProcedure="false">Interface!$F$137</definedName>
    <definedName function="false" hidden="false" name="SIF_g_oth_26_lo" vbProcedure="false">Interface!$D$137</definedName>
    <definedName function="false" hidden="false" name="SIF_g_oth_27" vbProcedure="false">Interface!$E$138</definedName>
    <definedName function="false" hidden="false" name="SIF_g_oth_27_hi" vbProcedure="false">Interface!$F$138</definedName>
    <definedName function="false" hidden="false" name="SIF_g_oth_27_lo" vbProcedure="false">Interface!$D$138</definedName>
    <definedName function="false" hidden="false" name="SIF_g_oth_28" vbProcedure="false">Interface!$E$139</definedName>
    <definedName function="false" hidden="false" name="SIF_g_oth_28_hi" vbProcedure="false">Interface!$F$139</definedName>
    <definedName function="false" hidden="false" name="SIF_g_oth_28_lo" vbProcedure="false">Interface!$D$139</definedName>
    <definedName function="false" hidden="false" name="SIF_g_rb_26" vbProcedure="false">Interface!$E$101</definedName>
    <definedName function="false" hidden="false" name="SIF_g_rb_27" vbProcedure="false">Interface!$E$102</definedName>
    <definedName function="false" hidden="false" name="SIF_g_rb_28" vbProcedure="false">Interface!$E$103</definedName>
    <definedName function="false" hidden="false" name="SIF_g_ru_26" vbProcedure="false">Interface!$E$107</definedName>
    <definedName function="false" hidden="false" name="SIF_g_ru_27" vbProcedure="false">Interface!$E$108</definedName>
    <definedName function="false" hidden="false" name="SIF_g_ru_28" vbProcedure="false">Interface!$E$109</definedName>
    <definedName function="false" hidden="false" name="SIF_g_tpu_26" vbProcedure="false">Interface!$E$125</definedName>
    <definedName function="false" hidden="false" name="SIF_g_tpu_27" vbProcedure="false">Interface!$E$126</definedName>
    <definedName function="false" hidden="false" name="SIF_g_tpu_28" vbProcedure="false">Interface!$E$127</definedName>
    <definedName function="false" hidden="false" name="SIF_g_trn_26" vbProcedure="false">Interface!$E$131</definedName>
    <definedName function="false" hidden="false" name="SIF_g_trn_26_hi" vbProcedure="false">Interface!$F$131</definedName>
    <definedName function="false" hidden="false" name="SIF_g_trn_26_lo" vbProcedure="false">Interface!$D$131</definedName>
    <definedName function="false" hidden="false" name="SIF_g_trn_27" vbProcedure="false">Interface!$E$132</definedName>
    <definedName function="false" hidden="false" name="SIF_g_trn_27_hi" vbProcedure="false">Interface!$F$132</definedName>
    <definedName function="false" hidden="false" name="SIF_g_trn_27_lo" vbProcedure="false">Interface!$D$132</definedName>
    <definedName function="false" hidden="false" name="SIF_g_trn_28" vbProcedure="false">Interface!$E$133</definedName>
    <definedName function="false" hidden="false" name="SIF_g_trn_28_hi" vbProcedure="false">Interface!$F$133</definedName>
    <definedName function="false" hidden="false" name="SIF_g_trn_28_lo" vbProcedure="false">Interface!$D$133</definedName>
    <definedName function="false" hidden="false" name="SIF_HBMHybrid_A" vbProcedure="false">Interface!$D$756:$H$756</definedName>
    <definedName function="false" hidden="false" name="SIF_HBMHybrid_B" vbProcedure="false">Interface!$D$757:$H$757</definedName>
    <definedName function="false" hidden="false" name="SIF_HBMHybrid_C" vbProcedure="false">Interface!$D$758:$H$758</definedName>
    <definedName function="false" hidden="false" name="SIF_HBMShareSum" vbProcedure="false">Interface!$D$771:$H$771</definedName>
    <definedName function="false" hidden="false" name="SIF_hbmsh_mu_25" vbProcedure="false">Interface!$E$616</definedName>
    <definedName function="false" hidden="false" name="SIF_hbmsh_mu_25_hi" vbProcedure="false">Interface!$F$616</definedName>
    <definedName function="false" hidden="false" name="SIF_hbmsh_mu_25_lo" vbProcedure="false">Interface!$D$616</definedName>
    <definedName function="false" hidden="false" name="SIF_hbmsh_mu_26" vbProcedure="false">Interface!$E$617</definedName>
    <definedName function="false" hidden="false" name="SIF_hbmsh_mu_26_hi" vbProcedure="false">Interface!$F$617</definedName>
    <definedName function="false" hidden="false" name="SIF_hbmsh_mu_26_lo" vbProcedure="false">Interface!$D$617</definedName>
    <definedName function="false" hidden="false" name="SIF_hbmsh_mu_27" vbProcedure="false">Interface!$E$618</definedName>
    <definedName function="false" hidden="false" name="SIF_hbmsh_mu_27_hi" vbProcedure="false">Interface!$F$618</definedName>
    <definedName function="false" hidden="false" name="SIF_hbmsh_mu_27_lo" vbProcedure="false">Interface!$D$618</definedName>
    <definedName function="false" hidden="false" name="SIF_hbmsh_mu_28" vbProcedure="false">Interface!$E$619</definedName>
    <definedName function="false" hidden="false" name="SIF_hbmsh_mu_28_hi" vbProcedure="false">Interface!$F$619</definedName>
    <definedName function="false" hidden="false" name="SIF_hbmsh_mu_28_lo" vbProcedure="false">Interface!$D$619</definedName>
    <definedName function="false" hidden="false" name="SIF_hbmsh_mu_29" vbProcedure="false">Interface!$E$620</definedName>
    <definedName function="false" hidden="false" name="SIF_hbmsh_mu_29_hi" vbProcedure="false">Interface!$F$620</definedName>
    <definedName function="false" hidden="false" name="SIF_hbmsh_mu_29_lo" vbProcedure="false">Interface!$D$620</definedName>
    <definedName function="false" hidden="false" name="SIF_hbmsh_skh_25" vbProcedure="false">Interface!$E$606</definedName>
    <definedName function="false" hidden="false" name="SIF_hbmsh_skh_25_hi" vbProcedure="false">Interface!$F$606</definedName>
    <definedName function="false" hidden="false" name="SIF_hbmsh_skh_25_lo" vbProcedure="false">Interface!$D$606</definedName>
    <definedName function="false" hidden="false" name="SIF_hbmsh_skh_26" vbProcedure="false">Interface!$E$607</definedName>
    <definedName function="false" hidden="false" name="SIF_hbmsh_skh_26_hi" vbProcedure="false">Interface!$F$607</definedName>
    <definedName function="false" hidden="false" name="SIF_hbmsh_skh_26_lo" vbProcedure="false">Interface!$D$607</definedName>
    <definedName function="false" hidden="false" name="SIF_hbmsh_skh_27" vbProcedure="false">Interface!$E$608</definedName>
    <definedName function="false" hidden="false" name="SIF_hbmsh_skh_27_hi" vbProcedure="false">Interface!$F$608</definedName>
    <definedName function="false" hidden="false" name="SIF_hbmsh_skh_27_lo" vbProcedure="false">Interface!$D$608</definedName>
    <definedName function="false" hidden="false" name="SIF_hbmsh_skh_28" vbProcedure="false">Interface!$E$609</definedName>
    <definedName function="false" hidden="false" name="SIF_hbmsh_skh_28_hi" vbProcedure="false">Interface!$F$609</definedName>
    <definedName function="false" hidden="false" name="SIF_hbmsh_skh_28_lo" vbProcedure="false">Interface!$D$609</definedName>
    <definedName function="false" hidden="false" name="SIF_hbmsh_skh_29" vbProcedure="false">Interface!$E$610</definedName>
    <definedName function="false" hidden="false" name="SIF_hbmsh_skh_29_hi" vbProcedure="false">Interface!$F$610</definedName>
    <definedName function="false" hidden="false" name="SIF_hbmsh_skh_29_lo" vbProcedure="false">Interface!$D$610</definedName>
    <definedName function="false" hidden="false" name="SIF_hbmsh_ss_25" vbProcedure="false">Interface!$E$611</definedName>
    <definedName function="false" hidden="false" name="SIF_hbmsh_ss_25_hi" vbProcedure="false">Interface!$F$611</definedName>
    <definedName function="false" hidden="false" name="SIF_hbmsh_ss_25_lo" vbProcedure="false">Interface!$D$611</definedName>
    <definedName function="false" hidden="false" name="SIF_hbmsh_ss_26" vbProcedure="false">Interface!$E$612</definedName>
    <definedName function="false" hidden="false" name="SIF_hbmsh_ss_26_hi" vbProcedure="false">Interface!$F$612</definedName>
    <definedName function="false" hidden="false" name="SIF_hbmsh_ss_26_lo" vbProcedure="false">Interface!$D$612</definedName>
    <definedName function="false" hidden="false" name="SIF_hbmsh_ss_27" vbProcedure="false">Interface!$E$613</definedName>
    <definedName function="false" hidden="false" name="SIF_hbmsh_ss_27_hi" vbProcedure="false">Interface!$F$613</definedName>
    <definedName function="false" hidden="false" name="SIF_hbmsh_ss_27_lo" vbProcedure="false">Interface!$D$613</definedName>
    <definedName function="false" hidden="false" name="SIF_hbmsh_ss_28" vbProcedure="false">Interface!$E$614</definedName>
    <definedName function="false" hidden="false" name="SIF_hbmsh_ss_28_hi" vbProcedure="false">Interface!$F$614</definedName>
    <definedName function="false" hidden="false" name="SIF_hbmsh_ss_28_lo" vbProcedure="false">Interface!$D$614</definedName>
    <definedName function="false" hidden="false" name="SIF_hbmsh_ss_29" vbProcedure="false">Interface!$E$615</definedName>
    <definedName function="false" hidden="false" name="SIF_hbmsh_ss_29_hi" vbProcedure="false">Interface!$F$615</definedName>
    <definedName function="false" hidden="false" name="SIF_hbmsh_ss_29_lo" vbProcedure="false">Interface!$D$615</definedName>
    <definedName function="false" hidden="false" name="SIF_hbm_dem29" vbProcedure="false">Interface!$E$156</definedName>
    <definedName function="false" hidden="false" name="SIF_hbm_dem29_hi" vbProcedure="false">Interface!$F$156</definedName>
    <definedName function="false" hidden="false" name="SIF_hbm_dem29_lo" vbProcedure="false">Interface!$D$156</definedName>
    <definedName function="false" hidden="false" name="SIF_HBM_DemandEB" vbProcedure="false">Interface!$D$644:$H$644</definedName>
    <definedName function="false" hidden="false" name="SIF_HBM_DemandGrossEB" vbProcedure="false">Interface!$D$645:$H$645</definedName>
    <definedName function="false" hidden="false" name="SIF_hbm_den_25" vbProcedure="false">Interface!$E$527</definedName>
    <definedName function="false" hidden="false" name="SIF_hbm_den_25_hi" vbProcedure="false">Interface!$F$527</definedName>
    <definedName function="false" hidden="false" name="SIF_hbm_den_25_lo" vbProcedure="false">Interface!$D$527</definedName>
    <definedName function="false" hidden="false" name="SIF_hbm_den_26" vbProcedure="false">Interface!$E$528</definedName>
    <definedName function="false" hidden="false" name="SIF_hbm_den_26_hi" vbProcedure="false">Interface!$F$528</definedName>
    <definedName function="false" hidden="false" name="SIF_hbm_den_26_lo" vbProcedure="false">Interface!$D$528</definedName>
    <definedName function="false" hidden="false" name="SIF_hbm_den_27" vbProcedure="false">Interface!$E$529</definedName>
    <definedName function="false" hidden="false" name="SIF_hbm_den_27_hi" vbProcedure="false">Interface!$F$529</definedName>
    <definedName function="false" hidden="false" name="SIF_hbm_den_27_lo" vbProcedure="false">Interface!$D$529</definedName>
    <definedName function="false" hidden="false" name="SIF_hbm_den_28" vbProcedure="false">Interface!$E$530</definedName>
    <definedName function="false" hidden="false" name="SIF_hbm_den_28_hi" vbProcedure="false">Interface!$F$530</definedName>
    <definedName function="false" hidden="false" name="SIF_hbm_den_28_lo" vbProcedure="false">Interface!$D$530</definedName>
    <definedName function="false" hidden="false" name="SIF_hbm_den_29" vbProcedure="false">Interface!$E$531</definedName>
    <definedName function="false" hidden="false" name="SIF_hbm_den_29_hi" vbProcedure="false">Interface!$F$531</definedName>
    <definedName function="false" hidden="false" name="SIF_hbm_den_29_lo" vbProcedure="false">Interface!$D$531</definedName>
    <definedName function="false" hidden="false" name="SIF_hbm_den_30" vbProcedure="false">Interface!$E$532</definedName>
    <definedName function="false" hidden="false" name="SIF_hbm_den_30_hi" vbProcedure="false">Interface!$F$532</definedName>
    <definedName function="false" hidden="false" name="SIF_hbm_den_30_lo" vbProcedure="false">Interface!$D$532</definedName>
    <definedName function="false" hidden="false" name="SIF_hbm_g26" vbProcedure="false">Interface!$E$147</definedName>
    <definedName function="false" hidden="false" name="SIF_hbm_g26_hi" vbProcedure="false">Interface!$F$147</definedName>
    <definedName function="false" hidden="false" name="SIF_hbm_g26_lo" vbProcedure="false">Interface!$D$147</definedName>
    <definedName function="false" hidden="false" name="SIF_HBM_GapEB_A" vbProcedure="false">Interface!$D$651:$H$651</definedName>
    <definedName function="false" hidden="false" name="SIF_HBM_GapEB_B" vbProcedure="false">Interface!$D$656:$H$656</definedName>
    <definedName function="false" hidden="false" name="SIF_HBM_GapEB_C" vbProcedure="false">Interface!$D$661:$H$661</definedName>
    <definedName function="false" hidden="false" name="SIF_HBM_GBperUnit" vbProcedure="false">Interface!$D$647:$H$647</definedName>
    <definedName function="false" hidden="false" name="SIF_hbm_gross" vbProcedure="false">Interface!$E$148</definedName>
    <definedName function="false" hidden="false" name="SIF_hbm_gross_hi" vbProcedure="false">Interface!$F$148</definedName>
    <definedName function="false" hidden="false" name="SIF_hbm_gross_lo" vbProcedure="false">Interface!$D$148</definedName>
    <definedName function="false" hidden="false" name="SIF_hbm_hbp_25" vbProcedure="false">Interface!$E$539</definedName>
    <definedName function="false" hidden="false" name="SIF_hbm_hbp_25_hi" vbProcedure="false">Interface!$F$539</definedName>
    <definedName function="false" hidden="false" name="SIF_hbm_hbp_25_lo" vbProcedure="false">Interface!$D$539</definedName>
    <definedName function="false" hidden="false" name="SIF_hbm_hbp_26" vbProcedure="false">Interface!$E$540</definedName>
    <definedName function="false" hidden="false" name="SIF_hbm_hbp_26_hi" vbProcedure="false">Interface!$F$540</definedName>
    <definedName function="false" hidden="false" name="SIF_hbm_hbp_26_lo" vbProcedure="false">Interface!$D$540</definedName>
    <definedName function="false" hidden="false" name="SIF_hbm_hbp_27" vbProcedure="false">Interface!$E$541</definedName>
    <definedName function="false" hidden="false" name="SIF_hbm_hbp_27_hi" vbProcedure="false">Interface!$F$541</definedName>
    <definedName function="false" hidden="false" name="SIF_hbm_hbp_27_lo" vbProcedure="false">Interface!$D$541</definedName>
    <definedName function="false" hidden="false" name="SIF_hbm_hbp_28" vbProcedure="false">Interface!$E$542</definedName>
    <definedName function="false" hidden="false" name="SIF_hbm_hbp_28_hi" vbProcedure="false">Interface!$F$542</definedName>
    <definedName function="false" hidden="false" name="SIF_hbm_hbp_28_lo" vbProcedure="false">Interface!$D$542</definedName>
    <definedName function="false" hidden="false" name="SIF_hbm_hbp_29" vbProcedure="false">Interface!$E$543</definedName>
    <definedName function="false" hidden="false" name="SIF_hbm_hbp_29_hi" vbProcedure="false">Interface!$F$543</definedName>
    <definedName function="false" hidden="false" name="SIF_hbm_hbp_29_lo" vbProcedure="false">Interface!$D$543</definedName>
    <definedName function="false" hidden="false" name="SIF_hbm_hbp_30" vbProcedure="false">Interface!$E$544</definedName>
    <definedName function="false" hidden="false" name="SIF_hbm_hbp_30_hi" vbProcedure="false">Interface!$F$544</definedName>
    <definedName function="false" hidden="false" name="SIF_hbm_hbp_30_lo" vbProcedure="false">Interface!$D$544</definedName>
    <definedName function="false" hidden="false" name="SIF_hbm_mkt25" vbProcedure="false">Interface!$E$146</definedName>
    <definedName function="false" hidden="false" name="SIF_hbm_mkt25_hi" vbProcedure="false">Interface!$F$146</definedName>
    <definedName function="false" hidden="false" name="SIF_hbm_mkt25_lo" vbProcedure="false">Interface!$D$146</definedName>
    <definedName function="false" hidden="false" name="SIF_HBM_Mkt_A" vbProcedure="false">Interface!$D$653:$H$653</definedName>
    <definedName function="false" hidden="false" name="SIF_HBM_Mkt_B" vbProcedure="false">Interface!$D$658:$H$658</definedName>
    <definedName function="false" hidden="false" name="SIF_HBM_Mkt_C" vbProcedure="false">Interface!$D$663:$H$663</definedName>
    <definedName function="false" hidden="false" name="SIF_hbm_p26" vbProcedure="false">Interface!$E$151</definedName>
    <definedName function="false" hidden="false" name="SIF_hbm_p26_hi" vbProcedure="false">Interface!$F$151</definedName>
    <definedName function="false" hidden="false" name="SIF_hbm_p26_lo" vbProcedure="false">Interface!$D$151</definedName>
    <definedName function="false" hidden="false" name="SIF_hbm_p27" vbProcedure="false">Interface!$E$152</definedName>
    <definedName function="false" hidden="false" name="SIF_hbm_p27_hi" vbProcedure="false">Interface!$F$152</definedName>
    <definedName function="false" hidden="false" name="SIF_hbm_p27_lo" vbProcedure="false">Interface!$D$152</definedName>
    <definedName function="false" hidden="false" name="SIF_hbm_p28_A" vbProcedure="false">Interface!$E$153</definedName>
    <definedName function="false" hidden="false" name="SIF_hbm_p28_A_hi" vbProcedure="false">Interface!$F$153</definedName>
    <definedName function="false" hidden="false" name="SIF_hbm_p28_A_lo" vbProcedure="false">Interface!$D$153</definedName>
    <definedName function="false" hidden="false" name="SIF_hbm_p28_B" vbProcedure="false">Interface!$E$154</definedName>
    <definedName function="false" hidden="false" name="SIF_hbm_p28_B_hi" vbProcedure="false">Interface!$F$154</definedName>
    <definedName function="false" hidden="false" name="SIF_hbm_p28_B_lo" vbProcedure="false">Interface!$D$154</definedName>
    <definedName function="false" hidden="false" name="SIF_hbm_p28_C" vbProcedure="false">Interface!$E$155</definedName>
    <definedName function="false" hidden="false" name="SIF_hbm_p28_C_hi" vbProcedure="false">Interface!$F$155</definedName>
    <definedName function="false" hidden="false" name="SIF_hbm_p28_C_lo" vbProcedure="false">Interface!$D$155</definedName>
    <definedName function="false" hidden="false" name="SIF_hbm_p29_A" vbProcedure="false">Interface!$E$158</definedName>
    <definedName function="false" hidden="false" name="SIF_hbm_p29_A_hi" vbProcedure="false">Interface!$F$158</definedName>
    <definedName function="false" hidden="false" name="SIF_hbm_p29_A_lo" vbProcedure="false">Interface!$D$158</definedName>
    <definedName function="false" hidden="false" name="SIF_hbm_p29_B" vbProcedure="false">Interface!$E$159</definedName>
    <definedName function="false" hidden="false" name="SIF_hbm_p29_B_hi" vbProcedure="false">Interface!$F$159</definedName>
    <definedName function="false" hidden="false" name="SIF_hbm_p29_B_lo" vbProcedure="false">Interface!$D$159</definedName>
    <definedName function="false" hidden="false" name="SIF_hbm_p29_C" vbProcedure="false">Interface!$E$160</definedName>
    <definedName function="false" hidden="false" name="SIF_hbm_p29_C_hi" vbProcedure="false">Interface!$F$160</definedName>
    <definedName function="false" hidden="false" name="SIF_hbm_p29_C_lo" vbProcedure="false">Interface!$D$160</definedName>
    <definedName function="false" hidden="false" name="SIF_HBM_Price_A" vbProcedure="false">Interface!$D$652:$H$652</definedName>
    <definedName function="false" hidden="false" name="SIF_HBM_Price_B" vbProcedure="false">Interface!$D$657:$H$657</definedName>
    <definedName function="false" hidden="false" name="SIF_HBM_Price_C" vbProcedure="false">Interface!$D$662:$H$662</definedName>
    <definedName function="false" hidden="false" name="SIF_HBM_ShipEB_A" vbProcedure="false">Interface!$D$650:$H$650</definedName>
    <definedName function="false" hidden="false" name="SIF_HBM_ShipEB_B" vbProcedure="false">Interface!$D$655:$H$655</definedName>
    <definedName function="false" hidden="false" name="SIF_HBM_ShipEB_C" vbProcedure="false">Interface!$D$660:$H$660</definedName>
    <definedName function="false" hidden="false" name="SIF_hbm_stk_25" vbProcedure="false">Interface!$E$533</definedName>
    <definedName function="false" hidden="false" name="SIF_hbm_stk_25_hi" vbProcedure="false">Interface!$F$533</definedName>
    <definedName function="false" hidden="false" name="SIF_hbm_stk_25_lo" vbProcedure="false">Interface!$D$533</definedName>
    <definedName function="false" hidden="false" name="SIF_hbm_stk_26" vbProcedure="false">Interface!$E$534</definedName>
    <definedName function="false" hidden="false" name="SIF_hbm_stk_26_hi" vbProcedure="false">Interface!$F$534</definedName>
    <definedName function="false" hidden="false" name="SIF_hbm_stk_26_lo" vbProcedure="false">Interface!$D$534</definedName>
    <definedName function="false" hidden="false" name="SIF_hbm_stk_27" vbProcedure="false">Interface!$E$535</definedName>
    <definedName function="false" hidden="false" name="SIF_hbm_stk_27_hi" vbProcedure="false">Interface!$F$535</definedName>
    <definedName function="false" hidden="false" name="SIF_hbm_stk_27_lo" vbProcedure="false">Interface!$D$535</definedName>
    <definedName function="false" hidden="false" name="SIF_hbm_stk_28" vbProcedure="false">Interface!$E$536</definedName>
    <definedName function="false" hidden="false" name="SIF_hbm_stk_28_hi" vbProcedure="false">Interface!$F$536</definedName>
    <definedName function="false" hidden="false" name="SIF_hbm_stk_28_lo" vbProcedure="false">Interface!$D$536</definedName>
    <definedName function="false" hidden="false" name="SIF_hbm_stk_29" vbProcedure="false">Interface!$E$537</definedName>
    <definedName function="false" hidden="false" name="SIF_hbm_stk_29_hi" vbProcedure="false">Interface!$F$537</definedName>
    <definedName function="false" hidden="false" name="SIF_hbm_stk_29_lo" vbProcedure="false">Interface!$D$537</definedName>
    <definedName function="false" hidden="false" name="SIF_hbm_stk_30" vbProcedure="false">Interface!$E$538</definedName>
    <definedName function="false" hidden="false" name="SIF_hbm_stk_30_hi" vbProcedure="false">Interface!$F$538</definedName>
    <definedName function="false" hidden="false" name="SIF_hbm_stk_30_lo" vbProcedure="false">Interface!$D$538</definedName>
    <definedName function="false" hidden="false" name="SIF_hbm_sup27" vbProcedure="false">Interface!$E$149</definedName>
    <definedName function="false" hidden="false" name="SIF_hbm_sup27_hi" vbProcedure="false">Interface!$F$149</definedName>
    <definedName function="false" hidden="false" name="SIF_hbm_sup27_lo" vbProcedure="false">Interface!$D$149</definedName>
    <definedName function="false" hidden="false" name="SIF_hbm_sup28" vbProcedure="false">Interface!$E$150</definedName>
    <definedName function="false" hidden="false" name="SIF_hbm_sup28_hi" vbProcedure="false">Interface!$F$150</definedName>
    <definedName function="false" hidden="false" name="SIF_hbm_sup28_lo" vbProcedure="false">Interface!$D$150</definedName>
    <definedName function="false" hidden="false" name="SIF_hbm_sup29" vbProcedure="false">Interface!$E$157</definedName>
    <definedName function="false" hidden="false" name="SIF_hbm_sup29_hi" vbProcedure="false">Interface!$F$157</definedName>
    <definedName function="false" hidden="false" name="SIF_hbm_sup29_lo" vbProcedure="false">Interface!$D$157</definedName>
    <definedName function="false" hidden="false" name="SIF_HBM_SupplyEB" vbProcedure="false">Interface!$D$648:$H$648</definedName>
    <definedName function="false" hidden="false" name="SIF_ITCapexPerGW" vbProcedure="false">Interface!$E$694:$H$694</definedName>
    <definedName function="false" hidden="false" name="SIF_it_AMD8" vbProcedure="false">Interface!$E$268</definedName>
    <definedName function="false" hidden="false" name="SIF_it_AMD8_hi" vbProcedure="false">Interface!$F$268</definedName>
    <definedName function="false" hidden="false" name="SIF_it_AMD8_lo" vbProcedure="false">Interface!$D$268</definedName>
    <definedName function="false" hidden="false" name="SIF_it_AMDR" vbProcedure="false">Interface!$E$269</definedName>
    <definedName function="false" hidden="false" name="SIF_it_AMDR_hi" vbProcedure="false">Interface!$F$269</definedName>
    <definedName function="false" hidden="false" name="SIF_it_AMDR_lo" vbProcedure="false">Interface!$D$269</definedName>
    <definedName function="false" hidden="false" name="SIF_it_ASIC" vbProcedure="false">Interface!$E$272</definedName>
    <definedName function="false" hidden="false" name="SIF_it_ASIC_hi" vbProcedure="false">Interface!$F$272</definedName>
    <definedName function="false" hidden="false" name="SIF_it_ASIC_lo" vbProcedure="false">Interface!$D$272</definedName>
    <definedName function="false" hidden="false" name="SIF_it_GB" vbProcedure="false">Interface!$E$264</definedName>
    <definedName function="false" hidden="false" name="SIF_it_HP" vbProcedure="false">Interface!$E$267</definedName>
    <definedName function="false" hidden="false" name="SIF_it_RU" vbProcedure="false">Interface!$E$266</definedName>
    <definedName function="false" hidden="false" name="SIF_it_TPU" vbProcedure="false">Interface!$E$270</definedName>
    <definedName function="false" hidden="false" name="SIF_it_TPU_hi" vbProcedure="false">Interface!$F$270</definedName>
    <definedName function="false" hidden="false" name="SIF_it_TPU_lo" vbProcedure="false">Interface!$D$270</definedName>
    <definedName function="false" hidden="false" name="SIF_it_TRN" vbProcedure="false">Interface!$E$271</definedName>
    <definedName function="false" hidden="false" name="SIF_it_TRN_hi" vbProcedure="false">Interface!$F$271</definedName>
    <definedName function="false" hidden="false" name="SIF_it_TRN_lo" vbProcedure="false">Interface!$D$271</definedName>
    <definedName function="false" hidden="false" name="SIF_it_VR" vbProcedure="false">Interface!$E$265</definedName>
    <definedName function="false" hidden="false" name="SIF_lc_adj_27" vbProcedure="false">Interface!$E$437</definedName>
    <definedName function="false" hidden="false" name="SIF_lc_adj_27_hi" vbProcedure="false">Interface!$F$437</definedName>
    <definedName function="false" hidden="false" name="SIF_lc_adj_27_lo" vbProcedure="false">Interface!$D$437</definedName>
    <definedName function="false" hidden="false" name="SIF_lc_adj_28" vbProcedure="false">Interface!$E$438</definedName>
    <definedName function="false" hidden="false" name="SIF_lc_adj_28_hi" vbProcedure="false">Interface!$F$438</definedName>
    <definedName function="false" hidden="false" name="SIF_lc_adj_28_lo" vbProcedure="false">Interface!$D$438</definedName>
    <definedName function="false" hidden="false" name="SIF_lc_adj_29" vbProcedure="false">Interface!$E$439</definedName>
    <definedName function="false" hidden="false" name="SIF_lc_adj_29_hi" vbProcedure="false">Interface!$F$439</definedName>
    <definedName function="false" hidden="false" name="SIF_lc_adj_29_lo" vbProcedure="false">Interface!$D$439</definedName>
    <definedName function="false" hidden="false" name="SIF_lc_aush_26" vbProcedure="false">Interface!$E$450</definedName>
    <definedName function="false" hidden="false" name="SIF_lc_avrel_27" vbProcedure="false">Interface!$E$447</definedName>
    <definedName function="false" hidden="false" name="SIF_lc_avrel_27_hi" vbProcedure="false">Interface!$F$447</definedName>
    <definedName function="false" hidden="false" name="SIF_lc_avrel_27_lo" vbProcedure="false">Interface!$D$447</definedName>
    <definedName function="false" hidden="false" name="SIF_lc_avrel_28" vbProcedure="false">Interface!$E$448</definedName>
    <definedName function="false" hidden="false" name="SIF_lc_avrel_28_hi" vbProcedure="false">Interface!$F$448</definedName>
    <definedName function="false" hidden="false" name="SIF_lc_avrel_28_lo" vbProcedure="false">Interface!$D$448</definedName>
    <definedName function="false" hidden="false" name="SIF_lc_avrel_29" vbProcedure="false">Interface!$E$449</definedName>
    <definedName function="false" hidden="false" name="SIF_lc_avrel_29_hi" vbProcedure="false">Interface!$F$449</definedName>
    <definedName function="false" hidden="false" name="SIF_lc_avrel_29_lo" vbProcedure="false">Interface!$D$449</definedName>
    <definedName function="false" hidden="false" name="SIF_lc_avsh_26" vbProcedure="false">Interface!$E$446</definedName>
    <definedName function="false" hidden="false" name="SIF_lc_cool_gb" vbProcedure="false">Interface!$E$434</definedName>
    <definedName function="false" hidden="false" name="SIF_lc_cool_gb_hi" vbProcedure="false">Interface!$F$434</definedName>
    <definedName function="false" hidden="false" name="SIF_lc_cool_gb_lo" vbProcedure="false">Interface!$D$434</definedName>
    <definedName function="false" hidden="false" name="SIF_lc_cool_vr" vbProcedure="false">Interface!$E$435</definedName>
    <definedName function="false" hidden="false" name="SIF_lc_cool_vr_hi" vbProcedure="false">Interface!$F$435</definedName>
    <definedName function="false" hidden="false" name="SIF_lc_cool_vr_lo" vbProcedure="false">Interface!$D$435</definedName>
    <definedName function="false" hidden="false" name="SIF_lc_jtsh_27" vbProcedure="false">Interface!$E$451</definedName>
    <definedName function="false" hidden="false" name="SIF_lc_jtsh_27_hi" vbProcedure="false">Interface!$F$451</definedName>
    <definedName function="false" hidden="false" name="SIF_lc_jtsh_27_lo" vbProcedure="false">Interface!$D$451</definedName>
    <definedName function="false" hidden="false" name="SIF_lc_jtsh_28" vbProcedure="false">Interface!$E$452</definedName>
    <definedName function="false" hidden="false" name="SIF_lc_jtsh_28_hi" vbProcedure="false">Interface!$F$452</definedName>
    <definedName function="false" hidden="false" name="SIF_lc_jtsh_28_lo" vbProcedure="false">Interface!$D$452</definedName>
    <definedName function="false" hidden="false" name="SIF_lc_jtsh_29" vbProcedure="false">Interface!$E$453</definedName>
    <definedName function="false" hidden="false" name="SIF_lc_jtsh_29_hi" vbProcedure="false">Interface!$F$453</definedName>
    <definedName function="false" hidden="false" name="SIF_lc_jtsh_29_lo" vbProcedure="false">Interface!$D$453</definedName>
    <definedName function="false" hidden="false" name="SIF_lc_mani" vbProcedure="false">Interface!$E$436</definedName>
    <definedName function="false" hidden="false" name="SIF_lc_mani_hi" vbProcedure="false">Interface!$F$436</definedName>
    <definedName function="false" hidden="false" name="SIF_lc_mani_lo" vbProcedure="false">Interface!$D$436</definedName>
    <definedName function="false" hidden="false" name="SIF_lc_pen_26" vbProcedure="false">Interface!$E$440</definedName>
    <definedName function="false" hidden="false" name="SIF_lc_pen_26_hi" vbProcedure="false">Interface!$F$440</definedName>
    <definedName function="false" hidden="false" name="SIF_lc_pen_26_lo" vbProcedure="false">Interface!$D$440</definedName>
    <definedName function="false" hidden="false" name="SIF_lc_pen_27" vbProcedure="false">Interface!$E$441</definedName>
    <definedName function="false" hidden="false" name="SIF_lc_pen_27_hi" vbProcedure="false">Interface!$F$441</definedName>
    <definedName function="false" hidden="false" name="SIF_lc_pen_27_lo" vbProcedure="false">Interface!$D$441</definedName>
    <definedName function="false" hidden="false" name="SIF_lc_pen_28" vbProcedure="false">Interface!$E$442</definedName>
    <definedName function="false" hidden="false" name="SIF_lc_pen_28_hi" vbProcedure="false">Interface!$F$442</definedName>
    <definedName function="false" hidden="false" name="SIF_lc_pen_28_lo" vbProcedure="false">Interface!$D$442</definedName>
    <definedName function="false" hidden="false" name="SIF_lc_pen_29" vbProcedure="false">Interface!$E$443</definedName>
    <definedName function="false" hidden="false" name="SIF_lc_pen_29_hi" vbProcedure="false">Interface!$F$443</definedName>
    <definedName function="false" hidden="false" name="SIF_lc_pen_29_lo" vbProcedure="false">Interface!$D$443</definedName>
    <definedName function="false" hidden="false" name="SIF_lc_tf_26" vbProcedure="false">Interface!$E$444</definedName>
    <definedName function="false" hidden="false" name="SIF_lc_tf_27" vbProcedure="false">Interface!$E$445</definedName>
    <definedName function="false" hidden="false" name="SIF_LiqMkt_A" vbProcedure="false">Interface!$E$739:$H$739</definedName>
    <definedName function="false" hidden="false" name="SIF_LiqMkt_B" vbProcedure="false">Interface!$E$740:$H$740</definedName>
    <definedName function="false" hidden="false" name="SIF_LiqMkt_C" vbProcedure="false">Interface!$E$741:$H$741</definedName>
    <definedName function="false" hidden="false" name="SIF_LiqPen_A" vbProcedure="false">Interface!$E$736:$H$736</definedName>
    <definedName function="false" hidden="false" name="SIF_LiqPen_B" vbProcedure="false">Interface!$E$737:$H$737</definedName>
    <definedName function="false" hidden="false" name="SIF_LiqPen_C" vbProcedure="false">Interface!$E$738:$H$738</definedName>
    <definedName function="false" hidden="false" name="SIF_LiqPerGW" vbProcedure="false">Interface!$E$735:$H$735</definedName>
    <definedName function="false" hidden="false" name="SIF_LiqShareSum_A" vbProcedure="false">Interface!$E$761:$H$761</definedName>
    <definedName function="false" hidden="false" name="SIF_LiqShareSum_B" vbProcedure="false">Interface!$E$762:$H$762</definedName>
    <definedName function="false" hidden="false" name="SIF_LiqShareSum_C" vbProcedure="false">Interface!$E$763:$H$763</definedName>
    <definedName function="false" hidden="false" name="SIF_msh_oth_26" vbProcedure="false">Interface!$E$191</definedName>
    <definedName function="false" hidden="false" name="SIF_msh_oth_26_hi" vbProcedure="false">Interface!$F$191</definedName>
    <definedName function="false" hidden="false" name="SIF_msh_oth_26_lo" vbProcedure="false">Interface!$D$191</definedName>
    <definedName function="false" hidden="false" name="SIF_msh_oth_27" vbProcedure="false">Interface!$E$192</definedName>
    <definedName function="false" hidden="false" name="SIF_msh_oth_27_hi" vbProcedure="false">Interface!$F$192</definedName>
    <definedName function="false" hidden="false" name="SIF_msh_oth_27_lo" vbProcedure="false">Interface!$D$192</definedName>
    <definedName function="false" hidden="false" name="SIF_msh_oth_28" vbProcedure="false">Interface!$E$193</definedName>
    <definedName function="false" hidden="false" name="SIF_msh_oth_28_hi" vbProcedure="false">Interface!$F$193</definedName>
    <definedName function="false" hidden="false" name="SIF_msh_oth_28_lo" vbProcedure="false">Interface!$D$193</definedName>
    <definedName function="false" hidden="false" name="SIF_msh_tpu_26" vbProcedure="false">Interface!$E$194</definedName>
    <definedName function="false" hidden="false" name="SIF_msh_tpu_26_hi" vbProcedure="false">Interface!$F$194</definedName>
    <definedName function="false" hidden="false" name="SIF_msh_tpu_26_lo" vbProcedure="false">Interface!$D$194</definedName>
    <definedName function="false" hidden="false" name="SIF_msh_tpu_27" vbProcedure="false">Interface!$E$195</definedName>
    <definedName function="false" hidden="false" name="SIF_msh_tpu_27_hi" vbProcedure="false">Interface!$F$195</definedName>
    <definedName function="false" hidden="false" name="SIF_msh_tpu_27_lo" vbProcedure="false">Interface!$D$195</definedName>
    <definedName function="false" hidden="false" name="SIF_msh_tpu_28" vbProcedure="false">Interface!$E$196</definedName>
    <definedName function="false" hidden="false" name="SIF_msh_tpu_28_hi" vbProcedure="false">Interface!$F$196</definedName>
    <definedName function="false" hidden="false" name="SIF_msh_tpu_28_lo" vbProcedure="false">Interface!$D$196</definedName>
    <definedName function="false" hidden="false" name="SIF_msh_trn_26" vbProcedure="false">Interface!$E$188</definedName>
    <definedName function="false" hidden="false" name="SIF_msh_trn_26_hi" vbProcedure="false">Interface!$F$188</definedName>
    <definedName function="false" hidden="false" name="SIF_msh_trn_26_lo" vbProcedure="false">Interface!$D$188</definedName>
    <definedName function="false" hidden="false" name="SIF_msh_trn_27" vbProcedure="false">Interface!$E$189</definedName>
    <definedName function="false" hidden="false" name="SIF_msh_trn_27_hi" vbProcedure="false">Interface!$F$189</definedName>
    <definedName function="false" hidden="false" name="SIF_msh_trn_27_lo" vbProcedure="false">Interface!$D$189</definedName>
    <definedName function="false" hidden="false" name="SIF_msh_trn_28" vbProcedure="false">Interface!$E$190</definedName>
    <definedName function="false" hidden="false" name="SIF_msh_trn_28_hi" vbProcedure="false">Interface!$F$190</definedName>
    <definedName function="false" hidden="false" name="SIF_msh_trn_28_lo" vbProcedure="false">Interface!$D$190</definedName>
    <definedName function="false" hidden="false" name="SIF_mtk_oth_26" vbProcedure="false">Interface!$E$200</definedName>
    <definedName function="false" hidden="false" name="SIF_mtk_oth_26_hi" vbProcedure="false">Interface!$F$200</definedName>
    <definedName function="false" hidden="false" name="SIF_mtk_oth_26_lo" vbProcedure="false">Interface!$D$200</definedName>
    <definedName function="false" hidden="false" name="SIF_mtk_oth_27" vbProcedure="false">Interface!$E$201</definedName>
    <definedName function="false" hidden="false" name="SIF_mtk_oth_27_hi" vbProcedure="false">Interface!$F$201</definedName>
    <definedName function="false" hidden="false" name="SIF_mtk_oth_27_lo" vbProcedure="false">Interface!$D$201</definedName>
    <definedName function="false" hidden="false" name="SIF_mtk_oth_28" vbProcedure="false">Interface!$E$202</definedName>
    <definedName function="false" hidden="false" name="SIF_mtk_oth_28_hi" vbProcedure="false">Interface!$F$202</definedName>
    <definedName function="false" hidden="false" name="SIF_mtk_oth_28_lo" vbProcedure="false">Interface!$D$202</definedName>
    <definedName function="false" hidden="false" name="SIF_mtk_tpu_26" vbProcedure="false">Interface!$E$197</definedName>
    <definedName function="false" hidden="false" name="SIF_mtk_tpu_26_hi" vbProcedure="false">Interface!$F$197</definedName>
    <definedName function="false" hidden="false" name="SIF_mtk_tpu_26_lo" vbProcedure="false">Interface!$D$197</definedName>
    <definedName function="false" hidden="false" name="SIF_mtk_tpu_27" vbProcedure="false">Interface!$E$198</definedName>
    <definedName function="false" hidden="false" name="SIF_mtk_tpu_27_hi" vbProcedure="false">Interface!$F$198</definedName>
    <definedName function="false" hidden="false" name="SIF_mtk_tpu_27_lo" vbProcedure="false">Interface!$D$198</definedName>
    <definedName function="false" hidden="false" name="SIF_mtk_tpu_28" vbProcedure="false">Interface!$E$199</definedName>
    <definedName function="false" hidden="false" name="SIF_mtk_tpu_28_hi" vbProcedure="false">Interface!$F$199</definedName>
    <definedName function="false" hidden="false" name="SIF_mtk_tpu_28_lo" vbProcedure="false">Interface!$D$199</definedName>
    <definedName function="false" hidden="false" name="SIF_nd_ai25" vbProcedure="false">Interface!$E$554</definedName>
    <definedName function="false" hidden="false" name="SIF_nd_ai25_hi" vbProcedure="false">Interface!$F$554</definedName>
    <definedName function="false" hidden="false" name="SIF_nd_ai25_lo" vbProcedure="false">Interface!$D$554</definedName>
    <definedName function="false" hidden="false" name="SIF_nd_bits25" vbProcedure="false">Interface!$E$551</definedName>
    <definedName function="false" hidden="false" name="SIF_nd_bits25_hi" vbProcedure="false">Interface!$F$551</definedName>
    <definedName function="false" hidden="false" name="SIF_nd_bits25_lo" vbProcedure="false">Interface!$D$551</definedName>
    <definedName function="false" hidden="false" name="SIF_nd_dr_mu" vbProcedure="false">Interface!$E$605</definedName>
    <definedName function="false" hidden="false" name="SIF_nd_dr_mu_hi" vbProcedure="false">Interface!$F$605</definedName>
    <definedName function="false" hidden="false" name="SIF_nd_dr_mu_lo" vbProcedure="false">Interface!$D$605</definedName>
    <definedName function="false" hidden="false" name="SIF_nd_dr_sk" vbProcedure="false">Interface!$E$604</definedName>
    <definedName function="false" hidden="false" name="SIF_nd_dr_sk_hi" vbProcedure="false">Interface!$F$604</definedName>
    <definedName function="false" hidden="false" name="SIF_nd_dr_sk_lo" vbProcedure="false">Interface!$D$604</definedName>
    <definedName function="false" hidden="false" name="SIF_nd_dr_ss" vbProcedure="false">Interface!$E$603</definedName>
    <definedName function="false" hidden="false" name="SIF_nd_dr_ss_hi" vbProcedure="false">Interface!$F$603</definedName>
    <definedName function="false" hidden="false" name="SIF_nd_dr_ss_lo" vbProcedure="false">Interface!$D$603</definedName>
    <definedName function="false" hidden="false" name="SIF_nd_g25" vbProcedure="false">Interface!$E$552</definedName>
    <definedName function="false" hidden="false" name="SIF_nd_g25_hi" vbProcedure="false">Interface!$F$552</definedName>
    <definedName function="false" hidden="false" name="SIF_nd_g25_lo" vbProcedure="false">Interface!$D$552</definedName>
    <definedName function="false" hidden="false" name="SIF_nd_gs_26" vbProcedure="false">Interface!$E$567</definedName>
    <definedName function="false" hidden="false" name="SIF_nd_gs_26_hi" vbProcedure="false">Interface!$F$567</definedName>
    <definedName function="false" hidden="false" name="SIF_nd_gs_26_lo" vbProcedure="false">Interface!$D$567</definedName>
    <definedName function="false" hidden="false" name="SIF_nd_gs_27" vbProcedure="false">Interface!$E$568</definedName>
    <definedName function="false" hidden="false" name="SIF_nd_gs_27_hi" vbProcedure="false">Interface!$F$568</definedName>
    <definedName function="false" hidden="false" name="SIF_nd_gs_27_lo" vbProcedure="false">Interface!$D$568</definedName>
    <definedName function="false" hidden="false" name="SIF_nd_gs_28" vbProcedure="false">Interface!$E$569</definedName>
    <definedName function="false" hidden="false" name="SIF_nd_gs_28_hi" vbProcedure="false">Interface!$F$569</definedName>
    <definedName function="false" hidden="false" name="SIF_nd_gs_28_lo" vbProcedure="false">Interface!$D$569</definedName>
    <definedName function="false" hidden="false" name="SIF_nd_gs_29" vbProcedure="false">Interface!$E$570</definedName>
    <definedName function="false" hidden="false" name="SIF_nd_gs_29_hi" vbProcedure="false">Interface!$F$570</definedName>
    <definedName function="false" hidden="false" name="SIF_nd_gs_29_lo" vbProcedure="false">Interface!$D$570</definedName>
    <definedName function="false" hidden="false" name="SIF_nd_gs_30" vbProcedure="false">Interface!$E$571</definedName>
    <definedName function="false" hidden="false" name="SIF_nd_gs_30_hi" vbProcedure="false">Interface!$F$571</definedName>
    <definedName function="false" hidden="false" name="SIF_nd_gs_30_lo" vbProcedure="false">Interface!$D$571</definedName>
    <definedName function="false" hidden="false" name="SIF_nd_g_con_26" vbProcedure="false">Interface!$E$564</definedName>
    <definedName function="false" hidden="false" name="SIF_nd_g_con_26_hi" vbProcedure="false">Interface!$F$564</definedName>
    <definedName function="false" hidden="false" name="SIF_nd_g_con_26_lo" vbProcedure="false">Interface!$D$564</definedName>
    <definedName function="false" hidden="false" name="SIF_nd_g_con_27" vbProcedure="false">Interface!$E$565</definedName>
    <definedName function="false" hidden="false" name="SIF_nd_g_con_27_hi" vbProcedure="false">Interface!$F$565</definedName>
    <definedName function="false" hidden="false" name="SIF_nd_g_con_27_lo" vbProcedure="false">Interface!$D$565</definedName>
    <definedName function="false" hidden="false" name="SIF_nd_g_con_28" vbProcedure="false">Interface!$E$566</definedName>
    <definedName function="false" hidden="false" name="SIF_nd_g_con_28_hi" vbProcedure="false">Interface!$F$566</definedName>
    <definedName function="false" hidden="false" name="SIF_nd_g_con_28_lo" vbProcedure="false">Interface!$D$566</definedName>
    <definedName function="false" hidden="false" name="SIF_nd_g_mob_26" vbProcedure="false">Interface!$E$558</definedName>
    <definedName function="false" hidden="false" name="SIF_nd_g_mob_26_hi" vbProcedure="false">Interface!$F$558</definedName>
    <definedName function="false" hidden="false" name="SIF_nd_g_mob_26_lo" vbProcedure="false">Interface!$D$558</definedName>
    <definedName function="false" hidden="false" name="SIF_nd_g_mob_27" vbProcedure="false">Interface!$E$559</definedName>
    <definedName function="false" hidden="false" name="SIF_nd_g_mob_27_hi" vbProcedure="false">Interface!$F$559</definedName>
    <definedName function="false" hidden="false" name="SIF_nd_g_mob_27_lo" vbProcedure="false">Interface!$D$559</definedName>
    <definedName function="false" hidden="false" name="SIF_nd_g_mob_28" vbProcedure="false">Interface!$E$560</definedName>
    <definedName function="false" hidden="false" name="SIF_nd_g_mob_28_hi" vbProcedure="false">Interface!$F$560</definedName>
    <definedName function="false" hidden="false" name="SIF_nd_g_mob_28_lo" vbProcedure="false">Interface!$D$560</definedName>
    <definedName function="false" hidden="false" name="SIF_nd_g_nai" vbProcedure="false">Interface!$E$557</definedName>
    <definedName function="false" hidden="false" name="SIF_nd_g_nai_hi" vbProcedure="false">Interface!$F$557</definedName>
    <definedName function="false" hidden="false" name="SIF_nd_g_nai_lo" vbProcedure="false">Interface!$D$557</definedName>
    <definedName function="false" hidden="false" name="SIF_nd_g_pc_26" vbProcedure="false">Interface!$E$561</definedName>
    <definedName function="false" hidden="false" name="SIF_nd_g_pc_26_hi" vbProcedure="false">Interface!$F$561</definedName>
    <definedName function="false" hidden="false" name="SIF_nd_g_pc_26_lo" vbProcedure="false">Interface!$D$561</definedName>
    <definedName function="false" hidden="false" name="SIF_nd_g_pc_27" vbProcedure="false">Interface!$E$562</definedName>
    <definedName function="false" hidden="false" name="SIF_nd_g_pc_27_hi" vbProcedure="false">Interface!$F$562</definedName>
    <definedName function="false" hidden="false" name="SIF_nd_g_pc_27_lo" vbProcedure="false">Interface!$D$562</definedName>
    <definedName function="false" hidden="false" name="SIF_nd_g_pc_28" vbProcedure="false">Interface!$E$563</definedName>
    <definedName function="false" hidden="false" name="SIF_nd_g_pc_28_hi" vbProcedure="false">Interface!$F$563</definedName>
    <definedName function="false" hidden="false" name="SIF_nd_g_pc_28_lo" vbProcedure="false">Interface!$D$563</definedName>
    <definedName function="false" hidden="false" name="SIF_nd_p10" vbProcedure="false">Interface!$E$545</definedName>
    <definedName function="false" hidden="false" name="SIF_nd_p10_hi" vbProcedure="false">Interface!$F$545</definedName>
    <definedName function="false" hidden="false" name="SIF_nd_p10_lo" vbProcedure="false">Interface!$D$545</definedName>
    <definedName function="false" hidden="false" name="SIF_nd_rev24" vbProcedure="false">Interface!$E$602</definedName>
    <definedName function="false" hidden="false" name="SIF_nd_rv_kx_0" vbProcedure="false">Interface!$E$590</definedName>
    <definedName function="false" hidden="false" name="SIF_nd_rv_kx_1" vbProcedure="false">Interface!$E$591</definedName>
    <definedName function="false" hidden="false" name="SIF_nd_rv_kx_2" vbProcedure="false">Interface!$E$592</definedName>
    <definedName function="false" hidden="false" name="SIF_nd_rv_kx_3" vbProcedure="false">Interface!$E$593</definedName>
    <definedName function="false" hidden="false" name="SIF_nd_rv_kx_4" vbProcedure="false">Interface!$E$594</definedName>
    <definedName function="false" hidden="false" name="SIF_nd_rv_kx_5" vbProcedure="false">Interface!$E$595</definedName>
    <definedName function="false" hidden="false" name="SIF_nd_rv_mu_0" vbProcedure="false">Interface!$E$584</definedName>
    <definedName function="false" hidden="false" name="SIF_nd_rv_mu_1" vbProcedure="false">Interface!$E$585</definedName>
    <definedName function="false" hidden="false" name="SIF_nd_rv_mu_2" vbProcedure="false">Interface!$E$586</definedName>
    <definedName function="false" hidden="false" name="SIF_nd_rv_mu_3" vbProcedure="false">Interface!$E$587</definedName>
    <definedName function="false" hidden="false" name="SIF_nd_rv_mu_4" vbProcedure="false">Interface!$E$588</definedName>
    <definedName function="false" hidden="false" name="SIF_nd_rv_mu_5" vbProcedure="false">Interface!$E$589</definedName>
    <definedName function="false" hidden="false" name="SIF_nd_rv_sd_0" vbProcedure="false">Interface!$E$596</definedName>
    <definedName function="false" hidden="false" name="SIF_nd_rv_sd_1" vbProcedure="false">Interface!$E$597</definedName>
    <definedName function="false" hidden="false" name="SIF_nd_rv_sd_2" vbProcedure="false">Interface!$E$598</definedName>
    <definedName function="false" hidden="false" name="SIF_nd_rv_sd_3" vbProcedure="false">Interface!$E$599</definedName>
    <definedName function="false" hidden="false" name="SIF_nd_rv_sd_4" vbProcedure="false">Interface!$E$600</definedName>
    <definedName function="false" hidden="false" name="SIF_nd_rv_sd_5" vbProcedure="false">Interface!$E$601</definedName>
    <definedName function="false" hidden="false" name="SIF_nd_rv_sk_0" vbProcedure="false">Interface!$E$578</definedName>
    <definedName function="false" hidden="false" name="SIF_nd_rv_sk_1" vbProcedure="false">Interface!$E$579</definedName>
    <definedName function="false" hidden="false" name="SIF_nd_rv_sk_2" vbProcedure="false">Interface!$E$580</definedName>
    <definedName function="false" hidden="false" name="SIF_nd_rv_sk_3" vbProcedure="false">Interface!$E$581</definedName>
    <definedName function="false" hidden="false" name="SIF_nd_rv_sk_4" vbProcedure="false">Interface!$E$582</definedName>
    <definedName function="false" hidden="false" name="SIF_nd_rv_sk_5" vbProcedure="false">Interface!$E$583</definedName>
    <definedName function="false" hidden="false" name="SIF_nd_rv_ss_0" vbProcedure="false">Interface!$E$572</definedName>
    <definedName function="false" hidden="false" name="SIF_nd_rv_ss_1" vbProcedure="false">Interface!$E$573</definedName>
    <definedName function="false" hidden="false" name="SIF_nd_rv_ss_2" vbProcedure="false">Interface!$E$574</definedName>
    <definedName function="false" hidden="false" name="SIF_nd_rv_ss_3" vbProcedure="false">Interface!$E$575</definedName>
    <definedName function="false" hidden="false" name="SIF_nd_rv_ss_4" vbProcedure="false">Interface!$E$576</definedName>
    <definedName function="false" hidden="false" name="SIF_nd_rv_ss_5" vbProcedure="false">Interface!$E$577</definedName>
    <definedName function="false" hidden="false" name="SIF_nd_sh_essd25" vbProcedure="false">Interface!$E$553</definedName>
    <definedName function="false" hidden="false" name="SIF_nd_sh_essd25_hi" vbProcedure="false">Interface!$F$553</definedName>
    <definedName function="false" hidden="false" name="SIF_nd_sh_essd25_lo" vbProcedure="false">Interface!$D$553</definedName>
    <definedName function="false" hidden="false" name="SIF_nd_sh_mob25" vbProcedure="false">Interface!$E$555</definedName>
    <definedName function="false" hidden="false" name="SIF_nd_sh_mob25_hi" vbProcedure="false">Interface!$F$555</definedName>
    <definedName function="false" hidden="false" name="SIF_nd_sh_mob25_lo" vbProcedure="false">Interface!$D$555</definedName>
    <definedName function="false" hidden="false" name="SIF_nd_sh_pc25" vbProcedure="false">Interface!$E$556</definedName>
    <definedName function="false" hidden="false" name="SIF_nd_sh_pc25_hi" vbProcedure="false">Interface!$F$556</definedName>
    <definedName function="false" hidden="false" name="SIF_nd_sh_pc25_lo" vbProcedure="false">Interface!$D$556</definedName>
    <definedName function="false" hidden="false" name="SIF_nd_tb_26" vbProcedure="false">Interface!$E$546</definedName>
    <definedName function="false" hidden="false" name="SIF_nd_tb_26_hi" vbProcedure="false">Interface!$F$546</definedName>
    <definedName function="false" hidden="false" name="SIF_nd_tb_26_lo" vbProcedure="false">Interface!$D$546</definedName>
    <definedName function="false" hidden="false" name="SIF_nd_tb_27" vbProcedure="false">Interface!$E$547</definedName>
    <definedName function="false" hidden="false" name="SIF_nd_tb_27_hi" vbProcedure="false">Interface!$F$547</definedName>
    <definedName function="false" hidden="false" name="SIF_nd_tb_27_lo" vbProcedure="false">Interface!$D$547</definedName>
    <definedName function="false" hidden="false" name="SIF_nd_tb_28" vbProcedure="false">Interface!$E$548</definedName>
    <definedName function="false" hidden="false" name="SIF_nd_tb_28_hi" vbProcedure="false">Interface!$F$548</definedName>
    <definedName function="false" hidden="false" name="SIF_nd_tb_28_lo" vbProcedure="false">Interface!$D$548</definedName>
    <definedName function="false" hidden="false" name="SIF_nd_tb_29" vbProcedure="false">Interface!$E$549</definedName>
    <definedName function="false" hidden="false" name="SIF_nd_tb_29_hi" vbProcedure="false">Interface!$F$549</definedName>
    <definedName function="false" hidden="false" name="SIF_nd_tb_29_lo" vbProcedure="false">Interface!$D$549</definedName>
    <definedName function="false" hidden="false" name="SIF_nd_tb_30" vbProcedure="false">Interface!$E$550</definedName>
    <definedName function="false" hidden="false" name="SIF_nd_tb_30_hi" vbProcedure="false">Interface!$F$550</definedName>
    <definedName function="false" hidden="false" name="SIF_nd_tb_30_lo" vbProcedure="false">Interface!$D$550</definedName>
    <definedName function="false" hidden="false" name="SIF_nqA_10" vbProcedure="false">Interface!$E$58</definedName>
    <definedName function="false" hidden="false" name="SIF_nqA_11" vbProcedure="false">Interface!$E$59</definedName>
    <definedName function="false" hidden="false" name="SIF_nqA_12" vbProcedure="false">Interface!$E$60</definedName>
    <definedName function="false" hidden="false" name="SIF_nqA_13" vbProcedure="false">Interface!$E$61</definedName>
    <definedName function="false" hidden="false" name="SIF_nqA_14" vbProcedure="false">Interface!$E$62</definedName>
    <definedName function="false" hidden="false" name="SIF_nqA_15" vbProcedure="false">Interface!$E$63</definedName>
    <definedName function="false" hidden="false" name="SIF_nqA_16" vbProcedure="false">Interface!$E$64</definedName>
    <definedName function="false" hidden="false" name="SIF_nqA_16_hi" vbProcedure="false">Interface!$F$64</definedName>
    <definedName function="false" hidden="false" name="SIF_nqA_16_lo" vbProcedure="false">Interface!$D$64</definedName>
    <definedName function="false" hidden="false" name="SIF_nqA_17" vbProcedure="false">Interface!$E$65</definedName>
    <definedName function="false" hidden="false" name="SIF_nqA_17_hi" vbProcedure="false">Interface!$F$65</definedName>
    <definedName function="false" hidden="false" name="SIF_nqA_17_lo" vbProcedure="false">Interface!$D$65</definedName>
    <definedName function="false" hidden="false" name="SIF_nqA_18" vbProcedure="false">Interface!$E$66</definedName>
    <definedName function="false" hidden="false" name="SIF_nqA_18_hi" vbProcedure="false">Interface!$F$66</definedName>
    <definedName function="false" hidden="false" name="SIF_nqA_18_lo" vbProcedure="false">Interface!$D$66</definedName>
    <definedName function="false" hidden="false" name="SIF_nqA_19" vbProcedure="false">Interface!$E$67</definedName>
    <definedName function="false" hidden="false" name="SIF_nqA_19_hi" vbProcedure="false">Interface!$F$67</definedName>
    <definedName function="false" hidden="false" name="SIF_nqA_19_lo" vbProcedure="false">Interface!$D$67</definedName>
    <definedName function="false" hidden="false" name="SIF_nqA_8" vbProcedure="false">Interface!$E$56</definedName>
    <definedName function="false" hidden="false" name="SIF_nqA_9" vbProcedure="false">Interface!$E$57</definedName>
    <definedName function="false" hidden="false" name="SIF_nqB_10" vbProcedure="false">Interface!$E$70</definedName>
    <definedName function="false" hidden="false" name="SIF_nqB_11" vbProcedure="false">Interface!$E$71</definedName>
    <definedName function="false" hidden="false" name="SIF_nqB_12" vbProcedure="false">Interface!$E$72</definedName>
    <definedName function="false" hidden="false" name="SIF_nqB_13" vbProcedure="false">Interface!$E$73</definedName>
    <definedName function="false" hidden="false" name="SIF_nqB_14" vbProcedure="false">Interface!$E$74</definedName>
    <definedName function="false" hidden="false" name="SIF_nqB_15" vbProcedure="false">Interface!$E$75</definedName>
    <definedName function="false" hidden="false" name="SIF_nqB_16" vbProcedure="false">Interface!$E$76</definedName>
    <definedName function="false" hidden="false" name="SIF_nqB_16_hi" vbProcedure="false">Interface!$F$76</definedName>
    <definedName function="false" hidden="false" name="SIF_nqB_16_lo" vbProcedure="false">Interface!$D$76</definedName>
    <definedName function="false" hidden="false" name="SIF_nqB_17" vbProcedure="false">Interface!$E$77</definedName>
    <definedName function="false" hidden="false" name="SIF_nqB_17_hi" vbProcedure="false">Interface!$F$77</definedName>
    <definedName function="false" hidden="false" name="SIF_nqB_17_lo" vbProcedure="false">Interface!$D$77</definedName>
    <definedName function="false" hidden="false" name="SIF_nqB_18" vbProcedure="false">Interface!$E$78</definedName>
    <definedName function="false" hidden="false" name="SIF_nqB_18_hi" vbProcedure="false">Interface!$F$78</definedName>
    <definedName function="false" hidden="false" name="SIF_nqB_18_lo" vbProcedure="false">Interface!$D$78</definedName>
    <definedName function="false" hidden="false" name="SIF_nqB_19" vbProcedure="false">Interface!$E$79</definedName>
    <definedName function="false" hidden="false" name="SIF_nqB_19_hi" vbProcedure="false">Interface!$F$79</definedName>
    <definedName function="false" hidden="false" name="SIF_nqB_19_lo" vbProcedure="false">Interface!$D$79</definedName>
    <definedName function="false" hidden="false" name="SIF_nqB_8" vbProcedure="false">Interface!$E$68</definedName>
    <definedName function="false" hidden="false" name="SIF_nqB_9" vbProcedure="false">Interface!$E$69</definedName>
    <definedName function="false" hidden="false" name="SIF_nqC_10" vbProcedure="false">Interface!$E$82</definedName>
    <definedName function="false" hidden="false" name="SIF_nqC_10_hi" vbProcedure="false">Interface!$F$82</definedName>
    <definedName function="false" hidden="false" name="SIF_nqC_10_lo" vbProcedure="false">Interface!$D$82</definedName>
    <definedName function="false" hidden="false" name="SIF_nqC_11" vbProcedure="false">Interface!$E$83</definedName>
    <definedName function="false" hidden="false" name="SIF_nqC_11_hi" vbProcedure="false">Interface!$F$83</definedName>
    <definedName function="false" hidden="false" name="SIF_nqC_11_lo" vbProcedure="false">Interface!$D$83</definedName>
    <definedName function="false" hidden="false" name="SIF_nqC_12" vbProcedure="false">Interface!$E$84</definedName>
    <definedName function="false" hidden="false" name="SIF_nqC_12_hi" vbProcedure="false">Interface!$F$84</definedName>
    <definedName function="false" hidden="false" name="SIF_nqC_12_lo" vbProcedure="false">Interface!$D$84</definedName>
    <definedName function="false" hidden="false" name="SIF_nqC_13" vbProcedure="false">Interface!$E$85</definedName>
    <definedName function="false" hidden="false" name="SIF_nqC_13_hi" vbProcedure="false">Interface!$F$85</definedName>
    <definedName function="false" hidden="false" name="SIF_nqC_13_lo" vbProcedure="false">Interface!$D$85</definedName>
    <definedName function="false" hidden="false" name="SIF_nqC_14" vbProcedure="false">Interface!$E$86</definedName>
    <definedName function="false" hidden="false" name="SIF_nqC_14_hi" vbProcedure="false">Interface!$F$86</definedName>
    <definedName function="false" hidden="false" name="SIF_nqC_14_lo" vbProcedure="false">Interface!$D$86</definedName>
    <definedName function="false" hidden="false" name="SIF_nqC_15" vbProcedure="false">Interface!$E$87</definedName>
    <definedName function="false" hidden="false" name="SIF_nqC_15_hi" vbProcedure="false">Interface!$F$87</definedName>
    <definedName function="false" hidden="false" name="SIF_nqC_15_lo" vbProcedure="false">Interface!$D$87</definedName>
    <definedName function="false" hidden="false" name="SIF_nqC_16" vbProcedure="false">Interface!$E$88</definedName>
    <definedName function="false" hidden="false" name="SIF_nqC_16_hi" vbProcedure="false">Interface!$F$88</definedName>
    <definedName function="false" hidden="false" name="SIF_nqC_16_lo" vbProcedure="false">Interface!$D$88</definedName>
    <definedName function="false" hidden="false" name="SIF_nqC_17" vbProcedure="false">Interface!$E$89</definedName>
    <definedName function="false" hidden="false" name="SIF_nqC_17_hi" vbProcedure="false">Interface!$F$89</definedName>
    <definedName function="false" hidden="false" name="SIF_nqC_17_lo" vbProcedure="false">Interface!$D$89</definedName>
    <definedName function="false" hidden="false" name="SIF_nqC_18" vbProcedure="false">Interface!$E$90</definedName>
    <definedName function="false" hidden="false" name="SIF_nqC_18_hi" vbProcedure="false">Interface!$F$90</definedName>
    <definedName function="false" hidden="false" name="SIF_nqC_18_lo" vbProcedure="false">Interface!$D$90</definedName>
    <definedName function="false" hidden="false" name="SIF_nqC_19" vbProcedure="false">Interface!$E$91</definedName>
    <definedName function="false" hidden="false" name="SIF_nqC_19_hi" vbProcedure="false">Interface!$F$91</definedName>
    <definedName function="false" hidden="false" name="SIF_nqC_19_lo" vbProcedure="false">Interface!$D$91</definedName>
    <definedName function="false" hidden="false" name="SIF_nqC_8" vbProcedure="false">Interface!$E$80</definedName>
    <definedName function="false" hidden="false" name="SIF_nqC_8_hi" vbProcedure="false">Interface!$F$80</definedName>
    <definedName function="false" hidden="false" name="SIF_nqC_8_lo" vbProcedure="false">Interface!$D$80</definedName>
    <definedName function="false" hidden="false" name="SIF_nqC_9" vbProcedure="false">Interface!$E$81</definedName>
    <definedName function="false" hidden="false" name="SIF_nqC_9_hi" vbProcedure="false">Interface!$F$81</definedName>
    <definedName function="false" hidden="false" name="SIF_nqC_9_lo" vbProcedure="false">Interface!$D$81</definedName>
    <definedName function="false" hidden="false" name="SIF_nq_1" vbProcedure="false">Interface!$E$49</definedName>
    <definedName function="false" hidden="false" name="SIF_nq_2" vbProcedure="false">Interface!$E$50</definedName>
    <definedName function="false" hidden="false" name="SIF_nq_3" vbProcedure="false">Interface!$E$51</definedName>
    <definedName function="false" hidden="false" name="SIF_nq_4" vbProcedure="false">Interface!$E$52</definedName>
    <definedName function="false" hidden="false" name="SIF_nq_5" vbProcedure="false">Interface!$E$53</definedName>
    <definedName function="false" hidden="false" name="SIF_nq_6" vbProcedure="false">Interface!$E$54</definedName>
    <definedName function="false" hidden="false" name="SIF_nq_7" vbProcedure="false">Interface!$E$55</definedName>
    <definedName function="false" hidden="false" name="SIF_nq_7_hi" vbProcedure="false">Interface!$F$55</definedName>
    <definedName function="false" hidden="false" name="SIF_nq_7_lo" vbProcedure="false">Interface!$D$55</definedName>
    <definedName function="false" hidden="false" name="SIF_nv_content" vbProcedure="false">Interface!$E$162</definedName>
    <definedName function="false" hidden="false" name="SIF_nv_content_hi" vbProcedure="false">Interface!$F$162</definedName>
    <definedName function="false" hidden="false" name="SIF_nv_content_lo" vbProcedure="false">Interface!$D$162</definedName>
    <definedName function="false" hidden="false" name="SIF_nv_dc26" vbProcedure="false">Interface!$E$161</definedName>
    <definedName function="false" hidden="false" name="SIF_nv_dc26_hi" vbProcedure="false">Interface!$F$161</definedName>
    <definedName function="false" hidden="false" name="SIF_nv_dc26_lo" vbProcedure="false">Interface!$D$161</definedName>
    <definedName function="false" hidden="false" name="SIF_nv_hbm" vbProcedure="false">Interface!$E$163</definedName>
    <definedName function="false" hidden="false" name="SIF_nv_hbm_hi" vbProcedure="false">Interface!$F$163</definedName>
    <definedName function="false" hidden="false" name="SIF_nv_hbm_lo" vbProcedure="false">Interface!$D$163</definedName>
    <definedName function="false" hidden="false" name="SIF_ODMValPerGW" vbProcedure="false">Interface!$E$721:$H$721</definedName>
    <definedName function="false" hidden="false" name="SIF_pa_amd" vbProcedure="false">Interface!$E$175</definedName>
    <definedName function="false" hidden="false" name="SIF_pa_amd_hi" vbProcedure="false">Interface!$F$175</definedName>
    <definedName function="false" hidden="false" name="SIF_pa_amd_lo" vbProcedure="false">Interface!$D$175</definedName>
    <definedName function="false" hidden="false" name="SIF_pa_oth" vbProcedure="false">Interface!$E$178</definedName>
    <definedName function="false" hidden="false" name="SIF_pa_oth_hi" vbProcedure="false">Interface!$F$178</definedName>
    <definedName function="false" hidden="false" name="SIF_pa_oth_lo" vbProcedure="false">Interface!$D$178</definedName>
    <definedName function="false" hidden="false" name="SIF_pa_tpu" vbProcedure="false">Interface!$E$176</definedName>
    <definedName function="false" hidden="false" name="SIF_pa_tpu_hi" vbProcedure="false">Interface!$F$176</definedName>
    <definedName function="false" hidden="false" name="SIF_pa_tpu_lo" vbProcedure="false">Interface!$D$176</definedName>
    <definedName function="false" hidden="false" name="SIF_pa_trn" vbProcedure="false">Interface!$E$177</definedName>
    <definedName function="false" hidden="false" name="SIF_pa_trn_hi" vbProcedure="false">Interface!$F$177</definedName>
    <definedName function="false" hidden="false" name="SIF_pa_trn_lo" vbProcedure="false">Interface!$D$177</definedName>
    <definedName function="false" hidden="false" name="SIF_PCBMkt_A" vbProcedure="false">Interface!$E$713:$H$713</definedName>
    <definedName function="false" hidden="false" name="SIF_PCBMkt_B" vbProcedure="false">Interface!$E$714:$H$714</definedName>
    <definedName function="false" hidden="false" name="SIF_PCBMkt_C" vbProcedure="false">Interface!$E$715:$H$715</definedName>
    <definedName function="false" hidden="false" name="SIF_PCBperGW" vbProcedure="false">Interface!$E$711:$H$711</definedName>
    <definedName function="false" hidden="false" name="SIF_pcb_cmpx_27" vbProcedure="false">Interface!$E$394</definedName>
    <definedName function="false" hidden="false" name="SIF_pcb_cmpx_27_hi" vbProcedure="false">Interface!$F$394</definedName>
    <definedName function="false" hidden="false" name="SIF_pcb_cmpx_27_lo" vbProcedure="false">Interface!$D$394</definedName>
    <definedName function="false" hidden="false" name="SIF_pcb_cmpx_28" vbProcedure="false">Interface!$E$395</definedName>
    <definedName function="false" hidden="false" name="SIF_pcb_cmpx_28_hi" vbProcedure="false">Interface!$F$395</definedName>
    <definedName function="false" hidden="false" name="SIF_pcb_cmpx_28_lo" vbProcedure="false">Interface!$D$395</definedName>
    <definedName function="false" hidden="false" name="SIF_pcb_cmpx_29" vbProcedure="false">Interface!$E$396</definedName>
    <definedName function="false" hidden="false" name="SIF_pcb_cmpx_29_hi" vbProcedure="false">Interface!$F$396</definedName>
    <definedName function="false" hidden="false" name="SIF_pcb_cmpx_29_lo" vbProcedure="false">Interface!$D$396</definedName>
    <definedName function="false" hidden="false" name="SIF_pcb_cmp_26" vbProcedure="false">Interface!$E$391</definedName>
    <definedName function="false" hidden="false" name="SIF_pcb_cmp_26_hi" vbProcedure="false">Interface!$F$391</definedName>
    <definedName function="false" hidden="false" name="SIF_pcb_cmp_26_lo" vbProcedure="false">Interface!$D$391</definedName>
    <definedName function="false" hidden="false" name="SIF_pcb_midx_27" vbProcedure="false">Interface!$E$400</definedName>
    <definedName function="false" hidden="false" name="SIF_pcb_midx_27_hi" vbProcedure="false">Interface!$F$400</definedName>
    <definedName function="false" hidden="false" name="SIF_pcb_midx_27_lo" vbProcedure="false">Interface!$D$400</definedName>
    <definedName function="false" hidden="false" name="SIF_pcb_midx_28" vbProcedure="false">Interface!$E$401</definedName>
    <definedName function="false" hidden="false" name="SIF_pcb_midx_28_hi" vbProcedure="false">Interface!$F$401</definedName>
    <definedName function="false" hidden="false" name="SIF_pcb_midx_28_lo" vbProcedure="false">Interface!$D$401</definedName>
    <definedName function="false" hidden="false" name="SIF_pcb_midx_29" vbProcedure="false">Interface!$E$402</definedName>
    <definedName function="false" hidden="false" name="SIF_pcb_midx_29_hi" vbProcedure="false">Interface!$F$402</definedName>
    <definedName function="false" hidden="false" name="SIF_pcb_midx_29_lo" vbProcedure="false">Interface!$D$402</definedName>
    <definedName function="false" hidden="false" name="SIF_pcb_mid_26" vbProcedure="false">Interface!$E$393</definedName>
    <definedName function="false" hidden="false" name="SIF_pcb_mid_26_hi" vbProcedure="false">Interface!$F$393</definedName>
    <definedName function="false" hidden="false" name="SIF_pcb_mid_26_lo" vbProcedure="false">Interface!$D$393</definedName>
    <definedName function="false" hidden="false" name="SIF_pcb_swx_27" vbProcedure="false">Interface!$E$397</definedName>
    <definedName function="false" hidden="false" name="SIF_pcb_swx_27_hi" vbProcedure="false">Interface!$F$397</definedName>
    <definedName function="false" hidden="false" name="SIF_pcb_swx_27_lo" vbProcedure="false">Interface!$D$397</definedName>
    <definedName function="false" hidden="false" name="SIF_pcb_swx_28" vbProcedure="false">Interface!$E$398</definedName>
    <definedName function="false" hidden="false" name="SIF_pcb_swx_28_hi" vbProcedure="false">Interface!$F$398</definedName>
    <definedName function="false" hidden="false" name="SIF_pcb_swx_28_lo" vbProcedure="false">Interface!$D$398</definedName>
    <definedName function="false" hidden="false" name="SIF_pcb_swx_29" vbProcedure="false">Interface!$E$399</definedName>
    <definedName function="false" hidden="false" name="SIF_pcb_swx_29_hi" vbProcedure="false">Interface!$F$399</definedName>
    <definedName function="false" hidden="false" name="SIF_pcb_swx_29_lo" vbProcedure="false">Interface!$D$399</definedName>
    <definedName function="false" hidden="false" name="SIF_pcb_sw_26" vbProcedure="false">Interface!$E$392</definedName>
    <definedName function="false" hidden="false" name="SIF_pcb_sw_26_hi" vbProcedure="false">Interface!$F$392</definedName>
    <definedName function="false" hidden="false" name="SIF_pcb_sw_26_lo" vbProcedure="false">Interface!$D$392</definedName>
    <definedName function="false" hidden="false" name="SIF_pub26_hi" vbProcedure="false">Interface!$E$165</definedName>
    <definedName function="false" hidden="false" name="SIF_pub26_lo" vbProcedure="false">Interface!$E$164</definedName>
    <definedName function="false" hidden="false" name="SIF_pub27" vbProcedure="false">Interface!$E$166</definedName>
    <definedName function="false" hidden="false" name="SIF_PwrMkt_A" vbProcedure="false">Interface!$E$732:$H$732</definedName>
    <definedName function="false" hidden="false" name="SIF_PwrMkt_B" vbProcedure="false">Interface!$E$733:$H$733</definedName>
    <definedName function="false" hidden="false" name="SIF_PwrMkt_C" vbProcedure="false">Interface!$E$734:$H$734</definedName>
    <definedName function="false" hidden="false" name="SIF_PwrShareSum_A" vbProcedure="false">Interface!$E$774:$H$774</definedName>
    <definedName function="false" hidden="false" name="SIF_PwrShareSum_B" vbProcedure="false">Interface!$E$775:$H$775</definedName>
    <definedName function="false" hidden="false" name="SIF_PwrShareSum_C" vbProcedure="false">Interface!$E$776:$H$776</definedName>
    <definedName function="false" hidden="false" name="SIF_pwr_drel_27" vbProcedure="false">Interface!$E$419</definedName>
    <definedName function="false" hidden="false" name="SIF_pwr_drel_27_hi" vbProcedure="false">Interface!$F$419</definedName>
    <definedName function="false" hidden="false" name="SIF_pwr_drel_27_lo" vbProcedure="false">Interface!$D$419</definedName>
    <definedName function="false" hidden="false" name="SIF_pwr_drel_28" vbProcedure="false">Interface!$E$420</definedName>
    <definedName function="false" hidden="false" name="SIF_pwr_drel_28_hi" vbProcedure="false">Interface!$F$420</definedName>
    <definedName function="false" hidden="false" name="SIF_pwr_drel_28_lo" vbProcedure="false">Interface!$D$420</definedName>
    <definedName function="false" hidden="false" name="SIF_pwr_drel_29" vbProcedure="false">Interface!$E$421</definedName>
    <definedName function="false" hidden="false" name="SIF_pwr_drel_29_hi" vbProcedure="false">Interface!$F$421</definedName>
    <definedName function="false" hidden="false" name="SIF_pwr_drel_29_lo" vbProcedure="false">Interface!$D$421</definedName>
    <definedName function="false" hidden="false" name="SIF_pwr_dsh_26" vbProcedure="false">Interface!$E$425</definedName>
    <definedName function="false" hidden="false" name="SIF_pwr_kgi_0701" vbProcedure="false">Interface!$E$427</definedName>
    <definedName function="false" hidden="false" name="SIF_pwr_kgi_0926" vbProcedure="false">Interface!$E$428</definedName>
    <definedName function="false" hidden="false" name="SIF_pwr_kgi_0926_hi" vbProcedure="false">Interface!$F$428</definedName>
    <definedName function="false" hidden="false" name="SIF_pwr_kgi_0926_lo" vbProcedure="false">Interface!$D$428</definedName>
    <definedName function="false" hidden="false" name="SIF_pwr_lrel_27" vbProcedure="false">Interface!$E$422</definedName>
    <definedName function="false" hidden="false" name="SIF_pwr_lrel_27_hi" vbProcedure="false">Interface!$F$422</definedName>
    <definedName function="false" hidden="false" name="SIF_pwr_lrel_27_lo" vbProcedure="false">Interface!$D$422</definedName>
    <definedName function="false" hidden="false" name="SIF_pwr_lrel_28" vbProcedure="false">Interface!$E$423</definedName>
    <definedName function="false" hidden="false" name="SIF_pwr_lrel_28_hi" vbProcedure="false">Interface!$F$423</definedName>
    <definedName function="false" hidden="false" name="SIF_pwr_lrel_28_lo" vbProcedure="false">Interface!$D$423</definedName>
    <definedName function="false" hidden="false" name="SIF_pwr_lrel_29" vbProcedure="false">Interface!$E$424</definedName>
    <definedName function="false" hidden="false" name="SIF_pwr_lrel_29_hi" vbProcedure="false">Interface!$F$424</definedName>
    <definedName function="false" hidden="false" name="SIF_pwr_lrel_29_lo" vbProcedure="false">Interface!$D$424</definedName>
    <definedName function="false" hidden="false" name="SIF_pwr_lsh_26" vbProcedure="false">Interface!$E$426</definedName>
    <definedName function="false" hidden="false" name="SIF_pwr_pkw_26" vbProcedure="false">Interface!$E$415</definedName>
    <definedName function="false" hidden="false" name="SIF_pwr_pkw_26_hi" vbProcedure="false">Interface!$F$415</definedName>
    <definedName function="false" hidden="false" name="SIF_pwr_pkw_26_lo" vbProcedure="false">Interface!$D$415</definedName>
    <definedName function="false" hidden="false" name="SIF_pwr_pkw_27" vbProcedure="false">Interface!$E$416</definedName>
    <definedName function="false" hidden="false" name="SIF_pwr_pkw_27_hi" vbProcedure="false">Interface!$F$416</definedName>
    <definedName function="false" hidden="false" name="SIF_pwr_pkw_27_lo" vbProcedure="false">Interface!$D$416</definedName>
    <definedName function="false" hidden="false" name="SIF_pwr_pkw_28" vbProcedure="false">Interface!$E$417</definedName>
    <definedName function="false" hidden="false" name="SIF_pwr_pkw_28_hi" vbProcedure="false">Interface!$F$417</definedName>
    <definedName function="false" hidden="false" name="SIF_pwr_pkw_28_lo" vbProcedure="false">Interface!$D$417</definedName>
    <definedName function="false" hidden="false" name="SIF_pwr_pkw_29" vbProcedure="false">Interface!$E$418</definedName>
    <definedName function="false" hidden="false" name="SIF_pwr_pkw_29_hi" vbProcedure="false">Interface!$F$418</definedName>
    <definedName function="false" hidden="false" name="SIF_pwr_pkw_29_lo" vbProcedure="false">Interface!$D$418</definedName>
    <definedName function="false" hidden="false" name="SIF_pwr_ubs_26" vbProcedure="false">Interface!$E$429</definedName>
    <definedName function="false" hidden="false" name="SIF_pwr_ubs_27" vbProcedure="false">Interface!$E$430</definedName>
    <definedName function="false" hidden="false" name="SIF_SEMI_DRAM" vbProcedure="false">Interface!$D$744:$H$744</definedName>
    <definedName function="false" hidden="false" name="SIF_SEMI_FoundryLogic" vbProcedure="false">Interface!$D$746:$H$746</definedName>
    <definedName function="false" hidden="false" name="SIF_SEMI_NAND" vbProcedure="false">Interface!$D$745:$H$745</definedName>
    <definedName function="false" hidden="false" name="SIF_SEMI_Pkg" vbProcedure="false">Interface!$D$749:$H$749</definedName>
    <definedName function="false" hidden="false" name="SIF_SEMI_Test" vbProcedure="false">Interface!$D$748:$H$748</definedName>
    <definedName function="false" hidden="false" name="SIF_SEMI_Total" vbProcedure="false">Interface!$D$750:$H$750</definedName>
    <definedName function="false" hidden="false" name="SIF_SEMI_WFE" vbProcedure="false">Interface!$D$747:$H$747</definedName>
    <definedName function="false" hidden="false" name="SIF_sh_oth_26" vbProcedure="false">Interface!$E$185</definedName>
    <definedName function="false" hidden="false" name="SIF_sh_oth_26_hi" vbProcedure="false">Interface!$F$185</definedName>
    <definedName function="false" hidden="false" name="SIF_sh_oth_26_lo" vbProcedure="false">Interface!$D$185</definedName>
    <definedName function="false" hidden="false" name="SIF_sh_oth_27" vbProcedure="false">Interface!$E$186</definedName>
    <definedName function="false" hidden="false" name="SIF_sh_oth_27_hi" vbProcedure="false">Interface!$F$186</definedName>
    <definedName function="false" hidden="false" name="SIF_sh_oth_27_lo" vbProcedure="false">Interface!$D$186</definedName>
    <definedName function="false" hidden="false" name="SIF_sh_oth_28" vbProcedure="false">Interface!$E$187</definedName>
    <definedName function="false" hidden="false" name="SIF_sh_oth_28_hi" vbProcedure="false">Interface!$F$187</definedName>
    <definedName function="false" hidden="false" name="SIF_sh_oth_28_lo" vbProcedure="false">Interface!$D$187</definedName>
    <definedName function="false" hidden="false" name="SIF_sh_tpu_26" vbProcedure="false">Interface!$E$182</definedName>
    <definedName function="false" hidden="false" name="SIF_sh_tpu_26_hi" vbProcedure="false">Interface!$F$182</definedName>
    <definedName function="false" hidden="false" name="SIF_sh_tpu_26_lo" vbProcedure="false">Interface!$D$182</definedName>
    <definedName function="false" hidden="false" name="SIF_sh_tpu_27" vbProcedure="false">Interface!$E$183</definedName>
    <definedName function="false" hidden="false" name="SIF_sh_tpu_27_hi" vbProcedure="false">Interface!$F$183</definedName>
    <definedName function="false" hidden="false" name="SIF_sh_tpu_27_lo" vbProcedure="false">Interface!$D$183</definedName>
    <definedName function="false" hidden="false" name="SIF_sh_tpu_28" vbProcedure="false">Interface!$E$184</definedName>
    <definedName function="false" hidden="false" name="SIF_sh_tpu_28_hi" vbProcedure="false">Interface!$F$184</definedName>
    <definedName function="false" hidden="false" name="SIF_sh_tpu_28_lo" vbProcedure="false">Interface!$D$184</definedName>
    <definedName function="false" hidden="false" name="SIF_suopt_26" vbProcedure="false">Interface!$E$273</definedName>
    <definedName function="false" hidden="false" name="SIF_suopt_26_hi" vbProcedure="false">Interface!$F$273</definedName>
    <definedName function="false" hidden="false" name="SIF_suopt_26_lo" vbProcedure="false">Interface!$D$273</definedName>
    <definedName function="false" hidden="false" name="SIF_suopt_27" vbProcedure="false">Interface!$E$274</definedName>
    <definedName function="false" hidden="false" name="SIF_suopt_27_hi" vbProcedure="false">Interface!$F$274</definedName>
    <definedName function="false" hidden="false" name="SIF_suopt_27_lo" vbProcedure="false">Interface!$D$274</definedName>
    <definedName function="false" hidden="false" name="SIF_suopt_28" vbProcedure="false">Interface!$E$275</definedName>
    <definedName function="false" hidden="false" name="SIF_suopt_28_hi" vbProcedure="false">Interface!$F$275</definedName>
    <definedName function="false" hidden="false" name="SIF_suopt_28_lo" vbProcedure="false">Interface!$D$275</definedName>
    <definedName function="false" hidden="false" name="SIF_suopt_29" vbProcedure="false">Interface!$E$276</definedName>
    <definedName function="false" hidden="false" name="SIF_suopt_29_hi" vbProcedure="false">Interface!$F$276</definedName>
    <definedName function="false" hidden="false" name="SIF_suopt_29_lo" vbProcedure="false">Interface!$D$276</definedName>
    <definedName function="false" hidden="false" name="SIF_su_cu" vbProcedure="false">Interface!$E$277</definedName>
    <definedName function="false" hidden="false" name="SIF_su_cu_hi" vbProcedure="false">Interface!$F$277</definedName>
    <definedName function="false" hidden="false" name="SIF_su_cu_lo" vbProcedure="false">Interface!$D$277</definedName>
    <definedName function="false" hidden="false" name="SIF_SysUnitsGB" vbProcedure="false">Interface!$E$727:$H$727</definedName>
    <definedName function="false" hidden="false" name="SIF_SysUnitsVR" vbProcedure="false">Interface!$E$728:$H$728</definedName>
    <definedName function="false" hidden="false" name="SIF_SysValGB" vbProcedure="false">Interface!$E$725:$H$725</definedName>
    <definedName function="false" hidden="false" name="SIF_SysValVR" vbProcedure="false">Interface!$E$726:$H$726</definedName>
    <definedName function="false" hidden="false" name="SIF_TestSoCMkt_A" vbProcedure="false">Interface!$D$751:$H$751</definedName>
    <definedName function="false" hidden="false" name="SIF_TestSoCMkt_B" vbProcedure="false">Interface!$D$752:$H$752</definedName>
    <definedName function="false" hidden="false" name="SIF_TestSoCMkt_C" vbProcedure="false">Interface!$D$753:$H$753</definedName>
    <definedName function="false" hidden="false" name="SIF_TestWFE_SEMI" vbProcedure="false">Interface!$D$754:$H$754</definedName>
    <definedName function="false" hidden="false" name="SIF_TestWFE_SoC" vbProcedure="false">Interface!$D$755:$H$755</definedName>
    <definedName function="false" hidden="false" name="SIF_TK_CapexFacility_GB200" vbProcedure="false">Interface!$E$796</definedName>
    <definedName function="false" hidden="false" name="SIF_TK_CapexFacility_GB200_hi" vbProcedure="false">Interface!$F$796</definedName>
    <definedName function="false" hidden="false" name="SIF_TK_CapexFacility_GB200_lo" vbProcedure="false">Interface!$D$796</definedName>
    <definedName function="false" hidden="false" name="SIF_TK_CapexFacility_GB300" vbProcedure="false">Interface!$E$797</definedName>
    <definedName function="false" hidden="false" name="SIF_TK_CapexFacility_GB300_hi" vbProcedure="false">Interface!$F$797</definedName>
    <definedName function="false" hidden="false" name="SIF_TK_CapexFacility_GB300_lo" vbProcedure="false">Interface!$D$797</definedName>
    <definedName function="false" hidden="false" name="SIF_TK_CapexFacility_H100" vbProcedure="false">Interface!$E$795</definedName>
    <definedName function="false" hidden="false" name="SIF_TK_CapexFacility_H100_hi" vbProcedure="false">Interface!$F$795</definedName>
    <definedName function="false" hidden="false" name="SIF_TK_CapexFacility_H100_lo" vbProcedure="false">Interface!$D$795</definedName>
    <definedName function="false" hidden="false" name="SIF_TK_CapexFacility_RU" vbProcedure="false">Interface!$E$799</definedName>
    <definedName function="false" hidden="false" name="SIF_TK_CapexFacility_RU_hi" vbProcedure="false">Interface!$F$799</definedName>
    <definedName function="false" hidden="false" name="SIF_TK_CapexFacility_RU_lo" vbProcedure="false">Interface!$D$799</definedName>
    <definedName function="false" hidden="false" name="SIF_TK_CapexFacility_VR200" vbProcedure="false">Interface!$E$798</definedName>
    <definedName function="false" hidden="false" name="SIF_TK_CapexFacility_VR200_hi" vbProcedure="false">Interface!$F$798</definedName>
    <definedName function="false" hidden="false" name="SIF_TK_CapexFacility_VR200_lo" vbProcedure="false">Interface!$D$798</definedName>
    <definedName function="false" hidden="false" name="SIF_TK_CapexIT_GB200" vbProcedure="false">Interface!$E$791</definedName>
    <definedName function="false" hidden="false" name="SIF_TK_CapexIT_GB200_hi" vbProcedure="false">Interface!$F$791</definedName>
    <definedName function="false" hidden="false" name="SIF_TK_CapexIT_GB200_lo" vbProcedure="false">Interface!$D$791</definedName>
    <definedName function="false" hidden="false" name="SIF_TK_CapexIT_GB300" vbProcedure="false">Interface!$E$792</definedName>
    <definedName function="false" hidden="false" name="SIF_TK_CapexIT_GB300_hi" vbProcedure="false">Interface!$F$792</definedName>
    <definedName function="false" hidden="false" name="SIF_TK_CapexIT_GB300_lo" vbProcedure="false">Interface!$D$792</definedName>
    <definedName function="false" hidden="false" name="SIF_TK_CapexIT_H100" vbProcedure="false">Interface!$E$790</definedName>
    <definedName function="false" hidden="false" name="SIF_TK_CapexIT_H100_hi" vbProcedure="false">Interface!$F$790</definedName>
    <definedName function="false" hidden="false" name="SIF_TK_CapexIT_H100_lo" vbProcedure="false">Interface!$D$790</definedName>
    <definedName function="false" hidden="false" name="SIF_TK_CapexIT_RU" vbProcedure="false">Interface!$E$794</definedName>
    <definedName function="false" hidden="false" name="SIF_TK_CapexIT_RU_hi" vbProcedure="false">Interface!$F$794</definedName>
    <definedName function="false" hidden="false" name="SIF_TK_CapexIT_RU_lo" vbProcedure="false">Interface!$D$794</definedName>
    <definedName function="false" hidden="false" name="SIF_TK_CapexIT_VR200" vbProcedure="false">Interface!$E$793</definedName>
    <definedName function="false" hidden="false" name="SIF_TK_CapexIT_VR200_hi" vbProcedure="false">Interface!$F$793</definedName>
    <definedName function="false" hidden="false" name="SIF_TK_CapexIT_VR200_lo" vbProcedure="false">Interface!$D$793</definedName>
    <definedName function="false" hidden="false" name="SIF_TK_CapexTotal_GB200" vbProcedure="false">Interface!$E$801</definedName>
    <definedName function="false" hidden="false" name="SIF_TK_CapexTotal_GB200_hi" vbProcedure="false">Interface!$F$801</definedName>
    <definedName function="false" hidden="false" name="SIF_TK_CapexTotal_GB200_lo" vbProcedure="false">Interface!$D$801</definedName>
    <definedName function="false" hidden="false" name="SIF_TK_CapexTotal_GB300" vbProcedure="false">Interface!$E$802</definedName>
    <definedName function="false" hidden="false" name="SIF_TK_CapexTotal_GB300_hi" vbProcedure="false">Interface!$F$802</definedName>
    <definedName function="false" hidden="false" name="SIF_TK_CapexTotal_GB300_lo" vbProcedure="false">Interface!$D$802</definedName>
    <definedName function="false" hidden="false" name="SIF_TK_CapexTotal_H100" vbProcedure="false">Interface!$E$800</definedName>
    <definedName function="false" hidden="false" name="SIF_TK_CapexTotal_H100_hi" vbProcedure="false">Interface!$F$800</definedName>
    <definedName function="false" hidden="false" name="SIF_TK_CapexTotal_H100_lo" vbProcedure="false">Interface!$D$800</definedName>
    <definedName function="false" hidden="false" name="SIF_TK_CapexTotal_RU" vbProcedure="false">Interface!$E$804</definedName>
    <definedName function="false" hidden="false" name="SIF_TK_CapexTotal_RU_hi" vbProcedure="false">Interface!$F$804</definedName>
    <definedName function="false" hidden="false" name="SIF_TK_CapexTotal_RU_lo" vbProcedure="false">Interface!$D$804</definedName>
    <definedName function="false" hidden="false" name="SIF_TK_CapexTotal_VR200" vbProcedure="false">Interface!$E$803</definedName>
    <definedName function="false" hidden="false" name="SIF_TK_CapexTotal_VR200_hi" vbProcedure="false">Interface!$F$803</definedName>
    <definedName function="false" hidden="false" name="SIF_TK_CapexTotal_VR200_lo" vbProcedure="false">Interface!$D$803</definedName>
    <definedName function="false" hidden="false" name="SIF_TK_GPUsPerGW_GB200" vbProcedure="false">Interface!$E$786</definedName>
    <definedName function="false" hidden="false" name="SIF_TK_GPUsPerGW_GB200_hi" vbProcedure="false">Interface!$F$786</definedName>
    <definedName function="false" hidden="false" name="SIF_TK_GPUsPerGW_GB200_lo" vbProcedure="false">Interface!$D$786</definedName>
    <definedName function="false" hidden="false" name="SIF_TK_GPUsPerGW_GB300" vbProcedure="false">Interface!$E$787</definedName>
    <definedName function="false" hidden="false" name="SIF_TK_GPUsPerGW_GB300_hi" vbProcedure="false">Interface!$F$787</definedName>
    <definedName function="false" hidden="false" name="SIF_TK_GPUsPerGW_GB300_lo" vbProcedure="false">Interface!$D$787</definedName>
    <definedName function="false" hidden="false" name="SIF_TK_GPUsPerGW_H100" vbProcedure="false">Interface!$E$785</definedName>
    <definedName function="false" hidden="false" name="SIF_TK_GPUsPerGW_H100_hi" vbProcedure="false">Interface!$F$785</definedName>
    <definedName function="false" hidden="false" name="SIF_TK_GPUsPerGW_H100_lo" vbProcedure="false">Interface!$D$785</definedName>
    <definedName function="false" hidden="false" name="SIF_TK_GPUsPerGW_RU" vbProcedure="false">Interface!$E$789</definedName>
    <definedName function="false" hidden="false" name="SIF_TK_GPUsPerGW_RU_hi" vbProcedure="false">Interface!$F$789</definedName>
    <definedName function="false" hidden="false" name="SIF_TK_GPUsPerGW_RU_lo" vbProcedure="false">Interface!$D$789</definedName>
    <definedName function="false" hidden="false" name="SIF_TK_GPUsPerGW_VR200" vbProcedure="false">Interface!$E$788</definedName>
    <definedName function="false" hidden="false" name="SIF_TK_GPUsPerGW_VR200_hi" vbProcedure="false">Interface!$F$788</definedName>
    <definedName function="false" hidden="false" name="SIF_TK_GPUsPerGW_VR200_lo" vbProcedure="false">Interface!$D$788</definedName>
    <definedName function="false" hidden="false" name="SIF_TK_NonNV_Hold_AMD" vbProcedure="false">Interface!$E$827</definedName>
    <definedName function="false" hidden="false" name="SIF_TK_NonNV_Hold_AMD_hi" vbProcedure="false">Interface!$F$827</definedName>
    <definedName function="false" hidden="false" name="SIF_TK_NonNV_Hold_AMD_lo" vbProcedure="false">Interface!$D$827</definedName>
    <definedName function="false" hidden="false" name="SIF_TK_NonNV_Hold_Ascend" vbProcedure="false">Interface!$E$832</definedName>
    <definedName function="false" hidden="false" name="SIF_TK_NonNV_Hold_Ascend_hi" vbProcedure="false">Interface!$F$832</definedName>
    <definedName function="false" hidden="false" name="SIF_TK_NonNV_Hold_Ascend_lo" vbProcedure="false">Interface!$D$832</definedName>
    <definedName function="false" hidden="false" name="SIF_TK_NonNV_Hold_CS" vbProcedure="false">Interface!$E$830</definedName>
    <definedName function="false" hidden="false" name="SIF_TK_NonNV_Hold_CS_hi" vbProcedure="false">Interface!$F$830</definedName>
    <definedName function="false" hidden="false" name="SIF_TK_NonNV_Hold_CS_lo" vbProcedure="false">Interface!$D$830</definedName>
    <definedName function="false" hidden="false" name="SIF_TK_NonNV_Hold_Maia" vbProcedure="false">Interface!$E$833</definedName>
    <definedName function="false" hidden="false" name="SIF_TK_NonNV_Hold_Maia_hi" vbProcedure="false">Interface!$F$833</definedName>
    <definedName function="false" hidden="false" name="SIF_TK_NonNV_Hold_Maia_lo" vbProcedure="false">Interface!$D$833</definedName>
    <definedName function="false" hidden="false" name="SIF_TK_NonNV_Hold_OAI" vbProcedure="false">Interface!$E$831</definedName>
    <definedName function="false" hidden="false" name="SIF_TK_NonNV_Hold_OAI_hi" vbProcedure="false">Interface!$F$831</definedName>
    <definedName function="false" hidden="false" name="SIF_TK_NonNV_Hold_OAI_lo" vbProcedure="false">Interface!$D$831</definedName>
    <definedName function="false" hidden="false" name="SIF_TK_NonNV_Hold_TPU" vbProcedure="false">Interface!$E$828</definedName>
    <definedName function="false" hidden="false" name="SIF_TK_NonNV_Hold_TPU_hi" vbProcedure="false">Interface!$F$828</definedName>
    <definedName function="false" hidden="false" name="SIF_TK_NonNV_Hold_TPU_lo" vbProcedure="false">Interface!$D$828</definedName>
    <definedName function="false" hidden="false" name="SIF_TK_NonNV_Hold_Trn" vbProcedure="false">Interface!$E$829</definedName>
    <definedName function="false" hidden="false" name="SIF_TK_NonNV_Hold_Trn_hi" vbProcedure="false">Interface!$F$829</definedName>
    <definedName function="false" hidden="false" name="SIF_TK_NonNV_Hold_Trn_lo" vbProcedure="false">Interface!$D$829</definedName>
    <definedName function="false" hidden="false" name="SIF_TK_NonNV_Out_AMD" vbProcedure="false">Interface!$E$820</definedName>
    <definedName function="false" hidden="false" name="SIF_TK_NonNV_Out_AMD_hi" vbProcedure="false">Interface!$F$820</definedName>
    <definedName function="false" hidden="false" name="SIF_TK_NonNV_Out_AMD_lo" vbProcedure="false">Interface!$D$820</definedName>
    <definedName function="false" hidden="false" name="SIF_TK_NonNV_Out_Ascend" vbProcedure="false">Interface!$E$825</definedName>
    <definedName function="false" hidden="false" name="SIF_TK_NonNV_Out_Ascend_hi" vbProcedure="false">Interface!$F$825</definedName>
    <definedName function="false" hidden="false" name="SIF_TK_NonNV_Out_Ascend_lo" vbProcedure="false">Interface!$D$825</definedName>
    <definedName function="false" hidden="false" name="SIF_TK_NonNV_Out_CS" vbProcedure="false">Interface!$E$823</definedName>
    <definedName function="false" hidden="false" name="SIF_TK_NonNV_Out_CS_hi" vbProcedure="false">Interface!$F$823</definedName>
    <definedName function="false" hidden="false" name="SIF_TK_NonNV_Out_CS_lo" vbProcedure="false">Interface!$D$823</definedName>
    <definedName function="false" hidden="false" name="SIF_TK_NonNV_Out_Maia" vbProcedure="false">Interface!$E$826</definedName>
    <definedName function="false" hidden="false" name="SIF_TK_NonNV_Out_Maia_hi" vbProcedure="false">Interface!$F$826</definedName>
    <definedName function="false" hidden="false" name="SIF_TK_NonNV_Out_Maia_lo" vbProcedure="false">Interface!$D$826</definedName>
    <definedName function="false" hidden="false" name="SIF_TK_NonNV_Out_OAI" vbProcedure="false">Interface!$E$824</definedName>
    <definedName function="false" hidden="false" name="SIF_TK_NonNV_Out_OAI_hi" vbProcedure="false">Interface!$F$824</definedName>
    <definedName function="false" hidden="false" name="SIF_TK_NonNV_Out_OAI_lo" vbProcedure="false">Interface!$D$824</definedName>
    <definedName function="false" hidden="false" name="SIF_TK_NonNV_Out_TPU" vbProcedure="false">Interface!$E$821</definedName>
    <definedName function="false" hidden="false" name="SIF_TK_NonNV_Out_TPU_hi" vbProcedure="false">Interface!$F$821</definedName>
    <definedName function="false" hidden="false" name="SIF_TK_NonNV_Out_TPU_lo" vbProcedure="false">Interface!$D$821</definedName>
    <definedName function="false" hidden="false" name="SIF_TK_NonNV_Out_Trn" vbProcedure="false">Interface!$E$822</definedName>
    <definedName function="false" hidden="false" name="SIF_TK_NonNV_Out_Trn_hi" vbProcedure="false">Interface!$F$822</definedName>
    <definedName function="false" hidden="false" name="SIF_TK_NonNV_Out_Trn_lo" vbProcedure="false">Interface!$D$822</definedName>
    <definedName function="false" hidden="false" name="SIF_TK_RackPrice_GB200" vbProcedure="false">Interface!$E$806</definedName>
    <definedName function="false" hidden="false" name="SIF_TK_RackPrice_GB200_hi" vbProcedure="false">Interface!$F$806</definedName>
    <definedName function="false" hidden="false" name="SIF_TK_RackPrice_GB200_lo" vbProcedure="false">Interface!$D$806</definedName>
    <definedName function="false" hidden="false" name="SIF_TK_RackPrice_GB300" vbProcedure="false">Interface!$E$807</definedName>
    <definedName function="false" hidden="false" name="SIF_TK_RackPrice_GB300_hi" vbProcedure="false">Interface!$F$807</definedName>
    <definedName function="false" hidden="false" name="SIF_TK_RackPrice_GB300_lo" vbProcedure="false">Interface!$D$807</definedName>
    <definedName function="false" hidden="false" name="SIF_TK_RackPrice_H100" vbProcedure="false">Interface!$E$805</definedName>
    <definedName function="false" hidden="false" name="SIF_TK_RackPrice_H100_hi" vbProcedure="false">Interface!$F$805</definedName>
    <definedName function="false" hidden="false" name="SIF_TK_RackPrice_H100_lo" vbProcedure="false">Interface!$D$805</definedName>
    <definedName function="false" hidden="false" name="SIF_TK_RackPrice_RU" vbProcedure="false">Interface!$E$809</definedName>
    <definedName function="false" hidden="false" name="SIF_TK_RackPrice_RU_hi" vbProcedure="false">Interface!$F$809</definedName>
    <definedName function="false" hidden="false" name="SIF_TK_RackPrice_RU_lo" vbProcedure="false">Interface!$D$809</definedName>
    <definedName function="false" hidden="false" name="SIF_TK_RackPrice_VR200" vbProcedure="false">Interface!$E$808</definedName>
    <definedName function="false" hidden="false" name="SIF_TK_RackPrice_VR200_hi" vbProcedure="false">Interface!$F$808</definedName>
    <definedName function="false" hidden="false" name="SIF_TK_RackPrice_VR200_lo" vbProcedure="false">Interface!$D$808</definedName>
    <definedName function="false" hidden="false" name="SIF_TK_RacksPerGW_GB200" vbProcedure="false">Interface!$E$781</definedName>
    <definedName function="false" hidden="false" name="SIF_TK_RacksPerGW_GB200_hi" vbProcedure="false">Interface!$F$781</definedName>
    <definedName function="false" hidden="false" name="SIF_TK_RacksPerGW_GB200_lo" vbProcedure="false">Interface!$D$781</definedName>
    <definedName function="false" hidden="false" name="SIF_TK_RacksPerGW_GB300" vbProcedure="false">Interface!$E$782</definedName>
    <definedName function="false" hidden="false" name="SIF_TK_RacksPerGW_GB300_hi" vbProcedure="false">Interface!$F$782</definedName>
    <definedName function="false" hidden="false" name="SIF_TK_RacksPerGW_GB300_lo" vbProcedure="false">Interface!$D$782</definedName>
    <definedName function="false" hidden="false" name="SIF_TK_RacksPerGW_H100" vbProcedure="false">Interface!$E$780</definedName>
    <definedName function="false" hidden="false" name="SIF_TK_RacksPerGW_H100_hi" vbProcedure="false">Interface!$F$780</definedName>
    <definedName function="false" hidden="false" name="SIF_TK_RacksPerGW_H100_lo" vbProcedure="false">Interface!$D$780</definedName>
    <definedName function="false" hidden="false" name="SIF_TK_RacksPerGW_RU" vbProcedure="false">Interface!$E$784</definedName>
    <definedName function="false" hidden="false" name="SIF_TK_RacksPerGW_RU_hi" vbProcedure="false">Interface!$F$784</definedName>
    <definedName function="false" hidden="false" name="SIF_TK_RacksPerGW_RU_lo" vbProcedure="false">Interface!$D$784</definedName>
    <definedName function="false" hidden="false" name="SIF_TK_RacksPerGW_VR200" vbProcedure="false">Interface!$E$783</definedName>
    <definedName function="false" hidden="false" name="SIF_TK_RacksPerGW_VR200_hi" vbProcedure="false">Interface!$F$783</definedName>
    <definedName function="false" hidden="false" name="SIF_TK_RacksPerGW_VR200_lo" vbProcedure="false">Interface!$D$783</definedName>
    <definedName function="false" hidden="false" name="SIF_TK_ScaleOutShare_GB200" vbProcedure="false">Interface!$E$811</definedName>
    <definedName function="false" hidden="false" name="SIF_TK_ScaleOutShare_GB200_hi" vbProcedure="false">Interface!$F$811</definedName>
    <definedName function="false" hidden="false" name="SIF_TK_ScaleOutShare_GB200_lo" vbProcedure="false">Interface!$D$811</definedName>
    <definedName function="false" hidden="false" name="SIF_TK_ScaleOutShare_GB300" vbProcedure="false">Interface!$E$812</definedName>
    <definedName function="false" hidden="false" name="SIF_TK_ScaleOutShare_GB300_hi" vbProcedure="false">Interface!$F$812</definedName>
    <definedName function="false" hidden="false" name="SIF_TK_ScaleOutShare_GB300_lo" vbProcedure="false">Interface!$D$812</definedName>
    <definedName function="false" hidden="false" name="SIF_TK_ScaleOutShare_H100" vbProcedure="false">Interface!$E$810</definedName>
    <definedName function="false" hidden="false" name="SIF_TK_ScaleOutShare_H100_hi" vbProcedure="false">Interface!$F$810</definedName>
    <definedName function="false" hidden="false" name="SIF_TK_ScaleOutShare_H100_lo" vbProcedure="false">Interface!$D$810</definedName>
    <definedName function="false" hidden="false" name="SIF_TK_ScaleOutShare_RU" vbProcedure="false">Interface!$E$814</definedName>
    <definedName function="false" hidden="false" name="SIF_TK_ScaleOutShare_RU_hi" vbProcedure="false">Interface!$F$814</definedName>
    <definedName function="false" hidden="false" name="SIF_TK_ScaleOutShare_RU_lo" vbProcedure="false">Interface!$D$814</definedName>
    <definedName function="false" hidden="false" name="SIF_TK_ScaleOutShare_VR200" vbProcedure="false">Interface!$E$813</definedName>
    <definedName function="false" hidden="false" name="SIF_TK_ScaleOutShare_VR200_hi" vbProcedure="false">Interface!$F$813</definedName>
    <definedName function="false" hidden="false" name="SIF_TK_ScaleOutShare_VR200_lo" vbProcedure="false">Interface!$D$813</definedName>
    <definedName function="false" hidden="false" name="SIF_TK_StoragePerGPU_GB200" vbProcedure="false">Interface!$E$816</definedName>
    <definedName function="false" hidden="false" name="SIF_TK_StoragePerGPU_GB200_hi" vbProcedure="false">Interface!$F$816</definedName>
    <definedName function="false" hidden="false" name="SIF_TK_StoragePerGPU_GB200_lo" vbProcedure="false">Interface!$D$816</definedName>
    <definedName function="false" hidden="false" name="SIF_TK_StoragePerGPU_GB300" vbProcedure="false">Interface!$E$817</definedName>
    <definedName function="false" hidden="false" name="SIF_TK_StoragePerGPU_GB300_hi" vbProcedure="false">Interface!$F$817</definedName>
    <definedName function="false" hidden="false" name="SIF_TK_StoragePerGPU_GB300_lo" vbProcedure="false">Interface!$D$817</definedName>
    <definedName function="false" hidden="false" name="SIF_TK_StoragePerGPU_H100" vbProcedure="false">Interface!$E$815</definedName>
    <definedName function="false" hidden="false" name="SIF_TK_StoragePerGPU_H100_hi" vbProcedure="false">Interface!$F$815</definedName>
    <definedName function="false" hidden="false" name="SIF_TK_StoragePerGPU_H100_lo" vbProcedure="false">Interface!$D$815</definedName>
    <definedName function="false" hidden="false" name="SIF_TK_StoragePerGPU_RU" vbProcedure="false">Interface!$E$819</definedName>
    <definedName function="false" hidden="false" name="SIF_TK_StoragePerGPU_RU_hi" vbProcedure="false">Interface!$F$819</definedName>
    <definedName function="false" hidden="false" name="SIF_TK_StoragePerGPU_RU_lo" vbProcedure="false">Interface!$D$819</definedName>
    <definedName function="false" hidden="false" name="SIF_TK_StoragePerGPU_VR200" vbProcedure="false">Interface!$E$818</definedName>
    <definedName function="false" hidden="false" name="SIF_TK_StoragePerGPU_VR200_hi" vbProcedure="false">Interface!$F$818</definedName>
    <definedName function="false" hidden="false" name="SIF_TK_StoragePerGPU_VR200_lo" vbProcedure="false">Interface!$D$818</definedName>
    <definedName function="false" hidden="false" name="SIF_ts_eff_par" vbProcedure="false">Interface!$E$515</definedName>
    <definedName function="false" hidden="false" name="SIF_ts_eff_par_hi" vbProcedure="false">Interface!$F$515</definedName>
    <definedName function="false" hidden="false" name="SIF_ts_eff_par_lo" vbProcedure="false">Interface!$D$515</definedName>
    <definedName function="false" hidden="false" name="SIF_ts_g_nonai" vbProcedure="false">Interface!$E$514</definedName>
    <definedName function="false" hidden="false" name="SIF_ts_g_nonai_hi" vbProcedure="false">Interface!$F$514</definedName>
    <definedName function="false" hidden="false" name="SIF_ts_g_nonai_lo" vbProcedure="false">Interface!$D$514</definedName>
    <definedName function="false" hidden="false" name="SIF_ts_mk_mem25" vbProcedure="false">Interface!$E$510</definedName>
    <definedName function="false" hidden="false" name="SIF_ts_mk_mem26" vbProcedure="false">Interface!$E$512</definedName>
    <definedName function="false" hidden="false" name="SIF_ts_mk_mem26_hi" vbProcedure="false">Interface!$F$512</definedName>
    <definedName function="false" hidden="false" name="SIF_ts_mk_mem26_lo" vbProcedure="false">Interface!$D$512</definedName>
    <definedName function="false" hidden="false" name="SIF_ts_mk_soc25" vbProcedure="false">Interface!$E$509</definedName>
    <definedName function="false" hidden="false" name="SIF_ts_mk_soc26" vbProcedure="false">Interface!$E$511</definedName>
    <definedName function="false" hidden="false" name="SIF_ts_mk_soc26_hi" vbProcedure="false">Interface!$F$511</definedName>
    <definedName function="false" hidden="false" name="SIF_ts_mk_soc26_lo" vbProcedure="false">Interface!$D$511</definedName>
    <definedName function="false" hidden="false" name="SIF_ts_nonai26" vbProcedure="false">Interface!$E$513</definedName>
    <definedName function="false" hidden="false" name="SIF_ts_nonai26_hi" vbProcedure="false">Interface!$F$513</definedName>
    <definedName function="false" hidden="false" name="SIF_ts_nonai26_lo" vbProcedure="false">Interface!$D$513</definedName>
    <definedName function="false" hidden="false" name="SIF_ts_tt_amd" vbProcedure="false">Interface!$E$520</definedName>
    <definedName function="false" hidden="false" name="SIF_ts_tt_amd_hi" vbProcedure="false">Interface!$F$520</definedName>
    <definedName function="false" hidden="false" name="SIF_ts_tt_amd_lo" vbProcedure="false">Interface!$D$520</definedName>
    <definedName function="false" hidden="false" name="SIF_ts_tt_bw" vbProcedure="false">Interface!$E$516</definedName>
    <definedName function="false" hidden="false" name="SIF_ts_tt_bw_hi" vbProcedure="false">Interface!$F$516</definedName>
    <definedName function="false" hidden="false" name="SIF_ts_tt_bw_lo" vbProcedure="false">Interface!$D$516</definedName>
    <definedName function="false" hidden="false" name="SIF_ts_tt_hp" vbProcedure="false">Interface!$E$519</definedName>
    <definedName function="false" hidden="false" name="SIF_ts_tt_hp_hi" vbProcedure="false">Interface!$F$519</definedName>
    <definedName function="false" hidden="false" name="SIF_ts_tt_hp_lo" vbProcedure="false">Interface!$D$519</definedName>
    <definedName function="false" hidden="false" name="SIF_ts_tt_oth" vbProcedure="false">Interface!$E$523</definedName>
    <definedName function="false" hidden="false" name="SIF_ts_tt_oth_hi" vbProcedure="false">Interface!$F$523</definedName>
    <definedName function="false" hidden="false" name="SIF_ts_tt_oth_lo" vbProcedure="false">Interface!$D$523</definedName>
    <definedName function="false" hidden="false" name="SIF_ts_tt_rb" vbProcedure="false">Interface!$E$517</definedName>
    <definedName function="false" hidden="false" name="SIF_ts_tt_rb_hi" vbProcedure="false">Interface!$F$517</definedName>
    <definedName function="false" hidden="false" name="SIF_ts_tt_rb_lo" vbProcedure="false">Interface!$D$517</definedName>
    <definedName function="false" hidden="false" name="SIF_ts_tt_ru" vbProcedure="false">Interface!$E$518</definedName>
    <definedName function="false" hidden="false" name="SIF_ts_tt_ru_hi" vbProcedure="false">Interface!$F$518</definedName>
    <definedName function="false" hidden="false" name="SIF_ts_tt_ru_lo" vbProcedure="false">Interface!$D$518</definedName>
    <definedName function="false" hidden="false" name="SIF_ts_tt_tpu" vbProcedure="false">Interface!$E$521</definedName>
    <definedName function="false" hidden="false" name="SIF_ts_tt_tpu_hi" vbProcedure="false">Interface!$F$521</definedName>
    <definedName function="false" hidden="false" name="SIF_ts_tt_tpu_lo" vbProcedure="false">Interface!$D$521</definedName>
    <definedName function="false" hidden="false" name="SIF_ts_tt_trn" vbProcedure="false">Interface!$E$522</definedName>
    <definedName function="false" hidden="false" name="SIF_ts_tt_trn_hi" vbProcedure="false">Interface!$F$522</definedName>
    <definedName function="false" hidden="false" name="SIF_ts_tt_trn_lo" vbProcedure="false">Interface!$D$522</definedName>
    <definedName function="false" hidden="false" name="SIF_ts_tw_hi" vbProcedure="false">Interface!$E$526</definedName>
    <definedName function="false" hidden="false" name="SIF_ts_tw_lo" vbProcedure="false">Interface!$E$525</definedName>
    <definedName function="false" hidden="false" name="SIF_ts_w_hbm" vbProcedure="false">Interface!$E$524</definedName>
    <definedName function="false" hidden="false" name="SIF_ts_w_hbm_hi" vbProcedure="false">Interface!$F$524</definedName>
    <definedName function="false" hidden="false" name="SIF_ts_w_hbm_lo" vbProcedure="false">Interface!$D$524</definedName>
    <definedName function="false" hidden="false" name="SIF_um28_A" vbProcedure="false">Interface!$E$140</definedName>
    <definedName function="false" hidden="false" name="SIF_um28_B" vbProcedure="false">Interface!$E$142</definedName>
    <definedName function="false" hidden="false" name="SIF_um28_B_hi" vbProcedure="false">Interface!$F$142</definedName>
    <definedName function="false" hidden="false" name="SIF_um28_B_lo" vbProcedure="false">Interface!$D$142</definedName>
    <definedName function="false" hidden="false" name="SIF_um28_C" vbProcedure="false">Interface!$E$144</definedName>
    <definedName function="false" hidden="false" name="SIF_um28_C_hi" vbProcedure="false">Interface!$F$144</definedName>
    <definedName function="false" hidden="false" name="SIF_um28_C_lo" vbProcedure="false">Interface!$D$144</definedName>
    <definedName function="false" hidden="false" name="SIF_um29_A" vbProcedure="false">Interface!$E$141</definedName>
    <definedName function="false" hidden="false" name="SIF_um29_B" vbProcedure="false">Interface!$E$143</definedName>
    <definedName function="false" hidden="false" name="SIF_um29_B_hi" vbProcedure="false">Interface!$F$143</definedName>
    <definedName function="false" hidden="false" name="SIF_um29_B_lo" vbProcedure="false">Interface!$D$143</definedName>
    <definedName function="false" hidden="false" name="SIF_um29_C" vbProcedure="false">Interface!$E$145</definedName>
    <definedName function="false" hidden="false" name="SIF_um29_C_hi" vbProcedure="false">Interface!$F$145</definedName>
    <definedName function="false" hidden="false" name="SIF_um29_C_lo" vbProcedure="false">Interface!$D$145</definedName>
    <definedName function="false" hidden="false" name="SIF_UnitsCoef_A" vbProcedure="false">Interface!$D$649:$H$649</definedName>
    <definedName function="false" hidden="false" name="SIF_UnitsCoef_B" vbProcedure="false">Interface!$D$654:$H$654</definedName>
    <definedName function="false" hidden="false" name="SIF_UnitsCoef_C" vbProcedure="false">Interface!$D$659:$H$659</definedName>
    <definedName function="false" hidden="false" name="SIF_UnitsGrowth29" vbProcedure="false">Interface!$E$678</definedName>
    <definedName function="false" hidden="false" name="SIF_UnitsPlat_amd" vbProcedure="false">Interface!$D$670:$H$670</definedName>
    <definedName function="false" hidden="false" name="SIF_UnitsPlat_bw" vbProcedure="false">Interface!$D$666:$H$666</definedName>
    <definedName function="false" hidden="false" name="SIF_UnitsPlat_hp" vbProcedure="false">Interface!$D$669:$H$669</definedName>
    <definedName function="false" hidden="false" name="SIF_UnitsPlat_oth" vbProcedure="false">Interface!$D$673:$H$673</definedName>
    <definedName function="false" hidden="false" name="SIF_UnitsPlat_rb" vbProcedure="false">Interface!$D$667:$H$667</definedName>
    <definedName function="false" hidden="false" name="SIF_UnitsPlat_ru" vbProcedure="false">Interface!$D$668:$H$668</definedName>
    <definedName function="false" hidden="false" name="SIF_UnitsPlat_Total" vbProcedure="false">Interface!$D$674:$H$674</definedName>
    <definedName function="false" hidden="false" name="SIF_UnitsPlat_Total_A" vbProcedure="false">Interface!$D$675:$H$675</definedName>
    <definedName function="false" hidden="false" name="SIF_UnitsPlat_Total_B" vbProcedure="false">Interface!$D$676:$H$676</definedName>
    <definedName function="false" hidden="false" name="SIF_UnitsPlat_Total_C" vbProcedure="false">Interface!$D$677:$H$677</definedName>
    <definedName function="false" hidden="false" name="SIF_UnitsPlat_tpu" vbProcedure="false">Interface!$D$671:$H$671</definedName>
    <definedName function="false" hidden="false" name="SIF_UnitsPlat_trn" vbProcedure="false">Interface!$D$672:$H$672</definedName>
    <definedName function="false" hidden="false" name="SIF_Units_Total" vbProcedure="false">Interface!$D$646:$H$646</definedName>
    <definedName function="false" hidden="false" name="SIF_u_amd_26" vbProcedure="false">Interface!$E$116</definedName>
    <definedName function="false" hidden="false" name="SIF_u_amd_26_hi" vbProcedure="false">Interface!$F$116</definedName>
    <definedName function="false" hidden="false" name="SIF_u_amd_26_lo" vbProcedure="false">Interface!$D$116</definedName>
    <definedName function="false" hidden="false" name="SIF_u_amd_27" vbProcedure="false">Interface!$E$117</definedName>
    <definedName function="false" hidden="false" name="SIF_u_amd_27_hi" vbProcedure="false">Interface!$F$117</definedName>
    <definedName function="false" hidden="false" name="SIF_u_amd_27_lo" vbProcedure="false">Interface!$D$117</definedName>
    <definedName function="false" hidden="false" name="SIF_u_amd_28" vbProcedure="false">Interface!$E$118</definedName>
    <definedName function="false" hidden="false" name="SIF_u_amd_28_hi" vbProcedure="false">Interface!$F$118</definedName>
    <definedName function="false" hidden="false" name="SIF_u_amd_28_lo" vbProcedure="false">Interface!$D$118</definedName>
    <definedName function="false" hidden="false" name="SIF_u_bw_26" vbProcedure="false">Interface!$E$92</definedName>
    <definedName function="false" hidden="false" name="SIF_u_bw_27" vbProcedure="false">Interface!$E$93</definedName>
    <definedName function="false" hidden="false" name="SIF_u_bw_28" vbProcedure="false">Interface!$E$94</definedName>
    <definedName function="false" hidden="false" name="SIF_u_hp_26" vbProcedure="false">Interface!$E$110</definedName>
    <definedName function="false" hidden="false" name="SIF_u_hp_27" vbProcedure="false">Interface!$E$111</definedName>
    <definedName function="false" hidden="false" name="SIF_u_hp_28" vbProcedure="false">Interface!$E$112</definedName>
    <definedName function="false" hidden="false" name="SIF_u_oth_26" vbProcedure="false">Interface!$E$134</definedName>
    <definedName function="false" hidden="false" name="SIF_u_oth_26_hi" vbProcedure="false">Interface!$F$134</definedName>
    <definedName function="false" hidden="false" name="SIF_u_oth_26_lo" vbProcedure="false">Interface!$D$134</definedName>
    <definedName function="false" hidden="false" name="SIF_u_oth_27" vbProcedure="false">Interface!$E$135</definedName>
    <definedName function="false" hidden="false" name="SIF_u_oth_27_hi" vbProcedure="false">Interface!$F$135</definedName>
    <definedName function="false" hidden="false" name="SIF_u_oth_27_lo" vbProcedure="false">Interface!$D$135</definedName>
    <definedName function="false" hidden="false" name="SIF_u_oth_28" vbProcedure="false">Interface!$E$136</definedName>
    <definedName function="false" hidden="false" name="SIF_u_oth_28_hi" vbProcedure="false">Interface!$F$136</definedName>
    <definedName function="false" hidden="false" name="SIF_u_oth_28_lo" vbProcedure="false">Interface!$D$136</definedName>
    <definedName function="false" hidden="false" name="SIF_u_rb_26" vbProcedure="false">Interface!$E$98</definedName>
    <definedName function="false" hidden="false" name="SIF_u_rb_27" vbProcedure="false">Interface!$E$99</definedName>
    <definedName function="false" hidden="false" name="SIF_u_rb_28" vbProcedure="false">Interface!$E$100</definedName>
    <definedName function="false" hidden="false" name="SIF_u_ru_26" vbProcedure="false">Interface!$E$104</definedName>
    <definedName function="false" hidden="false" name="SIF_u_ru_26_hi" vbProcedure="false">Interface!$F$104</definedName>
    <definedName function="false" hidden="false" name="SIF_u_ru_26_lo" vbProcedure="false">Interface!$D$104</definedName>
    <definedName function="false" hidden="false" name="SIF_u_ru_27" vbProcedure="false">Interface!$E$105</definedName>
    <definedName function="false" hidden="false" name="SIF_u_ru_27_hi" vbProcedure="false">Interface!$F$105</definedName>
    <definedName function="false" hidden="false" name="SIF_u_ru_27_lo" vbProcedure="false">Interface!$D$105</definedName>
    <definedName function="false" hidden="false" name="SIF_u_ru_28" vbProcedure="false">Interface!$E$106</definedName>
    <definedName function="false" hidden="false" name="SIF_u_ru_28_hi" vbProcedure="false">Interface!$F$106</definedName>
    <definedName function="false" hidden="false" name="SIF_u_ru_28_lo" vbProcedure="false">Interface!$D$106</definedName>
    <definedName function="false" hidden="false" name="SIF_u_tpu_26" vbProcedure="false">Interface!$E$122</definedName>
    <definedName function="false" hidden="false" name="SIF_u_tpu_27" vbProcedure="false">Interface!$E$123</definedName>
    <definedName function="false" hidden="false" name="SIF_u_tpu_28" vbProcedure="false">Interface!$E$124</definedName>
    <definedName function="false" hidden="false" name="SIF_u_trn_26" vbProcedure="false">Interface!$E$128</definedName>
    <definedName function="false" hidden="false" name="SIF_u_trn_26_hi" vbProcedure="false">Interface!$F$128</definedName>
    <definedName function="false" hidden="false" name="SIF_u_trn_26_lo" vbProcedure="false">Interface!$D$128</definedName>
    <definedName function="false" hidden="false" name="SIF_u_trn_27" vbProcedure="false">Interface!$E$129</definedName>
    <definedName function="false" hidden="false" name="SIF_u_trn_27_hi" vbProcedure="false">Interface!$F$129</definedName>
    <definedName function="false" hidden="false" name="SIF_u_trn_27_lo" vbProcedure="false">Interface!$D$129</definedName>
    <definedName function="false" hidden="false" name="SIF_u_trn_28" vbProcedure="false">Interface!$E$130</definedName>
    <definedName function="false" hidden="false" name="SIF_u_trn_28_hi" vbProcedure="false">Interface!$F$130</definedName>
    <definedName function="false" hidden="false" name="SIF_u_trn_28_lo" vbProcedure="false">Interface!$D$130</definedName>
    <definedName function="false" hidden="false" name="SIF_vr26" vbProcedure="false">Interface!$E$290</definedName>
    <definedName function="false" hidden="false" name="SIF_vr26_hi" vbProcedure="false">Interface!$F$290</definedName>
    <definedName function="false" hidden="false" name="SIF_vr26_lo" vbProcedure="false">Interface!$D$290</definedName>
    <definedName function="false" hidden="false" name="suopt_26" vbProcedure="false">In!$E$283</definedName>
    <definedName function="false" hidden="false" name="suopt_26_hi" vbProcedure="false">In!$F$283</definedName>
    <definedName function="false" hidden="false" name="suopt_26_lo" vbProcedure="false">In!$D$283</definedName>
    <definedName function="false" hidden="false" name="suopt_27" vbProcedure="false">In!$E$284</definedName>
    <definedName function="false" hidden="false" name="suopt_27_hi" vbProcedure="false">In!$F$284</definedName>
    <definedName function="false" hidden="false" name="suopt_27_lo" vbProcedure="false">In!$D$284</definedName>
    <definedName function="false" hidden="false" name="suopt_28" vbProcedure="false">In!$E$285</definedName>
    <definedName function="false" hidden="false" name="suopt_28_hi" vbProcedure="false">In!$F$285</definedName>
    <definedName function="false" hidden="false" name="suopt_28_lo" vbProcedure="false">In!$D$285</definedName>
    <definedName function="false" hidden="false" name="suopt_29" vbProcedure="false">In!$E$286</definedName>
    <definedName function="false" hidden="false" name="suopt_29_hi" vbProcedure="false">In!$F$286</definedName>
    <definedName function="false" hidden="false" name="suopt_29_lo" vbProcedure="false">In!$D$286</definedName>
    <definedName function="false" hidden="false" name="su_cu" vbProcedure="false">In!$E$287</definedName>
    <definedName function="false" hidden="false" name="su_cu_hi" vbProcedure="false">In!$F$287</definedName>
    <definedName function="false" hidden="false" name="su_cu_lo" vbProcedure="false">In!$D$287</definedName>
    <definedName function="false" hidden="false" name="TK_CapexFacility_GB200" vbProcedure="false">TK_In!$E$21</definedName>
    <definedName function="false" hidden="false" name="TK_CapexFacility_GB200_hi" vbProcedure="false">TK_In!$F$21</definedName>
    <definedName function="false" hidden="false" name="TK_CapexFacility_GB200_lo" vbProcedure="false">TK_In!$D$21</definedName>
    <definedName function="false" hidden="false" name="TK_CapexFacility_GB300" vbProcedure="false">TK_In!$E$22</definedName>
    <definedName function="false" hidden="false" name="TK_CapexFacility_GB300_hi" vbProcedure="false">TK_In!$F$22</definedName>
    <definedName function="false" hidden="false" name="TK_CapexFacility_GB300_lo" vbProcedure="false">TK_In!$D$22</definedName>
    <definedName function="false" hidden="false" name="TK_CapexFacility_H100" vbProcedure="false">TK_In!$E$20</definedName>
    <definedName function="false" hidden="false" name="TK_CapexFacility_H100_hi" vbProcedure="false">TK_In!$F$20</definedName>
    <definedName function="false" hidden="false" name="TK_CapexFacility_H100_lo" vbProcedure="false">TK_In!$D$20</definedName>
    <definedName function="false" hidden="false" name="TK_CapexFacility_RU" vbProcedure="false">TK_In!$E$24</definedName>
    <definedName function="false" hidden="false" name="TK_CapexFacility_RU_hi" vbProcedure="false">TK_In!$F$24</definedName>
    <definedName function="false" hidden="false" name="TK_CapexFacility_RU_lo" vbProcedure="false">TK_In!$D$24</definedName>
    <definedName function="false" hidden="false" name="TK_CapexFacility_VR200" vbProcedure="false">TK_In!$E$23</definedName>
    <definedName function="false" hidden="false" name="TK_CapexFacility_VR200_hi" vbProcedure="false">TK_In!$F$23</definedName>
    <definedName function="false" hidden="false" name="TK_CapexFacility_VR200_lo" vbProcedure="false">TK_In!$D$23</definedName>
    <definedName function="false" hidden="false" name="TK_CapexIT_GB200" vbProcedure="false">TK_In!$E$16</definedName>
    <definedName function="false" hidden="false" name="TK_CapexIT_GB200_hi" vbProcedure="false">TK_In!$F$16</definedName>
    <definedName function="false" hidden="false" name="TK_CapexIT_GB200_lo" vbProcedure="false">TK_In!$D$16</definedName>
    <definedName function="false" hidden="false" name="TK_CapexIT_GB300" vbProcedure="false">TK_In!$E$17</definedName>
    <definedName function="false" hidden="false" name="TK_CapexIT_GB300_hi" vbProcedure="false">TK_In!$F$17</definedName>
    <definedName function="false" hidden="false" name="TK_CapexIT_GB300_lo" vbProcedure="false">TK_In!$D$17</definedName>
    <definedName function="false" hidden="false" name="TK_CapexIT_H100" vbProcedure="false">TK_In!$E$15</definedName>
    <definedName function="false" hidden="false" name="TK_CapexIT_H100_hi" vbProcedure="false">TK_In!$F$15</definedName>
    <definedName function="false" hidden="false" name="TK_CapexIT_H100_lo" vbProcedure="false">TK_In!$D$15</definedName>
    <definedName function="false" hidden="false" name="TK_CapexIT_RU" vbProcedure="false">TK_In!$E$19</definedName>
    <definedName function="false" hidden="false" name="TK_CapexIT_RU_hi" vbProcedure="false">TK_In!$F$19</definedName>
    <definedName function="false" hidden="false" name="TK_CapexIT_RU_lo" vbProcedure="false">TK_In!$D$19</definedName>
    <definedName function="false" hidden="false" name="TK_CapexIT_VR200" vbProcedure="false">TK_In!$E$18</definedName>
    <definedName function="false" hidden="false" name="TK_CapexIT_VR200_hi" vbProcedure="false">TK_In!$F$18</definedName>
    <definedName function="false" hidden="false" name="TK_CapexIT_VR200_lo" vbProcedure="false">TK_In!$D$18</definedName>
    <definedName function="false" hidden="false" name="TK_CapexTotal_GB200" vbProcedure="false">TK_In!$E$26</definedName>
    <definedName function="false" hidden="false" name="TK_CapexTotal_GB200_hi" vbProcedure="false">TK_In!$F$26</definedName>
    <definedName function="false" hidden="false" name="TK_CapexTotal_GB200_lo" vbProcedure="false">TK_In!$D$26</definedName>
    <definedName function="false" hidden="false" name="TK_CapexTotal_GB300" vbProcedure="false">TK_In!$E$27</definedName>
    <definedName function="false" hidden="false" name="TK_CapexTotal_GB300_hi" vbProcedure="false">TK_In!$F$27</definedName>
    <definedName function="false" hidden="false" name="TK_CapexTotal_GB300_lo" vbProcedure="false">TK_In!$D$27</definedName>
    <definedName function="false" hidden="false" name="TK_CapexTotal_H100" vbProcedure="false">TK_In!$E$25</definedName>
    <definedName function="false" hidden="false" name="TK_CapexTotal_H100_hi" vbProcedure="false">TK_In!$F$25</definedName>
    <definedName function="false" hidden="false" name="TK_CapexTotal_H100_lo" vbProcedure="false">TK_In!$D$25</definedName>
    <definedName function="false" hidden="false" name="TK_CapexTotal_RU" vbProcedure="false">TK_In!$E$29</definedName>
    <definedName function="false" hidden="false" name="TK_CapexTotal_RU_hi" vbProcedure="false">TK_In!$F$29</definedName>
    <definedName function="false" hidden="false" name="TK_CapexTotal_RU_lo" vbProcedure="false">TK_In!$D$29</definedName>
    <definedName function="false" hidden="false" name="TK_CapexTotal_VR200" vbProcedure="false">TK_In!$E$28</definedName>
    <definedName function="false" hidden="false" name="TK_CapexTotal_VR200_hi" vbProcedure="false">TK_In!$F$28</definedName>
    <definedName function="false" hidden="false" name="TK_CapexTotal_VR200_lo" vbProcedure="false">TK_In!$D$28</definedName>
    <definedName function="false" hidden="false" name="TK_GPUsPerGW_GB200" vbProcedure="false">TK_In!$E$11</definedName>
    <definedName function="false" hidden="false" name="TK_GPUsPerGW_GB200_hi" vbProcedure="false">TK_In!$F$11</definedName>
    <definedName function="false" hidden="false" name="TK_GPUsPerGW_GB200_lo" vbProcedure="false">TK_In!$D$11</definedName>
    <definedName function="false" hidden="false" name="TK_GPUsPerGW_GB300" vbProcedure="false">TK_In!$E$12</definedName>
    <definedName function="false" hidden="false" name="TK_GPUsPerGW_GB300_hi" vbProcedure="false">TK_In!$F$12</definedName>
    <definedName function="false" hidden="false" name="TK_GPUsPerGW_GB300_lo" vbProcedure="false">TK_In!$D$12</definedName>
    <definedName function="false" hidden="false" name="TK_GPUsPerGW_H100" vbProcedure="false">TK_In!$E$10</definedName>
    <definedName function="false" hidden="false" name="TK_GPUsPerGW_H100_hi" vbProcedure="false">TK_In!$F$10</definedName>
    <definedName function="false" hidden="false" name="TK_GPUsPerGW_H100_lo" vbProcedure="false">TK_In!$D$10</definedName>
    <definedName function="false" hidden="false" name="TK_GPUsPerGW_RU" vbProcedure="false">TK_In!$E$14</definedName>
    <definedName function="false" hidden="false" name="TK_GPUsPerGW_RU_hi" vbProcedure="false">TK_In!$F$14</definedName>
    <definedName function="false" hidden="false" name="TK_GPUsPerGW_RU_lo" vbProcedure="false">TK_In!$D$14</definedName>
    <definedName function="false" hidden="false" name="TK_GPUsPerGW_VR200" vbProcedure="false">TK_In!$E$13</definedName>
    <definedName function="false" hidden="false" name="TK_GPUsPerGW_VR200_hi" vbProcedure="false">TK_In!$F$13</definedName>
    <definedName function="false" hidden="false" name="TK_GPUsPerGW_VR200_lo" vbProcedure="false">TK_In!$D$13</definedName>
    <definedName function="false" hidden="false" name="TK_NonNV_Hold_AMD" vbProcedure="false">TK_In!$E$52</definedName>
    <definedName function="false" hidden="false" name="TK_NonNV_Hold_AMD_hi" vbProcedure="false">TK_In!$F$52</definedName>
    <definedName function="false" hidden="false" name="TK_NonNV_Hold_AMD_lo" vbProcedure="false">TK_In!$D$52</definedName>
    <definedName function="false" hidden="false" name="TK_NonNV_Hold_Ascend" vbProcedure="false">TK_In!$E$57</definedName>
    <definedName function="false" hidden="false" name="TK_NonNV_Hold_Ascend_hi" vbProcedure="false">TK_In!$F$57</definedName>
    <definedName function="false" hidden="false" name="TK_NonNV_Hold_Ascend_lo" vbProcedure="false">TK_In!$D$57</definedName>
    <definedName function="false" hidden="false" name="TK_NonNV_Hold_CS" vbProcedure="false">TK_In!$E$55</definedName>
    <definedName function="false" hidden="false" name="TK_NonNV_Hold_CS_hi" vbProcedure="false">TK_In!$F$55</definedName>
    <definedName function="false" hidden="false" name="TK_NonNV_Hold_CS_lo" vbProcedure="false">TK_In!$D$55</definedName>
    <definedName function="false" hidden="false" name="TK_NonNV_Hold_Maia" vbProcedure="false">TK_In!$E$58</definedName>
    <definedName function="false" hidden="false" name="TK_NonNV_Hold_Maia_hi" vbProcedure="false">TK_In!$F$58</definedName>
    <definedName function="false" hidden="false" name="TK_NonNV_Hold_Maia_lo" vbProcedure="false">TK_In!$D$58</definedName>
    <definedName function="false" hidden="false" name="TK_NonNV_Hold_OAI" vbProcedure="false">TK_In!$E$56</definedName>
    <definedName function="false" hidden="false" name="TK_NonNV_Hold_OAI_hi" vbProcedure="false">TK_In!$F$56</definedName>
    <definedName function="false" hidden="false" name="TK_NonNV_Hold_OAI_lo" vbProcedure="false">TK_In!$D$56</definedName>
    <definedName function="false" hidden="false" name="TK_NonNV_Hold_TPU" vbProcedure="false">TK_In!$E$53</definedName>
    <definedName function="false" hidden="false" name="TK_NonNV_Hold_TPU_hi" vbProcedure="false">TK_In!$F$53</definedName>
    <definedName function="false" hidden="false" name="TK_NonNV_Hold_TPU_lo" vbProcedure="false">TK_In!$D$53</definedName>
    <definedName function="false" hidden="false" name="TK_NonNV_Hold_Trn" vbProcedure="false">TK_In!$E$54</definedName>
    <definedName function="false" hidden="false" name="TK_NonNV_Hold_Trn_hi" vbProcedure="false">TK_In!$F$54</definedName>
    <definedName function="false" hidden="false" name="TK_NonNV_Hold_Trn_lo" vbProcedure="false">TK_In!$D$54</definedName>
    <definedName function="false" hidden="false" name="TK_NonNV_Out_AMD" vbProcedure="false">TK_In!$E$45</definedName>
    <definedName function="false" hidden="false" name="TK_NonNV_Out_AMD_hi" vbProcedure="false">TK_In!$F$45</definedName>
    <definedName function="false" hidden="false" name="TK_NonNV_Out_AMD_lo" vbProcedure="false">TK_In!$D$45</definedName>
    <definedName function="false" hidden="false" name="TK_NonNV_Out_Ascend" vbProcedure="false">TK_In!$E$50</definedName>
    <definedName function="false" hidden="false" name="TK_NonNV_Out_Ascend_hi" vbProcedure="false">TK_In!$F$50</definedName>
    <definedName function="false" hidden="false" name="TK_NonNV_Out_Ascend_lo" vbProcedure="false">TK_In!$D$50</definedName>
    <definedName function="false" hidden="false" name="TK_NonNV_Out_CS" vbProcedure="false">TK_In!$E$48</definedName>
    <definedName function="false" hidden="false" name="TK_NonNV_Out_CS_hi" vbProcedure="false">TK_In!$F$48</definedName>
    <definedName function="false" hidden="false" name="TK_NonNV_Out_CS_lo" vbProcedure="false">TK_In!$D$48</definedName>
    <definedName function="false" hidden="false" name="TK_NonNV_Out_Maia" vbProcedure="false">TK_In!$E$51</definedName>
    <definedName function="false" hidden="false" name="TK_NonNV_Out_Maia_hi" vbProcedure="false">TK_In!$F$51</definedName>
    <definedName function="false" hidden="false" name="TK_NonNV_Out_Maia_lo" vbProcedure="false">TK_In!$D$51</definedName>
    <definedName function="false" hidden="false" name="TK_NonNV_Out_OAI" vbProcedure="false">TK_In!$E$49</definedName>
    <definedName function="false" hidden="false" name="TK_NonNV_Out_OAI_hi" vbProcedure="false">TK_In!$F$49</definedName>
    <definedName function="false" hidden="false" name="TK_NonNV_Out_OAI_lo" vbProcedure="false">TK_In!$D$49</definedName>
    <definedName function="false" hidden="false" name="TK_NonNV_Out_TPU" vbProcedure="false">TK_In!$E$46</definedName>
    <definedName function="false" hidden="false" name="TK_NonNV_Out_TPU_hi" vbProcedure="false">TK_In!$F$46</definedName>
    <definedName function="false" hidden="false" name="TK_NonNV_Out_TPU_lo" vbProcedure="false">TK_In!$D$46</definedName>
    <definedName function="false" hidden="false" name="TK_NonNV_Out_Trn" vbProcedure="false">TK_In!$E$47</definedName>
    <definedName function="false" hidden="false" name="TK_NonNV_Out_Trn_hi" vbProcedure="false">TK_In!$F$47</definedName>
    <definedName function="false" hidden="false" name="TK_NonNV_Out_Trn_lo" vbProcedure="false">TK_In!$D$47</definedName>
    <definedName function="false" hidden="false" name="TK_RackPrice_GB200" vbProcedure="false">TK_In!$E$31</definedName>
    <definedName function="false" hidden="false" name="TK_RackPrice_GB200_hi" vbProcedure="false">TK_In!$F$31</definedName>
    <definedName function="false" hidden="false" name="TK_RackPrice_GB200_lo" vbProcedure="false">TK_In!$D$31</definedName>
    <definedName function="false" hidden="false" name="TK_RackPrice_GB300" vbProcedure="false">TK_In!$E$32</definedName>
    <definedName function="false" hidden="false" name="TK_RackPrice_GB300_hi" vbProcedure="false">TK_In!$F$32</definedName>
    <definedName function="false" hidden="false" name="TK_RackPrice_GB300_lo" vbProcedure="false">TK_In!$D$32</definedName>
    <definedName function="false" hidden="false" name="TK_RackPrice_H100" vbProcedure="false">TK_In!$E$30</definedName>
    <definedName function="false" hidden="false" name="TK_RackPrice_H100_hi" vbProcedure="false">TK_In!$F$30</definedName>
    <definedName function="false" hidden="false" name="TK_RackPrice_H100_lo" vbProcedure="false">TK_In!$D$30</definedName>
    <definedName function="false" hidden="false" name="TK_RackPrice_RU" vbProcedure="false">TK_In!$E$34</definedName>
    <definedName function="false" hidden="false" name="TK_RackPrice_RU_hi" vbProcedure="false">TK_In!$F$34</definedName>
    <definedName function="false" hidden="false" name="TK_RackPrice_RU_lo" vbProcedure="false">TK_In!$D$34</definedName>
    <definedName function="false" hidden="false" name="TK_RackPrice_VR200" vbProcedure="false">TK_In!$E$33</definedName>
    <definedName function="false" hidden="false" name="TK_RackPrice_VR200_hi" vbProcedure="false">TK_In!$F$33</definedName>
    <definedName function="false" hidden="false" name="TK_RackPrice_VR200_lo" vbProcedure="false">TK_In!$D$33</definedName>
    <definedName function="false" hidden="false" name="TK_RacksPerGW_GB200" vbProcedure="false">TK_In!$E$6</definedName>
    <definedName function="false" hidden="false" name="TK_RacksPerGW_GB200_hi" vbProcedure="false">TK_In!$F$6</definedName>
    <definedName function="false" hidden="false" name="TK_RacksPerGW_GB200_lo" vbProcedure="false">TK_In!$D$6</definedName>
    <definedName function="false" hidden="false" name="TK_RacksPerGW_GB300" vbProcedure="false">TK_In!$E$7</definedName>
    <definedName function="false" hidden="false" name="TK_RacksPerGW_GB300_hi" vbProcedure="false">TK_In!$F$7</definedName>
    <definedName function="false" hidden="false" name="TK_RacksPerGW_GB300_lo" vbProcedure="false">TK_In!$D$7</definedName>
    <definedName function="false" hidden="false" name="TK_RacksPerGW_H100" vbProcedure="false">TK_In!$E$5</definedName>
    <definedName function="false" hidden="false" name="TK_RacksPerGW_H100_hi" vbProcedure="false">TK_In!$F$5</definedName>
    <definedName function="false" hidden="false" name="TK_RacksPerGW_H100_lo" vbProcedure="false">TK_In!$D$5</definedName>
    <definedName function="false" hidden="false" name="TK_RacksPerGW_RU" vbProcedure="false">TK_In!$E$9</definedName>
    <definedName function="false" hidden="false" name="TK_RacksPerGW_RU_hi" vbProcedure="false">TK_In!$F$9</definedName>
    <definedName function="false" hidden="false" name="TK_RacksPerGW_RU_lo" vbProcedure="false">TK_In!$D$9</definedName>
    <definedName function="false" hidden="false" name="TK_RacksPerGW_VR200" vbProcedure="false">TK_In!$E$8</definedName>
    <definedName function="false" hidden="false" name="TK_RacksPerGW_VR200_hi" vbProcedure="false">TK_In!$F$8</definedName>
    <definedName function="false" hidden="false" name="TK_RacksPerGW_VR200_lo" vbProcedure="false">TK_In!$D$8</definedName>
    <definedName function="false" hidden="false" name="TK_ScaleOutShare_GB200" vbProcedure="false">TK_In!$E$36</definedName>
    <definedName function="false" hidden="false" name="TK_ScaleOutShare_GB200_hi" vbProcedure="false">TK_In!$F$36</definedName>
    <definedName function="false" hidden="false" name="TK_ScaleOutShare_GB200_lo" vbProcedure="false">TK_In!$D$36</definedName>
    <definedName function="false" hidden="false" name="TK_ScaleOutShare_GB300" vbProcedure="false">TK_In!$E$37</definedName>
    <definedName function="false" hidden="false" name="TK_ScaleOutShare_GB300_hi" vbProcedure="false">TK_In!$F$37</definedName>
    <definedName function="false" hidden="false" name="TK_ScaleOutShare_GB300_lo" vbProcedure="false">TK_In!$D$37</definedName>
    <definedName function="false" hidden="false" name="TK_ScaleOutShare_H100" vbProcedure="false">TK_In!$E$35</definedName>
    <definedName function="false" hidden="false" name="TK_ScaleOutShare_H100_hi" vbProcedure="false">TK_In!$F$35</definedName>
    <definedName function="false" hidden="false" name="TK_ScaleOutShare_H100_lo" vbProcedure="false">TK_In!$D$35</definedName>
    <definedName function="false" hidden="false" name="TK_ScaleOutShare_RU" vbProcedure="false">TK_In!$E$39</definedName>
    <definedName function="false" hidden="false" name="TK_ScaleOutShare_RU_hi" vbProcedure="false">TK_In!$F$39</definedName>
    <definedName function="false" hidden="false" name="TK_ScaleOutShare_RU_lo" vbProcedure="false">TK_In!$D$39</definedName>
    <definedName function="false" hidden="false" name="TK_ScaleOutShare_VR200" vbProcedure="false">TK_In!$E$38</definedName>
    <definedName function="false" hidden="false" name="TK_ScaleOutShare_VR200_hi" vbProcedure="false">TK_In!$F$38</definedName>
    <definedName function="false" hidden="false" name="TK_ScaleOutShare_VR200_lo" vbProcedure="false">TK_In!$D$38</definedName>
    <definedName function="false" hidden="false" name="TK_StoragePerGPU_GB200" vbProcedure="false">TK_In!$E$41</definedName>
    <definedName function="false" hidden="false" name="TK_StoragePerGPU_GB200_hi" vbProcedure="false">TK_In!$F$41</definedName>
    <definedName function="false" hidden="false" name="TK_StoragePerGPU_GB200_lo" vbProcedure="false">TK_In!$D$41</definedName>
    <definedName function="false" hidden="false" name="TK_StoragePerGPU_GB300" vbProcedure="false">TK_In!$E$42</definedName>
    <definedName function="false" hidden="false" name="TK_StoragePerGPU_GB300_hi" vbProcedure="false">TK_In!$F$42</definedName>
    <definedName function="false" hidden="false" name="TK_StoragePerGPU_GB300_lo" vbProcedure="false">TK_In!$D$42</definedName>
    <definedName function="false" hidden="false" name="TK_StoragePerGPU_H100" vbProcedure="false">TK_In!$E$40</definedName>
    <definedName function="false" hidden="false" name="TK_StoragePerGPU_H100_hi" vbProcedure="false">TK_In!$F$40</definedName>
    <definedName function="false" hidden="false" name="TK_StoragePerGPU_H100_lo" vbProcedure="false">TK_In!$D$40</definedName>
    <definedName function="false" hidden="false" name="TK_StoragePerGPU_RU" vbProcedure="false">TK_In!$E$44</definedName>
    <definedName function="false" hidden="false" name="TK_StoragePerGPU_RU_hi" vbProcedure="false">TK_In!$F$44</definedName>
    <definedName function="false" hidden="false" name="TK_StoragePerGPU_RU_lo" vbProcedure="false">TK_In!$D$44</definedName>
    <definedName function="false" hidden="false" name="TK_StoragePerGPU_VR200" vbProcedure="false">TK_In!$E$43</definedName>
    <definedName function="false" hidden="false" name="TK_StoragePerGPU_VR200_hi" vbProcedure="false">TK_In!$F$43</definedName>
    <definedName function="false" hidden="false" name="TK_StoragePerGPU_VR200_lo" vbProcedure="false">TK_In!$D$43</definedName>
    <definedName function="false" hidden="false" name="ts_eff_par" vbProcedure="false">In!$E$536</definedName>
    <definedName function="false" hidden="false" name="ts_eff_par_hi" vbProcedure="false">In!$F$536</definedName>
    <definedName function="false" hidden="false" name="ts_eff_par_lo" vbProcedure="false">In!$D$536</definedName>
    <definedName function="false" hidden="false" name="ts_g_nonai" vbProcedure="false">In!$E$535</definedName>
    <definedName function="false" hidden="false" name="ts_g_nonai_hi" vbProcedure="false">In!$F$535</definedName>
    <definedName function="false" hidden="false" name="ts_g_nonai_lo" vbProcedure="false">In!$D$535</definedName>
    <definedName function="false" hidden="false" name="ts_mk_mem25" vbProcedure="false">In!$E$531</definedName>
    <definedName function="false" hidden="false" name="ts_mk_mem26" vbProcedure="false">In!$E$533</definedName>
    <definedName function="false" hidden="false" name="ts_mk_mem26_hi" vbProcedure="false">In!$F$533</definedName>
    <definedName function="false" hidden="false" name="ts_mk_mem26_lo" vbProcedure="false">In!$D$533</definedName>
    <definedName function="false" hidden="false" name="ts_mk_soc25" vbProcedure="false">In!$E$530</definedName>
    <definedName function="false" hidden="false" name="ts_mk_soc26" vbProcedure="false">In!$E$532</definedName>
    <definedName function="false" hidden="false" name="ts_mk_soc26_hi" vbProcedure="false">In!$F$532</definedName>
    <definedName function="false" hidden="false" name="ts_mk_soc26_lo" vbProcedure="false">In!$D$532</definedName>
    <definedName function="false" hidden="false" name="ts_nonai26" vbProcedure="false">In!$E$534</definedName>
    <definedName function="false" hidden="false" name="ts_nonai26_hi" vbProcedure="false">In!$F$534</definedName>
    <definedName function="false" hidden="false" name="ts_nonai26_lo" vbProcedure="false">In!$D$534</definedName>
    <definedName function="false" hidden="false" name="ts_tt_amd" vbProcedure="false">In!$E$541</definedName>
    <definedName function="false" hidden="false" name="ts_tt_amd_hi" vbProcedure="false">In!$F$541</definedName>
    <definedName function="false" hidden="false" name="ts_tt_amd_lo" vbProcedure="false">In!$D$541</definedName>
    <definedName function="false" hidden="false" name="ts_tt_bw" vbProcedure="false">In!$E$537</definedName>
    <definedName function="false" hidden="false" name="ts_tt_bw_hi" vbProcedure="false">In!$F$537</definedName>
    <definedName function="false" hidden="false" name="ts_tt_bw_lo" vbProcedure="false">In!$D$537</definedName>
    <definedName function="false" hidden="false" name="ts_tt_hp" vbProcedure="false">In!$E$540</definedName>
    <definedName function="false" hidden="false" name="ts_tt_hp_hi" vbProcedure="false">In!$F$540</definedName>
    <definedName function="false" hidden="false" name="ts_tt_hp_lo" vbProcedure="false">In!$D$540</definedName>
    <definedName function="false" hidden="false" name="ts_tt_oth" vbProcedure="false">In!$E$544</definedName>
    <definedName function="false" hidden="false" name="ts_tt_oth_hi" vbProcedure="false">In!$F$544</definedName>
    <definedName function="false" hidden="false" name="ts_tt_oth_lo" vbProcedure="false">In!$D$544</definedName>
    <definedName function="false" hidden="false" name="ts_tt_rb" vbProcedure="false">In!$E$538</definedName>
    <definedName function="false" hidden="false" name="ts_tt_rb_hi" vbProcedure="false">In!$F$538</definedName>
    <definedName function="false" hidden="false" name="ts_tt_rb_lo" vbProcedure="false">In!$D$538</definedName>
    <definedName function="false" hidden="false" name="ts_tt_ru" vbProcedure="false">In!$E$539</definedName>
    <definedName function="false" hidden="false" name="ts_tt_ru_hi" vbProcedure="false">In!$F$539</definedName>
    <definedName function="false" hidden="false" name="ts_tt_ru_lo" vbProcedure="false">In!$D$539</definedName>
    <definedName function="false" hidden="false" name="ts_tt_tpu" vbProcedure="false">In!$E$542</definedName>
    <definedName function="false" hidden="false" name="ts_tt_tpu_hi" vbProcedure="false">In!$F$542</definedName>
    <definedName function="false" hidden="false" name="ts_tt_tpu_lo" vbProcedure="false">In!$D$542</definedName>
    <definedName function="false" hidden="false" name="ts_tt_trn" vbProcedure="false">In!$E$543</definedName>
    <definedName function="false" hidden="false" name="ts_tt_trn_hi" vbProcedure="false">In!$F$543</definedName>
    <definedName function="false" hidden="false" name="ts_tt_trn_lo" vbProcedure="false">In!$D$543</definedName>
    <definedName function="false" hidden="false" name="ts_tw_hi" vbProcedure="false">In!$E$547</definedName>
    <definedName function="false" hidden="false" name="ts_tw_lo" vbProcedure="false">In!$E$546</definedName>
    <definedName function="false" hidden="false" name="ts_w_hbm" vbProcedure="false">In!$E$545</definedName>
    <definedName function="false" hidden="false" name="ts_w_hbm_hi" vbProcedure="false">In!$F$545</definedName>
    <definedName function="false" hidden="false" name="ts_w_hbm_lo" vbProcedure="false">In!$D$545</definedName>
    <definedName function="false" hidden="false" name="um28_A" vbProcedure="false">In!$E$142</definedName>
    <definedName function="false" hidden="false" name="um28_B" vbProcedure="false">In!$E$144</definedName>
    <definedName function="false" hidden="false" name="um28_B_hi" vbProcedure="false">In!$F$144</definedName>
    <definedName function="false" hidden="false" name="um28_B_lo" vbProcedure="false">In!$D$144</definedName>
    <definedName function="false" hidden="false" name="um28_C" vbProcedure="false">In!$E$146</definedName>
    <definedName function="false" hidden="false" name="um28_C_hi" vbProcedure="false">In!$F$146</definedName>
    <definedName function="false" hidden="false" name="um28_C_lo" vbProcedure="false">In!$D$146</definedName>
    <definedName function="false" hidden="false" name="um29_A" vbProcedure="false">In!$E$143</definedName>
    <definedName function="false" hidden="false" name="um29_B" vbProcedure="false">In!$E$145</definedName>
    <definedName function="false" hidden="false" name="um29_B_hi" vbProcedure="false">In!$F$145</definedName>
    <definedName function="false" hidden="false" name="um29_B_lo" vbProcedure="false">In!$D$145</definedName>
    <definedName function="false" hidden="false" name="um29_C" vbProcedure="false">In!$E$147</definedName>
    <definedName function="false" hidden="false" name="um29_C_hi" vbProcedure="false">In!$F$147</definedName>
    <definedName function="false" hidden="false" name="um29_C_lo" vbProcedure="false">In!$D$147</definedName>
    <definedName function="false" hidden="false" name="u_amd_26" vbProcedure="false">In!$E$117</definedName>
    <definedName function="false" hidden="false" name="u_amd_26_hi" vbProcedure="false">In!$F$117</definedName>
    <definedName function="false" hidden="false" name="u_amd_26_lo" vbProcedure="false">In!$D$117</definedName>
    <definedName function="false" hidden="false" name="u_amd_27" vbProcedure="false">In!$E$118</definedName>
    <definedName function="false" hidden="false" name="u_amd_27_hi" vbProcedure="false">In!$F$118</definedName>
    <definedName function="false" hidden="false" name="u_amd_27_lo" vbProcedure="false">In!$D$118</definedName>
    <definedName function="false" hidden="false" name="u_amd_28" vbProcedure="false">In!$E$119</definedName>
    <definedName function="false" hidden="false" name="u_amd_28_hi" vbProcedure="false">In!$F$119</definedName>
    <definedName function="false" hidden="false" name="u_amd_28_lo" vbProcedure="false">In!$D$119</definedName>
    <definedName function="false" hidden="false" name="u_bw_26" vbProcedure="false">In!$E$93</definedName>
    <definedName function="false" hidden="false" name="u_bw_27" vbProcedure="false">In!$E$94</definedName>
    <definedName function="false" hidden="false" name="u_bw_28" vbProcedure="false">In!$E$95</definedName>
    <definedName function="false" hidden="false" name="u_hp_26" vbProcedure="false">In!$E$111</definedName>
    <definedName function="false" hidden="false" name="u_hp_27" vbProcedure="false">In!$E$112</definedName>
    <definedName function="false" hidden="false" name="u_hp_28" vbProcedure="false">In!$E$113</definedName>
    <definedName function="false" hidden="false" name="u_oth_26" vbProcedure="false">In!$E$135</definedName>
    <definedName function="false" hidden="false" name="u_oth_26_hi" vbProcedure="false">In!$F$135</definedName>
    <definedName function="false" hidden="false" name="u_oth_26_lo" vbProcedure="false">In!$D$135</definedName>
    <definedName function="false" hidden="false" name="u_oth_27" vbProcedure="false">In!$E$136</definedName>
    <definedName function="false" hidden="false" name="u_oth_27_hi" vbProcedure="false">In!$F$136</definedName>
    <definedName function="false" hidden="false" name="u_oth_27_lo" vbProcedure="false">In!$D$136</definedName>
    <definedName function="false" hidden="false" name="u_oth_28" vbProcedure="false">In!$E$137</definedName>
    <definedName function="false" hidden="false" name="u_oth_28_hi" vbProcedure="false">In!$F$137</definedName>
    <definedName function="false" hidden="false" name="u_oth_28_lo" vbProcedure="false">In!$D$137</definedName>
    <definedName function="false" hidden="false" name="u_rb_26" vbProcedure="false">In!$E$99</definedName>
    <definedName function="false" hidden="false" name="u_rb_27" vbProcedure="false">In!$E$100</definedName>
    <definedName function="false" hidden="false" name="u_rb_28" vbProcedure="false">In!$E$101</definedName>
    <definedName function="false" hidden="false" name="u_ru_26" vbProcedure="false">In!$E$105</definedName>
    <definedName function="false" hidden="false" name="u_ru_26_hi" vbProcedure="false">In!$F$105</definedName>
    <definedName function="false" hidden="false" name="u_ru_26_lo" vbProcedure="false">In!$D$105</definedName>
    <definedName function="false" hidden="false" name="u_ru_27" vbProcedure="false">In!$E$106</definedName>
    <definedName function="false" hidden="false" name="u_ru_27_hi" vbProcedure="false">In!$F$106</definedName>
    <definedName function="false" hidden="false" name="u_ru_27_lo" vbProcedure="false">In!$D$106</definedName>
    <definedName function="false" hidden="false" name="u_ru_28" vbProcedure="false">In!$E$107</definedName>
    <definedName function="false" hidden="false" name="u_ru_28_hi" vbProcedure="false">In!$F$107</definedName>
    <definedName function="false" hidden="false" name="u_ru_28_lo" vbProcedure="false">In!$D$107</definedName>
    <definedName function="false" hidden="false" name="u_tpu_26" vbProcedure="false">In!$E$123</definedName>
    <definedName function="false" hidden="false" name="u_tpu_27" vbProcedure="false">In!$E$124</definedName>
    <definedName function="false" hidden="false" name="u_tpu_28" vbProcedure="false">In!$E$125</definedName>
    <definedName function="false" hidden="false" name="u_trn_26" vbProcedure="false">In!$E$129</definedName>
    <definedName function="false" hidden="false" name="u_trn_26_hi" vbProcedure="false">In!$F$129</definedName>
    <definedName function="false" hidden="false" name="u_trn_26_lo" vbProcedure="false">In!$D$129</definedName>
    <definedName function="false" hidden="false" name="u_trn_27" vbProcedure="false">In!$E$130</definedName>
    <definedName function="false" hidden="false" name="u_trn_27_hi" vbProcedure="false">In!$F$130</definedName>
    <definedName function="false" hidden="false" name="u_trn_27_lo" vbProcedure="false">In!$D$130</definedName>
    <definedName function="false" hidden="false" name="u_trn_28" vbProcedure="false">In!$E$131</definedName>
    <definedName function="false" hidden="false" name="u_trn_28_hi" vbProcedure="false">In!$F$131</definedName>
    <definedName function="false" hidden="false" name="u_trn_28_lo" vbProcedure="false">In!$D$131</definedName>
    <definedName function="false" hidden="false" name="vr26" vbProcedure="false">In!$E$301</definedName>
    <definedName function="false" hidden="false" name="vr26_hi" vbProcedure="false">In!$F$301</definedName>
    <definedName function="false" hidden="false" name="vr26_lo" vbProcedure="false">In!$D$301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<sst xmlns="http://schemas.openxmlformats.org/spreadsheetml/2006/main" count="9363" uniqueCount="4716">
  <si>
    <r>
      <rPr>
        <b val="true"/>
        <sz val="13"/>
        <rFont val="Cambria"/>
        <family val="0"/>
        <charset val="1"/>
      </rPr>
      <t xml:space="preserve">Siliconomics v0.10 — AI </t>
    </r>
    <r>
      <rPr>
        <b val="true"/>
        <sz val="13"/>
        <rFont val="Noto Sans CJK SC"/>
        <family val="2"/>
      </rPr>
      <t xml:space="preserve">半導體產業基準庫（</t>
    </r>
    <r>
      <rPr>
        <b val="true"/>
        <sz val="13"/>
        <rFont val="Cambria"/>
        <family val="0"/>
        <charset val="1"/>
      </rPr>
      <t xml:space="preserve">20261031</t>
    </r>
    <r>
      <rPr>
        <b val="true"/>
        <sz val="13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</si>
  <si>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用途：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半導體各子產業的『唯一事實』——加速器顆數、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與記憶體價格、網通內容、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、載板、伺服器組裝、電源散熱、設備等行業變數只有一個值；各公司模型只讀本庫 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名稱。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</si>
  <si>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的分工：每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硬體量、機架價、每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資本支出、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比例、產業年度部署路徑（</t>
    </r>
    <r>
      <rPr>
        <sz val="11"/>
        <color theme="1"/>
        <rFont val="Calibri"/>
        <family val="2"/>
        <charset val="1"/>
      </rPr>
      <t xml:space="preserve">R4</t>
    </r>
    <r>
      <rPr>
        <sz val="11"/>
        <color theme="1"/>
        <rFont val="Noto Sans CJK SC"/>
        <family val="2"/>
      </rPr>
      <t xml:space="preserve">）權威在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／算力收支，本庫只在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頁鏡像（綠字、不得修改）；晶片產業資訊（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單價與容量、每顆內容、網通內容、份額、出貨顆數、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規格、晶圓與設備）權威在本庫（《情境卡產生規則》第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</si>
  <si>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範圍：</t>
    </r>
    <r>
      <rPr>
        <sz val="11"/>
        <color theme="1"/>
        <rFont val="Calibri"/>
        <family val="2"/>
        <charset val="1"/>
      </rPr>
      <t xml:space="preserve">(1) Tokenomics v21.7 </t>
    </r>
    <r>
      <rPr>
        <sz val="11"/>
        <color theme="1"/>
        <rFont val="Noto Sans CJK SC"/>
        <family val="2"/>
      </rPr>
      <t xml:space="preserve">鏡像（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個名稱）與下游舊快照差異；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加速器顆數層、記憶體價格路徑、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市場（由 </t>
    </r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逐字搬入，數值不變）；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跨模型衝突登錄；</t>
    </r>
    <r>
      <rPr>
        <sz val="11"/>
        <color theme="1"/>
        <rFont val="Calibri"/>
        <family val="2"/>
        <charset val="1"/>
      </rPr>
      <t xml:space="preserve">(4) Interface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。網通、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、載板、組裝電源散熱、設備依規劃書分段併入。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</si>
  <si>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列全部補上區間、缺來源列補來源；新增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平台別顆數成長（單一來源，取代台積電、網通模型的寫死值與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模型的合計年增）與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頁；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SIF_UnitsPlat_*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SIF_UnitsGrowth29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</si>
  <si>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M6 </t>
    </r>
    <r>
      <rPr>
        <sz val="11"/>
        <color theme="1"/>
        <rFont val="Noto Sans CJK SC"/>
        <family val="2"/>
      </rPr>
      <t xml:space="preserve">節（加速器每顆售價、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核心價、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代購比例；原在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模型）與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設計服務份額；原在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mediatek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alchip </t>
    </r>
    <r>
      <rPr>
        <sz val="11"/>
        <color theme="1"/>
        <rFont val="Noto Sans CJK SC"/>
        <family val="2"/>
      </rPr>
      <t xml:space="preserve">模型）、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頁（同一平台份額加總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欄第二來源。</t>
    </r>
  </si>
  <si>
    <r>
      <rPr>
        <sz val="11"/>
        <color theme="1"/>
        <rFont val="Calibri"/>
        <family val="2"/>
        <charset val="1"/>
      </rPr>
      <t xml:space="preserve">v0.10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季價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改用公司實現平均售價 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（原合約價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海力士實績 </t>
    </r>
    <r>
      <rPr>
        <sz val="11"/>
        <color theme="1"/>
        <rFont val="Calibri"/>
        <family val="2"/>
        <charset val="1"/>
      </rPr>
      <t xml:space="preserve">mid-20%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改為兩季累計不變的餘額 </t>
    </r>
    <r>
      <rPr>
        <sz val="11"/>
        <color theme="1"/>
        <rFont val="Calibri"/>
        <family val="2"/>
        <charset val="1"/>
      </rPr>
      <t xml:space="preserve">+8.1%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+17.5%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起價格水準不變。決策 </t>
    </r>
    <r>
      <rPr>
        <sz val="11"/>
        <color theme="1"/>
        <rFont val="Calibri"/>
        <family val="2"/>
        <charset val="1"/>
      </rPr>
      <t xml:space="preserve">S30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</si>
  <si>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ts_mk_soc26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11.0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Advantest 2026-10-28 </t>
    </r>
    <r>
      <rPr>
        <sz val="11"/>
        <color theme="1"/>
        <rFont val="Noto Sans CJK SC"/>
        <family val="2"/>
      </rPr>
      <t xml:space="preserve">稱約 </t>
    </r>
    <r>
      <rPr>
        <sz val="11"/>
        <color theme="1"/>
        <rFont val="Calibri"/>
        <family val="2"/>
        <charset val="1"/>
      </rPr>
      <t xml:space="preserve">115 </t>
    </r>
    <r>
      <rPr>
        <sz val="11"/>
        <color theme="1"/>
        <rFont val="Noto Sans CJK SC"/>
        <family val="2"/>
      </rPr>
      <t xml:space="preserve">億美元；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＋泰瑞達 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營收合計約 </t>
    </r>
    <r>
      <rPr>
        <sz val="11"/>
        <color theme="1"/>
        <rFont val="Calibri"/>
        <family val="2"/>
        <charset val="1"/>
      </rPr>
      <t xml:space="preserve">113 </t>
    </r>
    <r>
      <rPr>
        <sz val="11"/>
        <color theme="1"/>
        <rFont val="Noto Sans CJK SC"/>
        <family val="2"/>
      </rPr>
      <t xml:space="preserve">億美元已高於舊值）；每加權顆測試支出與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市場隨之上升。決策 </t>
    </r>
    <r>
      <rPr>
        <sz val="11"/>
        <color theme="1"/>
        <rFont val="Calibri"/>
        <family val="2"/>
        <charset val="1"/>
      </rPr>
      <t xml:space="preserve">S29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</si>
  <si>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v0.8.4</t>
    </r>
    <r>
      <rPr>
        <sz val="11"/>
        <color theme="1"/>
        <rFont val="Noto Sans CJK SC"/>
        <family val="2"/>
      </rPr>
      <t xml:space="preserve">：來源複核後修正標記與來源文字：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情境季價路徑 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改標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改標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（區間＝情境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測試機市場來源改為 </t>
    </r>
    <r>
      <rPr>
        <sz val="11"/>
        <color theme="1"/>
        <rFont val="Calibri"/>
        <family val="2"/>
        <charset val="1"/>
      </rPr>
      <t xml:space="preserve">2026-07-29 </t>
    </r>
    <r>
      <rPr>
        <sz val="11"/>
        <color theme="1"/>
        <rFont val="Noto Sans CJK SC"/>
        <family val="2"/>
      </rPr>
      <t xml:space="preserve">原文；輸入值不變。</t>
    </r>
  </si>
  <si>
    <r>
      <rPr>
        <sz val="11"/>
        <color theme="1"/>
        <rFont val="Calibri"/>
        <family val="2"/>
        <charset val="1"/>
      </rPr>
      <t xml:space="preserve">v0.8.3</t>
    </r>
    <r>
      <rPr>
        <sz val="11"/>
        <color theme="1"/>
        <rFont val="Noto Sans CJK SC"/>
        <family val="2"/>
      </rPr>
      <t xml:space="preserve">：衝突登錄清理（</t>
    </r>
    <r>
      <rPr>
        <sz val="11"/>
        <color theme="1"/>
        <rFont val="Calibri"/>
        <family val="2"/>
        <charset val="1"/>
      </rPr>
      <t xml:space="preserve">CF02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CF05–08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CF16 </t>
    </r>
    <r>
      <rPr>
        <sz val="11"/>
        <color theme="1"/>
        <rFont val="Noto Sans CJK SC"/>
        <family val="2"/>
      </rPr>
      <t xml:space="preserve">結案；</t>
    </r>
    <r>
      <rPr>
        <sz val="11"/>
        <color theme="1"/>
        <rFont val="Calibri"/>
        <family val="2"/>
        <charset val="1"/>
      </rPr>
      <t xml:space="preserve">CF01 </t>
    </r>
    <r>
      <rPr>
        <sz val="11"/>
        <color theme="1"/>
        <rFont val="Noto Sans CJK SC"/>
        <family val="2"/>
      </rPr>
      <t xml:space="preserve">移到南電分部重建）；無新增輸入。</t>
    </r>
  </si>
  <si>
    <r>
      <rPr>
        <sz val="11"/>
        <color theme="1"/>
        <rFont val="Calibri"/>
        <family val="2"/>
        <charset val="1"/>
      </rPr>
      <t xml:space="preserve">v0.8.2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M26</t>
    </r>
    <r>
      <rPr>
        <sz val="11"/>
        <color theme="1"/>
        <rFont val="Noto Sans CJK SC"/>
        <family val="2"/>
      </rPr>
      <t xml:space="preserve">（共用匯率：新台幣 </t>
    </r>
    <r>
      <rPr>
        <sz val="11"/>
        <color theme="1"/>
        <rFont val="Calibri"/>
        <family val="2"/>
        <charset val="1"/>
      </rPr>
      <t xml:space="preserve">32.0</t>
    </r>
    <r>
      <rPr>
        <sz val="11"/>
        <color theme="1"/>
        <rFont val="Noto Sans CJK SC"/>
        <family val="2"/>
      </rPr>
      <t xml:space="preserve">、人民幣 </t>
    </r>
    <r>
      <rPr>
        <sz val="11"/>
        <color theme="1"/>
        <rFont val="Calibri"/>
        <family val="2"/>
        <charset val="1"/>
      </rPr>
      <t xml:space="preserve">6.72</t>
    </r>
    <r>
      <rPr>
        <sz val="11"/>
        <color theme="1"/>
        <rFont val="Noto Sans CJK SC"/>
        <family val="2"/>
      </rPr>
      <t xml:space="preserve">、韓元 </t>
    </r>
    <r>
      <rPr>
        <sz val="11"/>
        <color theme="1"/>
        <rFont val="Calibri"/>
        <family val="2"/>
        <charset val="1"/>
      </rPr>
      <t xml:space="preserve">1,420</t>
    </r>
    <r>
      <rPr>
        <sz val="11"/>
        <color theme="1"/>
        <rFont val="Noto Sans CJK SC"/>
        <family val="2"/>
      </rPr>
      <t xml:space="preserve">；台、陸、韓 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個模型改讀；日圓為公司財測前提，不共用）。</t>
    </r>
  </si>
  <si>
    <r>
      <rPr>
        <sz val="11"/>
        <color theme="1"/>
        <rFont val="Calibri"/>
        <family val="2"/>
        <charset val="1"/>
      </rPr>
      <t xml:space="preserve">v0.8.1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伺服器組裝：廣達、鴻海、緯創本體、緯穎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有效份額快照與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份額相對值、緯穎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比重；原在 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foxconn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的組裝份額表（含緯穎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傾斜係數）、</t>
    </r>
    <r>
      <rPr>
        <sz val="11"/>
        <color theme="1"/>
        <rFont val="Calibri"/>
        <family val="2"/>
        <charset val="1"/>
      </rPr>
      <t xml:space="preserve">Checks K6-asm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SIF_AsmShareSum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SIF_AsmWyTilt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SIF_AsmShare_wy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CF23 </t>
    </r>
    <r>
      <rPr>
        <sz val="11"/>
        <color theme="1"/>
        <rFont val="Noto Sans CJK SC"/>
        <family val="2"/>
      </rPr>
      <t xml:space="preserve">登錄（緯創模型的緯穎份額路徑與緯穎模型不同）。</t>
    </r>
  </si>
  <si>
    <r>
      <rPr>
        <sz val="11"/>
        <color theme="1"/>
        <rFont val="Calibri"/>
        <family val="2"/>
        <charset val="1"/>
      </rPr>
      <t xml:space="preserve">v0.8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海力士、三星、美光 </t>
    </r>
    <r>
      <rPr>
        <sz val="11"/>
        <color theme="1"/>
        <rFont val="Calibri"/>
        <family val="2"/>
        <charset val="1"/>
      </rPr>
      <t xml:space="preserve">2025–2029</t>
    </r>
    <r>
      <rPr>
        <sz val="11"/>
        <color theme="1"/>
        <rFont val="Noto Sans CJK SC"/>
        <family val="2"/>
      </rPr>
      <t xml:space="preserve">；原在各公司 </t>
    </r>
    <r>
      <rPr>
        <sz val="11"/>
        <color theme="1"/>
        <rFont val="Calibri"/>
        <family val="2"/>
        <charset val="1"/>
      </rPr>
      <t xml:space="preserve">company.py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份額表、</t>
    </r>
    <r>
      <rPr>
        <sz val="11"/>
        <color theme="1"/>
        <rFont val="Calibri"/>
        <family val="2"/>
        <charset val="1"/>
      </rPr>
      <t xml:space="preserve">Checks K6-hbm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SIF_HBMShareSum</t>
    </r>
    <r>
      <rPr>
        <sz val="11"/>
        <color theme="1"/>
        <rFont val="Noto Sans CJK SC"/>
        <family val="2"/>
      </rPr>
      <t xml:space="preserve">；台積電的 </t>
    </r>
    <r>
      <rPr>
        <sz val="11"/>
        <color theme="1"/>
        <rFont val="Calibri"/>
        <family val="2"/>
        <charset val="1"/>
      </rPr>
      <t xml:space="preserve">HBM 2027 </t>
    </r>
    <r>
      <rPr>
        <sz val="11"/>
        <color theme="1"/>
        <rFont val="Noto Sans CJK SC"/>
        <family val="2"/>
      </rPr>
      <t xml:space="preserve">缺口改讀 </t>
    </r>
    <r>
      <rPr>
        <sz val="11"/>
        <color theme="1"/>
        <rFont val="Calibri"/>
        <family val="2"/>
        <charset val="1"/>
      </rPr>
      <t xml:space="preserve">SIF_HBM_GapEB_A ÷ SIF_HBM_SupplyEB</t>
    </r>
    <r>
      <rPr>
        <sz val="11"/>
        <color theme="1"/>
        <rFont val="Noto Sans CJK SC"/>
        <family val="2"/>
      </rPr>
      <t xml:space="preserve">（原手打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</si>
  <si>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v0.7.1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堆疊技術：核心晶粒容量、堆疊層數、混合鍵合占比 </t>
    </r>
    <r>
      <rPr>
        <sz val="11"/>
        <color theme="1"/>
        <rFont val="Calibri"/>
        <family val="2"/>
        <charset val="1"/>
      </rPr>
      <t xml:space="preserve">2025–2030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hanmi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同讀）、</t>
    </r>
    <r>
      <rPr>
        <sz val="11"/>
        <color theme="1"/>
        <rFont val="Calibri"/>
        <family val="2"/>
        <charset val="1"/>
      </rPr>
      <t xml:space="preserve">M23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市場輸入：每顆加速器企業級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位元基期與應用結構、各應用與供給位元年增、各廠季營收、份額年變動；原在 </t>
    </r>
    <r>
      <rPr>
        <sz val="11"/>
        <color theme="1"/>
        <rFont val="Calibri"/>
        <family val="2"/>
        <charset val="1"/>
      </rPr>
      <t xml:space="preserve">markets/nand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Equip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節、</t>
    </r>
    <r>
      <rPr>
        <sz val="11"/>
        <color theme="1"/>
        <rFont val="Calibri"/>
        <family val="2"/>
        <charset val="1"/>
      </rPr>
      <t xml:space="preserve">Interface SIF_HBMHybrid_*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</si>
  <si>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v0.7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M20</t>
    </r>
    <r>
      <rPr>
        <sz val="11"/>
        <color theme="1"/>
        <rFont val="Noto Sans CJK SC"/>
        <family val="2"/>
      </rPr>
      <t xml:space="preserve">（設備市場層的行業輸入：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年中預測、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外推、其他晶圓廠設備成長與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資本支出、設備情境係數、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分類、券商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M21</t>
    </r>
    <r>
      <rPr>
        <sz val="11"/>
        <color theme="1"/>
        <rFont val="Noto Sans CJK SC"/>
        <family val="2"/>
      </rPr>
      <t xml:space="preserve">（測試設備：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／記憶體測試機市場錨點、非 </t>
    </r>
    <r>
      <rPr>
        <sz val="11"/>
        <color theme="1"/>
        <rFont val="Calibri"/>
        <family val="2"/>
        <charset val="1"/>
      </rPr>
      <t xml:space="preserve">AI SoC</t>
    </r>
    <r>
      <rPr>
        <sz val="11"/>
        <color theme="1"/>
        <rFont val="Noto Sans CJK SC"/>
        <family val="2"/>
      </rPr>
      <t xml:space="preserve">、每顆測試時間係數、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權重、泰瑞達測試 </t>
    </r>
    <r>
      <rPr>
        <sz val="11"/>
        <color theme="1"/>
        <rFont val="Calibri"/>
        <family val="2"/>
        <charset val="1"/>
      </rPr>
      <t xml:space="preserve">÷ WFE </t>
    </r>
    <r>
      <rPr>
        <sz val="11"/>
        <color theme="1"/>
        <rFont val="Noto Sans CJK SC"/>
        <family val="2"/>
      </rPr>
      <t xml:space="preserve">區間；原在 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Equip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分項路徑、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測試機市場三情境、測試 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〕）、</t>
    </r>
    <r>
      <rPr>
        <sz val="11"/>
        <color theme="1"/>
        <rFont val="Calibri"/>
        <family val="2"/>
        <charset val="1"/>
      </rPr>
      <t xml:space="preserve">Checks K8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SIF_SEMI_*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SIF_TestSoCMkt_*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SIF_TestWFE_*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</si>
  <si>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v0.6.1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M19</t>
    </r>
    <r>
      <rPr>
        <sz val="11"/>
        <color theme="1"/>
        <rFont val="Noto Sans CJK SC"/>
        <family val="2"/>
      </rPr>
      <t xml:space="preserve">（液冷：機架內液冷每架內容〔原在 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〕、分歧管、內容調整、滲透率、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對照、奇鋐與雙鴻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份額快照與份額相對值、健策冷板元件份額；原在 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jentech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液冷市場三情境）、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液冷份額表（</t>
    </r>
    <r>
      <rPr>
        <sz val="11"/>
        <color theme="1"/>
        <rFont val="Calibri"/>
        <family val="2"/>
        <charset val="1"/>
      </rPr>
      <t xml:space="preserve">CF04 </t>
    </r>
    <r>
      <rPr>
        <sz val="11"/>
        <color theme="1"/>
        <rFont val="Noto Sans CJK SC"/>
        <family val="2"/>
      </rPr>
      <t xml:space="preserve">加入雙鴻；</t>
    </r>
    <r>
      <rPr>
        <sz val="11"/>
        <color theme="1"/>
        <rFont val="Calibri"/>
        <family val="2"/>
        <charset val="1"/>
      </rPr>
      <t xml:space="preserve">CF12 </t>
    </r>
    <r>
      <rPr>
        <sz val="11"/>
        <color theme="1"/>
        <rFont val="Noto Sans CJK SC"/>
        <family val="2"/>
      </rPr>
      <t xml:space="preserve">台達電機架外液冷不屬本市場）、</t>
    </r>
    <r>
      <rPr>
        <sz val="11"/>
        <color theme="1"/>
        <rFont val="Calibri"/>
        <family val="2"/>
        <charset val="1"/>
      </rPr>
      <t xml:space="preserve">Checks K6-lc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SIF_LiqPerGW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SIF_LiqPen_*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SIF_LiqMkt_*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SIF_LiqShareSum_*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</si>
  <si>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v0.6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內容、台達電與光寶份額路徑、凱基與 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外部錨點；原在 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liteon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每櫃價格、緯穎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占比單一值〔</t>
    </r>
    <r>
      <rPr>
        <sz val="11"/>
        <color theme="1"/>
        <rFont val="Calibri"/>
        <family val="2"/>
        <charset val="1"/>
      </rPr>
      <t xml:space="preserve">CF09</t>
    </r>
    <r>
      <rPr>
        <sz val="11"/>
        <color theme="1"/>
        <rFont val="Noto Sans CJK SC"/>
        <family val="2"/>
      </rPr>
      <t xml:space="preserve">〕；原在 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伺服器組裝市場、商用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系統市場〔</t>
    </r>
    <r>
      <rPr>
        <sz val="11"/>
        <color theme="1"/>
        <rFont val="Calibri"/>
        <family val="2"/>
        <charset val="1"/>
      </rPr>
      <t xml:space="preserve">CF10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2026 </t>
    </r>
    <r>
      <rPr>
        <sz val="11"/>
        <color theme="1"/>
        <rFont val="Noto Sans CJK SC"/>
        <family val="2"/>
      </rPr>
      <t xml:space="preserve">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起計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世代〕、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電源份額表、</t>
    </r>
    <r>
      <rPr>
        <sz val="11"/>
        <color theme="1"/>
        <rFont val="Calibri"/>
        <family val="2"/>
        <charset val="1"/>
      </rPr>
      <t xml:space="preserve">Checks K6-pwr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SIF_AsmMkt_*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SIF_GPUSysMkt_*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SIF_PwrMkt_*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SIF_PwrShareSum_*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</si>
  <si>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v0.5.2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M16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金額；原在 </t>
    </r>
    <r>
      <rPr>
        <sz val="11"/>
        <color theme="1"/>
        <rFont val="Calibri"/>
        <family val="2"/>
        <charset val="1"/>
      </rPr>
      <t xml:space="preserve">victory_giant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emc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PGW </t>
    </r>
    <r>
      <rPr>
        <sz val="11"/>
        <color theme="1"/>
        <rFont val="Noto Sans CJK SC"/>
        <family val="2"/>
      </rPr>
      <t xml:space="preserve">頁、</t>
    </r>
    <r>
      <rPr>
        <sz val="11"/>
        <color theme="1"/>
        <rFont val="Calibri"/>
        <family val="2"/>
        <charset val="1"/>
      </rPr>
      <t xml:space="preserve">Interface SIF_PCBperGW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SIF_CCLperGW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SIF_PCBMkt_*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SIF_CCLMkt_*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</si>
  <si>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v0.5.1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供需表輸入：產值、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占比、權重、各廠產能指數、味之素膜上限；欣興、南電、景碩產能與味之素膜上限原在各公司模型）與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頁（需求、供給、缺口三情境）、</t>
    </r>
    <r>
      <rPr>
        <sz val="11"/>
        <color theme="1"/>
        <rFont val="Calibri"/>
        <family val="2"/>
        <charset val="1"/>
      </rPr>
      <t xml:space="preserve">Interface SIF_ABF*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</si>
  <si>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v0.5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M13</t>
    </r>
    <r>
      <rPr>
        <sz val="11"/>
        <color theme="1"/>
        <rFont val="Noto Sans CJK SC"/>
        <family val="2"/>
      </rPr>
      <t xml:space="preserve">（加速器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載板份額、每顆金額路徑、供需缺口；原在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nanya_pcb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kinsus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每片封裝數、其他用途、台積電產能、委外補充；原在 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載板份額表、</t>
    </r>
    <r>
      <rPr>
        <sz val="11"/>
        <color theme="1"/>
        <rFont val="Calibri"/>
        <family val="2"/>
        <charset val="1"/>
      </rPr>
      <t xml:space="preserve">Checks K6-abf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SIF_ABFShareSum_*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</si>
  <si>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v0.4.1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光學金額份額：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、中際旭創、新易盛、</t>
    </r>
    <r>
      <rPr>
        <sz val="11"/>
        <color theme="1"/>
        <rFont val="Calibri"/>
        <family val="2"/>
        <charset val="1"/>
      </rPr>
      <t xml:space="preserve">Fabrinet</t>
    </r>
    <r>
      <rPr>
        <sz val="11"/>
        <color theme="1"/>
        <rFont val="Noto Sans CJK SC"/>
        <family val="2"/>
      </rPr>
      <t xml:space="preserve">；原在各公司模型）與 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份額表、</t>
    </r>
    <r>
      <rPr>
        <sz val="11"/>
        <color theme="1"/>
        <rFont val="Calibri"/>
        <family val="2"/>
        <charset val="1"/>
      </rPr>
      <t xml:space="preserve">Checks K6-cpo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SIF_CPOShareSum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</si>
  <si>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v0.4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M8–M11</t>
    </r>
    <r>
      <rPr>
        <sz val="11"/>
        <color theme="1"/>
        <rFont val="Noto Sans CJK SC"/>
        <family val="2"/>
      </rPr>
      <t xml:space="preserve">（每顆網通內容、每顆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世代改由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推導〕、網通技術轉換與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三情境、</t>
    </r>
    <r>
      <rPr>
        <sz val="11"/>
        <color theme="1"/>
        <rFont val="Calibri"/>
        <family val="2"/>
        <charset val="1"/>
      </rPr>
      <t xml:space="preserve">2026 Rubin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vr26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個公司模型）與 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資本支出、部署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三情境）；橋接表改讀 </t>
    </r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</si>
  <si>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Scen</t>
    </r>
    <r>
      <rPr>
        <sz val="11"/>
        <color theme="1"/>
        <rFont val="Noto Sans CJK SC"/>
        <family val="2"/>
      </rPr>
      <t xml:space="preserve">（情境定義）→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（藍字輸入）→ 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（推導）→ 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（下游取數）→ 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SGOV_Errors </t>
    </r>
    <r>
      <rPr>
        <sz val="11"/>
        <color theme="1"/>
        <rFont val="Noto Sans CJK SC"/>
        <family val="2"/>
      </rPr>
      <t xml:space="preserve">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</si>
  <si>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顏色：藍字＝輸入（本活頁簿擁有）；黑字＝公式；綠字＝跨頁或外部連結；淡黃底＝關鍵輸出；亮黃底＝待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決定或未定。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</si>
  <si>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一律給區間（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搬入列尚有缺區間者，見 </t>
    </r>
    <r>
      <rPr>
        <sz val="11"/>
        <color theme="1"/>
        <rFont val="Calibri"/>
        <family val="2"/>
        <charset val="1"/>
      </rPr>
      <t xml:space="preserve">Checks G3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</si>
  <si>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優先：要改輸入，直接改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頁藍字；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重建時讀回（</t>
    </r>
    <r>
      <rPr>
        <sz val="11"/>
        <color theme="1"/>
        <rFont val="Calibri"/>
        <family val="2"/>
        <charset val="1"/>
      </rPr>
      <t xml:space="preserve">--base</t>
    </r>
    <r>
      <rPr>
        <sz val="11"/>
        <color theme="1"/>
        <rFont val="Noto Sans CJK SC"/>
        <family val="2"/>
      </rPr>
      <t xml:space="preserve">）。公式頁不要手改（重建時會被覆寫）。</t>
    </r>
  </si>
  <si>
    <r>
      <rPr>
        <sz val="11"/>
        <color theme="1"/>
        <rFont val="Noto Sans CJK SC"/>
        <family val="2"/>
      </rPr>
      <t xml:space="preserve">取數規則（下游）：只取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具名範圍（含 </t>
    </r>
    <r>
      <rPr>
        <sz val="11"/>
        <color theme="1"/>
        <rFont val="Calibri"/>
        <family val="2"/>
        <charset val="1"/>
      </rPr>
      <t xml:space="preserve">SIF_TK_* </t>
    </r>
    <r>
      <rPr>
        <sz val="11"/>
        <color theme="1"/>
        <rFont val="Noto Sans CJK SC"/>
        <family val="2"/>
      </rPr>
      <t xml:space="preserve">鏡像）；不得連結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等內部頁；以 </t>
    </r>
    <r>
      <rPr>
        <sz val="11"/>
        <color theme="1"/>
        <rFont val="Calibri"/>
        <family val="2"/>
        <charset val="1"/>
      </rPr>
      <t xml:space="preserve">tools/export_snapshot.py </t>
    </r>
    <r>
      <rPr>
        <sz val="11"/>
        <color theme="1"/>
        <rFont val="Noto Sans CJK SC"/>
        <family val="2"/>
      </rPr>
      <t xml:space="preserve">匯成版本固定快照，版本號寫入公司模型。</t>
    </r>
  </si>
  <si>
    <r>
      <rPr>
        <sz val="11"/>
        <color theme="1"/>
        <rFont val="Noto Sans CJK SC"/>
        <family val="2"/>
      </rPr>
      <t xml:space="preserve">版本命名：</t>
    </r>
    <r>
      <rPr>
        <sz val="11"/>
        <color theme="1"/>
        <rFont val="Calibri"/>
        <family val="2"/>
        <charset val="1"/>
      </rPr>
      <t xml:space="preserve">YYYYMMDD_Siliconomics_vX.Y.xlsx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model/CURRENT </t>
    </r>
    <r>
      <rPr>
        <sz val="11"/>
        <color theme="1"/>
        <rFont val="Noto Sans CJK SC"/>
        <family val="2"/>
      </rPr>
      <t xml:space="preserve">記錄現行檔名。只改證據或標記為修補版；輸入值或公式改變為次版；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名稱刪除或定義改變為主版（</t>
    </r>
    <r>
      <rPr>
        <sz val="11"/>
        <color theme="1"/>
        <rFont val="Calibri"/>
        <family val="2"/>
        <charset val="1"/>
      </rPr>
      <t xml:space="preserve">v1.0 </t>
    </r>
    <r>
      <rPr>
        <sz val="11"/>
        <color theme="1"/>
        <rFont val="Noto Sans CJK SC"/>
        <family val="2"/>
      </rPr>
      <t xml:space="preserve">前只新增名稱以次版處理）。</t>
    </r>
  </si>
  <si>
    <r>
      <rPr>
        <sz val="11"/>
        <color theme="1"/>
        <rFont val="Calibri"/>
        <family val="2"/>
        <charset val="1"/>
      </rPr>
      <t xml:space="preserve">Scen — </t>
    </r>
    <r>
      <rPr>
        <sz val="11"/>
        <color theme="1"/>
        <rFont val="Noto Sans CJK SC"/>
        <family val="2"/>
      </rPr>
      <t xml:space="preserve">行業情境定義（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＝不如預期）。各公司模型的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一律讀同字母行業情境（</t>
    </r>
    <r>
      <rPr>
        <sz val="11"/>
        <color theme="1"/>
        <rFont val="Calibri"/>
        <family val="2"/>
        <charset val="1"/>
      </rPr>
      <t xml:space="preserve">Andy 2026-10-25 13:13</t>
    </r>
    <r>
      <rPr>
        <sz val="11"/>
        <color theme="1"/>
        <rFont val="Noto Sans CJK SC"/>
        <family val="2"/>
      </rPr>
      <t xml:space="preserve">）</t>
    </r>
  </si>
  <si>
    <t xml:space="preserve">情境</t>
  </si>
  <si>
    <t xml:space="preserve">名稱</t>
  </si>
  <si>
    <t xml:space="preserve">定義（顆數與部署）</t>
  </si>
  <si>
    <t xml:space="preserve">記憶體價格路徑</t>
  </si>
  <si>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</si>
  <si>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</si>
  <si>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t xml:space="preserve">2030–2032</t>
  </si>
  <si>
    <t xml:space="preserve">A</t>
  </si>
  <si>
    <t xml:space="preserve">順利</t>
  </si>
  <si>
    <r>
      <rPr>
        <sz val="11"/>
        <color theme="1"/>
        <rFont val="Noto Sans CJK SC"/>
        <family val="2"/>
      </rPr>
      <t xml:space="preserve">基準顆數（市場層 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Noto Sans CJK SC"/>
        <family val="2"/>
      </rPr>
      <t xml:space="preserve">預測）；部署順利、新技術導入快</t>
    </r>
  </si>
  <si>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型）</t>
    </r>
  </si>
  <si>
    <r>
      <rPr>
        <sz val="11"/>
        <color theme="1"/>
        <rFont val="Noto Sans CJK SC"/>
        <family val="2"/>
      </rPr>
      <t xml:space="preserve">未定：待算力收支 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產業部署路徑（預計 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後）；各公司模型目前以收斂法自推</t>
    </r>
  </si>
  <si>
    <t xml:space="preserve">B</t>
  </si>
  <si>
    <t xml:space="preserve">平平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</si>
  <si>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顆數約為基準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0.85</t>
    </r>
  </si>
  <si>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型）</t>
    </r>
  </si>
  <si>
    <t xml:space="preserve">C</t>
  </si>
  <si>
    <t xml:space="preserve">不如預期</t>
  </si>
  <si>
    <r>
      <rPr>
        <sz val="11"/>
        <color theme="1"/>
        <rFont val="Noto Sans CJK SC"/>
        <family val="2"/>
      </rPr>
      <t xml:space="preserve">明顯下修：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顆數約為基準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</si>
  <si>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自谷底回升（完整循環）</t>
    </r>
  </si>
  <si>
    <t xml:space="preserve">說明</t>
  </si>
  <si>
    <r>
      <rPr>
        <sz val="11"/>
        <color theme="1"/>
        <rFont val="Noto Sans CJK SC"/>
        <family val="2"/>
      </rPr>
      <t xml:space="preserve">情境係數只定義 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，無外部預測可校準；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，見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M2b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上線後，</t>
    </r>
    <r>
      <rPr>
        <sz val="11"/>
        <color theme="1"/>
        <rFont val="Calibri"/>
        <family val="2"/>
        <charset val="1"/>
      </rPr>
      <t xml:space="preserve">2026–2030 </t>
    </r>
    <r>
      <rPr>
        <sz val="11"/>
        <color theme="1"/>
        <rFont val="Noto Sans CJK SC"/>
        <family val="2"/>
      </rPr>
      <t xml:space="preserve">的部署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三情境改讀算力收支（權威在算力收支，第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條），本頁的係數改為由部署路徑推導。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</si>
  <si>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產業輸入（藍字＝輸入，由本活頁簿擁有；要改值直接改本頁，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欄），另有 </t>
    </r>
    <r>
      <rPr>
        <sz val="11"/>
        <color theme="1"/>
        <rFont val="Calibri"/>
        <family val="2"/>
        <charset val="1"/>
      </rPr>
      <t xml:space="preserve">_lo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_hi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</si>
  <si>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（寫明換算）。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內容由 </t>
    </r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逐字搬入（數值、標記、來源文字不變）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</si>
  <si>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</si>
  <si>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</si>
  <si>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</si>
  <si>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</si>
  <si>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</si>
  <si>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</si>
  <si>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</si>
  <si>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</si>
  <si>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Interface </t>
    </r>
    <r>
      <rPr>
        <b val="true"/>
        <sz val="11"/>
        <rFont val="Noto Sans CJK SC"/>
        <family val="2"/>
      </rPr>
      <t xml:space="preserve">名稱</t>
    </r>
  </si>
  <si>
    <t xml:space="preserve">第二來源／說明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</si>
  <si>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Noto Sans CJK SC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）</t>
    </r>
  </si>
  <si>
    <t xml:space="preserve">cq_1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</si>
  <si>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</si>
  <si>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</si>
  <si>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</si>
  <si>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</si>
  <si>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SIF_cq_1</t>
  </si>
  <si>
    <t xml:space="preserve">cq_2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</si>
  <si>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</si>
  <si>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同上</t>
  </si>
  <si>
    <t xml:space="preserve">SIF_cq_2</t>
  </si>
  <si>
    <t xml:space="preserve">cq_3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</si>
  <si>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</si>
  <si>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SIF_cq_3</t>
  </si>
  <si>
    <t xml:space="preserve">cq_4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</si>
  <si>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</si>
  <si>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SIF_cq_4</t>
  </si>
  <si>
    <t xml:space="preserve">cq_5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</si>
  <si>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</si>
  <si>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SIF_cq_5</t>
  </si>
  <si>
    <t xml:space="preserve">cq_6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</si>
  <si>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</si>
  <si>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SIF_cq_6</t>
  </si>
  <si>
    <t xml:space="preserve">cq_7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</si>
  <si>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</si>
  <si>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SIF_cq_7</t>
  </si>
  <si>
    <t xml:space="preserve">cqA_8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</si>
  <si>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</si>
  <si>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Derived</t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</si>
  <si>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</si>
  <si>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SIF_cqA_8</t>
  </si>
  <si>
    <t xml:space="preserve">cqA_9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</si>
  <si>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</si>
  <si>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SIF_cqA_9</t>
  </si>
  <si>
    <t xml:space="preserve">cqA_10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</si>
  <si>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</si>
  <si>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SIF_cqA_10</t>
  </si>
  <si>
    <t xml:space="preserve">cqA_11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</si>
  <si>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</si>
  <si>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SIF_cqA_11</t>
  </si>
  <si>
    <t xml:space="preserve">cqA_12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</si>
  <si>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</si>
  <si>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SIF_cqA_12</t>
  </si>
  <si>
    <t xml:space="preserve">cqA_13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</si>
  <si>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</si>
  <si>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SIF_cqA_13</t>
  </si>
  <si>
    <t xml:space="preserve">cqA_14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</si>
  <si>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</si>
  <si>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SIF_cqA_14</t>
  </si>
  <si>
    <t xml:space="preserve">cqA_15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</si>
  <si>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</si>
  <si>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SIF_cqA_15</t>
  </si>
  <si>
    <t xml:space="preserve">cqA_16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</si>
  <si>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</si>
  <si>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</si>
  <si>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為本庫外推：標示來源只涵蓋到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來源複核）；區間＝情境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同季值</t>
    </r>
  </si>
  <si>
    <t xml:space="preserve">SIF_cqA_16</t>
  </si>
  <si>
    <t xml:space="preserve">cqA_17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</si>
  <si>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</si>
  <si>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SIF_cqA_17</t>
  </si>
  <si>
    <t xml:space="preserve">cqA_18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</si>
  <si>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</si>
  <si>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SIF_cqA_18</t>
  </si>
  <si>
    <t xml:space="preserve">cqA_19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</si>
  <si>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</si>
  <si>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SIF_cqA_19</t>
  </si>
  <si>
    <t xml:space="preserve">cqB_8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</si>
  <si>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</si>
  <si>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Noto Sans CJK SC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</si>
  <si>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SIF_cqB_8</t>
  </si>
  <si>
    <t xml:space="preserve">cqB_9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</si>
  <si>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</si>
  <si>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SIF_cqB_9</t>
  </si>
  <si>
    <t xml:space="preserve">cqB_10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</si>
  <si>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</si>
  <si>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SIF_cqB_10</t>
  </si>
  <si>
    <t xml:space="preserve">cqB_11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</si>
  <si>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</si>
  <si>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SIF_cqB_11</t>
  </si>
  <si>
    <t xml:space="preserve">cqB_12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</si>
  <si>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</si>
  <si>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SIF_cqB_12</t>
  </si>
  <si>
    <t xml:space="preserve">cqB_13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</si>
  <si>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</si>
  <si>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SIF_cqB_13</t>
  </si>
  <si>
    <t xml:space="preserve">cqB_14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</si>
  <si>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</si>
  <si>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SIF_cqB_14</t>
  </si>
  <si>
    <t xml:space="preserve">cqB_15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</si>
  <si>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</si>
  <si>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SIF_cqB_15</t>
  </si>
  <si>
    <t xml:space="preserve">cqB_16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</si>
  <si>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</si>
  <si>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SIF_cqB_16</t>
  </si>
  <si>
    <t xml:space="preserve">cqB_17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</si>
  <si>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</si>
  <si>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SIF_cqB_17</t>
  </si>
  <si>
    <t xml:space="preserve">cqB_18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</si>
  <si>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</si>
  <si>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SIF_cqB_18</t>
  </si>
  <si>
    <t xml:space="preserve">cqB_19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</si>
  <si>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</si>
  <si>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SIF_cqB_19</t>
  </si>
  <si>
    <t xml:space="preserve">cqC_8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</si>
  <si>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</si>
  <si>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</si>
  <si>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SIF_cqC_8</t>
  </si>
  <si>
    <t xml:space="preserve">cqC_9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</si>
  <si>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</si>
  <si>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SIF_cqC_9</t>
  </si>
  <si>
    <t xml:space="preserve">cqC_10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</si>
  <si>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</si>
  <si>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SIF_cqC_10</t>
  </si>
  <si>
    <t xml:space="preserve">cqC_11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</si>
  <si>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</si>
  <si>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SIF_cqC_11</t>
  </si>
  <si>
    <t xml:space="preserve">cqC_12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</si>
  <si>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</si>
  <si>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SIF_cqC_12</t>
  </si>
  <si>
    <t xml:space="preserve">cqC_13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</si>
  <si>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</si>
  <si>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SIF_cqC_13</t>
  </si>
  <si>
    <t xml:space="preserve">cqC_14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</si>
  <si>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</si>
  <si>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SIF_cqC_14</t>
  </si>
  <si>
    <t xml:space="preserve">cqC_15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</si>
  <si>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</si>
  <si>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SIF_cqC_15</t>
  </si>
  <si>
    <t xml:space="preserve">cqC_16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</si>
  <si>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</si>
  <si>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SIF_cqC_16</t>
  </si>
  <si>
    <t xml:space="preserve">cqC_17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</si>
  <si>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</si>
  <si>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SIF_cqC_17</t>
  </si>
  <si>
    <t xml:space="preserve">cqC_18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</si>
  <si>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</si>
  <si>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SIF_cqC_18</t>
  </si>
  <si>
    <t xml:space="preserve">cqC_19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</si>
  <si>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</si>
  <si>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SIF_cqC_19</t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</si>
  <si>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</si>
  <si>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</si>
  <si>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</si>
  <si>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SIF_nq_1</t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</si>
  <si>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</si>
  <si>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</si>
  <si>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SIF_nq_2</t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</si>
  <si>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</si>
  <si>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</si>
  <si>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SIF_nq_3</t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</si>
  <si>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</si>
  <si>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</si>
  <si>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SIF_nq_4</t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</si>
  <si>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</si>
  <si>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</si>
  <si>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SIF_nq_5</t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</si>
  <si>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</si>
  <si>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</si>
  <si>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</si>
  <si>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改用公司實現平均售價（</t>
    </r>
    <r>
      <rPr>
        <sz val="11"/>
        <color theme="1"/>
        <rFont val="Calibri"/>
        <family val="2"/>
        <charset val="1"/>
      </rPr>
      <t xml:space="preserve">2026-10-31 NAND </t>
    </r>
    <r>
      <rPr>
        <sz val="11"/>
        <color theme="1"/>
        <rFont val="Noto Sans CJK SC"/>
        <family val="2"/>
      </rPr>
      <t xml:space="preserve">第四季對帳）：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第二季（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平均售價季增 </t>
    </r>
    <r>
      <rPr>
        <sz val="11"/>
        <color theme="1"/>
        <rFont val="Calibri"/>
        <family val="2"/>
        <charset val="1"/>
      </rPr>
      <t xml:space="preserve">mid-20%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Bloomberg 2026-10-30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3Q26 NAND </t>
    </r>
    <r>
      <rPr>
        <sz val="11"/>
        <color theme="1"/>
        <rFont val="Noto Sans CJK SC"/>
        <family val="2"/>
      </rPr>
      <t xml:space="preserve">平均售價季增 </t>
    </r>
    <r>
      <rPr>
        <sz val="11"/>
        <color theme="1"/>
        <rFont val="Calibri"/>
        <family val="2"/>
        <charset val="1"/>
      </rPr>
      <t xml:space="preserve">mid-20%</t>
    </r>
    <r>
      <rPr>
        <sz val="11"/>
        <color theme="1"/>
        <rFont val="Noto Sans CJK SC"/>
        <family val="2"/>
      </rPr>
      <t xml:space="preserve">（法說 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 </t>
    </r>
    <r>
      <rPr>
        <sz val="11"/>
        <color theme="1"/>
        <rFont val="Calibri"/>
        <family val="2"/>
        <charset val="1"/>
      </rPr>
      <t xml:space="preserve">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）只作對照</t>
    </r>
  </si>
  <si>
    <t xml:space="preserve">SIF_nq_6</t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</si>
  <si>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</si>
  <si>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</si>
  <si>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r>
      <rPr>
        <sz val="11"/>
        <color theme="1"/>
        <rFont val="Noto Sans CJK SC"/>
        <family val="2"/>
      </rPr>
      <t xml:space="preserve">保留 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合約價兩季累計（</t>
    </r>
    <r>
      <rPr>
        <sz val="11"/>
        <color theme="1"/>
        <rFont val="Calibri"/>
        <family val="2"/>
        <charset val="1"/>
      </rPr>
      <t xml:space="preserve">3Q26 +15%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+17.5%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1.351</t>
    </r>
    <r>
      <rPr>
        <sz val="11"/>
        <color theme="1"/>
        <rFont val="Noto Sans CJK SC"/>
        <family val="2"/>
      </rPr>
      <t xml:space="preserve">，扣除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實現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後的餘額＝</t>
    </r>
    <r>
      <rPr>
        <sz val="11"/>
        <color theme="1"/>
        <rFont val="Calibri"/>
        <family val="2"/>
        <charset val="1"/>
      </rPr>
      <t xml:space="preserve">+8.1%</t>
    </r>
    <r>
      <rPr>
        <sz val="11"/>
        <color theme="1"/>
        <rFont val="Noto Sans CJK SC"/>
        <family val="2"/>
      </rPr>
      <t xml:space="preserve">（實現價提前一季）；對照：</t>
    </r>
    <r>
      <rPr>
        <sz val="11"/>
        <color theme="1"/>
        <rFont val="Calibri"/>
        <family val="2"/>
        <charset val="1"/>
      </rPr>
      <t xml:space="preserve">SanDisk FQ2 FY27 </t>
    </r>
    <r>
      <rPr>
        <sz val="11"/>
        <color theme="1"/>
        <rFont val="Noto Sans CJK SC"/>
        <family val="2"/>
      </rPr>
      <t xml:space="preserve">指引隱含約 </t>
    </r>
    <r>
      <rPr>
        <sz val="11"/>
        <color theme="1"/>
        <rFont val="Calibri"/>
        <family val="2"/>
        <charset val="1"/>
      </rPr>
      <t xml:space="preserve">+7%</t>
    </r>
    <r>
      <rPr>
        <sz val="11"/>
        <color theme="1"/>
        <rFont val="Noto Sans CJK SC"/>
        <family val="2"/>
      </rPr>
      <t xml:space="preserve">（位元同市場時）、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第三季指引平均售價季增低個位數（產品組合轉差）。低＝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實現兩季累計 </t>
    </r>
    <r>
      <rPr>
        <sz val="11"/>
        <color theme="1"/>
        <rFont val="Calibri"/>
        <family val="2"/>
        <charset val="1"/>
      </rPr>
      <t xml:space="preserve">1.25×1.032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起價格水準約 −</t>
    </r>
    <r>
      <rPr>
        <sz val="11"/>
        <color theme="1"/>
        <rFont val="Calibri"/>
        <family val="2"/>
        <charset val="1"/>
      </rPr>
      <t xml:space="preserve">4.5%</t>
    </r>
    <r>
      <rPr>
        <sz val="11"/>
        <color theme="1"/>
        <rFont val="Noto Sans CJK SC"/>
        <family val="2"/>
      </rPr>
      <t xml:space="preserve">）；高＝</t>
    </r>
    <r>
      <rPr>
        <sz val="11"/>
        <color theme="1"/>
        <rFont val="Calibri"/>
        <family val="2"/>
        <charset val="1"/>
      </rPr>
      <t xml:space="preserve">TrendForce 4Q26 </t>
    </r>
    <r>
      <rPr>
        <sz val="11"/>
        <color theme="1"/>
        <rFont val="Noto Sans CJK SC"/>
        <family val="2"/>
      </rPr>
      <t xml:space="preserve">合約價 </t>
    </r>
    <r>
      <rPr>
        <sz val="11"/>
        <color theme="1"/>
        <rFont val="Calibri"/>
        <family val="2"/>
        <charset val="1"/>
      </rPr>
      <t xml:space="preserve">+17.5%</t>
    </r>
  </si>
  <si>
    <t xml:space="preserve">SIF_nq_7</t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</si>
  <si>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</si>
  <si>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</si>
  <si>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下半年供需平衡、價格面臨下修壓力（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</si>
  <si>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SIF_nqA_8</t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</si>
  <si>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</si>
  <si>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</si>
  <si>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SIF_nqA_9</t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</si>
  <si>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</si>
  <si>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</si>
  <si>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SIF_nqA_10</t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</si>
  <si>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</si>
  <si>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</si>
  <si>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SIF_nqA_11</t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</si>
  <si>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</si>
  <si>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</si>
  <si>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SIF_nqA_12</t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</si>
  <si>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</si>
  <si>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</si>
  <si>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SIF_nqA_13</t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</si>
  <si>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</si>
  <si>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</si>
  <si>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SIF_nqA_14</t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</si>
  <si>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</si>
  <si>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</si>
  <si>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SIF_nqA_15</t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</si>
  <si>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</si>
  <si>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</si>
  <si>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SIF_nqA_16</t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</si>
  <si>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</si>
  <si>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</si>
  <si>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SIF_nqA_17</t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</si>
  <si>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</si>
  <si>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</si>
  <si>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SIF_nqA_18</t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</si>
  <si>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</si>
  <si>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</si>
  <si>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SIF_nqA_19</t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</si>
  <si>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</si>
  <si>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</si>
  <si>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</si>
  <si>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SIF_nqB_8</t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</si>
  <si>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</si>
  <si>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</si>
  <si>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SIF_nqB_9</t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</si>
  <si>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</si>
  <si>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</si>
  <si>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SIF_nqB_10</t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</si>
  <si>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</si>
  <si>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</si>
  <si>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SIF_nqB_11</t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</si>
  <si>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</si>
  <si>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</si>
  <si>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SIF_nqB_12</t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</si>
  <si>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</si>
  <si>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</si>
  <si>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SIF_nqB_13</t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</si>
  <si>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</si>
  <si>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</si>
  <si>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SIF_nqB_14</t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</si>
  <si>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</si>
  <si>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</si>
  <si>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SIF_nqB_15</t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</si>
  <si>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</si>
  <si>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</si>
  <si>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SIF_nqB_16</t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</si>
  <si>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</si>
  <si>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</si>
  <si>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SIF_nqB_17</t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</si>
  <si>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</si>
  <si>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</si>
  <si>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SIF_nqB_18</t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</si>
  <si>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</si>
  <si>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</si>
  <si>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SIF_nqB_19</t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</si>
  <si>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</si>
  <si>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</si>
  <si>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</si>
  <si>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SIF_nqC_8</t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</si>
  <si>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</si>
  <si>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</si>
  <si>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SIF_nqC_9</t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</si>
  <si>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</si>
  <si>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</si>
  <si>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SIF_nqC_10</t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</si>
  <si>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</si>
  <si>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</si>
  <si>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SIF_nqC_11</t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</si>
  <si>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</si>
  <si>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</si>
  <si>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SIF_nqC_12</t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</si>
  <si>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</si>
  <si>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</si>
  <si>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SIF_nqC_13</t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</si>
  <si>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</si>
  <si>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</si>
  <si>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SIF_nqC_14</t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</si>
  <si>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</si>
  <si>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</si>
  <si>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SIF_nqC_15</t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</si>
  <si>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</si>
  <si>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</si>
  <si>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SIF_nqC_16</t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</si>
  <si>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</si>
  <si>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</si>
  <si>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SIF_nqC_17</t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</si>
  <si>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</si>
  <si>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</si>
  <si>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SIF_nqC_18</t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</si>
  <si>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</si>
  <si>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</si>
  <si>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SIF_nqC_19</t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</si>
  <si>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Noto Sans CJK SC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Noto Sans CJK SC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</si>
  <si>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</si>
  <si>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</si>
  <si>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</si>
  <si>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</si>
  <si>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SIF_u_bw_26</t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</si>
  <si>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</si>
  <si>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</si>
  <si>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SIF_u_bw_27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</si>
  <si>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</si>
  <si>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</si>
  <si>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SIF_u_bw_28</t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</si>
  <si>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</si>
  <si>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</si>
  <si>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</si>
  <si>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SIF_g_bw_26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</si>
  <si>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</si>
  <si>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</si>
  <si>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SIF_g_bw_27</t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</si>
  <si>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</si>
  <si>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</si>
  <si>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SIF_g_bw_28</t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</si>
  <si>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</si>
  <si>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</si>
  <si>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</si>
  <si>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SIF_u_rb_26</t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</si>
  <si>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</si>
  <si>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</si>
  <si>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SIF_u_rb_27</t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</si>
  <si>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</si>
  <si>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</si>
  <si>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SIF_u_rb_28</t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</si>
  <si>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</si>
  <si>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</si>
  <si>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SIF_g_rb_26</t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</si>
  <si>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</si>
  <si>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</si>
  <si>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SIF_g_rb_27</t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</si>
  <si>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</si>
  <si>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</si>
  <si>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SIF_g_rb_28</t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</si>
  <si>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</si>
  <si>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</si>
  <si>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2027 0–0.6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1.0–3.0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：時程提前／延後一年）</t>
    </r>
  </si>
  <si>
    <t xml:space="preserve">SIF_u_ru_26</t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</si>
  <si>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</si>
  <si>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</si>
  <si>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SIF_u_ru_27</t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</si>
  <si>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</si>
  <si>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</si>
  <si>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SIF_u_ru_28</t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</si>
  <si>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</si>
  <si>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</si>
  <si>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每封裝 </t>
    </r>
    <r>
      <rPr>
        <sz val="11"/>
        <color theme="1"/>
        <rFont val="Calibri"/>
        <family val="2"/>
        <charset val="1"/>
      </rPr>
      <t xml:space="preserve">1 TB HBM</t>
    </r>
    <r>
      <rPr>
        <sz val="11"/>
        <color theme="1"/>
        <rFont val="Noto Sans CJK SC"/>
        <family val="2"/>
      </rPr>
      <t xml:space="preserve">（產品路線圖，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：規格為公司公布，不是假設）</t>
    </r>
  </si>
  <si>
    <t xml:space="preserve">SIF_g_ru_26</t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</si>
  <si>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</si>
  <si>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</si>
  <si>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SIF_g_ru_27</t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</si>
  <si>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</si>
  <si>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</si>
  <si>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SIF_g_ru_28</t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</si>
  <si>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</si>
  <si>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</si>
  <si>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</si>
  <si>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SIF_u_hp_26</t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</si>
  <si>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</si>
  <si>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</si>
  <si>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SIF_u_hp_27</t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</si>
  <si>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</si>
  <si>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</si>
  <si>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SIF_u_hp_28</t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</si>
  <si>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</si>
  <si>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</si>
  <si>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SIF_g_hp_26</t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</si>
  <si>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</si>
  <si>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</si>
  <si>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SIF_g_hp_27</t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</si>
  <si>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</si>
  <si>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</si>
  <si>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SIF_g_hp_28</t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</si>
  <si>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</si>
  <si>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</si>
  <si>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</si>
  <si>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0.6–0.9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1.2–1.8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1.5–2.5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MI355X 288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MI450 432 </t>
    </r>
    <r>
      <rPr>
        <sz val="11"/>
        <color theme="1"/>
        <rFont val="Noto Sans CJK SC"/>
        <family val="2"/>
      </rPr>
      <t xml:space="preserve">為上下限</t>
    </r>
  </si>
  <si>
    <t xml:space="preserve">SIF_u_amd_26</t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</si>
  <si>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</si>
  <si>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</si>
  <si>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SIF_u_amd_27</t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</si>
  <si>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</si>
  <si>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</si>
  <si>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SIF_u_amd_28</t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</si>
  <si>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</si>
  <si>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</si>
  <si>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SIF_g_amd_26</t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</si>
  <si>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</si>
  <si>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</si>
  <si>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SIF_g_amd_27</t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</si>
  <si>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</si>
  <si>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</si>
  <si>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SIF_g_amd_28</t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</si>
  <si>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</si>
  <si>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</si>
  <si>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</si>
  <si>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SIF_u_tpu_26</t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</si>
  <si>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</si>
  <si>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</si>
  <si>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SIF_u_tpu_27</t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</si>
  <si>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</si>
  <si>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</si>
  <si>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SIF_u_tpu_28</t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</si>
  <si>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</si>
  <si>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</si>
  <si>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SIF_g_tpu_26</t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</si>
  <si>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</si>
  <si>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</si>
  <si>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SIF_g_tpu_27</t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</si>
  <si>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</si>
  <si>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</si>
  <si>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SIF_g_tpu_28</t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</si>
  <si>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</si>
  <si>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</si>
  <si>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1.5–2.5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2.0–3.5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2.0–4.0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、下一代 </t>
    </r>
    <r>
      <rPr>
        <sz val="11"/>
        <color theme="1"/>
        <rFont val="Calibri"/>
        <family val="2"/>
        <charset val="1"/>
      </rPr>
      <t xml:space="preserve">256 </t>
    </r>
    <r>
      <rPr>
        <sz val="11"/>
        <color theme="1"/>
        <rFont val="Noto Sans CJK SC"/>
        <family val="2"/>
      </rPr>
      <t xml:space="preserve">為界</t>
    </r>
  </si>
  <si>
    <t xml:space="preserve">SIF_u_trn_26</t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</si>
  <si>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</si>
  <si>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</si>
  <si>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SIF_u_trn_27</t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</si>
  <si>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</si>
  <si>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</si>
  <si>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SIF_u_trn_28</t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</si>
  <si>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</si>
  <si>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</si>
  <si>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SIF_g_trn_26</t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</si>
  <si>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</si>
  <si>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</si>
  <si>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SIF_g_trn_27</t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</si>
  <si>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</si>
  <si>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</si>
  <si>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SIF_g_trn_28</t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</si>
  <si>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</si>
  <si>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</si>
  <si>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</si>
  <si>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0.5–1.5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3.0–6.0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3.5–7.0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±50 GB</t>
    </r>
  </si>
  <si>
    <t xml:space="preserve">SIF_u_oth_26</t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</si>
  <si>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</si>
  <si>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</si>
  <si>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SIF_u_oth_27</t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</si>
  <si>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</si>
  <si>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</si>
  <si>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SIF_u_oth_28</t>
  </si>
  <si>
    <t xml:space="preserve">g_oth_26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</si>
  <si>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</si>
  <si>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SIF_g_oth_26</t>
  </si>
  <si>
    <t xml:space="preserve">g_oth_27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</si>
  <si>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</si>
  <si>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SIF_g_oth_27</t>
  </si>
  <si>
    <t xml:space="preserve">g_oth_28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</si>
  <si>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</si>
  <si>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SIF_g_oth_28</t>
  </si>
  <si>
    <r>
      <rPr>
        <b val="true"/>
        <sz val="11"/>
        <rFont val="Cambria"/>
        <family val="0"/>
        <charset val="1"/>
      </rPr>
      <t xml:space="preserve">M2b. </t>
    </r>
    <r>
      <rPr>
        <b val="true"/>
        <sz val="11"/>
        <rFont val="Noto Sans CJK SC"/>
        <family val="2"/>
      </rPr>
      <t xml:space="preserve">情境顆數係數（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加速器顆數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基準；與台積電、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模型同一套）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</si>
  <si>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</si>
  <si>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</si>
  <si>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</si>
  <si>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＝明顯下修。無外部預測可校準，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區間皆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同值。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需求位元、台積電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測試機需求用同一組係數。情境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為定義值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仍為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，區間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）</t>
    </r>
  </si>
  <si>
    <t xml:space="preserve">SIF_um28_A</t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</si>
  <si>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</si>
  <si>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</si>
  <si>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SIF_um29_A</t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</si>
  <si>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</si>
  <si>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</si>
  <si>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SIF_um28_B</t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</si>
  <si>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</si>
  <si>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</si>
  <si>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SIF_um29_B</t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</si>
  <si>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</si>
  <si>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</si>
  <si>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SIF_um28_C</t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</si>
  <si>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</si>
  <si>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</si>
  <si>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SIF_um29_C</t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</si>
  <si>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Noto Sans CJK SC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</si>
  <si>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</si>
  <si>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</si>
  <si>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</si>
  <si>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</si>
  <si>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SIF_hbm_mkt25</t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</si>
  <si>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</si>
  <si>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</si>
  <si>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</si>
  <si>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SIF_hbm_g26</t>
  </si>
  <si>
    <t xml:space="preserve">hbm_gross</t>
  </si>
  <si>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加速器裝載位元</t>
    </r>
  </si>
  <si>
    <r>
      <rPr>
        <sz val="11"/>
        <color theme="1"/>
        <rFont val="Noto Sans CJK SC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Noto Sans CJK SC"/>
        <family val="2"/>
      </rPr>
      <t xml:space="preserve">）</t>
    </r>
  </si>
  <si>
    <t xml:space="preserve">SIF_hbm_gross</t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</si>
  <si>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</si>
  <si>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位元供給成長（三情境相同：產能已定）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</si>
  <si>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</si>
  <si>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SIF_hbm_sup27</t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</si>
  <si>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</si>
  <si>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</si>
  <si>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）；供給不隨需求情境變：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產能的設備與廠房在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前已訂定，需求下修的結果是閒置產能與降價，不是減產</t>
    </r>
  </si>
  <si>
    <t xml:space="preserve">SIF_hbm_sup28</t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</si>
  <si>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</si>
  <si>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</si>
  <si>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</si>
  <si>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</si>
  <si>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SIF_hbm_p26</t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</si>
  <si>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</si>
  <si>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</si>
  <si>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大部分已簽、大幅漲價</t>
    </r>
  </si>
  <si>
    <t xml:space="preserve">SIF_hbm_p27</t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</si>
  <si>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</si>
  <si>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</si>
  <si>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Noto Sans CJK SC"/>
        <family val="2"/>
      </rPr>
      <t xml:space="preserve">（上限）</t>
    </r>
  </si>
  <si>
    <t xml:space="preserve">SIF_hbm_p28_A</t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</si>
  <si>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</si>
  <si>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</si>
  <si>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年約重議下修</t>
    </r>
  </si>
  <si>
    <t xml:space="preserve">SIF_hbm_p28_B</t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</si>
  <si>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</si>
  <si>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</si>
  <si>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完整谷底</t>
  </si>
  <si>
    <t xml:space="preserve">SIF_hbm_p28_C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</si>
  <si>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</si>
  <si>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需求位元成長（情境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</si>
  <si>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</si>
  <si>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SIF_hbm_dem29</t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</si>
  <si>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</si>
  <si>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</si>
  <si>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Noto Sans CJK SC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投產</t>
    </r>
  </si>
  <si>
    <t xml:space="preserve">SIF_hbm_sup29</t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</si>
  <si>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</si>
  <si>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</si>
  <si>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無外部預測；供給新廠（</t>
    </r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</t>
    </r>
    <r>
      <rPr>
        <sz val="11"/>
        <color theme="1"/>
        <rFont val="Noto Sans CJK SC"/>
        <family val="2"/>
      </rPr>
      <t xml:space="preserve">）投產下單價緩降</t>
    </r>
  </si>
  <si>
    <t xml:space="preserve">SIF_hbm_p29_A</t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</si>
  <si>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</si>
  <si>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</si>
  <si>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已下修後持平</t>
    </r>
  </si>
  <si>
    <t xml:space="preserve">SIF_hbm_p29_B</t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</si>
  <si>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</si>
  <si>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</si>
  <si>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自谷底回升</t>
  </si>
  <si>
    <t xml:space="preserve">SIF_hbm_p29_C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</si>
  <si>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Noto Sans CJK SC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</si>
  <si>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</si>
  <si>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</si>
  <si>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</si>
  <si>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</si>
  <si>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SIF_nv_dc26</t>
  </si>
  <si>
    <t xml:space="preserve">nv_content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</si>
  <si>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</si>
  <si>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$K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</si>
  <si>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51.6</t>
    </r>
    <r>
      <rPr>
        <sz val="11"/>
        <color theme="1"/>
        <rFont val="Noto Sans CJK SC"/>
        <family val="2"/>
      </rPr>
      <t xml:space="preserve">）</t>
    </r>
  </si>
  <si>
    <t xml:space="preserve">SIF_nv_content</t>
  </si>
  <si>
    <t xml:space="preserve">nv_hbm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</si>
  <si>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</si>
  <si>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</si>
  <si>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SIF_nv_hbm</t>
  </si>
  <si>
    <t xml:space="preserve">pub26_lo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</si>
  <si>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</si>
  <si>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</si>
  <si>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SIF_pub26_lo</t>
  </si>
  <si>
    <t xml:space="preserve">pub26_hi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</si>
  <si>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</si>
  <si>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t xml:space="preserve">BofA 2026-08-07</t>
  </si>
  <si>
    <t xml:space="preserve">SIF_pub26_hi</t>
  </si>
  <si>
    <t xml:space="preserve">pub27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</si>
  <si>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</si>
  <si>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</si>
  <si>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t xml:space="preserve">SIF_pub27</t>
  </si>
  <si>
    <r>
      <rPr>
        <b val="true"/>
        <sz val="11"/>
        <rFont val="Cambria"/>
        <family val="0"/>
        <charset val="1"/>
      </rPr>
      <t xml:space="preserve">M5. 2029 </t>
    </r>
    <r>
      <rPr>
        <b val="true"/>
        <sz val="11"/>
        <rFont val="Noto Sans CJK SC"/>
        <family val="2"/>
      </rPr>
      <t xml:space="preserve">加速器顆數成長（平台別；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起單一來源，取代台積電與網通模型各自的寫死值、</t>
    </r>
    <r>
      <rPr>
        <b val="true"/>
        <sz val="11"/>
        <rFont val="Cambria"/>
        <family val="0"/>
        <charset val="1"/>
      </rPr>
      <t xml:space="preserve">NAND </t>
    </r>
    <r>
      <rPr>
        <b val="true"/>
        <sz val="11"/>
        <rFont val="Noto Sans CJK SC"/>
        <family val="2"/>
      </rPr>
      <t xml:space="preserve">模型的合計年增）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</si>
  <si>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</si>
  <si>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</si>
  <si>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無平台別顆數預測。基準沿用台積電模型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與網通模型的原值（</t>
    </r>
    <r>
      <rPr>
        <sz val="11"/>
        <color theme="1"/>
        <rFont val="Calibri"/>
        <family val="2"/>
        <charset val="1"/>
      </rPr>
      <t xml:space="preserve">Blackwell −50% </t>
    </r>
    <r>
      <rPr>
        <sz val="11"/>
        <color theme="1"/>
        <rFont val="Noto Sans CJK SC"/>
        <family val="2"/>
      </rPr>
      <t xml:space="preserve">汰換、</t>
    </r>
    <r>
      <rPr>
        <sz val="11"/>
        <color theme="1"/>
        <rFont val="Calibri"/>
        <family val="2"/>
        <charset val="1"/>
      </rPr>
      <t xml:space="preserve">Hopper 0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）；區間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 ±20pt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產業部署路徑上線後改由部署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推導</t>
    </r>
  </si>
  <si>
    <t xml:space="preserve">SIF_g29_bw</t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</si>
  <si>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</si>
  <si>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</si>
  <si>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t xml:space="preserve">SIF_g29_rb</t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</si>
  <si>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</si>
  <si>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</si>
  <si>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t xml:space="preserve">SIF_g29_ru</t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</si>
  <si>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</si>
  <si>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</si>
  <si>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SIF_g29_hp</t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</si>
  <si>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</si>
  <si>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</si>
  <si>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t xml:space="preserve">SIF_g29_amd</t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</si>
  <si>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</si>
  <si>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</si>
  <si>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t xml:space="preserve">SIF_g29_tpu</t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</si>
  <si>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</si>
  <si>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</si>
  <si>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t xml:space="preserve">SIF_g29_trn</t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</si>
  <si>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</si>
  <si>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</si>
  <si>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SIF_g29_oth</t>
  </si>
  <si>
    <r>
      <rPr>
        <b val="true"/>
        <sz val="11"/>
        <rFont val="Cambria"/>
        <family val="0"/>
        <charset val="1"/>
      </rPr>
      <t xml:space="preserve">M6. </t>
    </r>
    <r>
      <rPr>
        <b val="true"/>
        <sz val="11"/>
        <rFont val="Noto Sans CJK SC"/>
        <family val="2"/>
      </rPr>
      <t xml:space="preserve">加速器每顆售價與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核心價（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起單一來源；原在 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avgo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頁，數值與文字逐字搬入）</t>
    </r>
  </si>
  <si>
    <t xml:space="preserve">pa_amd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</si>
  <si>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</t>
    </r>
  </si>
  <si>
    <t xml:space="preserve">US$K</t>
  </si>
  <si>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HSBC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$23K</t>
    </r>
    <r>
      <rPr>
        <sz val="11"/>
        <color theme="1"/>
        <rFont val="Noto Sans CJK SC"/>
        <family val="2"/>
      </rPr>
      <t xml:space="preserve">（自 </t>
    </r>
    <r>
      <rPr>
        <sz val="11"/>
        <color theme="1"/>
        <rFont val="Calibri"/>
        <family val="2"/>
        <charset val="1"/>
      </rPr>
      <t xml:space="preserve">$25K </t>
    </r>
    <r>
      <rPr>
        <sz val="11"/>
        <color theme="1"/>
        <rFont val="Noto Sans CJK SC"/>
        <family val="2"/>
      </rPr>
      <t xml:space="preserve">下修）、其他報導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無官方價，部落格 </t>
    </r>
    <r>
      <rPr>
        <sz val="11"/>
        <color theme="1"/>
        <rFont val="Calibri"/>
        <family val="2"/>
        <charset val="1"/>
      </rPr>
      <t xml:space="preserve">$15–50K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finviz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gpusmith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MikeLongTerm</t>
    </r>
    <r>
      <rPr>
        <sz val="11"/>
        <color theme="1"/>
        <rFont val="Noto Sans CJK SC"/>
        <family val="2"/>
      </rPr>
      <t xml:space="preserve">；賣方有目標價誘因）</t>
    </r>
  </si>
  <si>
    <t xml:space="preserve">SIF_pa_amd</t>
  </si>
  <si>
    <r>
      <rPr>
        <sz val="11"/>
        <color theme="1"/>
        <rFont val="Noto Sans CJK SC"/>
        <family val="2"/>
      </rPr>
      <t xml:space="preserve">第二來源：以上三者互相一致於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無獨立來源</t>
    </r>
  </si>
  <si>
    <t xml:space="preserve">pa_tpu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</si>
  <si>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</si>
  <si>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未找到（只有租用價代理：</t>
    </r>
    <r>
      <rPr>
        <sz val="11"/>
        <color theme="1"/>
        <rFont val="Calibri"/>
        <family val="2"/>
        <charset val="1"/>
      </rPr>
      <t xml:space="preserve">Ironwood $1.03–1.60</t>
    </r>
    <r>
      <rPr>
        <sz val="11"/>
        <color theme="1"/>
        <rFont val="Noto Sans CJK SC"/>
        <family val="2"/>
      </rPr>
      <t xml:space="preserve">／小時，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，不可單獨使用）</t>
    </r>
  </si>
  <si>
    <t xml:space="preserve">SIF_pa_tpu</t>
  </si>
  <si>
    <t xml:space="preserve">未找到</t>
  </si>
  <si>
    <t xml:space="preserve">pa_trn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</si>
  <si>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</si>
  <si>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</t>
    </r>
  </si>
  <si>
    <t xml:space="preserve">SIF_pa_trn</t>
  </si>
  <si>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（逾 </t>
    </r>
    <r>
      <rPr>
        <sz val="11"/>
        <color theme="1"/>
        <rFont val="Calibri"/>
        <family val="2"/>
        <charset val="1"/>
      </rPr>
      <t xml:space="preserve">$30K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$9–12K</t>
    </r>
    <r>
      <rPr>
        <sz val="11"/>
        <color theme="1"/>
        <rFont val="Noto Sans CJK SC"/>
        <family val="2"/>
      </rPr>
      <t xml:space="preserve">（二手，</t>
    </r>
    <r>
      <rPr>
        <sz val="11"/>
        <color theme="1"/>
        <rFont val="Calibri"/>
        <family val="2"/>
        <charset val="1"/>
      </rPr>
      <t xml:space="preserve">cryptobriefing</t>
    </r>
    <r>
      <rPr>
        <sz val="11"/>
        <color theme="1"/>
        <rFont val="Noto Sans CJK SC"/>
        <family val="2"/>
      </rPr>
      <t xml:space="preserve">）作量級參照</t>
    </r>
  </si>
  <si>
    <t xml:space="preserve">pa_oth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</si>
  <si>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</si>
  <si>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無：未找到（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MTIA </t>
    </r>
    <r>
      <rPr>
        <sz val="11"/>
        <color theme="1"/>
        <rFont val="Noto Sans CJK SC"/>
        <family val="2"/>
      </rPr>
      <t xml:space="preserve">皆無 </t>
    </r>
    <r>
      <rPr>
        <sz val="11"/>
        <color theme="1"/>
        <rFont val="Calibri"/>
        <family val="2"/>
        <charset val="1"/>
      </rPr>
      <t xml:space="preserve">ASP</t>
    </r>
    <r>
      <rPr>
        <sz val="11"/>
        <color theme="1"/>
        <rFont val="Noto Sans CJK SC"/>
        <family val="2"/>
      </rPr>
      <t xml:space="preserve">）</t>
    </r>
  </si>
  <si>
    <t xml:space="preserve">SIF_pa_oth</t>
  </si>
  <si>
    <t xml:space="preserve">core_tpu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</si>
  <si>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</si>
  <si>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未揭露。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pa_tpu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8–12–18K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192 GB × 2026 HBM </t>
    </r>
    <r>
      <rPr>
        <sz val="11"/>
        <color theme="1"/>
        <rFont val="Noto Sans CJK SC"/>
        <family val="2"/>
      </rPr>
      <t xml:space="preserve">價約 </t>
    </r>
    <r>
      <rPr>
        <sz val="11"/>
        <color theme="1"/>
        <rFont val="Calibri"/>
        <family val="2"/>
        <charset val="1"/>
      </rPr>
      <t xml:space="preserve">2.8K</t>
    </r>
  </si>
  <si>
    <t xml:space="preserve">SIF_core_tpu</t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</si>
  <si>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的對照值）</t>
    </r>
  </si>
  <si>
    <t xml:space="preserve">core_oth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</si>
  <si>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</si>
  <si>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Noto Sans CJK SC"/>
        <family val="2"/>
      </rPr>
      <t xml:space="preserve">無：未揭露。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$9–12K</t>
    </r>
    <r>
      <rPr>
        <sz val="11"/>
        <color theme="1"/>
        <rFont val="Noto Sans CJK SC"/>
        <family val="2"/>
      </rPr>
      <t xml:space="preserve">（二手，含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）作量級參照</t>
    </r>
  </si>
  <si>
    <t xml:space="preserve">SIF_core_oth</t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</si>
  <si>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的對照值）</t>
    </r>
  </si>
  <si>
    <t xml:space="preserve">f_hbm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</si>
  <si>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代購並計入營收的比例</t>
    </r>
  </si>
  <si>
    <r>
      <rPr>
        <sz val="11"/>
        <color theme="1"/>
        <rFont val="Noto Sans CJK SC"/>
        <family val="2"/>
      </rPr>
      <t xml:space="preserve">公司：毛利率下滑來自「記憶體含量高的 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」占比上升（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法說，二手）→ 至少部分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轉售</t>
    </r>
  </si>
  <si>
    <t xml:space="preserve">SIF_f_hbm</t>
  </si>
  <si>
    <r>
      <rPr>
        <sz val="11"/>
        <color theme="1"/>
        <rFont val="Noto Sans CJK SC"/>
        <family val="2"/>
      </rPr>
      <t xml:space="preserve">第二來源：未找到。客戶自購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consigned</t>
    </r>
    <r>
      <rPr>
        <sz val="11"/>
        <color theme="1"/>
        <rFont val="Noto Sans CJK SC"/>
        <family val="2"/>
      </rPr>
      <t xml:space="preserve">）的比例未揭露</t>
    </r>
  </si>
  <si>
    <r>
      <rPr>
        <b val="true"/>
        <sz val="11"/>
        <rFont val="Cambria"/>
        <family val="0"/>
        <charset val="1"/>
      </rPr>
      <t xml:space="preserve">M7. ASIC </t>
    </r>
    <r>
      <rPr>
        <b val="true"/>
        <sz val="11"/>
        <rFont val="Noto Sans CJK SC"/>
        <family val="2"/>
      </rPr>
      <t xml:space="preserve">設計服務顆數份額（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起單一來源；原在 </t>
    </r>
    <r>
      <rPr>
        <b val="true"/>
        <sz val="11"/>
        <rFont val="Cambria"/>
        <family val="0"/>
        <charset val="1"/>
      </rPr>
      <t xml:space="preserve">avgo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mrvl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mediatek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alchip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頁；加總檢查見 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頁）</t>
    </r>
  </si>
  <si>
    <t xml:space="preserve">sh_tpu_26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</si>
  <si>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</si>
  <si>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主要設計夥伴（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v8i </t>
    </r>
    <r>
      <rPr>
        <sz val="11"/>
        <color theme="1"/>
        <rFont val="Noto Sans CJK SC"/>
        <family val="2"/>
      </rPr>
      <t xml:space="preserve">量產；法說）；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另有合作（</t>
    </r>
    <r>
      <rPr>
        <sz val="11"/>
        <color theme="1"/>
        <rFont val="Calibri"/>
        <family val="2"/>
        <charset val="1"/>
      </rPr>
      <t xml:space="preserve">Counterpoint 2026-01</t>
    </r>
    <r>
      <rPr>
        <sz val="11"/>
        <color theme="1"/>
        <rFont val="Noto Sans CJK SC"/>
        <family val="2"/>
      </rPr>
      <t xml:space="preserve">，二手）</t>
    </r>
  </si>
  <si>
    <t xml:space="preserve">SIF_sh_tpu_26</t>
  </si>
  <si>
    <t xml:space="preserve">各家份額未揭露：未找到</t>
  </si>
  <si>
    <t xml:space="preserve">sh_tpu_27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</si>
  <si>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</si>
  <si>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版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放量的時點未揭露</t>
    </r>
  </si>
  <si>
    <t xml:space="preserve">SIF_sh_tpu_27</t>
  </si>
  <si>
    <r>
      <rPr>
        <sz val="11"/>
        <color theme="1"/>
        <rFont val="Calibri"/>
        <family val="2"/>
        <charset val="1"/>
      </rPr>
      <t xml:space="preserve">Anthropic 2027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TPU v8i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）屬 </t>
    </r>
    <r>
      <rPr>
        <sz val="11"/>
        <color theme="1"/>
        <rFont val="Calibri"/>
        <family val="2"/>
        <charset val="1"/>
      </rPr>
      <t xml:space="preserve">Broadcom</t>
    </r>
  </si>
  <si>
    <t xml:space="preserve">sh_tpu_28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</si>
  <si>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沿用）</t>
    </r>
  </si>
  <si>
    <t xml:space="preserve">SIF_sh_tpu_28</t>
  </si>
  <si>
    <t xml:space="preserve">—</t>
  </si>
  <si>
    <t xml:space="preserve">sh_oth_26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</si>
  <si>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</si>
  <si>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客製（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開始出貨）、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）、昇騰（華為）等</t>
    </r>
  </si>
  <si>
    <t xml:space="preserve">SIF_sh_oth_26</t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</si>
  <si>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客戶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家：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家未具名（法說，二手）</t>
    </r>
  </si>
  <si>
    <t xml:space="preserve">sh_oth_27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</si>
  <si>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</si>
  <si>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OpenAI 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1.3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年共 </t>
    </r>
    <r>
      <rPr>
        <sz val="11"/>
        <color theme="1"/>
        <rFont val="Calibri"/>
        <family val="2"/>
        <charset val="1"/>
      </rPr>
      <t xml:space="preserve">3 GW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</si>
  <si>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SIF_sh_oth_27</t>
  </si>
  <si>
    <t xml:space="preserve">sh_oth_28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</si>
  <si>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</si>
  <si>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OpenAI 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以上（公司說法）</t>
    </r>
  </si>
  <si>
    <t xml:space="preserve">SIF_sh_oth_28</t>
  </si>
  <si>
    <t xml:space="preserve">msh_trn_26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</si>
  <si>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</si>
  <si>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供應 </t>
    </r>
    <r>
      <rPr>
        <sz val="11"/>
        <color theme="1"/>
        <rFont val="Calibri"/>
        <family val="2"/>
        <charset val="1"/>
      </rPr>
      <t xml:space="preserve">Trainium 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Inferentia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主供應商為世芯（</t>
    </r>
    <r>
      <rPr>
        <sz val="11"/>
        <color theme="1"/>
        <rFont val="Calibri"/>
        <family val="2"/>
        <charset val="1"/>
      </rPr>
      <t xml:space="preserve">Alchip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做 </t>
    </r>
    <r>
      <rPr>
        <sz val="11"/>
        <color theme="1"/>
        <rFont val="Calibri"/>
        <family val="2"/>
        <charset val="1"/>
      </rPr>
      <t xml:space="preserve">Trainium 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Dolphin Research 2026-03-06</t>
    </r>
    <r>
      <rPr>
        <sz val="11"/>
        <color theme="1"/>
        <rFont val="Noto Sans CJK SC"/>
        <family val="2"/>
      </rPr>
      <t xml:space="preserve">，二手）</t>
    </r>
  </si>
  <si>
    <t xml:space="preserve">SIF_msh_trn_26</t>
  </si>
  <si>
    <t xml:space="preserve">各世代份額未揭露：未找到</t>
  </si>
  <si>
    <t xml:space="preserve">msh_trn_27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</si>
  <si>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</si>
  <si>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SIF_msh_trn_27</t>
  </si>
  <si>
    <t xml:space="preserve">msh_trn_28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</si>
  <si>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</si>
  <si>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SIF_msh_trn_28</t>
  </si>
  <si>
    <t xml:space="preserve">msh_oth_26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</si>
  <si>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</si>
  <si>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設計，</t>
    </r>
    <r>
      <rPr>
        <sz val="11"/>
        <color theme="1"/>
        <rFont val="Calibri"/>
        <family val="2"/>
        <charset val="1"/>
      </rPr>
      <t xml:space="preserve">Maia 300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起多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部署（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Nadella</t>
    </r>
    <r>
      <rPr>
        <sz val="11"/>
        <color theme="1"/>
        <rFont val="Noto Sans CJK SC"/>
        <family val="2"/>
      </rPr>
      <t xml:space="preserve">，二手）；新 </t>
    </r>
    <r>
      <rPr>
        <sz val="11"/>
        <color theme="1"/>
        <rFont val="Calibri"/>
        <family val="2"/>
        <charset val="1"/>
      </rPr>
      <t xml:space="preserve">Tier 1 XPU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量產（公司，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法說）</t>
    </r>
  </si>
  <si>
    <t xml:space="preserve">SIF_msh_oth_26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</si>
  <si>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、昇騰等非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晶片；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55%</t>
    </r>
  </si>
  <si>
    <t xml:space="preserve">msh_oth_27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</si>
  <si>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</si>
  <si>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SIF_msh_oth_27</t>
  </si>
  <si>
    <t xml:space="preserve">msh_oth_28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</si>
  <si>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</si>
  <si>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SIF_msh_oth_28</t>
  </si>
  <si>
    <t xml:space="preserve">msh_tpu_26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</si>
  <si>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</si>
  <si>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：擴大合作（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，客製處理器與相關晶片）；認股權證協議（歸屬上限 </t>
    </r>
    <r>
      <rPr>
        <sz val="11"/>
        <color theme="1"/>
        <rFont val="Calibri"/>
        <family val="2"/>
        <charset val="1"/>
      </rPr>
      <t xml:space="preserve">$120B</t>
    </r>
    <r>
      <rPr>
        <sz val="11"/>
        <color theme="1"/>
        <rFont val="Noto Sans CJK SC"/>
        <family val="2"/>
      </rPr>
      <t xml:space="preserve">），主要營收影響在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起（投資人日，二手）</t>
    </r>
  </si>
  <si>
    <t xml:space="preserve">SIF_msh_tpu_26</t>
  </si>
  <si>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案是否為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平台：未找到（可能為 </t>
    </r>
    <r>
      <rPr>
        <sz val="11"/>
        <color theme="1"/>
        <rFont val="Calibri"/>
        <family val="2"/>
        <charset val="1"/>
      </rPr>
      <t xml:space="preserve">Axion CPU </t>
    </r>
    <r>
      <rPr>
        <sz val="11"/>
        <color theme="1"/>
        <rFont val="Noto Sans CJK SC"/>
        <family val="2"/>
      </rPr>
      <t xml:space="preserve">或其他）；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TPU 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</t>
    </r>
  </si>
  <si>
    <t xml:space="preserve">msh_tpu_27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</si>
  <si>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</si>
  <si>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SIF_msh_tpu_27</t>
  </si>
  <si>
    <t xml:space="preserve">msh_tpu_28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</si>
  <si>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</si>
  <si>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SIF_msh_tpu_28</t>
  </si>
  <si>
    <t xml:space="preserve">mtk_tpu_26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</si>
  <si>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</si>
  <si>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公司：與一家美國大型雲端客戶合作的第一顆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量產；第二顆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年量產（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講稿）；客戶名稱公司未揭露</t>
    </r>
  </si>
  <si>
    <t xml:space="preserve">SIF_mtk_tpu_26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</si>
  <si>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v8x Zebrafish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起）、</t>
    </r>
    <r>
      <rPr>
        <sz val="11"/>
        <color theme="1"/>
        <rFont val="Calibri"/>
        <family val="2"/>
        <charset val="1"/>
      </rPr>
      <t xml:space="preserve">v9 Humufish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4Q27 </t>
    </r>
    <r>
      <rPr>
        <sz val="11"/>
        <color theme="1"/>
        <rFont val="Noto Sans CJK SC"/>
        <family val="2"/>
      </rPr>
      <t xml:space="preserve">起）為 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）；高值受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 </t>
    </r>
    <r>
      <rPr>
        <sz val="11"/>
        <color theme="1"/>
        <rFont val="Noto Sans CJK SC"/>
        <family val="2"/>
      </rPr>
      <t xml:space="preserve">份額限制（</t>
    </r>
    <r>
      <rPr>
        <sz val="11"/>
        <color theme="1"/>
        <rFont val="Calibri"/>
        <family val="2"/>
        <charset val="1"/>
      </rPr>
      <t xml:space="preserve">1 − Broadcom − Marvell </t>
    </r>
    <r>
      <rPr>
        <sz val="11"/>
        <color theme="1"/>
        <rFont val="Noto Sans CJK SC"/>
        <family val="2"/>
      </rPr>
      <t xml:space="preserve">基準）</t>
    </r>
  </si>
  <si>
    <t xml:space="preserve">mtk_tpu_27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</si>
  <si>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</si>
  <si>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SIF_mtk_tpu_27</t>
  </si>
  <si>
    <t xml:space="preserve">mtk_tpu_28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</si>
  <si>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</si>
  <si>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SIF_mtk_tpu_28</t>
  </si>
  <si>
    <t xml:space="preserve">mtk_oth_26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</si>
  <si>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</si>
  <si>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公司：與其他多家客戶接觸中、資料中心有望取得更多設計案（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</si>
  <si>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t xml:space="preserve">SIF_mtk_oth_26</t>
  </si>
  <si>
    <r>
      <rPr>
        <sz val="11"/>
        <color theme="1"/>
        <rFont val="Noto Sans CJK SC"/>
        <family val="2"/>
      </rPr>
      <t xml:space="preserve">第二客戶與量產時點：未找到；基準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，只放 </t>
    </r>
    <r>
      <rPr>
        <sz val="11"/>
        <color theme="1"/>
        <rFont val="Calibri"/>
        <family val="2"/>
        <charset val="1"/>
      </rPr>
      <t xml:space="preserve">Sens</t>
    </r>
  </si>
  <si>
    <t xml:space="preserve">mtk_oth_27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</si>
  <si>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</si>
  <si>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SIF_mtk_oth_27</t>
  </si>
  <si>
    <t xml:space="preserve">mtk_oth_28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</si>
  <si>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</si>
  <si>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SIF_mtk_oth_28</t>
  </si>
  <si>
    <t xml:space="preserve">al_trn_26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</si>
  <si>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（三情境相同，校準年）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</si>
  <si>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月底量產、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月出貨給北美雲端客戶（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新聞稿）；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主供應商為世芯（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模型引 </t>
    </r>
    <r>
      <rPr>
        <sz val="11"/>
        <color theme="1"/>
        <rFont val="Calibri"/>
        <family val="2"/>
        <charset val="1"/>
      </rPr>
      <t xml:space="preserve">Dolphin Research</t>
    </r>
    <r>
      <rPr>
        <sz val="11"/>
        <color theme="1"/>
        <rFont val="Noto Sans CJK SC"/>
        <family val="2"/>
      </rPr>
      <t xml:space="preserve">，二手）</t>
    </r>
  </si>
  <si>
    <t xml:space="preserve">SIF_al_trn_26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</si>
  <si>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份額只用於校準（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吸收）；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最不利；高值以 </t>
    </r>
    <r>
      <rPr>
        <sz val="11"/>
        <color theme="1"/>
        <rFont val="Calibri"/>
        <family val="2"/>
        <charset val="1"/>
      </rPr>
      <t xml:space="preserve">1 − Marvell </t>
    </r>
    <r>
      <rPr>
        <sz val="11"/>
        <color theme="1"/>
        <rFont val="Noto Sans CJK SC"/>
        <family val="2"/>
      </rPr>
      <t xml:space="preserve">基準為上限</t>
    </r>
  </si>
  <si>
    <t xml:space="preserve">al27_A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</si>
  <si>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</si>
  <si>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SIF_al27_A</t>
  </si>
  <si>
    <t xml:space="preserve">al27_B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</si>
  <si>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</si>
  <si>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SIF_al27_B</t>
  </si>
  <si>
    <t xml:space="preserve">al27_C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</si>
  <si>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</si>
  <si>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SIF_al27_C</t>
  </si>
  <si>
    <t xml:space="preserve">al28_A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</si>
  <si>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</si>
  <si>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SIF_al28_A</t>
  </si>
  <si>
    <t xml:space="preserve">al28_B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</si>
  <si>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</si>
  <si>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SIF_al28_B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</si>
  <si>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Trainium 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奈米）換代；世芯負責後段設計（法說），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份額未揭露：未找到</t>
    </r>
  </si>
  <si>
    <t xml:space="preserve">al28_C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</si>
  <si>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</si>
  <si>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SIF_al28_C</t>
  </si>
  <si>
    <r>
      <rPr>
        <b val="true"/>
        <sz val="11"/>
        <rFont val="Cambria"/>
        <family val="0"/>
        <charset val="1"/>
      </rPr>
      <t xml:space="preserve">M8. </t>
    </r>
    <r>
      <rPr>
        <b val="true"/>
        <sz val="11"/>
        <rFont val="Noto Sans CJK SC"/>
        <family val="2"/>
      </rPr>
      <t xml:space="preserve">每顆加速器網通內容（美元；原在 </t>
    </r>
    <r>
      <rPr>
        <b val="true"/>
        <sz val="11"/>
        <rFont val="Cambria"/>
        <family val="0"/>
        <charset val="1"/>
      </rPr>
      <t xml:space="preserve">markets/network 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節，數值與文字逐字搬入）</t>
    </r>
  </si>
  <si>
    <t xml:space="preserve">c_GB_su_sw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</si>
  <si>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</si>
  <si>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$/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</si>
  <si>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v0.2.1 GB300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v20.1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v19.0 </t>
    </r>
    <r>
      <rPr>
        <sz val="11"/>
        <color theme="1"/>
        <rFont val="Noto Sans CJK SC"/>
        <family val="2"/>
      </rPr>
      <t xml:space="preserve">相同：機架基準價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$5.0M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交換晶片 </t>
    </r>
    <r>
      <rPr>
        <sz val="11"/>
        <color theme="1"/>
        <rFont val="Calibri"/>
        <family val="2"/>
        <charset val="1"/>
      </rPr>
      <t xml:space="preserve">0.727</t>
    </r>
    <r>
      <rPr>
        <sz val="11"/>
        <color theme="1"/>
        <rFont val="Noto Sans CJK SC"/>
        <family val="2"/>
      </rPr>
      <t xml:space="preserve">、交換匣其他 </t>
    </r>
    <r>
      <rPr>
        <sz val="11"/>
        <color theme="1"/>
        <rFont val="Calibri"/>
        <family val="2"/>
        <charset val="1"/>
      </rPr>
      <t xml:space="preserve">0.727</t>
    </r>
    <r>
      <rPr>
        <sz val="11"/>
        <color theme="1"/>
        <rFont val="Noto Sans CJK SC"/>
        <family val="2"/>
      </rPr>
      <t xml:space="preserve">、機架外 </t>
    </r>
    <r>
      <rPr>
        <sz val="11"/>
        <color theme="1"/>
        <rFont val="Calibri"/>
        <family val="2"/>
        <charset val="1"/>
      </rPr>
      <t xml:space="preserve">scale-out 2.909</t>
    </r>
    <r>
      <rPr>
        <sz val="11"/>
        <color theme="1"/>
        <rFont val="Noto Sans CJK SC"/>
        <family val="2"/>
      </rPr>
      <t xml:space="preserve">、機架內網卡＋</t>
    </r>
    <r>
      <rPr>
        <sz val="11"/>
        <color theme="1"/>
        <rFont val="Calibri"/>
        <family val="2"/>
        <charset val="1"/>
      </rPr>
      <t xml:space="preserve">DPU 1.278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$B/GW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487,008 </t>
    </r>
    <r>
      <rPr>
        <sz val="11"/>
        <color theme="1"/>
        <rFont val="Noto Sans CJK SC"/>
        <family val="2"/>
      </rPr>
      <t xml:space="preserve">顆；機架外依 交換器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／光模組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／銅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拆——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初版 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41.8B</t>
    </r>
    <r>
      <rPr>
        <sz val="11"/>
        <color theme="1"/>
        <rFont val="Noto Sans CJK SC"/>
        <family val="2"/>
      </rPr>
      <t xml:space="preserve">，高於 </t>
    </r>
    <r>
      <rPr>
        <sz val="11"/>
        <color theme="1"/>
        <rFont val="Calibri"/>
        <family val="2"/>
        <charset val="1"/>
      </rPr>
      <t xml:space="preserve">LightCounting 26B 61%</t>
    </r>
    <r>
      <rPr>
        <sz val="11"/>
        <color theme="1"/>
        <rFont val="Noto Sans CJK SC"/>
        <family val="2"/>
      </rPr>
      <t xml:space="preserve">，改以 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與光模組廠營收加總（約 </t>
    </r>
    <r>
      <rPr>
        <sz val="11"/>
        <color theme="1"/>
        <rFont val="Calibri"/>
        <family val="2"/>
        <charset val="1"/>
      </rPr>
      <t xml:space="preserve">26–30B</t>
    </r>
    <r>
      <rPr>
        <sz val="11"/>
        <color theme="1"/>
        <rFont val="Noto Sans CJK SC"/>
        <family val="2"/>
      </rPr>
      <t xml:space="preserve">）校準 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。合計約 </t>
    </r>
    <r>
      <rPr>
        <sz val="11"/>
        <color theme="1"/>
        <rFont val="Calibri"/>
        <family val="2"/>
        <charset val="1"/>
      </rPr>
      <t xml:space="preserve">$11.6K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v0.1 $13.0K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Bernstein GB200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$10.7K</t>
    </r>
    <r>
      <rPr>
        <sz val="11"/>
        <color theme="1"/>
        <rFont val="Noto Sans CJK SC"/>
        <family val="2"/>
      </rPr>
      <t xml:space="preserve">（第二來源）</t>
    </r>
  </si>
  <si>
    <t xml:space="preserve">SIF_c_GB_su_sw</t>
  </si>
  <si>
    <t xml:space="preserve">c_GB_su_ic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</si>
  <si>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</si>
  <si>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SIF_c_GB_su_ic</t>
  </si>
  <si>
    <t xml:space="preserve">c_GB_so_sw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</si>
  <si>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</si>
  <si>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SIF_c_GB_so_sw</t>
  </si>
  <si>
    <t xml:space="preserve">c_GB_so_opt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</si>
  <si>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</si>
  <si>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SIF_c_GB_so_opt</t>
  </si>
  <si>
    <t xml:space="preserve">c_GB_so_cu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</si>
  <si>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</si>
  <si>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SIF_c_GB_so_cu</t>
  </si>
  <si>
    <t xml:space="preserve">c_GB_nic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</si>
  <si>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</si>
  <si>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SIF_c_GB_nic</t>
  </si>
  <si>
    <t xml:space="preserve">c_VR_su_sw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</si>
  <si>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</si>
  <si>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 VR200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291,744 </t>
    </r>
    <r>
      <rPr>
        <sz val="11"/>
        <color theme="1"/>
        <rFont val="Noto Sans CJK SC"/>
        <family val="2"/>
      </rPr>
      <t xml:space="preserve">顆；</t>
    </r>
    <r>
      <rPr>
        <sz val="11"/>
        <color theme="1"/>
        <rFont val="Calibri"/>
        <family val="2"/>
        <charset val="1"/>
      </rPr>
      <t xml:space="preserve">NVLink 6 </t>
    </r>
    <r>
      <rPr>
        <sz val="11"/>
        <color theme="1"/>
        <rFont val="Noto Sans CJK SC"/>
        <family val="2"/>
      </rPr>
      <t xml:space="preserve">交換晶片 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顆（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倍）、</t>
    </r>
    <r>
      <rPr>
        <sz val="11"/>
        <color theme="1"/>
        <rFont val="Calibri"/>
        <family val="2"/>
        <charset val="1"/>
      </rPr>
      <t xml:space="preserve">ConnectX-9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顆；機架外拆分同上（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）。合計約 </t>
    </r>
    <r>
      <rPr>
        <sz val="11"/>
        <color theme="1"/>
        <rFont val="Calibri"/>
        <family val="2"/>
        <charset val="1"/>
      </rPr>
      <t xml:space="preserve">$24.5K</t>
    </r>
  </si>
  <si>
    <t xml:space="preserve">SIF_c_VR_su_sw</t>
  </si>
  <si>
    <t xml:space="preserve">c_VR_su_ic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</si>
  <si>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</si>
  <si>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SIF_c_VR_su_ic</t>
  </si>
  <si>
    <t xml:space="preserve">c_VR_so_sw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</si>
  <si>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</si>
  <si>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SIF_c_VR_so_sw</t>
  </si>
  <si>
    <t xml:space="preserve">c_VR_so_opt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</si>
  <si>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</si>
  <si>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SIF_c_VR_so_opt</t>
  </si>
  <si>
    <t xml:space="preserve">c_VR_so_cu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</si>
  <si>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</si>
  <si>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SIF_c_VR_so_cu</t>
  </si>
  <si>
    <t xml:space="preserve">c_VR_nic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</si>
  <si>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</si>
  <si>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SIF_c_VR_nic</t>
  </si>
  <si>
    <t xml:space="preserve">c_RU_su_sw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</si>
  <si>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</si>
  <si>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NVL576 </t>
    </r>
    <r>
      <rPr>
        <sz val="11"/>
        <color theme="1"/>
        <rFont val="Noto Sans CJK SC"/>
        <family val="2"/>
      </rPr>
      <t xml:space="preserve">兩層 </t>
    </r>
    <r>
      <rPr>
        <sz val="11"/>
        <color theme="1"/>
        <rFont val="Calibri"/>
        <family val="2"/>
        <charset val="1"/>
      </rPr>
      <t xml:space="preserve">NVLink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VR200</t>
    </r>
  </si>
  <si>
    <t xml:space="preserve">SIF_c_RU_su_sw</t>
  </si>
  <si>
    <t xml:space="preserve">c_RU_su_ic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</si>
  <si>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</si>
  <si>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SIF_c_RU_su_ic</t>
  </si>
  <si>
    <t xml:space="preserve">c_RU_so_sw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</si>
  <si>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</si>
  <si>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SIF_c_RU_so_sw</t>
  </si>
  <si>
    <t xml:space="preserve">c_RU_so_opt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</si>
  <si>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</si>
  <si>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SIF_c_RU_so_opt</t>
  </si>
  <si>
    <t xml:space="preserve">c_RU_so_cu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</si>
  <si>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</si>
  <si>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SIF_c_RU_so_cu</t>
  </si>
  <si>
    <t xml:space="preserve">c_RU_nic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</si>
  <si>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</si>
  <si>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SIF_c_RU_nic</t>
  </si>
  <si>
    <t xml:space="preserve">c_HP_su_sw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</si>
  <si>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</si>
  <si>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NVSwitch </t>
    </r>
    <r>
      <rPr>
        <sz val="11"/>
        <color theme="1"/>
        <rFont val="Noto Sans CJK SC"/>
        <family val="2"/>
      </rPr>
      <t xml:space="preserve">機內；</t>
    </r>
    <r>
      <rPr>
        <sz val="11"/>
        <color theme="1"/>
        <rFont val="Calibri"/>
        <family val="2"/>
        <charset val="1"/>
      </rPr>
      <t xml:space="preserve">400G InfiniBand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1 </t>
    </r>
    <r>
      <rPr>
        <sz val="11"/>
        <color theme="1"/>
        <rFont val="Noto Sans CJK SC"/>
        <family val="2"/>
      </rPr>
      <t xml:space="preserve">埠；合計約 </t>
    </r>
    <r>
      <rPr>
        <sz val="11"/>
        <color theme="1"/>
        <rFont val="Calibri"/>
        <family val="2"/>
        <charset val="1"/>
      </rPr>
      <t xml:space="preserve">$8K</t>
    </r>
  </si>
  <si>
    <t xml:space="preserve">SIF_c_HP_su_sw</t>
  </si>
  <si>
    <t xml:space="preserve">c_HP_su_ic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</si>
  <si>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</si>
  <si>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SIF_c_HP_su_ic</t>
  </si>
  <si>
    <t xml:space="preserve">c_HP_so_sw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</si>
  <si>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</si>
  <si>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SIF_c_HP_so_sw</t>
  </si>
  <si>
    <t xml:space="preserve">c_HP_so_opt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</si>
  <si>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</si>
  <si>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SIF_c_HP_so_opt</t>
  </si>
  <si>
    <t xml:space="preserve">c_HP_so_cu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</si>
  <si>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</si>
  <si>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SIF_c_HP_so_cu</t>
  </si>
  <si>
    <t xml:space="preserve">c_HP_nic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</si>
  <si>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</si>
  <si>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SIF_c_HP_nic</t>
  </si>
  <si>
    <t xml:space="preserve">c_AMD8_su_sw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</si>
  <si>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</si>
  <si>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t xml:space="preserve">Analogy</t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</si>
  <si>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Hopper HGX</t>
    </r>
  </si>
  <si>
    <t xml:space="preserve">SIF_c_AMD8_su_sw</t>
  </si>
  <si>
    <t xml:space="preserve">c_AMD8_su_ic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</si>
  <si>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</si>
  <si>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SIF_c_AMD8_su_ic</t>
  </si>
  <si>
    <t xml:space="preserve">c_AMD8_so_sw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</si>
  <si>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</si>
  <si>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SIF_c_AMD8_so_sw</t>
  </si>
  <si>
    <t xml:space="preserve">c_AMD8_so_opt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</si>
  <si>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</si>
  <si>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SIF_c_AMD8_so_opt</t>
  </si>
  <si>
    <t xml:space="preserve">c_AMD8_so_cu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</si>
  <si>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</si>
  <si>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SIF_c_AMD8_so_cu</t>
  </si>
  <si>
    <t xml:space="preserve">c_AMD8_nic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</si>
  <si>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</si>
  <si>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SIF_c_AMD8_nic</t>
  </si>
  <si>
    <t xml:space="preserve">c_AMDR_su_sw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</si>
  <si>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</si>
  <si>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0.8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UALink</t>
    </r>
    <r>
      <rPr>
        <sz val="11"/>
        <color theme="1"/>
        <rFont val="Noto Sans CJK SC"/>
        <family val="2"/>
      </rPr>
      <t xml:space="preserve">／乙太網路 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）</t>
    </r>
  </si>
  <si>
    <t xml:space="preserve">SIF_c_AMDR_su_sw</t>
  </si>
  <si>
    <t xml:space="preserve">c_AMDR_su_ic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</si>
  <si>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</si>
  <si>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SIF_c_AMDR_su_ic</t>
  </si>
  <si>
    <t xml:space="preserve">c_AMDR_so_sw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</si>
  <si>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</si>
  <si>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SIF_c_AMDR_so_sw</t>
  </si>
  <si>
    <t xml:space="preserve">c_AMDR_so_opt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</si>
  <si>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</si>
  <si>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SIF_c_AMDR_so_opt</t>
  </si>
  <si>
    <t xml:space="preserve">c_AMDR_so_cu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</si>
  <si>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</si>
  <si>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SIF_c_AMDR_so_cu</t>
  </si>
  <si>
    <t xml:space="preserve">c_AMDR_nic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</si>
  <si>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</si>
  <si>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SIF_c_AMDR_nic</t>
  </si>
  <si>
    <t xml:space="preserve">c_TPU_su_sw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</si>
  <si>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</si>
  <si>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ICI </t>
    </r>
    <r>
      <rPr>
        <sz val="11"/>
        <color theme="1"/>
        <rFont val="Noto Sans CJK SC"/>
        <family val="2"/>
      </rPr>
      <t xml:space="preserve">互連＋光學電路交換（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）；合計約 </t>
    </r>
    <r>
      <rPr>
        <sz val="11"/>
        <color theme="1"/>
        <rFont val="Calibri"/>
        <family val="2"/>
        <charset val="1"/>
      </rPr>
      <t xml:space="preserve">$5K</t>
    </r>
  </si>
  <si>
    <t xml:space="preserve">SIF_c_TPU_su_sw</t>
  </si>
  <si>
    <t xml:space="preserve">c_TPU_su_ic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</si>
  <si>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</si>
  <si>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SIF_c_TPU_su_ic</t>
  </si>
  <si>
    <t xml:space="preserve">c_TPU_so_sw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</si>
  <si>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</si>
  <si>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SIF_c_TPU_so_sw</t>
  </si>
  <si>
    <t xml:space="preserve">c_TPU_so_opt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</si>
  <si>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</si>
  <si>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SIF_c_TPU_so_opt</t>
  </si>
  <si>
    <t xml:space="preserve">c_TPU_so_cu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</si>
  <si>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</si>
  <si>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SIF_c_TPU_so_cu</t>
  </si>
  <si>
    <t xml:space="preserve">c_TPU_nic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</si>
  <si>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</si>
  <si>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SIF_c_TPU_nic</t>
  </si>
  <si>
    <t xml:space="preserve">c_TRN_su_sw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</si>
  <si>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</si>
  <si>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NeuronLink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EFA</t>
    </r>
    <r>
      <rPr>
        <sz val="11"/>
        <color theme="1"/>
        <rFont val="Noto Sans CJK SC"/>
        <family val="2"/>
      </rPr>
      <t xml:space="preserve">；合計約 </t>
    </r>
    <r>
      <rPr>
        <sz val="11"/>
        <color theme="1"/>
        <rFont val="Calibri"/>
        <family val="2"/>
        <charset val="1"/>
      </rPr>
      <t xml:space="preserve">$4K</t>
    </r>
  </si>
  <si>
    <t xml:space="preserve">SIF_c_TRN_su_sw</t>
  </si>
  <si>
    <t xml:space="preserve">c_TRN_su_ic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</si>
  <si>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</si>
  <si>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SIF_c_TRN_su_ic</t>
  </si>
  <si>
    <t xml:space="preserve">c_TRN_so_sw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</si>
  <si>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</si>
  <si>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SIF_c_TRN_so_sw</t>
  </si>
  <si>
    <t xml:space="preserve">c_TRN_so_opt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</si>
  <si>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</si>
  <si>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SIF_c_TRN_so_opt</t>
  </si>
  <si>
    <t xml:space="preserve">c_TRN_so_cu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</si>
  <si>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</si>
  <si>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SIF_c_TRN_so_cu</t>
  </si>
  <si>
    <t xml:space="preserve">c_TRN_nic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</si>
  <si>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</si>
  <si>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SIF_c_TRN_nic</t>
  </si>
  <si>
    <t xml:space="preserve">c_ASIC_su_sw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</si>
  <si>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</si>
  <si>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Trainium</t>
    </r>
  </si>
  <si>
    <t xml:space="preserve">SIF_c_ASIC_su_sw</t>
  </si>
  <si>
    <t xml:space="preserve">c_ASIC_su_ic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</si>
  <si>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</si>
  <si>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SIF_c_ASIC_su_ic</t>
  </si>
  <si>
    <t xml:space="preserve">c_ASIC_so_sw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</si>
  <si>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</si>
  <si>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SIF_c_ASIC_so_sw</t>
  </si>
  <si>
    <t xml:space="preserve">c_ASIC_so_opt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</si>
  <si>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</si>
  <si>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SIF_c_ASIC_so_opt</t>
  </si>
  <si>
    <t xml:space="preserve">c_ASIC_so_cu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</si>
  <si>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</si>
  <si>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SIF_c_ASIC_so_cu</t>
  </si>
  <si>
    <t xml:space="preserve">c_ASIC_nic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</si>
  <si>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</si>
  <si>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SIF_c_ASIC_nic</t>
  </si>
  <si>
    <r>
      <rPr>
        <b val="true"/>
        <sz val="11"/>
        <rFont val="Cambria"/>
        <family val="0"/>
        <charset val="1"/>
      </rPr>
      <t xml:space="preserve">M9. </t>
    </r>
    <r>
      <rPr>
        <b val="true"/>
        <sz val="11"/>
        <rFont val="Noto Sans CJK SC"/>
        <family val="2"/>
      </rPr>
      <t xml:space="preserve">每顆加速器 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資本支出（千美元；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世代由 </t>
    </r>
    <r>
      <rPr>
        <b val="true"/>
        <sz val="11"/>
        <rFont val="Cambria"/>
        <family val="0"/>
        <charset val="1"/>
      </rPr>
      <t xml:space="preserve">Tokenomics </t>
    </r>
    <r>
      <rPr>
        <b val="true"/>
        <sz val="11"/>
        <rFont val="Noto Sans CJK SC"/>
        <family val="2"/>
      </rPr>
      <t xml:space="preserve">推導，其餘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；原在 </t>
    </r>
    <r>
      <rPr>
        <b val="true"/>
        <sz val="11"/>
        <rFont val="Cambria"/>
        <family val="0"/>
        <charset val="1"/>
      </rPr>
      <t xml:space="preserve">markets/network C </t>
    </r>
    <r>
      <rPr>
        <b val="true"/>
        <sz val="11"/>
        <rFont val="Noto Sans CJK SC"/>
        <family val="2"/>
      </rPr>
      <t xml:space="preserve">節）</t>
    </r>
  </si>
  <si>
    <t xml:space="preserve">it_GB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</si>
  <si>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</si>
  <si>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$K/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</si>
  <si>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</si>
  <si>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SIF_it_GB</t>
  </si>
  <si>
    <t xml:space="preserve">it_VR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</si>
  <si>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</si>
  <si>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</si>
  <si>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SIF_it_VR</t>
  </si>
  <si>
    <t xml:space="preserve">it_RU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</si>
  <si>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</si>
  <si>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</si>
  <si>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SIF_it_RU</t>
  </si>
  <si>
    <t xml:space="preserve">it_HP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</si>
  <si>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</si>
  <si>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</si>
  <si>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SIF_it_HP</t>
  </si>
  <si>
    <t xml:space="preserve">it_AMD8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</si>
  <si>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</si>
  <si>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MI355 8 GPU </t>
    </r>
    <r>
      <rPr>
        <sz val="11"/>
        <color theme="1"/>
        <rFont val="Noto Sans CJK SC"/>
        <family val="2"/>
      </rPr>
      <t xml:space="preserve">伺服器每顆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無公開值；比照 </t>
    </r>
    <r>
      <rPr>
        <sz val="11"/>
        <color theme="1"/>
        <rFont val="Calibri"/>
        <family val="2"/>
        <charset val="1"/>
      </rPr>
      <t xml:space="preserve">Hopper HGX </t>
    </r>
    <r>
      <rPr>
        <sz val="11"/>
        <color theme="1"/>
        <rFont val="Noto Sans CJK SC"/>
        <family val="2"/>
      </rPr>
      <t xml:space="preserve">量級（</t>
    </r>
    <r>
      <rPr>
        <sz val="11"/>
        <color theme="1"/>
        <rFont val="Calibri"/>
        <family val="2"/>
        <charset val="1"/>
      </rPr>
      <t xml:space="preserve">Tokenomics H100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38K</t>
    </r>
    <r>
      <rPr>
        <sz val="11"/>
        <color theme="1"/>
        <rFont val="Noto Sans CJK SC"/>
        <family val="2"/>
      </rPr>
      <t xml:space="preserve">）上調；區間 </t>
    </r>
    <r>
      <rPr>
        <sz val="11"/>
        <color theme="1"/>
        <rFont val="Calibri"/>
        <family val="2"/>
        <charset val="1"/>
      </rPr>
      <t xml:space="preserve">30–50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</t>
    </r>
  </si>
  <si>
    <t xml:space="preserve">SIF_it_AMD8</t>
  </si>
  <si>
    <t xml:space="preserve">it_AMDR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</si>
  <si>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</si>
  <si>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的約 </t>
    </r>
    <r>
      <rPr>
        <sz val="11"/>
        <color theme="1"/>
        <rFont val="Calibri"/>
        <family val="2"/>
        <charset val="1"/>
      </rPr>
      <t xml:space="preserve">0.8 </t>
    </r>
    <r>
      <rPr>
        <sz val="11"/>
        <color theme="1"/>
        <rFont val="Noto Sans CJK SC"/>
        <family val="2"/>
      </rPr>
      <t xml:space="preserve">倍</t>
    </r>
  </si>
  <si>
    <t xml:space="preserve">SIF_it_AMDR</t>
  </si>
  <si>
    <t xml:space="preserve">it_TPU</t>
  </si>
  <si>
    <t xml:space="preserve">Google TPU IT capex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</si>
  <si>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＝伺服器與機架總價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顆數，無公開值；量級約為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66K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0.3–0.4 </t>
    </r>
    <r>
      <rPr>
        <sz val="11"/>
        <color theme="1"/>
        <rFont val="Noto Sans CJK SC"/>
        <family val="2"/>
      </rPr>
      <t xml:space="preserve">倍；區間 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</t>
    </r>
  </si>
  <si>
    <t xml:space="preserve">SIF_it_TPU</t>
  </si>
  <si>
    <t xml:space="preserve">it_TRN</t>
  </si>
  <si>
    <t xml:space="preserve">AWS Trainium IT capex</t>
  </si>
  <si>
    <t xml:space="preserve">SIF_it_TRN</t>
  </si>
  <si>
    <t xml:space="preserve">it_ASIC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</si>
  <si>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IT capex</t>
    </r>
  </si>
  <si>
    <t xml:space="preserve">SIF_it_ASIC</t>
  </si>
  <si>
    <r>
      <rPr>
        <b val="true"/>
        <sz val="11"/>
        <rFont val="Cambria"/>
        <family val="0"/>
        <charset val="1"/>
      </rPr>
      <t xml:space="preserve">M10. </t>
    </r>
    <r>
      <rPr>
        <b val="true"/>
        <sz val="11"/>
        <rFont val="Noto Sans CJK SC"/>
        <family val="2"/>
      </rPr>
      <t xml:space="preserve">網通技術轉換與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三情境（原在 </t>
    </r>
    <r>
      <rPr>
        <b val="true"/>
        <sz val="11"/>
        <rFont val="Cambria"/>
        <family val="0"/>
        <charset val="1"/>
      </rPr>
      <t xml:space="preserve">markets/network D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 </t>
    </r>
    <r>
      <rPr>
        <b val="true"/>
        <sz val="11"/>
        <rFont val="Noto Sans CJK SC"/>
        <family val="2"/>
      </rPr>
      <t xml:space="preserve">節；技術替代屬行業情境，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＝替代快）</t>
    </r>
  </si>
  <si>
    <t xml:space="preserve">suopt_26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</si>
  <si>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</si>
  <si>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到 </t>
    </r>
    <r>
      <rPr>
        <sz val="11"/>
        <color theme="1"/>
        <rFont val="Calibri"/>
        <family val="2"/>
        <charset val="1"/>
      </rPr>
      <t xml:space="preserve">Rubin Ultra Kyber </t>
    </r>
    <r>
      <rPr>
        <sz val="11"/>
        <color theme="1"/>
        <rFont val="Noto Sans CJK SC"/>
        <family val="2"/>
      </rPr>
      <t xml:space="preserve">全銅（</t>
    </r>
    <r>
      <rPr>
        <sz val="11"/>
        <color theme="1"/>
        <rFont val="Calibri"/>
        <family val="2"/>
        <charset val="1"/>
      </rPr>
      <t xml:space="preserve">The Register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Feynman</t>
    </r>
    <r>
      <rPr>
        <sz val="11"/>
        <color theme="1"/>
        <rFont val="Noto Sans CJK SC"/>
        <family val="2"/>
      </rPr>
      <t xml:space="preserve">「銅與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都做」（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後）。區間（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補）：</t>
    </r>
    <r>
      <rPr>
        <sz val="11"/>
        <color theme="1"/>
        <rFont val="Calibri"/>
        <family val="2"/>
        <charset val="1"/>
      </rPr>
      <t xml:space="preserve">2028 0–5%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10–30%</t>
    </r>
  </si>
  <si>
    <t xml:space="preserve">SIF_suopt_26</t>
  </si>
  <si>
    <t xml:space="preserve">suopt_27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</si>
  <si>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2027</t>
    </r>
  </si>
  <si>
    <t xml:space="preserve">SIF_suopt_27</t>
  </si>
  <si>
    <t xml:space="preserve">suopt_28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</si>
  <si>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2028</t>
    </r>
  </si>
  <si>
    <t xml:space="preserve">SIF_suopt_28</t>
  </si>
  <si>
    <t xml:space="preserve">suopt_29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</si>
  <si>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2029</t>
    </r>
  </si>
  <si>
    <t xml:space="preserve">SIF_suopt_29</t>
  </si>
  <si>
    <t xml:space="preserve">su_cu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</si>
  <si>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互連中銅纜（背板、線纜卡匣）占比</t>
    </r>
  </si>
  <si>
    <t xml:space="preserve">其餘為交換匣電路板、電源、機構</t>
  </si>
  <si>
    <t xml:space="preserve">SIF_su_cu</t>
  </si>
  <si>
    <t xml:space="preserve">cpo_A_26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</si>
  <si>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</si>
  <si>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</si>
  <si>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Noto Sans CJK SC"/>
        <family val="2"/>
      </rPr>
      <t xml:space="preserve">部署順利 → 新世代交換器（</t>
    </r>
    <r>
      <rPr>
        <sz val="11"/>
        <color theme="1"/>
        <rFont val="Calibri"/>
        <family val="2"/>
        <charset val="1"/>
      </rPr>
      <t xml:space="preserve">Spectrum-X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Quantum-X Photonics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Bailly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Davisson</t>
    </r>
    <r>
      <rPr>
        <sz val="11"/>
        <color theme="1"/>
        <rFont val="Noto Sans CJK SC"/>
        <family val="2"/>
      </rPr>
      <t xml:space="preserve">）導入快：</t>
    </r>
    <r>
      <rPr>
        <sz val="11"/>
        <color theme="1"/>
        <rFont val="Calibri"/>
        <family val="2"/>
        <charset val="1"/>
      </rPr>
      <t xml:space="preserve">Citi 2026-03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scale-out CPO </t>
    </r>
    <r>
      <rPr>
        <sz val="11"/>
        <color theme="1"/>
        <rFont val="Noto Sans CJK SC"/>
        <family val="2"/>
      </rPr>
      <t xml:space="preserve">交換器 </t>
    </r>
    <r>
      <rPr>
        <sz val="11"/>
        <color theme="1"/>
        <rFont val="Calibri"/>
        <family val="2"/>
        <charset val="1"/>
      </rPr>
      <t xml:space="preserve">2027 4 </t>
    </r>
    <r>
      <rPr>
        <sz val="11"/>
        <color theme="1"/>
        <rFont val="Noto Sans CJK SC"/>
        <family val="2"/>
      </rPr>
      <t xml:space="preserve">萬台、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萬台（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，賣方），以每埠光學約 </t>
    </r>
    <r>
      <rPr>
        <sz val="11"/>
        <color theme="1"/>
        <rFont val="Calibri"/>
        <family val="2"/>
        <charset val="1"/>
      </rPr>
      <t xml:space="preserve">$300–400 </t>
    </r>
    <r>
      <rPr>
        <sz val="11"/>
        <color theme="1"/>
        <rFont val="Noto Sans CJK SC"/>
        <family val="2"/>
      </rPr>
      <t xml:space="preserve">換算約 </t>
    </r>
    <r>
      <rPr>
        <sz val="11"/>
        <color theme="1"/>
        <rFont val="Calibri"/>
        <family val="2"/>
        <charset val="1"/>
      </rPr>
      <t xml:space="preserve">2027 $2–3B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2028 $6–8B</t>
    </r>
    <r>
      <rPr>
        <sz val="11"/>
        <color theme="1"/>
        <rFont val="Noto Sans CJK SC"/>
        <family val="2"/>
      </rPr>
      <t xml:space="preserve">，與本列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同級；區間 </t>
    </r>
    <r>
      <rPr>
        <sz val="11"/>
        <color theme="1"/>
        <rFont val="Calibri"/>
        <family val="2"/>
        <charset val="1"/>
      </rPr>
      <t xml:space="preserve">2028 8–14%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補）：各年基準 </t>
    </r>
    <r>
      <rPr>
        <sz val="11"/>
        <color theme="1"/>
        <rFont val="Calibri"/>
        <family val="2"/>
        <charset val="1"/>
      </rPr>
      <t xml:space="preserve">×0.7–×1.4</t>
    </r>
  </si>
  <si>
    <t xml:space="preserve">SIF_cpo_A_26</t>
  </si>
  <si>
    <t xml:space="preserve">cpo_A_27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</si>
  <si>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</si>
  <si>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SIF_cpo_A_27</t>
  </si>
  <si>
    <t xml:space="preserve">cpo_A_28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</si>
  <si>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</si>
  <si>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SIF_cpo_A_28</t>
  </si>
  <si>
    <t xml:space="preserve">cpo_A_29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</si>
  <si>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</si>
  <si>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SIF_cpo_A_29</t>
  </si>
  <si>
    <t xml:space="preserve">cpo_B_26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</si>
  <si>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</si>
  <si>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單一路徑：</t>
    </r>
    <r>
      <rPr>
        <sz val="11"/>
        <color theme="1"/>
        <rFont val="Calibri"/>
        <family val="2"/>
        <charset val="1"/>
      </rPr>
      <t xml:space="preserve">LightCounting 2030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Morgan Stanley 2026-06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為可插拔、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、銅並存的過渡期，快速成長在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年之後（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TrendForce 2026-07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交換器放量 </t>
    </r>
    <r>
      <rPr>
        <sz val="11"/>
        <color theme="1"/>
        <rFont val="Calibri"/>
        <family val="2"/>
        <charset val="1"/>
      </rPr>
      <t xml:space="preserve">2027–28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2028 4–7%</t>
    </r>
  </si>
  <si>
    <t xml:space="preserve">SIF_cpo_B_26</t>
  </si>
  <si>
    <t xml:space="preserve">cpo_B_27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</si>
  <si>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</si>
  <si>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SIF_cpo_B_27</t>
  </si>
  <si>
    <t xml:space="preserve">cpo_B_28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</si>
  <si>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</si>
  <si>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SIF_cpo_B_28</t>
  </si>
  <si>
    <t xml:space="preserve">cpo_B_29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</si>
  <si>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</si>
  <si>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SIF_cpo_B_29</t>
  </si>
  <si>
    <t xml:space="preserve">cpo_C_26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</si>
  <si>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</si>
  <si>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部署不如預期 → 客戶延用已驗證的可插拔（</t>
    </r>
    <r>
      <rPr>
        <sz val="11"/>
        <color theme="1"/>
        <rFont val="Calibri"/>
        <family val="2"/>
        <charset val="1"/>
      </rPr>
      <t xml:space="preserve">LPO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良率（</t>
    </r>
    <r>
      <rPr>
        <sz val="11"/>
        <color theme="1"/>
        <rFont val="Calibri"/>
        <family val="2"/>
        <charset val="1"/>
      </rPr>
      <t xml:space="preserve">TSMC COUPE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50–60%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轉述）與維修性問題拖延；</t>
    </r>
    <r>
      <rPr>
        <sz val="11"/>
        <color theme="1"/>
        <rFont val="Calibri"/>
        <family val="2"/>
        <charset val="1"/>
      </rPr>
      <t xml:space="preserve">Cignal AI 2026-05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對可插拔的初期影響很小、</t>
    </r>
    <r>
      <rPr>
        <sz val="11"/>
        <color theme="1"/>
        <rFont val="Calibri"/>
        <family val="2"/>
        <charset val="1"/>
      </rPr>
      <t xml:space="preserve">scale-out CPO </t>
    </r>
    <r>
      <rPr>
        <sz val="11"/>
        <color theme="1"/>
        <rFont val="Noto Sans CJK SC"/>
        <family val="2"/>
      </rPr>
      <t xml:space="preserve">只占 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可插拔的一小部分；區間 </t>
    </r>
    <r>
      <rPr>
        <sz val="11"/>
        <color theme="1"/>
        <rFont val="Calibri"/>
        <family val="2"/>
        <charset val="1"/>
      </rPr>
      <t xml:space="preserve">2028 2–4%</t>
    </r>
  </si>
  <si>
    <t xml:space="preserve">SIF_cpo_C_26</t>
  </si>
  <si>
    <t xml:space="preserve">cpo_C_27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</si>
  <si>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</si>
  <si>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SIF_cpo_C_27</t>
  </si>
  <si>
    <t xml:space="preserve">cpo_C_28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</si>
  <si>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</si>
  <si>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SIF_cpo_C_28</t>
  </si>
  <si>
    <t xml:space="preserve">cpo_C_29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</si>
  <si>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</si>
  <si>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SIF_cpo_C_29</t>
  </si>
  <si>
    <r>
      <rPr>
        <b val="true"/>
        <sz val="11"/>
        <rFont val="Cambria"/>
        <family val="0"/>
        <charset val="1"/>
      </rPr>
      <t xml:space="preserve">M11. </t>
    </r>
    <r>
      <rPr>
        <b val="true"/>
        <sz val="11"/>
        <rFont val="Noto Sans CJK SC"/>
        <family val="2"/>
      </rPr>
      <t xml:space="preserve">部署組合（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Rubin </t>
    </r>
    <r>
      <rPr>
        <b val="true"/>
        <sz val="11"/>
        <rFont val="Noto Sans CJK SC"/>
        <family val="2"/>
      </rPr>
      <t xml:space="preserve">世代占比；原分別寫在 </t>
    </r>
    <r>
      <rPr>
        <b val="true"/>
        <sz val="11"/>
        <rFont val="Cambria"/>
        <family val="0"/>
        <charset val="1"/>
      </rPr>
      <t xml:space="preserve">11 </t>
    </r>
    <r>
      <rPr>
        <b val="true"/>
        <sz val="11"/>
        <rFont val="Noto Sans CJK SC"/>
        <family val="2"/>
      </rPr>
      <t xml:space="preserve">個公司模型，值相同）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</si>
  <si>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</si>
  <si>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資本支出等用）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</si>
  <si>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）；原在台達電、廣達、奇鋐、雙鴻、健策、台光電、勝宏、光寶等模型各自寫入，值相同</t>
    </r>
  </si>
  <si>
    <t xml:space="preserve">SIF_vr26</t>
  </si>
  <si>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起單一來源</t>
    </r>
  </si>
  <si>
    <r>
      <rPr>
        <b val="true"/>
        <sz val="11"/>
        <rFont val="Cambria"/>
        <family val="0"/>
        <charset val="1"/>
      </rPr>
      <t xml:space="preserve">M12. CPO </t>
    </r>
    <r>
      <rPr>
        <b val="true"/>
        <sz val="11"/>
        <rFont val="Noto Sans CJK SC"/>
        <family val="2"/>
      </rPr>
      <t xml:space="preserve">光學金額份額（光模組與雷射廠；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為代工，與模組廠重疊、不計入合計；原在 </t>
    </r>
    <r>
      <rPr>
        <b val="true"/>
        <sz val="11"/>
        <rFont val="Cambria"/>
        <family val="0"/>
        <charset val="1"/>
      </rPr>
      <t xml:space="preserve">lite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cohr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innolight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eoptolink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cpo_27–29</t>
    </r>
    <r>
      <rPr>
        <b val="true"/>
        <sz val="11"/>
        <rFont val="Noto Sans CJK SC"/>
        <family val="2"/>
      </rPr>
      <t xml:space="preserve">，數值與文字逐字搬入）</t>
    </r>
  </si>
  <si>
    <t xml:space="preserve">cposh_lite_27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</si>
  <si>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</si>
  <si>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https://cruxcapitalgroup.substack.com/p/lite-earnings-breakdown</t>
    </r>
    <r>
      <rPr>
        <sz val="11"/>
        <color theme="1"/>
        <rFont val="Noto Sans CJK SC"/>
        <family val="2"/>
      </rPr>
      <t xml:space="preserve">：外部光源／超高功率雷射數億美元訂單 </t>
    </r>
    <r>
      <rPr>
        <sz val="11"/>
        <color theme="1"/>
        <rFont val="Calibri"/>
        <family val="2"/>
        <charset val="1"/>
      </rPr>
      <t xml:space="preserve">1H CY2027 </t>
    </r>
    <r>
      <rPr>
        <sz val="11"/>
        <color theme="1"/>
        <rFont val="Noto Sans CJK SC"/>
        <family val="2"/>
      </rPr>
      <t xml:space="preserve">交貨（公司）</t>
    </r>
  </si>
  <si>
    <t xml:space="preserve">SIF_cposh_lite_27</t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</si>
  <si>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：超高功率雷射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千萬美元，目標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第三季單季逾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億美元（凱基轉述）</t>
    </r>
  </si>
  <si>
    <t xml:space="preserve">cposh_lite_28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</si>
  <si>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</si>
  <si>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https://www.marketbeat.com/instant-alerts/lumentum-q4-earnings-call-highlights-2026-08-11/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超高功率雷射 </t>
    </r>
    <r>
      <rPr>
        <sz val="11"/>
        <color theme="1"/>
        <rFont val="Calibri"/>
        <family val="2"/>
        <charset val="1"/>
      </rPr>
      <t xml:space="preserve">2H CY2027 </t>
    </r>
    <r>
      <rPr>
        <sz val="11"/>
        <color theme="1"/>
        <rFont val="Noto Sans CJK SC"/>
        <family val="2"/>
      </rPr>
      <t xml:space="preserve">大量出貨、供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年部署（公司）</t>
    </r>
  </si>
  <si>
    <t xml:space="preserve">SIF_cposh_lite_28</t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</si>
  <si>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才開始（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可能早於此：低估風險</t>
    </r>
  </si>
  <si>
    <t xml:space="preserve">cposh_lite_29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</si>
  <si>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</si>
  <si>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SIF_cposh_lite_29</t>
  </si>
  <si>
    <t xml:space="preserve">cposh_cohr_27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</si>
  <si>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</si>
  <si>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營收自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月季開始、</t>
    </r>
    <r>
      <rPr>
        <sz val="11"/>
        <color theme="1"/>
        <rFont val="Calibri"/>
        <family val="2"/>
        <charset val="1"/>
      </rPr>
      <t xml:space="preserve">scale-up CPO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下半年；與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合作超高功率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雷射（公司）</t>
    </r>
  </si>
  <si>
    <t xml:space="preserve">SIF_cposh_cohr_27</t>
  </si>
  <si>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等整合光學增量市場逾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億美元（公司說法，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</si>
  <si>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cposh_cohr_28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</si>
  <si>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</si>
  <si>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t xml:space="preserve">SIF_cposh_cohr_28</t>
  </si>
  <si>
    <t xml:space="preserve">cposh_cohr_29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</si>
  <si>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</si>
  <si>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SIF_cposh_cohr_29</t>
  </si>
  <si>
    <t xml:space="preserve">cposh_innolight_27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</si>
  <si>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</si>
  <si>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公告：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XPO </t>
    </r>
    <r>
      <rPr>
        <sz val="11"/>
        <color theme="1"/>
        <rFont val="Noto Sans CJK SC"/>
        <family val="2"/>
      </rPr>
      <t xml:space="preserve">與部分重點客戶聯合研發並送樣（中華網轉載）</t>
    </r>
  </si>
  <si>
    <t xml:space="preserve">SIF_cposh_innolight_27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</si>
  <si>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光引擎與外部雷射多由雷射廠供應（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、天孚等；網通比對 </t>
    </r>
    <r>
      <rPr>
        <sz val="11"/>
        <color theme="1"/>
        <rFont val="Calibri"/>
        <family val="2"/>
        <charset val="1"/>
      </rPr>
      <t xml:space="preserve">N4b</t>
    </r>
    <r>
      <rPr>
        <sz val="11"/>
        <color theme="1"/>
        <rFont val="Noto Sans CJK SC"/>
        <family val="2"/>
      </rPr>
      <t xml:space="preserve">）</t>
    </r>
  </si>
  <si>
    <t xml:space="preserve">cposh_innolight_28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</si>
  <si>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</si>
  <si>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SIF_cposh_innolight_28</t>
  </si>
  <si>
    <t xml:space="preserve">cposh_innolight_29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</si>
  <si>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</si>
  <si>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SIF_cposh_innolight_29</t>
  </si>
  <si>
    <t xml:space="preserve">cposh_eoptolink_27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</si>
  <si>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</si>
  <si>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https://stock.10jqka.com.cn/20260928/c680329640.shtml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預計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年批量交付、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年規模化供應（公司說法經媒體轉載，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</si>
  <si>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SIF_cposh_eoptolink_27</t>
  </si>
  <si>
    <r>
      <rPr>
        <sz val="11"/>
        <color theme="1"/>
        <rFont val="Noto Sans CJK SC"/>
        <family val="2"/>
      </rPr>
      <t xml:space="preserve">中際旭創模型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；兩家合計 </t>
    </r>
    <r>
      <rPr>
        <sz val="11"/>
        <color theme="1"/>
        <rFont val="Calibri"/>
        <family val="2"/>
        <charset val="1"/>
      </rPr>
      <t xml:space="preserve">15–35%</t>
    </r>
  </si>
  <si>
    <t xml:space="preserve">cposh_eoptolink_28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</si>
  <si>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</si>
  <si>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SIF_cposh_eoptolink_28</t>
  </si>
  <si>
    <t xml:space="preserve">cposh_eoptolink_29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</si>
  <si>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</si>
  <si>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SIF_cposh_eoptolink_29</t>
  </si>
  <si>
    <t xml:space="preserve">cposh_fabrinet_27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</si>
  <si>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</si>
  <si>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法說會逐字稿（網址見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）：與少數客戶開發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並已在生產元件，尚未全量；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更近（公司）</t>
    </r>
  </si>
  <si>
    <t xml:space="preserve">SIF_cposh_fabrinet_27</t>
  </si>
  <si>
    <r>
      <rPr>
        <sz val="11"/>
        <color theme="1"/>
        <rFont val="Calibri"/>
        <family val="2"/>
        <charset val="1"/>
      </rPr>
      <t xml:space="preserve">Fabrinet CPO </t>
    </r>
    <r>
      <rPr>
        <sz val="11"/>
        <color theme="1"/>
        <rFont val="Noto Sans CJK SC"/>
        <family val="2"/>
      </rPr>
      <t xml:space="preserve">營收：未找到</t>
    </r>
  </si>
  <si>
    <t xml:space="preserve">cposh_fabrinet_28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</si>
  <si>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</si>
  <si>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t xml:space="preserve">SIF_cposh_fabrinet_28</t>
  </si>
  <si>
    <r>
      <rPr>
        <sz val="11"/>
        <color theme="1"/>
        <rFont val="Noto Sans CJK SC"/>
        <family val="2"/>
      </rPr>
      <t xml:space="preserve">中際旭創、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模型同期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；代工與模組廠份額有重疊</t>
    </r>
  </si>
  <si>
    <t xml:space="preserve">cposh_fabrinet_29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</si>
  <si>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</si>
  <si>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SIF_cposh_fabrinet_29</t>
  </si>
  <si>
    <r>
      <rPr>
        <b val="true"/>
        <sz val="11"/>
        <rFont val="Cambria"/>
        <family val="0"/>
        <charset val="1"/>
      </rPr>
      <t xml:space="preserve">M13. </t>
    </r>
    <r>
      <rPr>
        <b val="true"/>
        <sz val="11"/>
        <rFont val="Noto Sans CJK SC"/>
        <family val="2"/>
      </rPr>
      <t xml:space="preserve">加速器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載板：份額、每顆金額路徑、供需缺口（原在 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unimicron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nanya_pcb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kinsus</t>
    </r>
    <r>
      <rPr>
        <b val="true"/>
        <sz val="11"/>
        <rFont val="Noto Sans CJK SC"/>
        <family val="2"/>
      </rPr>
      <t xml:space="preserve">；每顆載板金額 </t>
    </r>
    <r>
      <rPr>
        <b val="true"/>
        <sz val="11"/>
        <rFont val="Cambria"/>
        <family val="0"/>
        <charset val="1"/>
      </rPr>
      <t xml:space="preserve">v26 </t>
    </r>
    <r>
      <rPr>
        <b val="true"/>
        <sz val="11"/>
        <rFont val="Noto Sans CJK SC"/>
        <family val="2"/>
      </rPr>
      <t xml:space="preserve">由 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公司營收校準，仍在 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）</t>
    </r>
  </si>
  <si>
    <t xml:space="preserve">abf_ibsh26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</si>
  <si>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</si>
  <si>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 2026-03-26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</si>
  <si>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SIF_abf_ibsh26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</si>
  <si>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頁以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校準每顆載板金額 </t>
    </r>
    <r>
      <rPr>
        <sz val="11"/>
        <color theme="1"/>
        <rFont val="Calibri"/>
        <family val="2"/>
        <charset val="1"/>
      </rPr>
      <t xml:space="preserve">v26</t>
    </r>
    <r>
      <rPr>
        <sz val="11"/>
        <color theme="1"/>
        <rFont val="Noto Sans CJK SC"/>
        <family val="2"/>
      </rPr>
      <t xml:space="preserve">（本列為該假設的單一來源）</t>
    </r>
  </si>
  <si>
    <t xml:space="preserve">abf_ibrel_27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</si>
  <si>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</si>
  <si>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第三方研究：欣興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年拿到 </t>
    </r>
    <r>
      <rPr>
        <sz val="11"/>
        <color theme="1"/>
        <rFont val="Calibri"/>
        <family val="2"/>
        <charset val="1"/>
      </rPr>
      <t xml:space="preserve">NVIDIA AI </t>
    </r>
    <r>
      <rPr>
        <sz val="11"/>
        <color theme="1"/>
        <rFont val="Noto Sans CJK SC"/>
        <family val="2"/>
      </rPr>
      <t xml:space="preserve">載板約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Encyclopedia of Stocks 2026-03-04</t>
    </r>
    <r>
      <rPr>
        <sz val="11"/>
        <color theme="1"/>
        <rFont val="Noto Sans CJK SC"/>
        <family val="2"/>
      </rPr>
      <t xml:space="preserve">）</t>
    </r>
  </si>
  <si>
    <t xml:space="preserve">SIF_abf_ibrel_27</t>
  </si>
  <si>
    <r>
      <rPr>
        <sz val="11"/>
        <color theme="1"/>
        <rFont val="Noto Sans CJK SC"/>
        <family val="2"/>
      </rPr>
      <t xml:space="preserve">三星電機獲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載板擴產合作（</t>
    </r>
    <r>
      <rPr>
        <sz val="11"/>
        <color theme="1"/>
        <rFont val="Calibri"/>
        <family val="2"/>
        <charset val="1"/>
      </rPr>
      <t xml:space="preserve">Hardware Busters 2026</t>
    </r>
    <r>
      <rPr>
        <sz val="11"/>
        <color theme="1"/>
        <rFont val="Noto Sans CJK SC"/>
        <family val="2"/>
      </rPr>
      <t xml:space="preserve">）</t>
    </r>
  </si>
  <si>
    <t xml:space="preserve">abf_ibrel_28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</si>
  <si>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</si>
  <si>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同上；競爭者擴產：欣興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NT$537 </t>
    </r>
    <r>
      <rPr>
        <sz val="11"/>
        <color theme="1"/>
        <rFont val="Noto Sans CJK SC"/>
        <family val="2"/>
      </rPr>
      <t xml:space="preserve">億（欣興模型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頁，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較新；</t>
    </r>
    <r>
      <rPr>
        <sz val="11"/>
        <color theme="1"/>
        <rFont val="Calibri"/>
        <family val="2"/>
        <charset val="1"/>
      </rPr>
      <t xml:space="preserve">Tom's Hardware </t>
    </r>
    <r>
      <rPr>
        <sz val="11"/>
        <color theme="1"/>
        <rFont val="Noto Sans CJK SC"/>
        <family val="2"/>
      </rPr>
      <t xml:space="preserve">早期報導 </t>
    </r>
    <r>
      <rPr>
        <sz val="11"/>
        <color theme="1"/>
        <rFont val="Calibri"/>
        <family val="2"/>
        <charset val="1"/>
      </rPr>
      <t xml:space="preserve">NT$340 </t>
    </r>
    <r>
      <rPr>
        <sz val="11"/>
        <color theme="1"/>
        <rFont val="Noto Sans CJK SC"/>
        <family val="2"/>
      </rPr>
      <t xml:space="preserve">億已過時，</t>
    </r>
    <r>
      <rPr>
        <sz val="11"/>
        <color theme="1"/>
        <rFont val="Calibri"/>
        <family val="2"/>
        <charset val="1"/>
      </rPr>
      <t xml:space="preserve">CF02</t>
    </r>
    <r>
      <rPr>
        <sz val="11"/>
        <color theme="1"/>
        <rFont val="Noto Sans CJK SC"/>
        <family val="2"/>
      </rPr>
      <t xml:space="preserve">）、景碩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NT$235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）</t>
    </r>
  </si>
  <si>
    <t xml:space="preserve">SIF_abf_ibrel_28</t>
  </si>
  <si>
    <t xml:space="preserve">abf_ibrel_29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</si>
  <si>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</si>
  <si>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SIF_abf_ibrel_29</t>
  </si>
  <si>
    <t xml:space="preserve">abf_wot_ib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</si>
  <si>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加速器的權重（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每顆載板金額，相對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</si>
  <si>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公開資料只有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 2026-03-26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；高階 </t>
    </r>
    <r>
      <rPr>
        <sz val="11"/>
        <color theme="1"/>
        <rFont val="Calibri"/>
        <family val="2"/>
        <charset val="1"/>
      </rPr>
      <t xml:space="preserve">FC-BGA </t>
    </r>
    <r>
      <rPr>
        <sz val="11"/>
        <color theme="1"/>
        <rFont val="Noto Sans CJK SC"/>
        <family val="2"/>
      </rPr>
      <t xml:space="preserve">整體約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）</t>
    </r>
  </si>
  <si>
    <t xml:space="preserve">SIF_abf_wot_ib</t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</si>
  <si>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多由欣興、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等分食（第三方研究，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）；每顆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載板金額相對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：未找到</t>
    </r>
  </si>
  <si>
    <t xml:space="preserve">abf_vot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</si>
  <si>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加速器每顆載板金額 </t>
    </r>
    <r>
      <rPr>
        <sz val="11"/>
        <color theme="1"/>
        <rFont val="Calibri"/>
        <family val="2"/>
        <charset val="1"/>
      </rPr>
      <t xml:space="preserve">÷ NVIDIA</t>
    </r>
  </si>
  <si>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 </t>
    </r>
    <r>
      <rPr>
        <sz val="11"/>
        <color theme="1"/>
        <rFont val="Noto Sans CJK SC"/>
        <family val="2"/>
      </rPr>
      <t xml:space="preserve">系列封裝面積接近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，但層數與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規格不同；量化：未找到</t>
    </r>
  </si>
  <si>
    <t xml:space="preserve">SIF_abf_vot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</si>
  <si>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 ÷ 0.8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頁合計檢查）</t>
    </r>
  </si>
  <si>
    <t xml:space="preserve">abf_gasp</t>
  </si>
  <si>
    <t xml:space="preserve">每顆載板金額年增（面積、層數）</t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</si>
  <si>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路線圖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90×90 mm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110×110 mm</t>
    </r>
    <r>
      <rPr>
        <sz val="11"/>
        <color theme="1"/>
        <rFont val="Noto Sans CJK SC"/>
        <family val="2"/>
      </rPr>
      <t xml:space="preserve">；每片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伺服器載板的 </t>
    </r>
    <r>
      <rPr>
        <sz val="11"/>
        <color theme="1"/>
        <rFont val="Calibri"/>
        <family val="2"/>
        <charset val="1"/>
      </rPr>
      <t xml:space="preserve">SAP </t>
    </r>
    <r>
      <rPr>
        <sz val="11"/>
        <color theme="1"/>
        <rFont val="Noto Sans CJK SC"/>
        <family val="2"/>
      </rPr>
      <t xml:space="preserve">負荷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倍、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倍（→ </t>
    </r>
    <r>
      <rPr>
        <sz val="11"/>
        <color theme="1"/>
        <rFont val="Calibri"/>
        <family val="2"/>
        <charset val="1"/>
      </rPr>
      <t xml:space="preserve">2026→2028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+18%</t>
    </r>
    <r>
      <rPr>
        <sz val="11"/>
        <color theme="1"/>
        <rFont val="Noto Sans CJK SC"/>
        <family val="2"/>
      </rPr>
      <t xml:space="preserve">／年）</t>
    </r>
  </si>
  <si>
    <t xml:space="preserve">SIF_abf_gasp</t>
  </si>
  <si>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載板平均單價 </t>
    </r>
    <r>
      <rPr>
        <sz val="11"/>
        <color theme="1"/>
        <rFont val="Calibri"/>
        <family val="2"/>
        <charset val="1"/>
      </rPr>
      <t xml:space="preserve">2024 $65 → 2025 $82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+26%</t>
    </r>
    <r>
      <rPr>
        <sz val="11"/>
        <color theme="1"/>
        <rFont val="Noto Sans CJK SC"/>
        <family val="2"/>
      </rPr>
      <t xml:space="preserve">，全品項）</t>
    </r>
  </si>
  <si>
    <t xml:space="preserve">abf_pp_27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</si>
  <si>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</si>
  <si>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（未具名供應鏈分析）：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40%</t>
    </r>
  </si>
  <si>
    <t xml:space="preserve">SIF_abf_pp_27</t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</si>
  <si>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：短缺延續到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</t>
    </r>
    <r>
      <rPr>
        <sz val="11"/>
        <color theme="1"/>
        <rFont val="Noto Sans CJK SC"/>
        <family val="2"/>
      </rPr>
      <t xml:space="preserve">）</t>
    </r>
  </si>
  <si>
    <t xml:space="preserve">abf_pp_28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</si>
  <si>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</si>
  <si>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2.5–2.8 </t>
    </r>
    <r>
      <rPr>
        <sz val="11"/>
        <color theme="1"/>
        <rFont val="Noto Sans CJK SC"/>
        <family val="2"/>
      </rPr>
      <t xml:space="preserve">倍（公司路線圖，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）</t>
    </r>
  </si>
  <si>
    <t xml:space="preserve">SIF_abf_pp_28</t>
  </si>
  <si>
    <t xml:space="preserve">欣興、景碩、三星電機同時擴產（同上）</t>
  </si>
  <si>
    <t xml:space="preserve">abf_pp_29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</si>
  <si>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2029</t>
    </r>
  </si>
  <si>
    <t xml:space="preserve">同上：新產能到位後溢價回落</t>
  </si>
  <si>
    <t xml:space="preserve">SIF_abf_pp_29</t>
  </si>
  <si>
    <t xml:space="preserve">abf_un_nv_26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</si>
  <si>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</si>
  <si>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市場分析：欣興約占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載板供應鏈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（口袋學堂 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，未經公司確認，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</si>
  <si>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SIF_abf_un_nv_26</t>
  </si>
  <si>
    <r>
      <rPr>
        <sz val="11"/>
        <color theme="1"/>
        <rFont val="Calibri"/>
        <family val="2"/>
        <charset val="1"/>
      </rPr>
      <t xml:space="preserve">Encyclopedia of Stocks 2026-03-04</t>
    </r>
    <r>
      <rPr>
        <sz val="11"/>
        <color theme="1"/>
        <rFont val="Noto Sans CJK SC"/>
        <family val="2"/>
      </rPr>
      <t xml:space="preserve">：欣興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30% NVIDIA AI </t>
    </r>
    <r>
      <rPr>
        <sz val="11"/>
        <color theme="1"/>
        <rFont val="Noto Sans CJK SC"/>
        <family val="2"/>
      </rPr>
      <t xml:space="preserve">載板顆數（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Ibiden 70% </t>
    </r>
    <r>
      <rPr>
        <sz val="11"/>
        <color theme="1"/>
        <rFont val="Noto Sans CJK SC"/>
        <family val="2"/>
      </rPr>
      <t xml:space="preserve">合計不超過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</si>
  <si>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abf_un_nv_27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</si>
  <si>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</si>
  <si>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模型）→ 由欣興、三星電機等分食</t>
    </r>
  </si>
  <si>
    <t xml:space="preserve">SIF_abf_un_nv_27</t>
  </si>
  <si>
    <r>
      <rPr>
        <sz val="11"/>
        <color theme="1"/>
        <rFont val="Noto Sans CJK SC"/>
        <family val="2"/>
      </rPr>
      <t xml:space="preserve">光復二廠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、楊梅二廠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量產，客戶全額預付（三立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</si>
  <si>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abf_un_nv_28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</si>
  <si>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</si>
  <si>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SIF_abf_un_nv_28</t>
  </si>
  <si>
    <t xml:space="preserve">abf_un_nv_29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</si>
  <si>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</si>
  <si>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SIF_abf_un_nv_29</t>
  </si>
  <si>
    <t xml:space="preserve">abf_un_ot_26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</si>
  <si>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</si>
  <si>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欣興為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等）主要載板廠之一（第三方研究，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）；量化：未找到</t>
    </r>
  </si>
  <si>
    <t xml:space="preserve">SIF_abf_un_ot_26</t>
  </si>
  <si>
    <r>
      <rPr>
        <sz val="11"/>
        <color theme="1"/>
        <rFont val="Noto Sans CJK SC"/>
        <family val="2"/>
      </rPr>
      <t xml:space="preserve">合計檢查：</t>
    </r>
    <r>
      <rPr>
        <sz val="11"/>
        <color theme="1"/>
        <rFont val="Calibri"/>
        <family val="2"/>
        <charset val="1"/>
      </rPr>
      <t xml:space="preserve">Ibiden 50%</t>
    </r>
    <r>
      <rPr>
        <sz val="11"/>
        <color theme="1"/>
        <rFont val="Noto Sans CJK SC"/>
        <family val="2"/>
      </rPr>
      <t xml:space="preserve">＋欣興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，其餘為三星電機、景碩、南電、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</si>
  <si>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abf_un_ot_27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</si>
  <si>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</si>
  <si>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SIF_abf_un_ot_27</t>
  </si>
  <si>
    <t xml:space="preserve">abf_un_ot_28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</si>
  <si>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</si>
  <si>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SIF_abf_un_ot_28</t>
  </si>
  <si>
    <t xml:space="preserve">abf_un_ot_29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</si>
  <si>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</si>
  <si>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SIF_abf_un_ot_29</t>
  </si>
  <si>
    <t xml:space="preserve">abf_np_nv_26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</si>
  <si>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</si>
  <si>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）：客戶含博通、輝達、超微、蘋果（份額未揭露）</t>
    </r>
  </si>
  <si>
    <t xml:space="preserve">SIF_abf_np_nv_26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</si>
  <si>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載板以網通交換器為主，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載板份額小（</t>
    </r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南電深度分析（引述券商報告；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））；量化：未找到</t>
    </r>
  </si>
  <si>
    <t xml:space="preserve">abf_np_nv_27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</si>
  <si>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</si>
  <si>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、欣興合計 </t>
    </r>
    <r>
      <rPr>
        <sz val="11"/>
        <color theme="1"/>
        <rFont val="Calibri"/>
        <family val="2"/>
        <charset val="1"/>
      </rPr>
      <t xml:space="preserve">95%→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，其餘由南電、三星電機分食（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</si>
  <si>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SIF_abf_np_nv_27</t>
  </si>
  <si>
    <t xml:space="preserve">abf_np_nv_28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</si>
  <si>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</si>
  <si>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SIF_abf_np_nv_28</t>
  </si>
  <si>
    <t xml:space="preserve">abf_np_nv_29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</si>
  <si>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</si>
  <si>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SIF_abf_np_nv_29</t>
  </si>
  <si>
    <t xml:space="preserve">abf_np_ot_26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</si>
  <si>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</si>
  <si>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2026-10-02</t>
    </r>
    <r>
      <rPr>
        <sz val="11"/>
        <color theme="1"/>
        <rFont val="Noto Sans CJK SC"/>
        <family val="2"/>
      </rPr>
      <t xml:space="preserve">（美銀報告）：調配昆山廠產能支應博通需求（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</si>
  <si>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SIF_abf_np_ot_26</t>
  </si>
  <si>
    <r>
      <rPr>
        <sz val="11"/>
        <color theme="1"/>
        <rFont val="Noto Sans CJK SC"/>
        <family val="2"/>
      </rPr>
      <t xml:space="preserve">合計檢查：</t>
    </r>
    <r>
      <rPr>
        <sz val="11"/>
        <color theme="1"/>
        <rFont val="Calibri"/>
        <family val="2"/>
        <charset val="1"/>
      </rPr>
      <t xml:space="preserve">Ibiden 50%</t>
    </r>
    <r>
      <rPr>
        <sz val="11"/>
        <color theme="1"/>
        <rFont val="Noto Sans CJK SC"/>
        <family val="2"/>
      </rPr>
      <t xml:space="preserve">＋欣興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＋南電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，其餘為三星電機、景碩、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</si>
  <si>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abf_np_ot_27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</si>
  <si>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</si>
  <si>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SIF_abf_np_ot_27</t>
  </si>
  <si>
    <t xml:space="preserve">abf_np_ot_28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</si>
  <si>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</si>
  <si>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SIF_abf_np_ot_28</t>
  </si>
  <si>
    <t xml:space="preserve">abf_np_ot_29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</si>
  <si>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</si>
  <si>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SIF_abf_np_ot_29</t>
  </si>
  <si>
    <t xml:space="preserve">abf_ks_nv_26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</si>
  <si>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</si>
  <si>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2026-08-04</t>
    </r>
    <r>
      <rPr>
        <sz val="11"/>
        <color theme="1"/>
        <rFont val="Noto Sans CJK SC"/>
        <family val="2"/>
      </rPr>
      <t xml:space="preserve">（高盛；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法說重點）：預估 </t>
    </r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載板市占未來幾季升到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；經濟日報 </t>
    </r>
    <r>
      <rPr>
        <sz val="11"/>
        <color theme="1"/>
        <rFont val="Calibri"/>
        <family val="2"/>
        <charset val="1"/>
      </rPr>
      <t xml:space="preserve">2026-09-16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Vera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份額、產能）：</t>
    </r>
    <r>
      <rPr>
        <sz val="11"/>
        <color theme="1"/>
        <rFont val="Calibri"/>
        <family val="2"/>
        <charset val="1"/>
      </rPr>
      <t xml:space="preserve">Rubin GPU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</si>
  <si>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SIF_abf_ks_nv_26</t>
  </si>
  <si>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景碩分析 </t>
    </r>
    <r>
      <rPr>
        <sz val="11"/>
        <color theme="1"/>
        <rFont val="Calibri"/>
        <family val="2"/>
        <charset val="1"/>
      </rPr>
      <t xml:space="preserve">2026-04-07</t>
    </r>
    <r>
      <rPr>
        <sz val="11"/>
        <color theme="1"/>
        <rFont val="Noto Sans CJK SC"/>
        <family val="2"/>
      </rPr>
      <t xml:space="preserve">（引述券商；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初期份額約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（說法；與上游份額衝突，見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）</t>
    </r>
  </si>
  <si>
    <t xml:space="preserve">abf_ks_nv_27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</si>
  <si>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</si>
  <si>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上游合計限制：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70% × </t>
    </r>
    <r>
      <rPr>
        <sz val="11"/>
        <color theme="1"/>
        <rFont val="Noto Sans CJK SC"/>
        <family val="2"/>
      </rPr>
      <t xml:space="preserve">相對值）＋欣興＋南電已占 </t>
    </r>
    <r>
      <rPr>
        <sz val="11"/>
        <color theme="1"/>
        <rFont val="Calibri"/>
        <family val="2"/>
        <charset val="1"/>
      </rPr>
      <t xml:space="preserve">94–97%</t>
    </r>
    <r>
      <rPr>
        <sz val="11"/>
        <color theme="1"/>
        <rFont val="Noto Sans CJK SC"/>
        <family val="2"/>
      </rPr>
      <t xml:space="preserve">，基準取剩餘空間（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頁）；高值取券商說法下緣</t>
    </r>
  </si>
  <si>
    <t xml:space="preserve">SIF_abf_ks_nv_27</t>
  </si>
  <si>
    <t xml:space="preserve">abf_ks_nv_28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</si>
  <si>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</si>
  <si>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SIF_abf_ks_nv_28</t>
  </si>
  <si>
    <t xml:space="preserve">abf_ks_nv_29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</si>
  <si>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</si>
  <si>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SIF_abf_ks_nv_29</t>
  </si>
  <si>
    <t xml:space="preserve">abf_ks_ot_26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</si>
  <si>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</si>
  <si>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景碩分析 </t>
    </r>
    <r>
      <rPr>
        <sz val="11"/>
        <color theme="1"/>
        <rFont val="Calibri"/>
        <family val="2"/>
        <charset val="1"/>
      </rPr>
      <t xml:space="preserve">2026-04-07</t>
    </r>
    <r>
      <rPr>
        <sz val="11"/>
        <color theme="1"/>
        <rFont val="Noto Sans CJK SC"/>
        <family val="2"/>
      </rPr>
      <t xml:space="preserve">（引述券商；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起出貨，</t>
    </r>
    <r>
      <rPr>
        <sz val="11"/>
        <color theme="1"/>
        <rFont val="Calibri"/>
        <family val="2"/>
        <charset val="1"/>
      </rPr>
      <t xml:space="preserve">AWS Trainium 2H26 </t>
    </r>
    <r>
      <rPr>
        <sz val="11"/>
        <color theme="1"/>
        <rFont val="Noto Sans CJK SC"/>
        <family val="2"/>
      </rPr>
      <t xml:space="preserve">起</t>
    </r>
  </si>
  <si>
    <t xml:space="preserve">SIF_abf_ks_ot_26</t>
  </si>
  <si>
    <t xml:space="preserve">abf_ks_ot_27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</si>
  <si>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</si>
  <si>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SIF_abf_ks_ot_27</t>
  </si>
  <si>
    <t xml:space="preserve">abf_ks_ot_28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</si>
  <si>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</si>
  <si>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SIF_abf_ks_ot_28</t>
  </si>
  <si>
    <t xml:space="preserve">abf_ks_ot_29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</si>
  <si>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</si>
  <si>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SIF_abf_ks_ot_29</t>
  </si>
  <si>
    <t xml:space="preserve">abf_gap_26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</si>
  <si>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載板供需缺口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供給）</t>
    </r>
  </si>
  <si>
    <r>
      <rPr>
        <sz val="11"/>
        <color theme="1"/>
        <rFont val="Noto Sans CJK SC"/>
        <family val="2"/>
      </rPr>
      <t xml:space="preserve">兩來源中點：永豐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（未具名供應鏈分析）：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（皆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</si>
  <si>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SIF_abf_gap_26</t>
  </si>
  <si>
    <r>
      <rPr>
        <sz val="11"/>
        <color theme="1"/>
        <rFont val="Noto Sans CJK SC"/>
        <family val="2"/>
      </rPr>
      <t xml:space="preserve">各公司模型以自身產能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自身需求推算的滿足率不同（見 </t>
    </r>
    <r>
      <rPr>
        <sz val="11"/>
        <color theme="1"/>
        <rFont val="Calibri"/>
        <family val="2"/>
        <charset val="1"/>
      </rPr>
      <t xml:space="preserve">Conflicts CF03</t>
    </r>
    <r>
      <rPr>
        <sz val="11"/>
        <color theme="1"/>
        <rFont val="Noto Sans CJK SC"/>
        <family val="2"/>
      </rPr>
      <t xml:space="preserve">）</t>
    </r>
  </si>
  <si>
    <t xml:space="preserve">abf_gap_27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</si>
  <si>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載板供需缺口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供給）</t>
    </r>
  </si>
  <si>
    <r>
      <rPr>
        <sz val="11"/>
        <color theme="1"/>
        <rFont val="Noto Sans CJK SC"/>
        <family val="2"/>
      </rPr>
      <t xml:space="preserve">兩來源中點：永豐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（皆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</si>
  <si>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SIF_abf_gap_27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</si>
  <si>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（南電模型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EdgeX </t>
    </r>
    <r>
      <rPr>
        <sz val="11"/>
        <color theme="1"/>
        <rFont val="Noto Sans CJK SC"/>
        <family val="2"/>
      </rPr>
      <t xml:space="preserve">引用的供應鏈分析：約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（味之素模型）</t>
    </r>
  </si>
  <si>
    <t xml:space="preserve">abf_gap_28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</si>
  <si>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載板供需缺口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供給）</t>
    </r>
  </si>
  <si>
    <r>
      <rPr>
        <sz val="11"/>
        <color theme="1"/>
        <rFont val="Noto Sans CJK SC"/>
        <family val="2"/>
      </rPr>
      <t xml:space="preserve">兩來源中點：永豐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：超過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（皆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</si>
  <si>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SIF_abf_gap_28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</si>
  <si>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29%</t>
    </r>
    <r>
      <rPr>
        <sz val="11"/>
        <color theme="1"/>
        <rFont val="Noto Sans CJK SC"/>
        <family val="2"/>
      </rPr>
      <t xml:space="preserve">（低）；</t>
    </r>
    <r>
      <rPr>
        <sz val="11"/>
        <color theme="1"/>
        <rFont val="Calibri"/>
        <family val="2"/>
        <charset val="1"/>
      </rPr>
      <t xml:space="preserve">EdgeX </t>
    </r>
    <r>
      <rPr>
        <sz val="11"/>
        <color theme="1"/>
        <rFont val="Noto Sans CJK SC"/>
        <family val="2"/>
      </rPr>
      <t xml:space="preserve">引用的供應鏈分析：約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（高）</t>
    </r>
  </si>
  <si>
    <r>
      <rPr>
        <b val="true"/>
        <sz val="11"/>
        <rFont val="Cambria"/>
        <family val="0"/>
        <charset val="1"/>
      </rPr>
      <t xml:space="preserve">M14. CoWoS </t>
    </r>
    <r>
      <rPr>
        <b val="true"/>
        <sz val="11"/>
        <rFont val="Noto Sans CJK SC"/>
        <family val="2"/>
      </rPr>
      <t xml:space="preserve">供需：每片晶圓封裝數、其他用途、台積電產能、委外補充（原在 </t>
    </r>
    <r>
      <rPr>
        <b val="true"/>
        <sz val="11"/>
        <rFont val="Cambria"/>
        <family val="0"/>
        <charset val="1"/>
      </rPr>
      <t xml:space="preserve">tsmc</t>
    </r>
    <r>
      <rPr>
        <b val="true"/>
        <sz val="11"/>
        <rFont val="Noto Sans CJK SC"/>
        <family val="2"/>
      </rPr>
      <t xml:space="preserve">；每顆台積電內容 </t>
    </r>
    <r>
      <rPr>
        <b val="true"/>
        <sz val="11"/>
        <rFont val="Cambria"/>
        <family val="0"/>
        <charset val="1"/>
      </rPr>
      <t xml:space="preserve">ct_* </t>
    </r>
    <r>
      <rPr>
        <b val="true"/>
        <sz val="11"/>
        <rFont val="Noto Sans CJK SC"/>
        <family val="2"/>
      </rPr>
      <t xml:space="preserve">屬公司營收變數，仍在 </t>
    </r>
    <r>
      <rPr>
        <b val="true"/>
        <sz val="11"/>
        <rFont val="Cambria"/>
        <family val="0"/>
        <charset val="1"/>
      </rPr>
      <t xml:space="preserve">tsmc</t>
    </r>
    <r>
      <rPr>
        <b val="true"/>
        <sz val="11"/>
        <rFont val="Noto Sans CJK SC"/>
        <family val="2"/>
      </rPr>
      <t xml:space="preserve">）</t>
    </r>
  </si>
  <si>
    <t xml:space="preserve">cw_pp_GB</t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</si>
  <si>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</si>
  <si>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顆／片</t>
  </si>
  <si>
    <r>
      <rPr>
        <sz val="11"/>
        <color theme="1"/>
        <rFont val="Noto Sans CJK SC"/>
        <family val="2"/>
      </rPr>
      <t xml:space="preserve">每片封裝數：</t>
    </r>
    <r>
      <rPr>
        <sz val="11"/>
        <color theme="1"/>
        <rFont val="Calibri"/>
        <family val="2"/>
        <charset val="1"/>
      </rPr>
      <t xml:space="preserve">36Kr 2026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66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</t>
    </r>
    <r>
      <rPr>
        <sz val="11"/>
        <color theme="1"/>
        <rFont val="Noto Sans CJK SC"/>
        <family val="2"/>
      </rPr>
      <t xml:space="preserve">顆 ≈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（組合）；台積電內容：橋接表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（台積電內容與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相同）（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：邏輯＋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$1.9K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Noto Sans CJK SC"/>
        <family val="2"/>
      </rPr>
      <t xml:space="preserve">封裝溢價）</t>
    </r>
  </si>
  <si>
    <t xml:space="preserve">SIF_cw_pp_GB</t>
  </si>
  <si>
    <t xml:space="preserve">cw_pp_VR</t>
  </si>
  <si>
    <r>
      <rPr>
        <sz val="11"/>
        <color theme="1"/>
        <rFont val="Calibri"/>
        <family val="2"/>
        <charset val="1"/>
      </rPr>
      <t xml:space="preserve">VR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</si>
  <si>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Morgan Stanley 2027 NVIDIA 122.2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9.7M </t>
    </r>
    <r>
      <rPr>
        <sz val="11"/>
        <color theme="1"/>
        <rFont val="Noto Sans CJK SC"/>
        <family val="2"/>
      </rPr>
      <t xml:space="preserve">顆 ≈ </t>
    </r>
    <r>
      <rPr>
        <sz val="11"/>
        <color theme="1"/>
        <rFont val="Calibri"/>
        <family val="2"/>
        <charset val="1"/>
      </rPr>
      <t xml:space="preserve">7.9</t>
    </r>
    <r>
      <rPr>
        <sz val="11"/>
        <color theme="1"/>
        <rFont val="Noto Sans CJK SC"/>
        <family val="2"/>
      </rPr>
      <t xml:space="preserve">（組合）；內容：橋接表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（台積電內容與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</si>
  <si>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SIF_cw_pp_VR</t>
  </si>
  <si>
    <t xml:space="preserve">cw_pp_RU</t>
  </si>
  <si>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</si>
  <si>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</si>
  <si>
    <t xml:space="preserve">SIF_cw_pp_RU</t>
  </si>
  <si>
    <t xml:space="preserve">cw_pp_HP</t>
  </si>
  <si>
    <r>
      <rPr>
        <sz val="11"/>
        <color theme="1"/>
        <rFont val="Calibri"/>
        <family val="2"/>
        <charset val="1"/>
      </rPr>
      <t xml:space="preserve">HP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</si>
  <si>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CoWoS-S </t>
    </r>
    <r>
      <rPr>
        <sz val="11"/>
        <color theme="1"/>
        <rFont val="Noto Sans CJK SC"/>
        <family val="2"/>
      </rPr>
      <t xml:space="preserve">單晶粒；</t>
    </r>
    <r>
      <rPr>
        <sz val="11"/>
        <color theme="1"/>
        <rFont val="Calibri"/>
        <family val="2"/>
        <charset val="1"/>
      </rPr>
      <t xml:space="preserve">Silicon Analysts H100 </t>
    </r>
    <r>
      <rPr>
        <sz val="11"/>
        <color theme="1"/>
        <rFont val="Noto Sans CJK SC"/>
        <family val="2"/>
      </rPr>
      <t xml:space="preserve">邏輯 </t>
    </r>
    <r>
      <rPr>
        <sz val="11"/>
        <color theme="1"/>
        <rFont val="Calibri"/>
        <family val="2"/>
        <charset val="1"/>
      </rPr>
      <t xml:space="preserve">$300</t>
    </r>
    <r>
      <rPr>
        <sz val="11"/>
        <color theme="1"/>
        <rFont val="Noto Sans CJK SC"/>
        <family val="2"/>
      </rPr>
      <t xml:space="preserve">＋封裝 </t>
    </r>
    <r>
      <rPr>
        <sz val="11"/>
        <color theme="1"/>
        <rFont val="Calibri"/>
        <family val="2"/>
        <charset val="1"/>
      </rPr>
      <t xml:space="preserve">$750</t>
    </r>
  </si>
  <si>
    <t xml:space="preserve">SIF_cw_pp_HP</t>
  </si>
  <si>
    <t xml:space="preserve">cw_pp_AMD8</t>
  </si>
  <si>
    <r>
      <rPr>
        <sz val="11"/>
        <color theme="1"/>
        <rFont val="Calibri"/>
        <family val="2"/>
        <charset val="1"/>
      </rPr>
      <t xml:space="preserve">AMD8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</si>
  <si>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</si>
  <si>
    <r>
      <rPr>
        <sz val="11"/>
        <color theme="1"/>
        <rFont val="Calibri"/>
        <family val="2"/>
        <charset val="1"/>
      </rPr>
      <t xml:space="preserve">36Kr 2026 AMD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0.75M </t>
    </r>
    <r>
      <rPr>
        <sz val="11"/>
        <color theme="1"/>
        <rFont val="Noto Sans CJK SC"/>
        <family val="2"/>
      </rPr>
      <t xml:space="preserve">顆</t>
    </r>
  </si>
  <si>
    <t xml:space="preserve">SIF_cw_pp_AMD8</t>
  </si>
  <si>
    <t xml:space="preserve">cw_pp_AMDR</t>
  </si>
  <si>
    <r>
      <rPr>
        <sz val="11"/>
        <color theme="1"/>
        <rFont val="Calibri"/>
        <family val="2"/>
        <charset val="1"/>
      </rPr>
      <t xml:space="preserve">AMDR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</si>
  <si>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MI455X 12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</t>
    </r>
  </si>
  <si>
    <t xml:space="preserve">SIF_cw_pp_AMDR</t>
  </si>
  <si>
    <t xml:space="preserve">cw_pp_TPU7</t>
  </si>
  <si>
    <r>
      <rPr>
        <sz val="11"/>
        <color theme="1"/>
        <rFont val="Calibri"/>
        <family val="2"/>
        <charset val="1"/>
      </rPr>
      <t xml:space="preserve">TPU7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</si>
  <si>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萬片、</t>
    </r>
    <r>
      <rPr>
        <sz val="11"/>
        <color theme="1"/>
        <rFont val="Calibri"/>
        <family val="2"/>
        <charset val="1"/>
      </rPr>
      <t xml:space="preserve">TPU 60–65% →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12.5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3.85M </t>
    </r>
    <r>
      <rPr>
        <sz val="11"/>
        <color theme="1"/>
        <rFont val="Noto Sans CJK SC"/>
        <family val="2"/>
      </rPr>
      <t xml:space="preserve">顆</t>
    </r>
  </si>
  <si>
    <t xml:space="preserve">SIF_cw_pp_TPU7</t>
  </si>
  <si>
    <t xml:space="preserve">cw_pp_TPU8</t>
  </si>
  <si>
    <r>
      <rPr>
        <sz val="11"/>
        <color theme="1"/>
        <rFont val="Calibri"/>
        <family val="2"/>
        <charset val="1"/>
      </rPr>
      <t xml:space="preserve">TPU8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</si>
  <si>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TPU 8 HBM 288GB</t>
  </si>
  <si>
    <t xml:space="preserve">SIF_cw_pp_TPU8</t>
  </si>
  <si>
    <t xml:space="preserve">cw_pp_TRN</t>
  </si>
  <si>
    <r>
      <rPr>
        <sz val="11"/>
        <color theme="1"/>
        <rFont val="Calibri"/>
        <family val="2"/>
        <charset val="1"/>
      </rPr>
      <t xml:space="preserve">TRN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</si>
  <si>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：世芯約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Trainium3</t>
    </r>
    <r>
      <rPr>
        <sz val="11"/>
        <color theme="1"/>
        <rFont val="Noto Sans CJK SC"/>
        <family val="2"/>
      </rPr>
      <t xml:space="preserve">）</t>
    </r>
  </si>
  <si>
    <t xml:space="preserve">SIF_cw_pp_TRN</t>
  </si>
  <si>
    <t xml:space="preserve">cw_pp_ASIC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</si>
  <si>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</si>
  <si>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等）每片封裝數；來源：未找到（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補來源欄）</t>
    </r>
  </si>
  <si>
    <t xml:space="preserve">SIF_cw_pp_ASIC</t>
  </si>
  <si>
    <t xml:space="preserve">cw_oth26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</si>
  <si>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晶片等）</t>
    </r>
  </si>
  <si>
    <t xml:space="preserve">千片</t>
  </si>
  <si>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全球需求 </t>
    </r>
    <r>
      <rPr>
        <sz val="11"/>
        <color theme="1"/>
        <rFont val="Calibri"/>
        <family val="2"/>
        <charset val="1"/>
      </rPr>
      <t xml:space="preserve">139.4 </t>
    </r>
    <r>
      <rPr>
        <sz val="11"/>
        <color theme="1"/>
        <rFont val="Noto Sans CJK SC"/>
        <family val="2"/>
      </rPr>
      <t xml:space="preserve">萬片 − 本表加速器</t>
    </r>
  </si>
  <si>
    <t xml:space="preserve">SIF_cw_oth26</t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</si>
  <si>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±1/3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補；基準不變）</t>
    </r>
  </si>
  <si>
    <t xml:space="preserve">cw_oth_g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</si>
  <si>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用途年增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</si>
  <si>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晶片）年增；來源：未找到</t>
    </r>
  </si>
  <si>
    <t xml:space="preserve">SIF_cw_oth_g</t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</si>
  <si>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補；基準不變）</t>
    </r>
  </si>
  <si>
    <t xml:space="preserve">cw_capend25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</si>
  <si>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</si>
  <si>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t xml:space="preserve">千片／月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</si>
  <si>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（工商時報）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7.5–8 </t>
    </r>
    <r>
      <rPr>
        <sz val="11"/>
        <color theme="1"/>
        <rFont val="Noto Sans CJK SC"/>
        <family val="2"/>
      </rPr>
      <t xml:space="preserve">萬</t>
    </r>
  </si>
  <si>
    <t xml:space="preserve">SIF_cw_capend25</t>
  </si>
  <si>
    <t xml:space="preserve">cw_capend26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</si>
  <si>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</si>
  <si>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TrendForce 12–14 </t>
    </r>
    <r>
      <rPr>
        <sz val="11"/>
        <color theme="1"/>
        <rFont val="Noto Sans CJK SC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萬</t>
    </r>
  </si>
  <si>
    <t xml:space="preserve">SIF_cw_capend26</t>
  </si>
  <si>
    <t xml:space="preserve">cw_capend27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</si>
  <si>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</si>
  <si>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20 </t>
    </r>
    <r>
      <rPr>
        <sz val="11"/>
        <color theme="1"/>
        <rFont val="Noto Sans CJK SC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KGI 17 </t>
    </r>
    <r>
      <rPr>
        <sz val="11"/>
        <color theme="1"/>
        <rFont val="Noto Sans CJK SC"/>
        <family val="2"/>
      </rPr>
      <t xml:space="preserve">萬</t>
    </r>
  </si>
  <si>
    <t xml:space="preserve">SIF_cw_capend27</t>
  </si>
  <si>
    <t xml:space="preserve">cw_capend28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</si>
  <si>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</si>
  <si>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26 </t>
    </r>
    <r>
      <rPr>
        <sz val="11"/>
        <color theme="1"/>
        <rFont val="Noto Sans CJK SC"/>
        <family val="2"/>
      </rPr>
      <t xml:space="preserve">萬</t>
    </r>
  </si>
  <si>
    <t xml:space="preserve">SIF_cw_capend28</t>
  </si>
  <si>
    <t xml:space="preserve">cw_capend29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</si>
  <si>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</si>
  <si>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2028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萬之後無外部預測：未找到（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補來源欄）</t>
    </r>
  </si>
  <si>
    <t xml:space="preserve">SIF_cw_capend29</t>
  </si>
  <si>
    <r>
      <rPr>
        <sz val="11"/>
        <color theme="1"/>
        <rFont val="Noto Sans CJK SC"/>
        <family val="2"/>
      </rPr>
      <t xml:space="preserve">區間（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補；基準不變）：</t>
    </r>
    <r>
      <rPr>
        <sz val="11"/>
        <color theme="1"/>
        <rFont val="Calibri"/>
        <family val="2"/>
        <charset val="1"/>
      </rPr>
      <t xml:space="preserve">MS 2028 26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8–46%</t>
    </r>
  </si>
  <si>
    <t xml:space="preserve">cw_osat</t>
  </si>
  <si>
    <r>
      <rPr>
        <sz val="11"/>
        <color theme="1"/>
        <rFont val="Noto Sans CJK SC"/>
        <family val="2"/>
      </rPr>
      <t xml:space="preserve">委外封測（日月光、艾克爾）補充產能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台積電</t>
    </r>
  </si>
  <si>
    <r>
      <rPr>
        <sz val="11"/>
        <color theme="1"/>
        <rFont val="Noto Sans CJK SC"/>
        <family val="2"/>
      </rPr>
      <t xml:space="preserve">日月光 </t>
    </r>
    <r>
      <rPr>
        <sz val="11"/>
        <color theme="1"/>
        <rFont val="Calibri"/>
        <family val="2"/>
        <charset val="1"/>
      </rPr>
      <t xml:space="preserve">CoWoP </t>
    </r>
    <r>
      <rPr>
        <sz val="11"/>
        <color theme="1"/>
        <rFont val="Noto Sans CJK SC"/>
        <family val="2"/>
      </rPr>
      <t xml:space="preserve">等</t>
    </r>
  </si>
  <si>
    <t xml:space="preserve">SIF_cw_osat</t>
  </si>
  <si>
    <t xml:space="preserve">cw_msdem26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</si>
  <si>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</si>
  <si>
    <t xml:space="preserve">Morgan Stanley 2026-07</t>
  </si>
  <si>
    <t xml:space="preserve">SIF_cw_msdem26</t>
  </si>
  <si>
    <t xml:space="preserve">cw_msdem27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</si>
  <si>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</si>
  <si>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Morgan Stanley 2026-09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2.694M </t>
    </r>
    <r>
      <rPr>
        <sz val="11"/>
        <color theme="1"/>
        <rFont val="Noto Sans CJK SC"/>
        <family val="2"/>
      </rPr>
      <t xml:space="preserve">為較早版本）</t>
    </r>
  </si>
  <si>
    <t xml:space="preserve">SIF_cw_msdem27</t>
  </si>
  <si>
    <r>
      <rPr>
        <b val="true"/>
        <sz val="11"/>
        <rFont val="Cambria"/>
        <family val="0"/>
        <charset val="1"/>
      </rPr>
      <t xml:space="preserve">M15. ABF </t>
    </r>
    <r>
      <rPr>
        <b val="true"/>
        <sz val="11"/>
        <rFont val="Noto Sans CJK SC"/>
        <family val="2"/>
      </rPr>
      <t xml:space="preserve">供需表（需求＝加速器顆數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每顆面積層數＋其他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＋非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；供給＝各載板廠產能指數加權，並受味之素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膜出貨上限限制；欣興、南電、景碩產能與味之素膜上限原在各公司模型）</t>
    </r>
  </si>
  <si>
    <t xml:space="preserve">abfm_25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</si>
  <si>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載板產值 </t>
    </r>
    <r>
      <rPr>
        <sz val="11"/>
        <color theme="1"/>
        <rFont val="Calibri"/>
        <family val="2"/>
        <charset val="1"/>
      </rPr>
      <t xml:space="preserve">2025</t>
    </r>
  </si>
  <si>
    <t xml:space="preserve">US$B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</si>
  <si>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（台灣電路板協會 </t>
    </r>
    <r>
      <rPr>
        <sz val="11"/>
        <color theme="1"/>
        <rFont val="Calibri"/>
        <family val="2"/>
        <charset val="1"/>
      </rPr>
      <t xml:space="preserve">TPCA</t>
    </r>
    <r>
      <rPr>
        <sz val="11"/>
        <color theme="1"/>
        <rFont val="Noto Sans CJK SC"/>
        <family val="2"/>
      </rPr>
      <t xml:space="preserve">、工研院產科國際所 </t>
    </r>
    <r>
      <rPr>
        <sz val="11"/>
        <color theme="1"/>
        <rFont val="Calibri"/>
        <family val="2"/>
        <charset val="1"/>
      </rPr>
      <t xml:space="preserve">IEK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77.2 </t>
    </r>
    <r>
      <rPr>
        <sz val="11"/>
        <color theme="1"/>
        <rFont val="Noto Sans CJK SC"/>
        <family val="2"/>
      </rPr>
      <t xml:space="preserve">億美元、年增 </t>
    </r>
    <r>
      <rPr>
        <sz val="11"/>
        <color theme="1"/>
        <rFont val="Calibri"/>
        <family val="2"/>
        <charset val="1"/>
      </rPr>
      <t xml:space="preserve">18.6%</t>
    </r>
    <r>
      <rPr>
        <sz val="11"/>
        <color theme="1"/>
        <rFont val="Noto Sans CJK SC"/>
        <family val="2"/>
      </rPr>
      <t xml:space="preserve">；台灣業者（總部口徑）市占 </t>
    </r>
    <r>
      <rPr>
        <sz val="11"/>
        <color theme="1"/>
        <rFont val="Calibri"/>
        <family val="2"/>
        <charset val="1"/>
      </rPr>
      <t xml:space="preserve">41.3%</t>
    </r>
  </si>
  <si>
    <t xml:space="preserve">SIF_abfm_25</t>
  </si>
  <si>
    <r>
      <rPr>
        <sz val="11"/>
        <color theme="1"/>
        <rFont val="Calibri"/>
        <family val="2"/>
        <charset val="1"/>
      </rPr>
      <t xml:space="preserve">TPCA </t>
    </r>
    <r>
      <rPr>
        <sz val="11"/>
        <color theme="1"/>
        <rFont val="Noto Sans CJK SC"/>
        <family val="2"/>
      </rPr>
      <t xml:space="preserve">為產業公會（有唱旺誘因）；第二來源：未找到</t>
    </r>
  </si>
  <si>
    <t xml:space="preserve">abfm_g26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</si>
  <si>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載板產值年增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</si>
  <si>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（台灣電路板協會 </t>
    </r>
    <r>
      <rPr>
        <sz val="11"/>
        <color theme="1"/>
        <rFont val="Calibri"/>
        <family val="2"/>
        <charset val="1"/>
      </rPr>
      <t xml:space="preserve">TPCA</t>
    </r>
    <r>
      <rPr>
        <sz val="11"/>
        <color theme="1"/>
        <rFont val="Noto Sans CJK SC"/>
        <family val="2"/>
      </rPr>
      <t xml:space="preserve">、工研院產科國際所 </t>
    </r>
    <r>
      <rPr>
        <sz val="11"/>
        <color theme="1"/>
        <rFont val="Calibri"/>
        <family val="2"/>
        <charset val="1"/>
      </rPr>
      <t xml:space="preserve">IEK</t>
    </r>
    <r>
      <rPr>
        <sz val="11"/>
        <color theme="1"/>
        <rFont val="Noto Sans CJK SC"/>
        <family val="2"/>
      </rPr>
      <t xml:space="preserve">）：全球載板（</t>
    </r>
    <r>
      <rPr>
        <sz val="11"/>
        <color theme="1"/>
        <rFont val="Calibri"/>
        <family val="2"/>
        <charset val="1"/>
      </rPr>
      <t xml:space="preserve">BT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195.1 </t>
    </r>
    <r>
      <rPr>
        <sz val="11"/>
        <color theme="1"/>
        <rFont val="Noto Sans CJK SC"/>
        <family val="2"/>
      </rPr>
      <t xml:space="preserve">億美元、年增 </t>
    </r>
    <r>
      <rPr>
        <sz val="11"/>
        <color theme="1"/>
        <rFont val="Calibri"/>
        <family val="2"/>
        <charset val="1"/>
      </rPr>
      <t xml:space="preserve">32.3%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單獨：未找到）</t>
    </r>
  </si>
  <si>
    <t xml:space="preserve">SIF_abfm_g26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</si>
  <si>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以載板整體成長率替代；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漲價（味之素膜約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、載板現貨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）可能使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高於整體</t>
    </r>
  </si>
  <si>
    <t xml:space="preserve">abf_ai26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</si>
  <si>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÷ ABF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（金額）</t>
    </r>
  </si>
  <si>
    <r>
      <rPr>
        <sz val="11"/>
        <color theme="1"/>
        <rFont val="Calibri"/>
        <family val="2"/>
        <charset val="1"/>
      </rPr>
      <t xml:space="preserve">Palliser Capital </t>
    </r>
    <r>
      <rPr>
        <sz val="11"/>
        <color theme="1"/>
        <rFont val="Noto Sans CJK SC"/>
        <family val="2"/>
      </rPr>
      <t xml:space="preserve">價值提升計畫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（股東行動派）：味之素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FY2024 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FY2025E 29%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FY2026E 45%</t>
    </r>
    <r>
      <rPr>
        <sz val="11"/>
        <color theme="1"/>
        <rFont val="Noto Sans CJK SC"/>
        <family val="2"/>
      </rPr>
      <t xml:space="preserve">（味之素模型 </t>
    </r>
    <r>
      <rPr>
        <sz val="11"/>
        <color theme="1"/>
        <rFont val="Calibri"/>
        <family val="2"/>
        <charset val="1"/>
      </rPr>
      <t xml:space="preserve">ai_sh </t>
    </r>
    <r>
      <rPr>
        <sz val="11"/>
        <color theme="1"/>
        <rFont val="Noto Sans CJK SC"/>
        <family val="2"/>
      </rPr>
      <t xml:space="preserve">列）</t>
    </r>
  </si>
  <si>
    <t xml:space="preserve">SIF_abf_ai26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</si>
  <si>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下半年載板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、南電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與資料中心約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、景碩約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（各公司模型 </t>
    </r>
    <r>
      <rPr>
        <sz val="11"/>
        <color theme="1"/>
        <rFont val="Calibri"/>
        <family val="2"/>
        <charset val="1"/>
      </rPr>
      <t xml:space="preserve">ai_abf</t>
    </r>
    <r>
      <rPr>
        <sz val="11"/>
        <color theme="1"/>
        <rFont val="Noto Sans CJK SC"/>
        <family val="2"/>
      </rPr>
      <t xml:space="preserve">；公司口徑高於全產業）</t>
    </r>
  </si>
  <si>
    <t xml:space="preserve">abf_accsh26</t>
  </si>
  <si>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（金額）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</si>
  <si>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7.6M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 7.6M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每顆載板金額 </t>
    </r>
    <r>
      <rPr>
        <sz val="11"/>
        <color theme="1"/>
        <rFont val="Calibri"/>
        <family val="2"/>
        <charset val="1"/>
      </rPr>
      <t xml:space="preserve">US$215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v26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1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 v_ot 0.8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29.5 </t>
    </r>
    <r>
      <rPr>
        <sz val="11"/>
        <color theme="1"/>
        <rFont val="Noto Sans CJK SC"/>
        <family val="2"/>
      </rPr>
      <t xml:space="preserve">億美元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（產值 </t>
    </r>
    <r>
      <rPr>
        <sz val="11"/>
        <color theme="1"/>
        <rFont val="Calibri"/>
        <family val="2"/>
        <charset val="1"/>
      </rPr>
      <t xml:space="preserve">2026 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）</t>
    </r>
  </si>
  <si>
    <t xml:space="preserve">SIF_abf_accsh26</t>
  </si>
  <si>
    <r>
      <rPr>
        <sz val="11"/>
        <color theme="1"/>
        <rFont val="Noto Sans CJK SC"/>
        <family val="2"/>
      </rPr>
      <t xml:space="preserve">其餘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用為交換器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、網通；區間反映 </t>
    </r>
    <r>
      <rPr>
        <sz val="11"/>
        <color theme="1"/>
        <rFont val="Calibri"/>
        <family val="2"/>
        <charset val="1"/>
      </rPr>
      <t xml:space="preserve">v26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占比的不確定</t>
    </r>
  </si>
  <si>
    <t xml:space="preserve">abf_oai_el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</si>
  <si>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需求對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資本支出的彈性</t>
    </r>
  </si>
  <si>
    <r>
      <rPr>
        <sz val="11"/>
        <color theme="1"/>
        <rFont val="Noto Sans CJK SC"/>
        <family val="2"/>
      </rPr>
      <t xml:space="preserve">欣興、南電、景碩模型：其他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× 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0.5</t>
    </r>
  </si>
  <si>
    <t xml:space="preserve">SIF_abf_oai_el</t>
  </si>
  <si>
    <r>
      <rPr>
        <sz val="11"/>
        <color theme="1"/>
        <rFont val="Noto Sans CJK SC"/>
        <family val="2"/>
      </rPr>
      <t xml:space="preserve">交換器、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顆數隨叢集規模成長但慢於加速器；量化：未找到</t>
    </r>
  </si>
  <si>
    <t xml:space="preserve">abf_gnai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</si>
  <si>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 </t>
    </r>
    <r>
      <rPr>
        <sz val="11"/>
        <color theme="1"/>
        <rFont val="Noto Sans CJK SC"/>
        <family val="2"/>
      </rPr>
      <t xml:space="preserve">需求年增（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、一般伺服器、車用、網通）</t>
    </r>
  </si>
  <si>
    <r>
      <rPr>
        <sz val="11"/>
        <color theme="1"/>
        <rFont val="Noto Sans CJK SC"/>
        <family val="2"/>
      </rPr>
      <t xml:space="preserve">欣興、南電、味之素模型 </t>
    </r>
    <r>
      <rPr>
        <sz val="11"/>
        <color theme="1"/>
        <rFont val="Calibri"/>
        <family val="2"/>
        <charset val="1"/>
      </rPr>
      <t xml:space="preserve">g_nai </t>
    </r>
    <r>
      <rPr>
        <sz val="11"/>
        <color theme="1"/>
        <rFont val="Noto Sans CJK SC"/>
        <family val="2"/>
      </rPr>
      <t xml:space="preserve">同值（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與一般伺服器緩步成長）</t>
    </r>
  </si>
  <si>
    <t xml:space="preserve">SIF_abf_gnai</t>
  </si>
  <si>
    <r>
      <rPr>
        <sz val="11"/>
        <color theme="1"/>
        <rFont val="Noto Sans CJK SC"/>
        <family val="2"/>
      </rPr>
      <t xml:space="preserve">景碩模型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（含伺服器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延伸需求）</t>
    </r>
  </si>
  <si>
    <t xml:space="preserve">abfrev_ib26</t>
  </si>
  <si>
    <r>
      <rPr>
        <sz val="11"/>
        <color theme="1"/>
        <rFont val="Calibri"/>
        <family val="2"/>
        <charset val="1"/>
      </rPr>
      <t xml:space="preserve">Ibiden 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</si>
  <si>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電子事業營收預測 </t>
    </r>
    <r>
      <rPr>
        <sz val="11"/>
        <color theme="1"/>
        <rFont val="Calibri"/>
        <family val="2"/>
        <charset val="1"/>
      </rPr>
      <t xml:space="preserve">¥375B</t>
    </r>
    <r>
      <rPr>
        <sz val="11"/>
        <color theme="1"/>
        <rFont val="Noto Sans CJK SC"/>
        <family val="2"/>
      </rPr>
      <t xml:space="preserve">（公司）</t>
    </r>
    <r>
      <rPr>
        <sz val="11"/>
        <color theme="1"/>
        <rFont val="Calibri"/>
        <family val="2"/>
        <charset val="1"/>
      </rPr>
      <t xml:space="preserve">× ABF </t>
    </r>
    <r>
      <rPr>
        <sz val="11"/>
        <color theme="1"/>
        <rFont val="Noto Sans CJK SC"/>
        <family val="2"/>
      </rPr>
      <t xml:space="preserve">占電子事業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0.75–0.95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¥152</t>
    </r>
  </si>
  <si>
    <t xml:space="preserve">SIF_abfrev_ib26</t>
  </si>
  <si>
    <r>
      <rPr>
        <sz val="11"/>
        <color theme="1"/>
        <rFont val="Noto Sans CJK SC"/>
        <family val="2"/>
      </rPr>
      <t xml:space="preserve">電子事業含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等；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占比公司未揭露：未找到</t>
    </r>
  </si>
  <si>
    <t xml:space="preserve">abfrev_un26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</si>
  <si>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</si>
  <si>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Noto Sans CJK SC"/>
        <family val="2"/>
      </rPr>
      <t xml:space="preserve">欣興模型 </t>
    </r>
    <r>
      <rPr>
        <sz val="11"/>
        <color theme="1"/>
        <rFont val="Calibri"/>
        <family val="2"/>
        <charset val="1"/>
      </rPr>
      <t xml:space="preserve">Q!G19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NT$99.8B ÷ 32.5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dist</t>
    </r>
    <r>
      <rPr>
        <sz val="11"/>
        <color theme="1"/>
        <rFont val="Noto Sans CJK SC"/>
        <family val="2"/>
      </rPr>
      <t xml:space="preserve">）</t>
    </r>
  </si>
  <si>
    <t xml:space="preserve">SIF_abfrev_un26</t>
  </si>
  <si>
    <t xml:space="preserve">公司模型更新時需重抄（只作權重）</t>
  </si>
  <si>
    <t xml:space="preserve">abfrev_np26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</si>
  <si>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</si>
  <si>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Noto Sans CJK SC"/>
        <family val="2"/>
      </rPr>
      <t xml:space="preserve">南電模型 </t>
    </r>
    <r>
      <rPr>
        <sz val="11"/>
        <color theme="1"/>
        <rFont val="Calibri"/>
        <family val="2"/>
        <charset val="1"/>
      </rPr>
      <t xml:space="preserve">Q!G19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NT$34.3B ÷ 32.5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dist</t>
    </r>
    <r>
      <rPr>
        <sz val="11"/>
        <color theme="1"/>
        <rFont val="Noto Sans CJK SC"/>
        <family val="2"/>
      </rPr>
      <t xml:space="preserve">）</t>
    </r>
  </si>
  <si>
    <t xml:space="preserve">SIF_abfrev_np26</t>
  </si>
  <si>
    <t xml:space="preserve">abfrev_ks26</t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</si>
  <si>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</si>
  <si>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Noto Sans CJK SC"/>
        <family val="2"/>
      </rPr>
      <t xml:space="preserve">景碩模型 </t>
    </r>
    <r>
      <rPr>
        <sz val="11"/>
        <color theme="1"/>
        <rFont val="Calibri"/>
        <family val="2"/>
        <charset val="1"/>
      </rPr>
      <t xml:space="preserve">Q!G22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NT$22.9B ÷ 32.5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dist</t>
    </r>
    <r>
      <rPr>
        <sz val="11"/>
        <color theme="1"/>
        <rFont val="Noto Sans CJK SC"/>
        <family val="2"/>
      </rPr>
      <t xml:space="preserve">）</t>
    </r>
  </si>
  <si>
    <t xml:space="preserve">SIF_abfrev_ks26</t>
  </si>
  <si>
    <t xml:space="preserve">abfcap_ib_27</t>
  </si>
  <si>
    <r>
      <rPr>
        <sz val="11"/>
        <color theme="1"/>
        <rFont val="Calibri"/>
        <family val="2"/>
        <charset val="1"/>
      </rPr>
      <t xml:space="preserve">Ibiden 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</si>
  <si>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SIF_abfcap_ib_27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</si>
  <si>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年相對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年的倍數：未找到；基準假設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1.7 </t>
    </r>
    <r>
      <rPr>
        <sz val="11"/>
        <color theme="1"/>
        <rFont val="Noto Sans CJK SC"/>
        <family val="2"/>
      </rPr>
      <t xml:space="preserve">倍，使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年＝</t>
    </r>
    <r>
      <rPr>
        <sz val="11"/>
        <color theme="1"/>
        <rFont val="Calibri"/>
        <family val="2"/>
        <charset val="1"/>
      </rPr>
      <t xml:space="preserve">1.55 × 1.7 ≈ 2.6 </t>
    </r>
    <r>
      <rPr>
        <sz val="11"/>
        <color theme="1"/>
        <rFont val="Noto Sans CJK SC"/>
        <family val="2"/>
      </rPr>
      <t xml:space="preserve">倍（落在公司 </t>
    </r>
    <r>
      <rPr>
        <sz val="11"/>
        <color theme="1"/>
        <rFont val="Calibri"/>
        <family val="2"/>
        <charset val="1"/>
      </rPr>
      <t xml:space="preserve">2.5–2.8 </t>
    </r>
    <r>
      <rPr>
        <sz val="11"/>
        <color theme="1"/>
        <rFont val="Noto Sans CJK SC"/>
        <family val="2"/>
      </rPr>
      <t xml:space="preserve">倍）</t>
    </r>
  </si>
  <si>
    <t xml:space="preserve">abfcap_ib_28</t>
  </si>
  <si>
    <r>
      <rPr>
        <sz val="11"/>
        <color theme="1"/>
        <rFont val="Calibri"/>
        <family val="2"/>
        <charset val="1"/>
      </rPr>
      <t xml:space="preserve">Ibiden 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</si>
  <si>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SIF_abfcap_ib_28</t>
  </si>
  <si>
    <t xml:space="preserve">abfcap_ib_29</t>
  </si>
  <si>
    <r>
      <rPr>
        <sz val="11"/>
        <color theme="1"/>
        <rFont val="Calibri"/>
        <family val="2"/>
        <charset val="1"/>
      </rPr>
      <t xml:space="preserve">Ibiden 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</si>
  <si>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SIF_abfcap_ib_29</t>
  </si>
  <si>
    <t xml:space="preserve">abfcap_un_27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</si>
  <si>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</si>
  <si>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（本土法人；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預估、產能時程）：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；光復一廠三期 </t>
    </r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、光復二廠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、楊梅二廠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、楊梅三廠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</si>
  <si>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SIF_abfcap_un_27</t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</si>
  <si>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稼動率逾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；資本支出主要為光復二廠與楊梅二廠</t>
    </r>
  </si>
  <si>
    <t xml:space="preserve">abfcap_un_28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</si>
  <si>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</si>
  <si>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SIF_abfcap_un_28</t>
  </si>
  <si>
    <r>
      <rPr>
        <sz val="11"/>
        <color theme="1"/>
        <rFont val="Noto Sans CJK SC"/>
        <family val="2"/>
      </rPr>
      <t xml:space="preserve">楊梅五廠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、新竹新廠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年後（三立）</t>
    </r>
  </si>
  <si>
    <t xml:space="preserve">abfcap_un_29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</si>
  <si>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</si>
  <si>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SIF_abfcap_un_29</t>
  </si>
  <si>
    <t xml:space="preserve">abfcap_np_27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</si>
  <si>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）：新產能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年到位，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年主要靠產能升級；</t>
    </r>
    <r>
      <rPr>
        <sz val="11"/>
        <color theme="1"/>
        <rFont val="Calibri"/>
        <family val="2"/>
        <charset val="1"/>
      </rPr>
      <t xml:space="preserve">1H26 ABF </t>
    </r>
    <r>
      <rPr>
        <sz val="11"/>
        <color theme="1"/>
        <rFont val="Noto Sans CJK SC"/>
        <family val="2"/>
      </rPr>
      <t xml:space="preserve">稼動率約 </t>
    </r>
    <r>
      <rPr>
        <sz val="11"/>
        <color theme="1"/>
        <rFont val="Calibri"/>
        <family val="2"/>
        <charset val="1"/>
      </rPr>
      <t xml:space="preserve">80–85%</t>
    </r>
  </si>
  <si>
    <t xml:space="preserve">SIF_abfcap_np_27</t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</si>
  <si>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2026-07-27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營收、法人預估、產能）：錦興、樹林滿載，昆山稼動率約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，以去瓶頸擴產</t>
    </r>
  </si>
  <si>
    <t xml:space="preserve">abfcap_np_28</t>
  </si>
  <si>
    <t xml:space="preserve">SIF_abfcap_np_28</t>
  </si>
  <si>
    <r>
      <rPr>
        <sz val="11"/>
        <color theme="1"/>
        <rFont val="Noto Sans CJK SC"/>
        <family val="2"/>
      </rPr>
      <t xml:space="preserve">公司：持續擴充 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，含新建廠，時程待董事會（富果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2026-06-12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摘要））</t>
    </r>
  </si>
  <si>
    <t xml:space="preserve">abfcap_np_29</t>
  </si>
  <si>
    <t xml:space="preserve">SIF_abfcap_np_29</t>
  </si>
  <si>
    <t xml:space="preserve">abfcap_ks_27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</si>
  <si>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獲利、產能規劃）：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月產能約 </t>
    </r>
    <r>
      <rPr>
        <sz val="11"/>
        <color theme="1"/>
        <rFont val="Calibri"/>
        <family val="2"/>
        <charset val="1"/>
      </rPr>
      <t xml:space="preserve">4,000 </t>
    </r>
    <r>
      <rPr>
        <sz val="11"/>
        <color theme="1"/>
        <rFont val="Noto Sans CJK SC"/>
        <family val="2"/>
      </rPr>
      <t xml:space="preserve">萬顆，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5,000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6,500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8,000 </t>
    </r>
    <r>
      <rPr>
        <sz val="11"/>
        <color theme="1"/>
        <rFont val="Noto Sans CJK SC"/>
        <family val="2"/>
      </rPr>
      <t xml:space="preserve">萬（公司規劃）</t>
    </r>
  </si>
  <si>
    <t xml:space="preserve">SIF_abfcap_ks_27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</si>
  <si>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2026-04-23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份額、稼動率）：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稼動率由 </t>
    </r>
    <r>
      <rPr>
        <sz val="11"/>
        <color theme="1"/>
        <rFont val="Calibri"/>
        <family val="2"/>
        <charset val="1"/>
      </rPr>
      <t xml:space="preserve">86%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95%</t>
    </r>
    <r>
      <rPr>
        <sz val="11"/>
        <color theme="1"/>
        <rFont val="Noto Sans CJK SC"/>
        <family val="2"/>
      </rPr>
      <t xml:space="preserve">；經濟日報 </t>
    </r>
    <r>
      <rPr>
        <sz val="11"/>
        <color theme="1"/>
        <rFont val="Calibri"/>
        <family val="2"/>
        <charset val="1"/>
      </rPr>
      <t xml:space="preserve">2026-09-16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Vera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份額、產能）：</t>
    </r>
    <r>
      <rPr>
        <sz val="11"/>
        <color theme="1"/>
        <rFont val="Calibri"/>
        <family val="2"/>
        <charset val="1"/>
      </rPr>
      <t xml:space="preserve">85–90%</t>
    </r>
  </si>
  <si>
    <t xml:space="preserve">abfcap_ks_28</t>
  </si>
  <si>
    <t xml:space="preserve">同上（年底值；年平均約為前後年底的中點）</t>
  </si>
  <si>
    <t xml:space="preserve">SIF_abfcap_ks_28</t>
  </si>
  <si>
    <r>
      <rPr>
        <sz val="11"/>
        <color theme="1"/>
        <rFont val="Calibri"/>
        <family val="2"/>
        <charset val="1"/>
      </rPr>
      <t xml:space="preserve">T-glass </t>
    </r>
    <r>
      <rPr>
        <sz val="11"/>
        <color theme="1"/>
        <rFont val="Noto Sans CJK SC"/>
        <family val="2"/>
      </rPr>
      <t xml:space="preserve">供給（日東紡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擴產）可能限制實際產出（旺得富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（永豐、玉山投顧；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預估））</t>
    </r>
  </si>
  <si>
    <t xml:space="preserve">abfcap_ks_29</t>
  </si>
  <si>
    <t xml:space="preserve">SIF_abfcap_ks_29</t>
  </si>
  <si>
    <t xml:space="preserve">abfcap_oth_27</t>
  </si>
  <si>
    <r>
      <rPr>
        <sz val="11"/>
        <color theme="1"/>
        <rFont val="Noto Sans CJK SC"/>
        <family val="2"/>
      </rPr>
      <t xml:space="preserve">其他載板廠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</si>
  <si>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三星電機獲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載板擴產合作（</t>
    </r>
    <r>
      <rPr>
        <sz val="11"/>
        <color theme="1"/>
        <rFont val="Calibri"/>
        <family val="2"/>
        <charset val="1"/>
      </rPr>
      <t xml:space="preserve">Hardware Busters 2026</t>
    </r>
    <r>
      <rPr>
        <sz val="11"/>
        <color theme="1"/>
        <rFont val="Noto Sans CJK SC"/>
        <family val="2"/>
      </rPr>
      <t xml:space="preserve">，經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模型）；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居林廠量產</t>
    </r>
  </si>
  <si>
    <t xml:space="preserve">SIF_abfcap_oth_27</t>
  </si>
  <si>
    <t xml:space="preserve">各廠產能路線圖：未找到</t>
  </si>
  <si>
    <t xml:space="preserve">abfcap_oth_28</t>
  </si>
  <si>
    <r>
      <rPr>
        <sz val="11"/>
        <color theme="1"/>
        <rFont val="Noto Sans CJK SC"/>
        <family val="2"/>
      </rPr>
      <t xml:space="preserve">其他載板廠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</si>
  <si>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SIF_abfcap_oth_28</t>
  </si>
  <si>
    <t xml:space="preserve">abfcap_oth_29</t>
  </si>
  <si>
    <r>
      <rPr>
        <sz val="11"/>
        <color theme="1"/>
        <rFont val="Noto Sans CJK SC"/>
        <family val="2"/>
      </rPr>
      <t xml:space="preserve">其他載板廠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</si>
  <si>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SIF_abfcap_oth_29</t>
  </si>
  <si>
    <t xml:space="preserve">abffilm_27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</si>
  <si>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</si>
  <si>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 2025-04-01</t>
    </r>
    <r>
      <rPr>
        <sz val="11"/>
        <color theme="1"/>
        <rFont val="Noto Sans CJK SC"/>
        <family val="2"/>
      </rPr>
      <t xml:space="preserve">（引日經）：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年前投資 </t>
    </r>
    <r>
      <rPr>
        <sz val="11"/>
        <color theme="1"/>
        <rFont val="Calibri"/>
        <family val="2"/>
        <charset val="1"/>
      </rPr>
      <t xml:space="preserve">250 </t>
    </r>
    <r>
      <rPr>
        <sz val="11"/>
        <color theme="1"/>
        <rFont val="Noto Sans CJK SC"/>
        <family val="2"/>
      </rPr>
      <t xml:space="preserve">億日圓、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）；岐阜新廠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年投產（</t>
    </r>
    <r>
      <rPr>
        <sz val="11"/>
        <color theme="1"/>
        <rFont val="Calibri"/>
        <family val="2"/>
        <charset val="1"/>
      </rPr>
      <t xml:space="preserve">TrendForce 2026-05-08</t>
    </r>
    <r>
      <rPr>
        <sz val="11"/>
        <color theme="1"/>
        <rFont val="Noto Sans CJK SC"/>
        <family val="2"/>
      </rPr>
      <t xml:space="preserve">（引日經、朝日電視））</t>
    </r>
  </si>
  <si>
    <t xml:space="preserve">SIF_abffilm_27</t>
  </si>
  <si>
    <r>
      <rPr>
        <sz val="11"/>
        <color theme="1"/>
        <rFont val="Noto Sans CJK SC"/>
        <family val="2"/>
      </rPr>
      <t xml:space="preserve">基準約 </t>
    </r>
    <r>
      <rPr>
        <sz val="11"/>
        <color theme="1"/>
        <rFont val="Calibri"/>
        <family val="2"/>
        <charset val="1"/>
      </rPr>
      <t xml:space="preserve">+22%</t>
    </r>
    <r>
      <rPr>
        <sz val="11"/>
        <color theme="1"/>
        <rFont val="Noto Sans CJK SC"/>
        <family val="2"/>
      </rPr>
      <t xml:space="preserve">／年：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電子材料營收 </t>
    </r>
    <r>
      <rPr>
        <sz val="11"/>
        <color theme="1"/>
        <rFont val="Calibri"/>
        <family val="2"/>
        <charset val="1"/>
      </rPr>
      <t xml:space="preserve">+31%</t>
    </r>
    <r>
      <rPr>
        <sz val="11"/>
        <color theme="1"/>
        <rFont val="Noto Sans CJK SC"/>
        <family val="2"/>
      </rPr>
      <t xml:space="preserve">（漲價前）、</t>
    </r>
    <r>
      <rPr>
        <sz val="11"/>
        <color theme="1"/>
        <rFont val="Calibri"/>
        <family val="2"/>
        <charset val="1"/>
      </rPr>
      <t xml:space="preserve">1Q FY26 FM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+54%</t>
    </r>
    <r>
      <rPr>
        <sz val="11"/>
        <color theme="1"/>
        <rFont val="Noto Sans CJK SC"/>
        <family val="2"/>
      </rPr>
      <t xml:space="preserve">（含部分漲價與匯率），實際出貨成長快於公司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／五年的說法；低值＝公司說法的速度、高值＝不設限</t>
    </r>
  </si>
  <si>
    <t xml:space="preserve">abffilm_28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</si>
  <si>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</si>
  <si>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SIF_abffilm_28</t>
  </si>
  <si>
    <t xml:space="preserve">abffilm_29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</si>
  <si>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</si>
  <si>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SIF_abffilm_29</t>
  </si>
  <si>
    <r>
      <rPr>
        <b val="true"/>
        <sz val="11"/>
        <rFont val="Cambria"/>
        <family val="0"/>
        <charset val="1"/>
      </rPr>
      <t xml:space="preserve">M16.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AI </t>
    </r>
    <r>
      <rPr>
        <b val="true"/>
        <sz val="11"/>
        <rFont val="Noto Sans CJK SC"/>
        <family val="2"/>
      </rPr>
      <t xml:space="preserve">高速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CCL </t>
    </r>
    <r>
      <rPr>
        <b val="true"/>
        <sz val="11"/>
        <rFont val="Noto Sans CJK SC"/>
        <family val="2"/>
      </rPr>
      <t xml:space="preserve">金額（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元件金額 </t>
    </r>
    <r>
      <rPr>
        <b val="true"/>
        <sz val="11"/>
        <rFont val="Cambria"/>
        <family val="0"/>
        <charset val="1"/>
      </rPr>
      <t xml:space="preserve">× 2027–29 </t>
    </r>
    <r>
      <rPr>
        <b val="true"/>
        <sz val="11"/>
        <rFont val="Noto Sans CJK SC"/>
        <family val="2"/>
      </rPr>
      <t xml:space="preserve">指數；原在 </t>
    </r>
    <r>
      <rPr>
        <b val="true"/>
        <sz val="11"/>
        <rFont val="Cambria"/>
        <family val="0"/>
        <charset val="1"/>
      </rPr>
      <t xml:space="preserve">victory_giant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emc</t>
    </r>
    <r>
      <rPr>
        <b val="true"/>
        <sz val="11"/>
        <rFont val="Noto Sans CJK SC"/>
        <family val="2"/>
      </rPr>
      <t xml:space="preserve">；價格指數與各公司份額留在公司模型）</t>
    </r>
  </si>
  <si>
    <t xml:space="preserve">pcb_cmp_26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</si>
  <si>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模組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、運算匣主板）</t>
    </r>
    <r>
      <rPr>
        <sz val="11"/>
        <color theme="1"/>
        <rFont val="Calibri"/>
        <family val="2"/>
        <charset val="1"/>
      </rPr>
      <t xml:space="preserve">2026</t>
    </r>
  </si>
  <si>
    <t xml:space="preserve">US$M/GW</t>
  </si>
  <si>
    <r>
      <rPr>
        <sz val="11"/>
        <color theme="1"/>
        <rFont val="Noto Sans CJK SC"/>
        <family val="2"/>
      </rPr>
      <t xml:space="preserve">由上而下（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）：三項合計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US$450M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；量級檢查：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 GB300 US$35.1K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US$116.7K</t>
    </r>
    <r>
      <rPr>
        <sz val="11"/>
        <color theme="1"/>
        <rFont val="Noto Sans CJK SC"/>
        <family val="2"/>
      </rPr>
      <t xml:space="preserve">（國金證券 </t>
    </r>
    <r>
      <rPr>
        <sz val="11"/>
        <color theme="1"/>
        <rFont val="Calibri"/>
        <family val="2"/>
        <charset val="1"/>
      </rPr>
      <t xml:space="preserve">2026-05 </t>
    </r>
    <r>
      <rPr>
        <sz val="11"/>
        <color theme="1"/>
        <rFont val="Noto Sans CJK SC"/>
        <family val="2"/>
      </rPr>
      <t xml:space="preserve">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架數＝</t>
    </r>
    <r>
      <rPr>
        <sz val="11"/>
        <color theme="1"/>
        <rFont val="Calibri"/>
        <family val="2"/>
        <charset val="1"/>
      </rPr>
      <t xml:space="preserve">237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473 </t>
    </r>
    <r>
      <rPr>
        <sz val="11"/>
        <color theme="1"/>
        <rFont val="Noto Sans CJK SC"/>
        <family val="2"/>
      </rPr>
      <t xml:space="preserve">百萬美元（只含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機架內，不含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交換器、光模組、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伺服器）；</t>
    </r>
    <r>
      <rPr>
        <sz val="11"/>
        <color theme="1"/>
        <rFont val="Calibri"/>
        <family val="2"/>
        <charset val="1"/>
      </rPr>
      <t xml:space="preserve">Prismark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PCB 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US$6B</t>
    </r>
    <r>
      <rPr>
        <sz val="11"/>
        <color theme="1"/>
        <rFont val="Noto Sans CJK SC"/>
        <family val="2"/>
      </rPr>
      <t xml:space="preserve">（摩根大通 </t>
    </r>
    <r>
      <rPr>
        <sz val="11"/>
        <color theme="1"/>
        <rFont val="Calibri"/>
        <family val="2"/>
        <charset val="1"/>
      </rPr>
      <t xml:space="preserve">2026-06-11 </t>
    </r>
    <r>
      <rPr>
        <sz val="11"/>
        <color theme="1"/>
        <rFont val="Noto Sans CJK SC"/>
        <family val="2"/>
      </rPr>
      <t xml:space="preserve">轉引）</t>
    </r>
  </si>
  <si>
    <t xml:space="preserve">SIF_pcb_cmp_26</t>
  </si>
  <si>
    <r>
      <rPr>
        <sz val="11"/>
        <color theme="1"/>
        <rFont val="Noto Sans CJK SC"/>
        <family val="2"/>
      </rPr>
      <t xml:space="preserve">國金證券：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運算匣約 </t>
    </r>
    <r>
      <rPr>
        <sz val="11"/>
        <color theme="1"/>
        <rFont val="Calibri"/>
        <family val="2"/>
        <charset val="1"/>
      </rPr>
      <t xml:space="preserve">US$3,000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）或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階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TPCA</t>
    </r>
    <r>
      <rPr>
        <sz val="11"/>
        <color theme="1"/>
        <rFont val="Noto Sans CJK SC"/>
        <family val="2"/>
      </rPr>
      <t xml:space="preserve">），較 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增加近 </t>
    </r>
    <r>
      <rPr>
        <sz val="11"/>
        <color theme="1"/>
        <rFont val="Calibri"/>
        <family val="2"/>
        <charset val="1"/>
      </rPr>
      <t xml:space="preserve">300%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</si>
  <si>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pcb_sw_26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</si>
  <si>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交換器、光模組板）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</si>
  <si>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同上；交換匣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→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GB300 → VR200</t>
    </r>
    <r>
      <rPr>
        <sz val="11"/>
        <color theme="1"/>
        <rFont val="Noto Sans CJK SC"/>
        <family val="2"/>
      </rPr>
      <t xml:space="preserve">，國金證券轉引 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</t>
    </r>
  </si>
  <si>
    <t xml:space="preserve">SIF_pcb_sw_26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</si>
  <si>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光模組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已量產（公司業績交流會，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</si>
  <si>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pcb_mid_26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</si>
  <si>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：中板／正交背板／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與其他（電源板等）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</si>
  <si>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44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）中板、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片 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階 </t>
    </r>
    <r>
      <rPr>
        <sz val="11"/>
        <color theme="1"/>
        <rFont val="Calibri"/>
        <family val="2"/>
        <charset val="1"/>
      </rPr>
      <t xml:space="preserve">HDI CPX </t>
    </r>
    <r>
      <rPr>
        <sz val="11"/>
        <color theme="1"/>
        <rFont val="Noto Sans CJK SC"/>
        <family val="2"/>
      </rPr>
      <t xml:space="preserve">板、</t>
    </r>
    <r>
      <rPr>
        <sz val="11"/>
        <color theme="1"/>
        <rFont val="Calibri"/>
        <family val="2"/>
        <charset val="1"/>
      </rPr>
      <t xml:space="preserve">ConnectX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BlueField </t>
    </r>
    <r>
      <rPr>
        <sz val="11"/>
        <color theme="1"/>
        <rFont val="Noto Sans CJK SC"/>
        <family val="2"/>
      </rPr>
      <t xml:space="preserve">子卡；</t>
    </r>
    <r>
      <rPr>
        <sz val="11"/>
        <color theme="1"/>
        <rFont val="Calibri"/>
        <family val="2"/>
        <charset val="1"/>
      </rPr>
      <t xml:space="preserve">Kyber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78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正交背板（國金證券）</t>
    </r>
  </si>
  <si>
    <t xml:space="preserve">SIF_pcb_mid_26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</si>
  <si>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為主（無中板）；中板與 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金額多數從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開始</t>
    </r>
  </si>
  <si>
    <t xml:space="preserve">pcb_cmpx_27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</si>
  <si>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</si>
  <si>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（國金證券轉引）：</t>
    </r>
    <r>
      <rPr>
        <sz val="11"/>
        <color theme="1"/>
        <rFont val="Calibri"/>
        <family val="2"/>
        <charset val="1"/>
      </rPr>
      <t xml:space="preserve">VR200 ÷ GB300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3.3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架數（</t>
    </r>
    <r>
      <rPr>
        <sz val="11"/>
        <color theme="1"/>
        <rFont val="Calibri"/>
        <family val="2"/>
        <charset val="1"/>
      </rPr>
      <t xml:space="preserve">4,052 ÷ 6,764</t>
    </r>
    <r>
      <rPr>
        <sz val="11"/>
        <color theme="1"/>
        <rFont val="Noto Sans CJK SC"/>
        <family val="2"/>
      </rPr>
      <t xml:space="preserve">）＝每 </t>
    </r>
    <r>
      <rPr>
        <sz val="11"/>
        <color theme="1"/>
        <rFont val="Calibri"/>
        <family val="2"/>
        <charset val="1"/>
      </rPr>
      <t xml:space="preserve">GW 2.0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年已含 </t>
    </r>
    <r>
      <rPr>
        <sz val="11"/>
        <color theme="1"/>
        <rFont val="Calibri"/>
        <family val="2"/>
        <charset val="1"/>
      </rPr>
      <t xml:space="preserve">22% Rubin → 2027 ÷ 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1.64 </t>
    </r>
    <r>
      <rPr>
        <sz val="11"/>
        <color theme="1"/>
        <rFont val="Noto Sans CJK SC"/>
        <family val="2"/>
      </rPr>
      <t xml:space="preserve">倍（含交換匣，本列取 </t>
    </r>
    <r>
      <rPr>
        <sz val="11"/>
        <color theme="1"/>
        <rFont val="Calibri"/>
        <family val="2"/>
        <charset val="1"/>
      </rPr>
      <t xml:space="preserve">1.50</t>
    </r>
    <r>
      <rPr>
        <sz val="11"/>
        <color theme="1"/>
        <rFont val="Noto Sans CJK SC"/>
        <family val="2"/>
      </rPr>
      <t xml:space="preserve">）</t>
    </r>
  </si>
  <si>
    <t xml:space="preserve">SIF_pcb_cmpx_27</t>
  </si>
  <si>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含量較前一代約倍增（國金證券轉引，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</si>
  <si>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pcb_cmpx_28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</si>
  <si>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</si>
  <si>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SIF_pcb_cmpx_28</t>
  </si>
  <si>
    <t xml:space="preserve">pcb_cmpx_29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</si>
  <si>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</si>
  <si>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SIF_pcb_cmpx_29</t>
  </si>
  <si>
    <t xml:space="preserve">pcb_swx_27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</si>
  <si>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</si>
  <si>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交換匣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→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層、</t>
    </r>
    <r>
      <rPr>
        <sz val="11"/>
        <color theme="1"/>
        <rFont val="Calibri"/>
        <family val="2"/>
        <charset val="1"/>
      </rPr>
      <t xml:space="preserve">1.6T 2027 </t>
    </r>
    <r>
      <rPr>
        <sz val="11"/>
        <color theme="1"/>
        <rFont val="Noto Sans CJK SC"/>
        <family val="2"/>
      </rPr>
      <t xml:space="preserve">年放量（國金證券、公司）</t>
    </r>
  </si>
  <si>
    <t xml:space="preserve">SIF_pcb_swx_27</t>
  </si>
  <si>
    <r>
      <rPr>
        <sz val="11"/>
        <color theme="1"/>
        <rFont val="Noto Sans CJK SC"/>
        <family val="2"/>
      </rPr>
      <t xml:space="preserve">網通模型：交換器市場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持平；本列的上升來自層數與材料等級</t>
    </r>
  </si>
  <si>
    <t xml:space="preserve">pcb_swx_28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</si>
  <si>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</si>
  <si>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SIF_pcb_swx_28</t>
  </si>
  <si>
    <t xml:space="preserve">pcb_swx_29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</si>
  <si>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</si>
  <si>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SIF_pcb_swx_29</t>
  </si>
  <si>
    <t xml:space="preserve">pcb_midx_27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</si>
  <si>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</si>
  <si>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中板與 </t>
    </r>
    <r>
      <rPr>
        <sz val="11"/>
        <color theme="1"/>
        <rFont val="Calibri"/>
        <family val="2"/>
        <charset val="1"/>
      </rPr>
      <t xml:space="preserve">CPX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起）、</t>
    </r>
    <r>
      <rPr>
        <sz val="11"/>
        <color theme="1"/>
        <rFont val="Calibri"/>
        <family val="2"/>
        <charset val="1"/>
      </rPr>
      <t xml:space="preserve">Kyber 78 </t>
    </r>
    <r>
      <rPr>
        <sz val="11"/>
        <color theme="1"/>
        <rFont val="Noto Sans CJK SC"/>
        <family val="2"/>
      </rPr>
      <t xml:space="preserve">層正交背板（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起）；國金證券：</t>
    </r>
    <r>
      <rPr>
        <sz val="11"/>
        <color theme="1"/>
        <rFont val="Calibri"/>
        <family val="2"/>
        <charset val="1"/>
      </rPr>
      <t xml:space="preserve">Kyber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「十萬美元級」以上</t>
    </r>
  </si>
  <si>
    <t xml:space="preserve">SIF_pcb_midx_27</t>
  </si>
  <si>
    <r>
      <rPr>
        <sz val="11"/>
        <color theme="1"/>
        <rFont val="Noto Sans CJK SC"/>
        <family val="2"/>
      </rPr>
      <t xml:space="preserve">台光電模型 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／中板指數 </t>
    </r>
    <r>
      <rPr>
        <sz val="11"/>
        <color theme="1"/>
        <rFont val="Calibri"/>
        <family val="2"/>
        <charset val="1"/>
      </rPr>
      <t xml:space="preserve">2027 1.80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2029 2.60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口徑）</t>
    </r>
  </si>
  <si>
    <t xml:space="preserve">pcb_midx_28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</si>
  <si>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</si>
  <si>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SIF_pcb_midx_28</t>
  </si>
  <si>
    <t xml:space="preserve">pcb_midx_29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</si>
  <si>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</si>
  <si>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SIF_pcb_midx_29</t>
  </si>
  <si>
    <t xml:space="preserve">ccl_cmp_26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</si>
  <si>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：加速器／運算板（運算匣、加速器模組板）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</si>
  <si>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由上而下（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）：三項合計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US$350M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高階（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以上）市場約 </t>
    </r>
    <r>
      <rPr>
        <sz val="11"/>
        <color theme="1"/>
        <rFont val="Calibri"/>
        <family val="2"/>
        <charset val="1"/>
      </rPr>
      <t xml:space="preserve">US$8B ÷ </t>
    </r>
    <r>
      <rPr>
        <sz val="11"/>
        <color theme="1"/>
        <rFont val="Noto Sans CJK SC"/>
        <family val="2"/>
      </rPr>
      <t xml:space="preserve">部署約 </t>
    </r>
    <r>
      <rPr>
        <sz val="11"/>
        <color theme="1"/>
        <rFont val="Calibri"/>
        <family val="2"/>
        <charset val="1"/>
      </rPr>
      <t xml:space="preserve">23 GW</t>
    </r>
    <r>
      <rPr>
        <sz val="11"/>
        <color theme="1"/>
        <rFont val="Noto Sans CJK SC"/>
        <family val="2"/>
      </rPr>
      <t xml:space="preserve">；市場量級取自 </t>
    </r>
    <r>
      <rPr>
        <sz val="11"/>
        <color theme="1"/>
        <rFont val="Calibri"/>
        <family val="2"/>
        <charset val="1"/>
      </rPr>
      <t xml:space="preserve">Prismark 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 </t>
    </r>
    <r>
      <rPr>
        <sz val="11"/>
        <color theme="1"/>
        <rFont val="Calibri"/>
        <family val="2"/>
        <charset val="1"/>
      </rPr>
      <t xml:space="preserve">US$57 </t>
    </r>
    <r>
      <rPr>
        <sz val="11"/>
        <color theme="1"/>
        <rFont val="Noto Sans CJK SC"/>
        <family val="2"/>
      </rPr>
      <t xml:space="preserve">億、年增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https://finance.sina.cn/2026-09-28/detail-initkarh2920455.d.html</t>
    </r>
    <r>
      <rPr>
        <sz val="11"/>
        <color theme="1"/>
        <rFont val="Noto Sans CJK SC"/>
        <family val="2"/>
      </rPr>
      <t xml:space="preserve">，源達證券轉引，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</si>
  <si>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SIF_ccl_cmp_26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</si>
  <si>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Deep News 2026-09-23</t>
    </r>
    <r>
      <rPr>
        <sz val="11"/>
        <color theme="1"/>
        <rFont val="Noto Sans CJK SC"/>
        <family val="2"/>
      </rPr>
      <t xml:space="preserve">）：每架 </t>
    </r>
    <r>
      <rPr>
        <sz val="11"/>
        <color theme="1"/>
        <rFont val="Calibri"/>
        <family val="2"/>
        <charset val="1"/>
      </rPr>
      <t xml:space="preserve">CCL GB300 US$6,695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US$18,750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架數＝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76 </t>
    </r>
    <r>
      <rPr>
        <sz val="11"/>
        <color theme="1"/>
        <rFont val="Noto Sans CJK SC"/>
        <family val="2"/>
      </rPr>
      <t xml:space="preserve">百萬美元，口徑窄於本列，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</si>
  <si>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ccl_sw_26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</si>
  <si>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</si>
  <si>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同上；公司：交換器占基礎設施營收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55–60%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，凱基 </t>
    </r>
    <r>
      <rPr>
        <sz val="11"/>
        <color theme="1"/>
        <rFont val="Calibri"/>
        <family val="2"/>
        <charset val="1"/>
      </rPr>
      <t xml:space="preserve">2026-07-29 </t>
    </r>
    <r>
      <rPr>
        <sz val="11"/>
        <color theme="1"/>
        <rFont val="Noto Sans CJK SC"/>
        <family val="2"/>
      </rPr>
      <t xml:space="preserve">轉述）→ 交換器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伺服器約 </t>
    </r>
    <r>
      <rPr>
        <sz val="11"/>
        <color theme="1"/>
        <rFont val="Calibri"/>
        <family val="2"/>
        <charset val="1"/>
      </rPr>
      <t xml:space="preserve">0.3</t>
    </r>
  </si>
  <si>
    <t xml:space="preserve">SIF_ccl_sw_26</t>
  </si>
  <si>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主用 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M8+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1.6T 2026 Q1 </t>
    </r>
    <r>
      <rPr>
        <sz val="11"/>
        <color theme="1"/>
        <rFont val="Noto Sans CJK SC"/>
        <family val="2"/>
      </rPr>
      <t xml:space="preserve">開始出貨（富果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</si>
  <si>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t xml:space="preserve">ccl_ubb_26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</si>
  <si>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／中板／正交背板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</si>
  <si>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同上；中板 </t>
    </r>
    <r>
      <rPr>
        <sz val="11"/>
        <color theme="1"/>
        <rFont val="Calibri"/>
        <family val="2"/>
        <charset val="1"/>
      </rPr>
      <t xml:space="preserve">44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2×22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正交背板 </t>
    </r>
    <r>
      <rPr>
        <sz val="11"/>
        <color theme="1"/>
        <rFont val="Calibri"/>
        <family val="2"/>
        <charset val="1"/>
      </rPr>
      <t xml:space="preserve">78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（台光電 </t>
    </r>
    <r>
      <rPr>
        <sz val="11"/>
        <color theme="1"/>
        <rFont val="Calibri"/>
        <family val="2"/>
        <charset val="1"/>
      </rPr>
      <t xml:space="preserve">EM-896K3</t>
    </r>
    <r>
      <rPr>
        <sz val="11"/>
        <color theme="1"/>
        <rFont val="Noto Sans CJK SC"/>
        <family val="2"/>
      </rPr>
      <t xml:space="preserve">）（源達證券轉引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</t>
    </r>
    <r>
      <rPr>
        <sz val="11"/>
        <color theme="1"/>
        <rFont val="Noto Sans CJK SC"/>
        <family val="2"/>
      </rPr>
      <t xml:space="preserve">）</t>
    </r>
  </si>
  <si>
    <t xml:space="preserve">SIF_ccl_ubb_26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</si>
  <si>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為主（無中板）；中板金額多數從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開始</t>
    </r>
  </si>
  <si>
    <t xml:space="preserve">ccl_cmpx_27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</si>
  <si>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</si>
  <si>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張數：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164 </t>
    </r>
    <r>
      <rPr>
        <sz val="11"/>
        <color theme="1"/>
        <rFont val="Noto Sans CJK SC"/>
        <family val="2"/>
      </rPr>
      <t xml:space="preserve">張、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578 </t>
    </r>
    <r>
      <rPr>
        <sz val="11"/>
        <color theme="1"/>
        <rFont val="Noto Sans CJK SC"/>
        <family val="2"/>
      </rPr>
      <t xml:space="preserve">張（源達證券）→ 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張數 </t>
    </r>
    <r>
      <rPr>
        <sz val="11"/>
        <color theme="1"/>
        <rFont val="Calibri"/>
        <family val="2"/>
        <charset val="1"/>
      </rPr>
      <t xml:space="preserve">VR200 ÷ GB300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2.1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每架金額 → 每 </t>
    </r>
    <r>
      <rPr>
        <sz val="11"/>
        <color theme="1"/>
        <rFont val="Calibri"/>
        <family val="2"/>
        <charset val="1"/>
      </rPr>
      <t xml:space="preserve">GW 1.68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</si>
  <si>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SIF_ccl_cmpx_27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</si>
  <si>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年已含 </t>
    </r>
    <r>
      <rPr>
        <sz val="11"/>
        <color theme="1"/>
        <rFont val="Calibri"/>
        <family val="2"/>
        <charset val="1"/>
      </rPr>
      <t xml:space="preserve">22% Rubin</t>
    </r>
    <r>
      <rPr>
        <sz val="11"/>
        <color theme="1"/>
        <rFont val="Noto Sans CJK SC"/>
        <family val="2"/>
      </rPr>
      <t xml:space="preserve">，所以 </t>
    </r>
    <r>
      <rPr>
        <sz val="11"/>
        <color theme="1"/>
        <rFont val="Calibri"/>
        <family val="2"/>
        <charset val="1"/>
      </rPr>
      <t xml:space="preserve">2027 ÷ 2026 </t>
    </r>
    <r>
      <rPr>
        <sz val="11"/>
        <color theme="1"/>
        <rFont val="Noto Sans CJK SC"/>
        <family val="2"/>
      </rPr>
      <t xml:space="preserve">小於世代倍數；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 V6 → V8 </t>
    </r>
    <r>
      <rPr>
        <sz val="11"/>
        <color theme="1"/>
        <rFont val="Noto Sans CJK SC"/>
        <family val="2"/>
      </rPr>
      <t xml:space="preserve">每台 </t>
    </r>
    <r>
      <rPr>
        <sz val="11"/>
        <color theme="1"/>
        <rFont val="Calibri"/>
        <family val="2"/>
        <charset val="1"/>
      </rPr>
      <t xml:space="preserve">144 → 200 </t>
    </r>
    <r>
      <rPr>
        <sz val="11"/>
        <color theme="1"/>
        <rFont val="Noto Sans CJK SC"/>
        <family val="2"/>
      </rPr>
      <t xml:space="preserve">張，</t>
    </r>
    <r>
      <rPr>
        <sz val="11"/>
        <color theme="1"/>
        <rFont val="Calibri"/>
        <family val="2"/>
        <charset val="1"/>
      </rPr>
      <t xml:space="preserve">+39%</t>
    </r>
    <r>
      <rPr>
        <sz val="11"/>
        <color theme="1"/>
        <rFont val="Noto Sans CJK SC"/>
        <family val="2"/>
      </rPr>
      <t xml:space="preserve">）</t>
    </r>
  </si>
  <si>
    <t xml:space="preserve">ccl_cmpx_28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</si>
  <si>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</si>
  <si>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SIF_ccl_cmpx_28</t>
  </si>
  <si>
    <t xml:space="preserve">ccl_cmpx_29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</si>
  <si>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</si>
  <si>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SIF_ccl_cmpx_29</t>
  </si>
  <si>
    <t xml:space="preserve">ccl_swx_27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</si>
  <si>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</si>
  <si>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交換器板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層以上、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布（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；源達證券）；</t>
    </r>
    <r>
      <rPr>
        <sz val="11"/>
        <color theme="1"/>
        <rFont val="Calibri"/>
        <family val="2"/>
        <charset val="1"/>
      </rPr>
      <t xml:space="preserve">1.6T 2027 </t>
    </r>
    <r>
      <rPr>
        <sz val="11"/>
        <color theme="1"/>
        <rFont val="Noto Sans CJK SC"/>
        <family val="2"/>
      </rPr>
      <t xml:space="preserve">年隨 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放量（本土投顧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</si>
  <si>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t xml:space="preserve">SIF_ccl_swx_27</t>
  </si>
  <si>
    <r>
      <rPr>
        <sz val="11"/>
        <color theme="1"/>
        <rFont val="Noto Sans CJK SC"/>
        <family val="2"/>
      </rPr>
      <t xml:space="preserve">網通模型：交換器市場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持平（約 </t>
    </r>
    <r>
      <rPr>
        <sz val="11"/>
        <color theme="1"/>
        <rFont val="Calibri"/>
        <family val="2"/>
        <charset val="1"/>
      </rPr>
      <t xml:space="preserve">6.4%</t>
    </r>
    <r>
      <rPr>
        <sz val="11"/>
        <color theme="1"/>
        <rFont val="Noto Sans CJK SC"/>
        <family val="2"/>
      </rPr>
      <t xml:space="preserve">）；本列的上升來自材料等級</t>
    </r>
  </si>
  <si>
    <t xml:space="preserve">ccl_swx_28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</si>
  <si>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</si>
  <si>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SIF_ccl_swx_28</t>
  </si>
  <si>
    <t xml:space="preserve">ccl_swx_29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</si>
  <si>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</si>
  <si>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SIF_ccl_swx_29</t>
  </si>
  <si>
    <t xml:space="preserve">ccl_ubbx_27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</si>
  <si>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</si>
  <si>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中板、</t>
    </r>
    <r>
      <rPr>
        <sz val="11"/>
        <color theme="1"/>
        <rFont val="Calibri"/>
        <family val="2"/>
        <charset val="1"/>
      </rPr>
      <t xml:space="preserve">Rubin Ultra 78 </t>
    </r>
    <r>
      <rPr>
        <sz val="11"/>
        <color theme="1"/>
        <rFont val="Noto Sans CJK SC"/>
        <family val="2"/>
      </rPr>
      <t xml:space="preserve">層正交背板、</t>
    </r>
    <r>
      <rPr>
        <sz val="11"/>
        <color theme="1"/>
        <rFont val="Calibri"/>
        <family val="2"/>
        <charset val="1"/>
      </rPr>
      <t xml:space="preserve">Feynman </t>
    </r>
    <r>
      <rPr>
        <sz val="11"/>
        <color theme="1"/>
        <rFont val="Noto Sans CJK SC"/>
        <family val="2"/>
      </rPr>
      <t xml:space="preserve">預計 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層（源達證券）</t>
    </r>
  </si>
  <si>
    <t xml:space="preserve">SIF_ccl_ubbx_27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</si>
  <si>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以上單價為基準 </t>
    </r>
    <r>
      <rPr>
        <sz val="11"/>
        <color theme="1"/>
        <rFont val="Calibri"/>
        <family val="2"/>
        <charset val="1"/>
      </rPr>
      <t xml:space="preserve">12.1 </t>
    </r>
    <r>
      <rPr>
        <sz val="11"/>
        <color theme="1"/>
        <rFont val="Noto Sans CJK SC"/>
        <family val="2"/>
      </rPr>
      <t xml:space="preserve">倍、</t>
    </r>
    <r>
      <rPr>
        <sz val="11"/>
        <color theme="1"/>
        <rFont val="Calibri"/>
        <family val="2"/>
        <charset val="1"/>
      </rPr>
      <t xml:space="preserve">M8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兩倍以上（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</si>
  <si>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ccl_ubbx_28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</si>
  <si>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</si>
  <si>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SIF_ccl_ubbx_28</t>
  </si>
  <si>
    <t xml:space="preserve">ccl_ubbx_29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</si>
  <si>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</si>
  <si>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SIF_ccl_ubbx_29</t>
  </si>
  <si>
    <r>
      <rPr>
        <b val="true"/>
        <sz val="11"/>
        <rFont val="Cambria"/>
        <family val="0"/>
        <charset val="1"/>
      </rPr>
      <t xml:space="preserve">M17. AI </t>
    </r>
    <r>
      <rPr>
        <b val="true"/>
        <sz val="11"/>
        <rFont val="Noto Sans CJK SC"/>
        <family val="2"/>
      </rPr>
      <t xml:space="preserve">電源（每 </t>
    </r>
    <r>
      <rPr>
        <b val="true"/>
        <sz val="11"/>
        <rFont val="Cambria"/>
        <family val="0"/>
        <charset val="1"/>
      </rPr>
      <t xml:space="preserve">kW </t>
    </r>
    <r>
      <rPr>
        <b val="true"/>
        <sz val="11"/>
        <rFont val="Noto Sans CJK SC"/>
        <family val="2"/>
      </rPr>
      <t xml:space="preserve">內容、台達電與光寶份額路徑、外部份額錨點；原在 </t>
    </r>
    <r>
      <rPr>
        <b val="true"/>
        <sz val="11"/>
        <rFont val="Cambria"/>
        <family val="0"/>
        <charset val="1"/>
      </rPr>
      <t xml:space="preserve">delta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liteon</t>
    </r>
    <r>
      <rPr>
        <b val="true"/>
        <sz val="11"/>
        <rFont val="Noto Sans CJK SC"/>
        <family val="2"/>
      </rPr>
      <t xml:space="preserve">。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有效份額為公司模型校準值的快照，公司錨點留在公司模型）</t>
    </r>
  </si>
  <si>
    <t xml:space="preserve">pwr_pkw_26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</si>
  <si>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電源內容（機架電源櫃、</t>
    </r>
    <r>
      <rPr>
        <sz val="11"/>
        <color theme="1"/>
        <rFont val="Calibri"/>
        <family val="2"/>
        <charset val="1"/>
      </rPr>
      <t xml:space="preserve">PSU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電源櫃）</t>
    </r>
    <r>
      <rPr>
        <sz val="11"/>
        <color theme="1"/>
        <rFont val="Calibri"/>
        <family val="2"/>
        <charset val="1"/>
      </rPr>
      <t xml:space="preserve">2026</t>
    </r>
  </si>
  <si>
    <t xml:space="preserve">US$/kW</t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</si>
  <si>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PSU US$60–70K ÷ 136kW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440–515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35–40K ÷ 120kW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290–330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</si>
  <si>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SIF_pwr_pkw_26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</si>
  <si>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為主（公司：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遠大於 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</t>
    </r>
  </si>
  <si>
    <t xml:space="preserve">pwr_pkw_27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</si>
  <si>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</si>
  <si>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US$150K 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250kW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Noto Sans CJK SC"/>
        <family val="2"/>
      </rPr>
      <t xml:space="preserve">以上</t>
    </r>
  </si>
  <si>
    <t xml:space="preserve">SIF_pwr_pkw_27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</si>
  <si>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4,052 </t>
    </r>
    <r>
      <rPr>
        <sz val="11"/>
        <color theme="1"/>
        <rFont val="Noto Sans CJK SC"/>
        <family val="2"/>
      </rPr>
      <t xml:space="preserve">架（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）→ 每架約 </t>
    </r>
    <r>
      <rPr>
        <sz val="11"/>
        <color theme="1"/>
        <rFont val="Calibri"/>
        <family val="2"/>
        <charset val="1"/>
      </rPr>
      <t xml:space="preserve">247kW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250kW </t>
    </r>
    <r>
      <rPr>
        <sz val="11"/>
        <color theme="1"/>
        <rFont val="Noto Sans CJK SC"/>
        <family val="2"/>
      </rPr>
      <t xml:space="preserve">相符</t>
    </r>
  </si>
  <si>
    <t xml:space="preserve">pwr_pkw_28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</si>
  <si>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HVDC </t>
    </r>
    <r>
      <rPr>
        <sz val="11"/>
        <color theme="1"/>
        <rFont val="Noto Sans CJK SC"/>
        <family val="2"/>
      </rPr>
      <t xml:space="preserve">放量）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</si>
  <si>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±400V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800V 3Q26 </t>
    </r>
    <r>
      <rPr>
        <sz val="11"/>
        <color theme="1"/>
        <rFont val="Noto Sans CJK SC"/>
        <family val="2"/>
      </rPr>
      <t xml:space="preserve">量產、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才有量；券商估 </t>
    </r>
    <r>
      <rPr>
        <sz val="11"/>
        <color theme="1"/>
        <rFont val="Calibri"/>
        <family val="2"/>
        <charset val="1"/>
      </rPr>
      <t xml:space="preserve">±400V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電源櫃占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5–10%</t>
    </r>
    <r>
      <rPr>
        <sz val="11"/>
        <color theme="1"/>
        <rFont val="Noto Sans CJK SC"/>
        <family val="2"/>
      </rPr>
      <t xml:space="preserve">（旺得富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</si>
  <si>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SIF_pwr_pkw_28</t>
  </si>
  <si>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把交流轉直流移到機架外電源櫃與 </t>
    </r>
    <r>
      <rPr>
        <sz val="11"/>
        <color theme="1"/>
        <rFont val="Calibri"/>
        <family val="2"/>
        <charset val="1"/>
      </rPr>
      <t xml:space="preserve">SST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內容上升（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</si>
  <si>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pwr_pkw_29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</si>
  <si>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2029</t>
    </r>
  </si>
  <si>
    <t xml:space="preserve">SIF_pwr_pkw_29</t>
  </si>
  <si>
    <t xml:space="preserve">pwr_drel_27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</si>
  <si>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</si>
  <si>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台達電約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；光寶、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追趕（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</si>
  <si>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SIF_pwr_drel_27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</si>
  <si>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Rubin 110kW PSU</t>
    </r>
    <r>
      <rPr>
        <sz val="11"/>
        <color theme="1"/>
        <rFont val="Noto Sans CJK SC"/>
        <family val="2"/>
      </rPr>
      <t xml:space="preserve">「領先」；對手：麥格米特、歐陸通（中國）、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摘要）</t>
    </r>
  </si>
  <si>
    <t xml:space="preserve">pwr_drel_28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</si>
  <si>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2028 ÷ 2026</t>
    </r>
  </si>
  <si>
    <t xml:space="preserve">SIF_pwr_drel_28</t>
  </si>
  <si>
    <t xml:space="preserve">pwr_drel_29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</si>
  <si>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</si>
  <si>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SIF_pwr_drel_29</t>
  </si>
  <si>
    <t xml:space="preserve">pwr_lrel_27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</si>
  <si>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</si>
  <si>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伺服器電源市占約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、長期略降；光寶為第二梯隊，新增美系雲端客戶，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BBU 4Q25 </t>
    </r>
    <r>
      <rPr>
        <sz val="11"/>
        <color theme="1"/>
        <rFont val="Noto Sans CJK SC"/>
        <family val="2"/>
      </rPr>
      <t xml:space="preserve">出貨（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</si>
  <si>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SIF_pwr_lrel_27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</si>
  <si>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800V HVDC Power Rack 2026-11 </t>
    </r>
    <r>
      <rPr>
        <sz val="11"/>
        <color theme="1"/>
        <rFont val="Noto Sans CJK SC"/>
        <family val="2"/>
      </rPr>
      <t xml:space="preserve">小量、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放量；</t>
    </r>
    <r>
      <rPr>
        <sz val="11"/>
        <color theme="1"/>
        <rFont val="Calibri"/>
        <family val="2"/>
        <charset val="1"/>
      </rPr>
      <t xml:space="preserve">110kW Power Shelf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 </t>
    </r>
    <r>
      <rPr>
        <sz val="11"/>
        <color theme="1"/>
        <rFont val="Noto Sans CJK SC"/>
        <family val="2"/>
      </rPr>
      <t xml:space="preserve">驗證量產；新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客戶長期目標每家每年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</si>
  <si>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t xml:space="preserve">pwr_lrel_28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</si>
  <si>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</si>
  <si>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SIF_pwr_lrel_28</t>
  </si>
  <si>
    <t xml:space="preserve">pwr_lrel_29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</si>
  <si>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</si>
  <si>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SIF_pwr_lrel_29</t>
  </si>
  <si>
    <t xml:space="preserve">pwr_dsh_26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</si>
  <si>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（台達電模型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校準值：公司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電源市場）</t>
    </r>
  </si>
  <si>
    <r>
      <rPr>
        <sz val="11"/>
        <color theme="1"/>
        <rFont val="Calibri"/>
        <family val="2"/>
        <charset val="1"/>
      </rPr>
      <t xml:space="preserve">delta/dist Units </t>
    </r>
    <r>
      <rPr>
        <sz val="11"/>
        <color theme="1"/>
        <rFont val="Noto Sans CJK SC"/>
        <family val="2"/>
      </rPr>
      <t xml:space="preserve">頁「台達電有效份額」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（公司揭露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內容））；台達電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錨點更新時同步更新</t>
    </r>
  </si>
  <si>
    <t xml:space="preserve">SIF_pwr_dsh_26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</si>
  <si>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Blackwell PSU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）只作對照：本值分母含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</si>
  <si>
    <t xml:space="preserve">pwr_lsh_26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</si>
  <si>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（光寶模型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非電源占比）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電源市場）</t>
    </r>
  </si>
  <si>
    <r>
      <rPr>
        <sz val="11"/>
        <color theme="1"/>
        <rFont val="Calibri"/>
        <family val="2"/>
        <charset val="1"/>
      </rPr>
      <t xml:space="preserve">liteon/dist Units </t>
    </r>
    <r>
      <rPr>
        <sz val="11"/>
        <color theme="1"/>
        <rFont val="Noto Sans CJK SC"/>
        <family val="2"/>
      </rPr>
      <t xml:space="preserve">頁「光寶有效份額」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；光寶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錨點更新時同步更新</t>
    </r>
  </si>
  <si>
    <t xml:space="preserve">SIF_pwr_lsh_26</t>
  </si>
  <si>
    <r>
      <rPr>
        <sz val="11"/>
        <color theme="1"/>
        <rFont val="Noto Sans CJK SC"/>
        <family val="2"/>
      </rPr>
      <t xml:space="preserve">光寶為第二梯隊（凱基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，份額數字未找到）</t>
    </r>
  </si>
  <si>
    <t xml:space="preserve">pwr_kgi_0701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</si>
  <si>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台達電份額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</si>
  <si>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Power supply sector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2025-07-01</t>
    </r>
    <r>
      <rPr>
        <sz val="11"/>
        <color theme="1"/>
        <rFont val="Noto Sans CJK SC"/>
        <family val="2"/>
      </rPr>
      <t xml:space="preserve">；網址見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</si>
  <si>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t xml:space="preserve">SIF_pwr_kgi_0701</t>
  </si>
  <si>
    <t xml:space="preserve">第二個量化來源：未找到</t>
  </si>
  <si>
    <t xml:space="preserve">pwr_kgi_0926</t>
  </si>
  <si>
    <r>
      <rPr>
        <sz val="11"/>
        <color theme="1"/>
        <rFont val="Noto Sans CJK SC"/>
        <family val="2"/>
      </rPr>
      <t xml:space="preserve">凱基：台達電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伺服器電源市占（中點）</t>
    </r>
  </si>
  <si>
    <r>
      <rPr>
        <sz val="11"/>
        <color theme="1"/>
        <rFont val="Calibri"/>
        <family val="2"/>
        <charset val="1"/>
      </rPr>
      <t xml:space="preserve">https://www.kgi.com.hk/zh-hk/-/media/files/kgishk/research-reports/tw-reports/power-supply-sector_20250926e.pdf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，長期略降</t>
    </r>
  </si>
  <si>
    <t xml:space="preserve">SIF_pwr_kgi_0926</t>
  </si>
  <si>
    <r>
      <rPr>
        <sz val="11"/>
        <color theme="1"/>
        <rFont val="Noto Sans CJK SC"/>
        <family val="2"/>
      </rPr>
      <t xml:space="preserve">光寶與 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為第二梯隊（份額數字：未找到）</t>
    </r>
  </si>
  <si>
    <t xml:space="preserve">pwr_ubs_26</t>
  </si>
  <si>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：全球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伺服器電源市場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</si>
  <si>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2026-10-12</t>
    </r>
    <r>
      <rPr>
        <sz val="11"/>
        <color theme="1"/>
        <rFont val="Noto Sans CJK SC"/>
        <family val="2"/>
      </rPr>
      <t xml:space="preserve">（引述 </t>
    </r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2027 38.2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2025–2030 </t>
    </r>
    <r>
      <rPr>
        <sz val="11"/>
        <color theme="1"/>
        <rFont val="Noto Sans CJK SC"/>
        <family val="2"/>
      </rPr>
      <t xml:space="preserve">年複合成長約 </t>
    </r>
    <r>
      <rPr>
        <sz val="11"/>
        <color theme="1"/>
        <rFont val="Calibri"/>
        <family val="2"/>
        <charset val="1"/>
      </rPr>
      <t xml:space="preserve">69%</t>
    </r>
    <r>
      <rPr>
        <sz val="11"/>
        <color theme="1"/>
        <rFont val="Noto Sans CJK SC"/>
        <family val="2"/>
      </rPr>
      <t xml:space="preserve">；網址見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</si>
  <si>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t xml:space="preserve">SIF_pwr_ubs_26</t>
  </si>
  <si>
    <r>
      <rPr>
        <sz val="11"/>
        <color theme="1"/>
        <rFont val="Noto Sans CJK SC"/>
        <family val="2"/>
      </rPr>
      <t xml:space="preserve">口徑（是否含 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）：未找到</t>
    </r>
  </si>
  <si>
    <t xml:space="preserve">pwr_ubs_27</t>
  </si>
  <si>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：全球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伺服器電源市場 </t>
    </r>
    <r>
      <rPr>
        <sz val="11"/>
        <color theme="1"/>
        <rFont val="Calibri"/>
        <family val="2"/>
        <charset val="1"/>
      </rPr>
      <t xml:space="preserve">2027</t>
    </r>
  </si>
  <si>
    <t xml:space="preserve">SIF_pwr_ubs_27</t>
  </si>
  <si>
    <r>
      <rPr>
        <b val="true"/>
        <sz val="11"/>
        <rFont val="Cambria"/>
        <family val="0"/>
        <charset val="1"/>
      </rPr>
      <t xml:space="preserve">M18. AI </t>
    </r>
    <r>
      <rPr>
        <b val="true"/>
        <sz val="11"/>
        <rFont val="Noto Sans CJK SC"/>
        <family val="2"/>
      </rPr>
      <t xml:space="preserve">伺服器組裝（</t>
    </r>
    <r>
      <rPr>
        <b val="true"/>
        <sz val="11"/>
        <rFont val="Cambria"/>
        <family val="0"/>
        <charset val="1"/>
      </rPr>
      <t xml:space="preserve">ODM </t>
    </r>
    <r>
      <rPr>
        <b val="true"/>
        <sz val="11"/>
        <rFont val="Noto Sans CJK SC"/>
        <family val="2"/>
      </rPr>
      <t xml:space="preserve">每櫃價格、緯穎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占比；原在 </t>
    </r>
    <r>
      <rPr>
        <b val="true"/>
        <sz val="11"/>
        <rFont val="Cambria"/>
        <family val="0"/>
        <charset val="1"/>
      </rPr>
      <t xml:space="preserve">quanta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wiwynn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wistron</t>
    </r>
    <r>
      <rPr>
        <b val="true"/>
        <sz val="11"/>
        <rFont val="Noto Sans CJK SC"/>
        <family val="2"/>
      </rPr>
      <t xml:space="preserve">。商用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系統市場由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機架價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每架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數推導，見 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頁）</t>
    </r>
  </si>
  <si>
    <t xml:space="preserve">asm_odm_gb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</si>
  <si>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GB300</t>
    </r>
  </si>
  <si>
    <r>
      <rPr>
        <sz val="11"/>
        <color theme="1"/>
        <rFont val="Calibri"/>
        <family val="2"/>
        <charset val="1"/>
      </rPr>
      <t xml:space="preserve">US$M/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</si>
  <si>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https://www.ctee.com.tw/news/20261008700747-430201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ASP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US$4M</t>
    </r>
    <r>
      <rPr>
        <sz val="11"/>
        <color theme="1"/>
        <rFont val="Noto Sans CJK SC"/>
        <family val="2"/>
      </rPr>
      <t xml:space="preserve">（法人，未具名）</t>
    </r>
  </si>
  <si>
    <t xml:space="preserve">SIF_asm_odm_gb</t>
  </si>
  <si>
    <r>
      <rPr>
        <sz val="11"/>
        <color theme="1"/>
        <rFont val="Calibri"/>
        <family val="2"/>
        <charset val="1"/>
      </rPr>
      <t xml:space="preserve">FTNN 2026-10-09 </t>
    </r>
    <r>
      <rPr>
        <sz val="11"/>
        <color theme="1"/>
        <rFont val="Noto Sans CJK SC"/>
        <family val="2"/>
      </rPr>
      <t xml:space="preserve">同值；上限＝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買方價 </t>
    </r>
    <r>
      <rPr>
        <sz val="11"/>
        <color theme="1"/>
        <rFont val="Calibri"/>
        <family val="2"/>
        <charset val="1"/>
      </rPr>
      <t xml:space="preserve">4.3</t>
    </r>
  </si>
  <si>
    <t xml:space="preserve">asm_odm_vr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</si>
  <si>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VR200</t>
    </r>
  </si>
  <si>
    <r>
      <rPr>
        <sz val="11"/>
        <color theme="1"/>
        <rFont val="Calibri"/>
        <family val="2"/>
        <charset val="1"/>
      </rPr>
      <t xml:space="preserve">https://www.ctee.com.tw/news/20261008700747-430201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 ASP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US$6.5–7M</t>
    </r>
    <r>
      <rPr>
        <sz val="11"/>
        <color theme="1"/>
        <rFont val="Noto Sans CJK SC"/>
        <family val="2"/>
      </rPr>
      <t xml:space="preserve">（法人）</t>
    </r>
  </si>
  <si>
    <t xml:space="preserve">SIF_asm_odm_vr</t>
  </si>
  <si>
    <r>
      <rPr>
        <sz val="11"/>
        <color theme="1"/>
        <rFont val="Calibri"/>
        <family val="2"/>
        <charset val="1"/>
      </rPr>
      <t xml:space="preserve">FTNN 2026-10-09 </t>
    </r>
    <r>
      <rPr>
        <sz val="11"/>
        <color theme="1"/>
        <rFont val="Noto Sans CJK SC"/>
        <family val="2"/>
      </rPr>
      <t xml:space="preserve">同值；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買方價 </t>
    </r>
    <r>
      <rPr>
        <sz val="11"/>
        <color theme="1"/>
        <rFont val="Calibri"/>
        <family val="2"/>
        <charset val="1"/>
      </rPr>
      <t xml:space="preserve">8.4</t>
    </r>
  </si>
  <si>
    <t xml:space="preserve">asm_wyai_26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</si>
  <si>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緯穎營收（</t>
    </r>
    <r>
      <rPr>
        <sz val="11"/>
        <color theme="1"/>
        <rFont val="Calibri"/>
        <family val="2"/>
        <charset val="1"/>
      </rPr>
      <t xml:space="preserve">CF09 </t>
    </r>
    <r>
      <rPr>
        <sz val="11"/>
        <color theme="1"/>
        <rFont val="Noto Sans CJK SC"/>
        <family val="2"/>
      </rPr>
      <t xml:space="preserve">單一值；緯穎、緯創模型同讀）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</si>
  <si>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（公司說明）：</t>
    </r>
    <r>
      <rPr>
        <sz val="11"/>
        <color theme="1"/>
        <rFont val="Calibri"/>
        <family val="2"/>
        <charset val="1"/>
      </rPr>
      <t xml:space="preserve">3Q26 ASIC </t>
    </r>
    <r>
      <rPr>
        <sz val="11"/>
        <color theme="1"/>
        <rFont val="Noto Sans CJK SC"/>
        <family val="2"/>
      </rPr>
      <t xml:space="preserve">與通用伺服器出貨各半、</t>
    </r>
    <r>
      <rPr>
        <sz val="11"/>
        <color theme="1"/>
        <rFont val="Calibri"/>
        <family val="2"/>
        <charset val="1"/>
      </rPr>
      <t xml:space="preserve">4Q26 ASIC </t>
    </r>
    <r>
      <rPr>
        <sz val="11"/>
        <color theme="1"/>
        <rFont val="Noto Sans CJK SC"/>
        <family val="2"/>
      </rPr>
      <t xml:space="preserve">超越（公司）；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比重「超過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」（公司，</t>
    </r>
    <r>
      <rPr>
        <sz val="11"/>
        <color theme="1"/>
        <rFont val="Calibri"/>
        <family val="2"/>
        <charset val="1"/>
      </rPr>
      <t xml:space="preserve">2026-02</t>
    </r>
    <r>
      <rPr>
        <sz val="11"/>
        <color theme="1"/>
        <rFont val="Noto Sans CJK SC"/>
        <family val="2"/>
      </rPr>
      <t xml:space="preserve">）</t>
    </r>
  </si>
  <si>
    <t xml:space="preserve">SIF_asm_wyai_26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</si>
  <si>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報告：</t>
    </r>
    <r>
      <rPr>
        <sz val="11"/>
        <color theme="1"/>
        <rFont val="Calibri"/>
        <family val="2"/>
        <charset val="1"/>
      </rPr>
      <t xml:space="preserve">2026F 46%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營收實績前）</t>
    </r>
  </si>
  <si>
    <r>
      <rPr>
        <b val="true"/>
        <sz val="11"/>
        <rFont val="Cambria"/>
        <family val="0"/>
        <charset val="1"/>
      </rPr>
      <t xml:space="preserve">M19. </t>
    </r>
    <r>
      <rPr>
        <b val="true"/>
        <sz val="11"/>
        <rFont val="Noto Sans CJK SC"/>
        <family val="2"/>
      </rPr>
      <t xml:space="preserve">液冷（機架內液冷＋分歧管：每架內容、內容調整、滲透率；奇鋐、雙鴻、健策份額。原在 </t>
    </r>
    <r>
      <rPr>
        <b val="true"/>
        <sz val="11"/>
        <rFont val="Cambria"/>
        <family val="0"/>
        <charset val="1"/>
      </rPr>
      <t xml:space="preserve">avc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auras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jentech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。台達電液冷多在機架外〔</t>
    </r>
    <r>
      <rPr>
        <b val="true"/>
        <sz val="11"/>
        <rFont val="Cambria"/>
        <family val="0"/>
        <charset val="1"/>
      </rPr>
      <t xml:space="preserve">CDU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Liquid-to-Air</t>
    </r>
    <r>
      <rPr>
        <b val="true"/>
        <sz val="11"/>
        <rFont val="Noto Sans CJK SC"/>
        <family val="2"/>
      </rPr>
      <t xml:space="preserve">〕，不屬本市場）</t>
    </r>
  </si>
  <si>
    <t xml:space="preserve">lc_cool_gb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</si>
  <si>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每架機架內液冷（運算匣＋交換匣冷板等；不含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、分歧管）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</si>
  <si>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$49,860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$56K</t>
    </r>
  </si>
  <si>
    <t xml:space="preserve">SIF_lc_cool_gb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</si>
  <si>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markets/chip_bridge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cool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欄）；橋接表改讀本庫</t>
    </r>
  </si>
  <si>
    <t xml:space="preserve">lc_cool_vr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</si>
  <si>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每架機架內液冷（不含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、分歧管）</t>
    </r>
  </si>
  <si>
    <t xml:space="preserve">SIF_lc_cool_vr</t>
  </si>
  <si>
    <r>
      <rPr>
        <sz val="11"/>
        <color theme="1"/>
        <rFont val="Calibri"/>
        <family val="2"/>
        <charset val="1"/>
      </rPr>
      <t xml:space="preserve">VR NVL144 US$55.7K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markets/chip_bridge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cool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欄）</t>
    </r>
  </si>
  <si>
    <t xml:space="preserve">lc_mani</t>
  </si>
  <si>
    <t xml:space="preserve">每架分歧管與快接頭（橋接表未含）</t>
  </si>
  <si>
    <r>
      <rPr>
        <sz val="11"/>
        <color theme="1"/>
        <rFont val="Noto Sans CJK SC"/>
        <family val="2"/>
      </rPr>
      <t xml:space="preserve">公司：分歧管月產能 </t>
    </r>
    <r>
      <rPr>
        <sz val="11"/>
        <color theme="1"/>
        <rFont val="Calibri"/>
        <family val="2"/>
        <charset val="1"/>
      </rPr>
      <t xml:space="preserve">7,000 </t>
    </r>
    <r>
      <rPr>
        <sz val="11"/>
        <color theme="1"/>
        <rFont val="Noto Sans CJK SC"/>
        <family val="2"/>
      </rPr>
      <t xml:space="preserve">支，約供 </t>
    </r>
    <r>
      <rPr>
        <sz val="11"/>
        <color theme="1"/>
        <rFont val="Calibri"/>
        <family val="2"/>
        <charset val="1"/>
      </rPr>
      <t xml:space="preserve">3,000–4,000 </t>
    </r>
    <r>
      <rPr>
        <sz val="11"/>
        <color theme="1"/>
        <rFont val="Noto Sans CJK SC"/>
        <family val="2"/>
      </rPr>
      <t xml:space="preserve">架（優分析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）→ 每架約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支</t>
    </r>
  </si>
  <si>
    <t xml:space="preserve">SIF_lc_mani</t>
  </si>
  <si>
    <t xml:space="preserve">分歧管單價：未找到</t>
  </si>
  <si>
    <t xml:space="preserve">lc_adj_27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</si>
  <si>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</si>
  <si>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https://finance.ettoday.net/news/3220835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無風扇全液冷，液冷延伸到網卡、電源板、光模組，單架散熱價值提升（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</si>
  <si>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SIF_lc_adj_27</t>
  </si>
  <si>
    <r>
      <rPr>
        <sz val="11"/>
        <color theme="1"/>
        <rFont val="Calibri"/>
        <family val="2"/>
        <charset val="1"/>
      </rPr>
      <t xml:space="preserve">Morgan Stanley BOM </t>
    </r>
    <r>
      <rPr>
        <sz val="11"/>
        <color theme="1"/>
        <rFont val="Noto Sans CJK SC"/>
        <family val="2"/>
      </rPr>
      <t xml:space="preserve">只計運算匣與交換匣；大和：</t>
    </r>
    <r>
      <rPr>
        <sz val="11"/>
        <color theme="1"/>
        <rFont val="Calibri"/>
        <family val="2"/>
        <charset val="1"/>
      </rPr>
      <t xml:space="preserve">2027 ASIC </t>
    </r>
    <r>
      <rPr>
        <sz val="11"/>
        <color theme="1"/>
        <rFont val="Noto Sans CJK SC"/>
        <family val="2"/>
      </rPr>
      <t xml:space="preserve">營收超過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（時報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</si>
  <si>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t xml:space="preserve">lc_adj_28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</si>
  <si>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</si>
  <si>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SIF_lc_adj_28</t>
  </si>
  <si>
    <t xml:space="preserve">lc_adj_29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</si>
  <si>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</si>
  <si>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SIF_lc_adj_29</t>
  </si>
  <si>
    <t xml:space="preserve">lc_pen_26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</si>
  <si>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</si>
  <si>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Calibri"/>
        <family val="2"/>
        <charset val="1"/>
      </rPr>
      <t xml:space="preserve">https://finance.ettoday.net/news/3220835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2026 53%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（以顆數計，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</si>
  <si>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SIF_lc_pen_26</t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</si>
  <si>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計高於顆數計（液冷晶片功耗較高）；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先氣冷後液冷（</t>
    </r>
    <r>
      <rPr>
        <sz val="11"/>
        <color theme="1"/>
        <rFont val="Calibri"/>
        <family val="2"/>
        <charset val="1"/>
      </rPr>
      <t xml:space="preserve">TechNews 2026-04-29</t>
    </r>
    <r>
      <rPr>
        <sz val="11"/>
        <color theme="1"/>
        <rFont val="Noto Sans CJK SC"/>
        <family val="2"/>
      </rPr>
      <t xml:space="preserve">）。行業情境：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＝高值、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＝低值（奇鋐、雙鴻模型與本庫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頁相同）</t>
    </r>
  </si>
  <si>
    <t xml:space="preserve">lc_pen_27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</si>
  <si>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</si>
  <si>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SIF_lc_pen_27</t>
  </si>
  <si>
    <t xml:space="preserve">lc_pen_28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</si>
  <si>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</si>
  <si>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SIF_lc_pen_28</t>
  </si>
  <si>
    <t xml:space="preserve">lc_pen_29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</si>
  <si>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</si>
  <si>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SIF_lc_pen_29</t>
  </si>
  <si>
    <t xml:space="preserve">lc_tf_26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</si>
  <si>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（顆數）</t>
    </r>
  </si>
  <si>
    <t xml:space="preserve">https://finance.ettoday.net/news/3220835</t>
  </si>
  <si>
    <t xml:space="preserve">SIF_lc_tf_26</t>
  </si>
  <si>
    <t xml:space="preserve">lc_tf_27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</si>
  <si>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（顆數）</t>
    </r>
  </si>
  <si>
    <t xml:space="preserve">SIF_lc_tf_27</t>
  </si>
  <si>
    <r>
      <rPr>
        <sz val="11"/>
        <color theme="1"/>
        <rFont val="Noto Sans CJK SC"/>
        <family val="2"/>
      </rPr>
      <t xml:space="preserve">「近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」</t>
    </r>
  </si>
  <si>
    <t xml:space="preserve">lc_avsh_26</t>
  </si>
  <si>
    <r>
      <rPr>
        <sz val="11"/>
        <color theme="1"/>
        <rFont val="Noto Sans CJK SC"/>
        <family val="2"/>
      </rPr>
      <t xml:space="preserve">奇鋐液冷有效份額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校準值：券商液冷占比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本庫液冷市場）</t>
    </r>
  </si>
  <si>
    <r>
      <rPr>
        <sz val="11"/>
        <color theme="1"/>
        <rFont val="Calibri"/>
        <family val="2"/>
        <charset val="1"/>
      </rPr>
      <t xml:space="preserve">avc/dist Units </t>
    </r>
    <r>
      <rPr>
        <sz val="11"/>
        <color theme="1"/>
        <rFont val="Noto Sans CJK SC"/>
        <family val="2"/>
      </rPr>
      <t xml:space="preserve">頁「奇鋐有效份額」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；奇鋐錨點更新時同步更新</t>
    </r>
  </si>
  <si>
    <t xml:space="preserve">SIF_lc_avsh_26</t>
  </si>
  <si>
    <r>
      <rPr>
        <sz val="11"/>
        <color theme="1"/>
        <rFont val="Noto Sans CJK SC"/>
        <family val="2"/>
      </rPr>
      <t xml:space="preserve">分子含部分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（公司未拆），份額可能高估</t>
    </r>
  </si>
  <si>
    <t xml:space="preserve">lc_avrel_27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</si>
  <si>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</si>
  <si>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）：奇鋐為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與企業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伺服器氣冷與液冷領導廠（未給份額，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</si>
  <si>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SIF_lc_avrel_27</t>
  </si>
  <si>
    <r>
      <rPr>
        <sz val="11"/>
        <color theme="1"/>
        <rFont val="Noto Sans CJK SC"/>
        <family val="2"/>
      </rPr>
      <t xml:space="preserve">對手：雙鴻、酷碼、台達電、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</t>
    </r>
    <r>
      <rPr>
        <sz val="11"/>
        <color theme="1"/>
        <rFont val="Noto Sans CJK SC"/>
        <family val="2"/>
      </rPr>
      <t xml:space="preserve">；公司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液冷產能再擴約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）；份額數字：未找到。雙鴻模型的份額相對值取同一組值（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低）</t>
    </r>
  </si>
  <si>
    <t xml:space="preserve">lc_avrel_28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</si>
  <si>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（相對值）</t>
    </r>
  </si>
  <si>
    <t xml:space="preserve">SIF_lc_avrel_28</t>
  </si>
  <si>
    <t xml:space="preserve">lc_avrel_29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</si>
  <si>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（相對值）</t>
    </r>
  </si>
  <si>
    <t xml:space="preserve">SIF_lc_avrel_29</t>
  </si>
  <si>
    <t xml:space="preserve">lc_aush_26</t>
  </si>
  <si>
    <r>
      <rPr>
        <sz val="11"/>
        <color theme="1"/>
        <rFont val="Noto Sans CJK SC"/>
        <family val="2"/>
      </rPr>
      <t xml:space="preserve">雙鴻液冷有效份額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（雙鴻模型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校準值）</t>
    </r>
  </si>
  <si>
    <r>
      <rPr>
        <sz val="11"/>
        <color theme="1"/>
        <rFont val="Calibri"/>
        <family val="2"/>
        <charset val="1"/>
      </rPr>
      <t xml:space="preserve">auras/dist Units </t>
    </r>
    <r>
      <rPr>
        <sz val="11"/>
        <color theme="1"/>
        <rFont val="Noto Sans CJK SC"/>
        <family val="2"/>
      </rPr>
      <t xml:space="preserve">頁「雙鴻有效份額」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；雙鴻錨點更新時同步更新</t>
    </r>
  </si>
  <si>
    <t xml:space="preserve">SIF_lc_aush_26</t>
  </si>
  <si>
    <t xml:space="preserve">lc_jtsh_27</t>
  </si>
  <si>
    <r>
      <rPr>
        <sz val="11"/>
        <color theme="1"/>
        <rFont val="Noto Sans CJK SC"/>
        <family val="2"/>
      </rPr>
      <t xml:space="preserve">健策液冷冷板元件份額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</si>
  <si>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：微通道上蓋（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）已通過主要客戶驗證；市場傳 </t>
    </r>
    <r>
      <rPr>
        <sz val="11"/>
        <color theme="1"/>
        <rFont val="Calibri"/>
        <family val="2"/>
        <charset val="1"/>
      </rPr>
      <t xml:space="preserve">MLCP </t>
    </r>
    <r>
      <rPr>
        <sz val="11"/>
        <color theme="1"/>
        <rFont val="Noto Sans CJK SC"/>
        <family val="2"/>
      </rPr>
      <t xml:space="preserve">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認證（傳言，理財周刊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</si>
  <si>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t xml:space="preserve">SIF_lc_jtsh_27</t>
  </si>
  <si>
    <r>
      <rPr>
        <sz val="11"/>
        <color theme="1"/>
        <rFont val="Noto Sans CJK SC"/>
        <family val="2"/>
      </rPr>
      <t xml:space="preserve">口袋學堂 </t>
    </r>
    <r>
      <rPr>
        <sz val="11"/>
        <color theme="1"/>
        <rFont val="Calibri"/>
        <family val="2"/>
        <charset val="1"/>
      </rPr>
      <t xml:space="preserve">2025-12-15</t>
    </r>
    <r>
      <rPr>
        <sz val="11"/>
        <color theme="1"/>
        <rFont val="Noto Sans CJK SC"/>
        <family val="2"/>
      </rPr>
      <t xml:space="preserve">：已出貨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水冷模組，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年更多型號量產（口袋學堂，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）；液冷營收：未找到</t>
    </r>
  </si>
  <si>
    <t xml:space="preserve">lc_jtsh_28</t>
  </si>
  <si>
    <r>
      <rPr>
        <sz val="11"/>
        <color theme="1"/>
        <rFont val="Noto Sans CJK SC"/>
        <family val="2"/>
      </rPr>
      <t xml:space="preserve">健策液冷冷板元件份額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</si>
  <si>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SIF_lc_jtsh_28</t>
  </si>
  <si>
    <t xml:space="preserve">lc_jtsh_29</t>
  </si>
  <si>
    <r>
      <rPr>
        <sz val="11"/>
        <color theme="1"/>
        <rFont val="Noto Sans CJK SC"/>
        <family val="2"/>
      </rPr>
      <t xml:space="preserve">健策液冷冷板元件份額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</si>
  <si>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SIF_lc_jtsh_29</t>
  </si>
  <si>
    <r>
      <rPr>
        <b val="true"/>
        <sz val="11"/>
        <rFont val="Cambria"/>
        <family val="0"/>
        <charset val="1"/>
      </rPr>
      <t xml:space="preserve">M20. </t>
    </r>
    <r>
      <rPr>
        <b val="true"/>
        <sz val="11"/>
        <rFont val="Noto Sans CJK SC"/>
        <family val="2"/>
      </rPr>
      <t xml:space="preserve">半導體設備市場層的行業輸入（</t>
    </r>
    <r>
      <rPr>
        <b val="true"/>
        <sz val="11"/>
        <rFont val="Cambria"/>
        <family val="0"/>
        <charset val="1"/>
      </rPr>
      <t xml:space="preserve">SEMI 2026-07 </t>
    </r>
    <r>
      <rPr>
        <b val="true"/>
        <sz val="11"/>
        <rFont val="Noto Sans CJK SC"/>
        <family val="2"/>
      </rPr>
      <t xml:space="preserve">年中預測與 </t>
    </r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外推、其他晶圓廠設備成長與 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資本支出、設備情境係數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相關分類、券商 </t>
    </r>
    <r>
      <rPr>
        <b val="true"/>
        <sz val="11"/>
        <rFont val="Cambria"/>
        <family val="0"/>
        <charset val="1"/>
      </rPr>
      <t xml:space="preserve">WFE </t>
    </r>
    <r>
      <rPr>
        <b val="true"/>
        <sz val="11"/>
        <rFont val="Noto Sans CJK SC"/>
        <family val="2"/>
      </rPr>
      <t xml:space="preserve">對照；原在 </t>
    </r>
    <r>
      <rPr>
        <b val="true"/>
        <sz val="11"/>
        <rFont val="Cambria"/>
        <family val="0"/>
        <charset val="1"/>
      </rPr>
      <t xml:space="preserve">markets/equipment</t>
    </r>
    <r>
      <rPr>
        <b val="true"/>
        <sz val="11"/>
        <rFont val="Noto Sans CJK SC"/>
        <family val="2"/>
      </rPr>
      <t xml:space="preserve">。三大記憶體廠與台積電的資本支出、設備占比屬公司變數，留在 </t>
    </r>
    <r>
      <rPr>
        <b val="true"/>
        <sz val="11"/>
        <rFont val="Cambria"/>
        <family val="0"/>
        <charset val="1"/>
      </rPr>
      <t xml:space="preserve">markets/equipment</t>
    </r>
    <r>
      <rPr>
        <b val="true"/>
        <sz val="11"/>
        <rFont val="Noto Sans CJK SC"/>
        <family val="2"/>
      </rPr>
      <t xml:space="preserve">）</t>
    </r>
  </si>
  <si>
    <t xml:space="preserve">eq_g_oth_dram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</si>
  <si>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廠（長鑫、南亞、華邦等）設備成長率</t>
    </r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</si>
  <si>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</si>
  <si>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長鑫：未揭露資本支出；研究估計月產能 </t>
    </r>
    <r>
      <rPr>
        <sz val="11"/>
        <color theme="1"/>
        <rFont val="Calibri"/>
        <family val="2"/>
        <charset val="1"/>
      </rPr>
      <t xml:space="preserve">360k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420k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500k </t>
    </r>
    <r>
      <rPr>
        <sz val="11"/>
        <color theme="1"/>
        <rFont val="Noto Sans CJK SC"/>
        <family val="2"/>
      </rPr>
      <t xml:space="preserve">片（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+17%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+19%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https://faxiangongchang.com/en/reports/china-memory-chip-2026</t>
    </r>
    <r>
      <rPr>
        <sz val="11"/>
        <color theme="1"/>
        <rFont val="Noto Sans CJK SC"/>
        <family val="2"/>
      </rPr>
      <t xml:space="preserve">，弱）；南亞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資本支出上限 </t>
    </r>
    <r>
      <rPr>
        <sz val="11"/>
        <color theme="1"/>
        <rFont val="Calibri"/>
        <family val="2"/>
        <charset val="1"/>
      </rPr>
      <t xml:space="preserve">NT$69.7B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最高 </t>
    </r>
    <r>
      <rPr>
        <sz val="11"/>
        <color theme="1"/>
        <rFont val="Calibri"/>
        <family val="2"/>
        <charset val="1"/>
      </rPr>
      <t xml:space="preserve">NT$200B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倍，</t>
    </r>
    <r>
      <rPr>
        <sz val="11"/>
        <color theme="1"/>
        <rFont val="Calibri"/>
        <family val="2"/>
        <charset val="1"/>
      </rPr>
      <t xml:space="preserve">https://www.digitimes.com/news/a20260713PD211/nanya-technology-capex-capacity-2027.html</t>
    </r>
    <r>
      <rPr>
        <sz val="11"/>
        <color theme="1"/>
        <rFont val="Noto Sans CJK SC"/>
        <family val="2"/>
      </rPr>
      <t xml:space="preserve">）；華邦 </t>
    </r>
    <r>
      <rPr>
        <sz val="11"/>
        <color theme="1"/>
        <rFont val="Calibri"/>
        <family val="2"/>
        <charset val="1"/>
      </rPr>
      <t xml:space="preserve">2026 NT$42.1B</t>
    </r>
    <r>
      <rPr>
        <sz val="11"/>
        <color theme="1"/>
        <rFont val="Noto Sans CJK SC"/>
        <family val="2"/>
      </rPr>
      <t xml:space="preserve">（紀錄高，</t>
    </r>
    <r>
      <rPr>
        <sz val="11"/>
        <color theme="1"/>
        <rFont val="Calibri"/>
        <family val="2"/>
        <charset val="1"/>
      </rPr>
      <t xml:space="preserve">https://www.gate.com/news/detail/winbond-approves-507b-capex-expands-kaohsiung-fab-production-to-24000-23369791</t>
    </r>
    <r>
      <rPr>
        <sz val="11"/>
        <color theme="1"/>
        <rFont val="Noto Sans CJK SC"/>
        <family val="2"/>
      </rPr>
      <t xml:space="preserve">）</t>
    </r>
  </si>
  <si>
    <t xml:space="preserve">SIF_eq_g_oth_dram</t>
  </si>
  <si>
    <r>
      <rPr>
        <sz val="11"/>
        <color theme="1"/>
        <rFont val="Noto Sans CJK SC"/>
        <family val="2"/>
      </rPr>
      <t xml:space="preserve">基準取長鑫產能成長（兩年平均約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：產能成長代替資本支出）；低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假設資本支出增速低於產能；高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Noto Sans CJK SC"/>
        <family val="2"/>
      </rPr>
      <t xml:space="preserve">取南亞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與鎧俠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的高增速。長鑫的資本支出指引：未找到；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年基準（華邦、南亞）：未找到</t>
    </r>
  </si>
  <si>
    <t xml:space="preserve">eq_g_oth_nand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</si>
  <si>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廠（鎧俠、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合資、長江存儲等）設備成長率</t>
    </r>
  </si>
  <si>
    <r>
      <rPr>
        <sz val="11"/>
        <color theme="1"/>
        <rFont val="Noto Sans CJK SC"/>
        <family val="2"/>
      </rPr>
      <t xml:space="preserve">鎧俠：</t>
    </r>
    <r>
      <rPr>
        <sz val="11"/>
        <color theme="1"/>
        <rFont val="Calibri"/>
        <family val="2"/>
        <charset val="1"/>
      </rPr>
      <t xml:space="preserve">FY25 ¥283.7B → FY26 ¥450B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+59%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FY26–28 </t>
    </r>
    <r>
      <rPr>
        <sz val="11"/>
        <color theme="1"/>
        <rFont val="Noto Sans CJK SC"/>
        <family val="2"/>
      </rPr>
      <t xml:space="preserve">年均約 </t>
    </r>
    <r>
      <rPr>
        <sz val="11"/>
        <color theme="1"/>
        <rFont val="Calibri"/>
        <family val="2"/>
        <charset val="1"/>
      </rPr>
      <t xml:space="preserve">¥470B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https://www.trendforce.com/news/2026/06/03/news-kioxia-targets-%C2%A5470b-yearly-capex-in-fy26-28-up-66-from-fy25-reportedly-weighing-third-kitakami-fab-and-ma/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SanDisk FY27 </t>
    </r>
    <r>
      <rPr>
        <sz val="11"/>
        <color theme="1"/>
        <rFont val="Noto Sans CJK SC"/>
        <family val="2"/>
      </rPr>
      <t xml:space="preserve">毛資本支出約營收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（含與鎧俠合資的分攤，與鎧俠重疊，不另加，</t>
    </r>
    <r>
      <rPr>
        <sz val="11"/>
        <color theme="1"/>
        <rFont val="Calibri"/>
        <family val="2"/>
        <charset val="1"/>
      </rPr>
      <t xml:space="preserve">https://www.fool.com/investing/2026/08/29/sandisk-and-kioxia-plan-to-invest-more-than-usd31-billion-in-japanese-memory-plants-about-60-of-what-they-have-spent-there-in-25-years/</t>
    </r>
    <r>
      <rPr>
        <sz val="11"/>
        <color theme="1"/>
        <rFont val="Noto Sans CJK SC"/>
        <family val="2"/>
      </rPr>
      <t xml:space="preserve">）；長江存儲：三廠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底投產，金額未找到</t>
    </r>
  </si>
  <si>
    <t xml:space="preserve">SIF_eq_g_oth_nand</t>
  </si>
  <si>
    <r>
      <rPr>
        <sz val="11"/>
        <color theme="1"/>
        <rFont val="Noto Sans CJK SC"/>
        <family val="2"/>
      </rPr>
      <t xml:space="preserve">基準＝鎧俠 </t>
    </r>
    <r>
      <rPr>
        <sz val="11"/>
        <color theme="1"/>
        <rFont val="Calibri"/>
        <family val="2"/>
        <charset val="1"/>
      </rPr>
      <t xml:space="preserve">FY25→FY28 </t>
    </r>
    <r>
      <rPr>
        <sz val="11"/>
        <color theme="1"/>
        <rFont val="Noto Sans CJK SC"/>
        <family val="2"/>
      </rPr>
      <t xml:space="preserve">年複合 </t>
    </r>
    <r>
      <rPr>
        <sz val="11"/>
        <color theme="1"/>
        <rFont val="Calibri"/>
        <family val="2"/>
        <charset val="1"/>
      </rPr>
      <t xml:space="preserve">((470/283.7)^(1/3)−1)≈18%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，單一公司）；低 </t>
    </r>
    <r>
      <rPr>
        <sz val="11"/>
        <color theme="1"/>
        <rFont val="Calibri"/>
        <family val="2"/>
        <charset val="1"/>
      </rPr>
      <t xml:space="preserve">0%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FY27–28 </t>
    </r>
    <r>
      <rPr>
        <sz val="11"/>
        <color theme="1"/>
        <rFont val="Noto Sans CJK SC"/>
        <family val="2"/>
      </rPr>
      <t xml:space="preserve">持平；高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單年增速。長江存儲資本支出指引：未找到</t>
    </r>
  </si>
  <si>
    <t xml:space="preserve">eq_g_oth_fd</t>
  </si>
  <si>
    <r>
      <rPr>
        <sz val="11"/>
        <color theme="1"/>
        <rFont val="Noto Sans CJK SC"/>
        <family val="2"/>
      </rPr>
      <t xml:space="preserve">其他代工與邏輯（中芯、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、三星晶圓代工、華虹、聯電、</t>
    </r>
    <r>
      <rPr>
        <sz val="11"/>
        <color theme="1"/>
        <rFont val="Calibri"/>
        <family val="2"/>
        <charset val="1"/>
      </rPr>
      <t xml:space="preserve">GlobalFoundries </t>
    </r>
    <r>
      <rPr>
        <sz val="11"/>
        <color theme="1"/>
        <rFont val="Noto Sans CJK SC"/>
        <family val="2"/>
      </rPr>
      <t xml:space="preserve">等）設備成長率</t>
    </r>
  </si>
  <si>
    <r>
      <rPr>
        <sz val="11"/>
        <color theme="1"/>
        <rFont val="Noto Sans CJK SC"/>
        <family val="2"/>
      </rPr>
      <t xml:space="preserve">中芯：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$8.1B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約持平（</t>
    </r>
    <r>
      <rPr>
        <sz val="11"/>
        <color theme="1"/>
        <rFont val="Calibri"/>
        <family val="2"/>
        <charset val="1"/>
      </rPr>
      <t xml:space="preserve">https://www.trendforce.com/news/2026/03/30/news-smic-2026-action-plan-points-to-above-industry-growth-capex-held-in-line-with-2025/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提高到 </t>
    </r>
    <r>
      <rPr>
        <sz val="11"/>
        <color theme="1"/>
        <rFont val="Calibri"/>
        <family val="2"/>
        <charset val="1"/>
      </rPr>
      <t xml:space="preserve">&gt;$20B</t>
    </r>
    <r>
      <rPr>
        <sz val="11"/>
        <color theme="1"/>
        <rFont val="Noto Sans CJK SC"/>
        <family val="2"/>
      </rPr>
      <t xml:space="preserve">（原約 </t>
    </r>
    <r>
      <rPr>
        <sz val="11"/>
        <color theme="1"/>
        <rFont val="Calibri"/>
        <family val="2"/>
        <charset val="1"/>
      </rPr>
      <t xml:space="preserve">$17–18B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「明顯更高」，</t>
    </r>
    <r>
      <rPr>
        <sz val="11"/>
        <color theme="1"/>
        <rFont val="Calibri"/>
        <family val="2"/>
        <charset val="1"/>
      </rPr>
      <t xml:space="preserve">https://www.gate.com/news/detail/intel-raises-2026-capex-guidance-to-over-20-billion-q2-earnings-beat-22949346</t>
    </r>
    <r>
      <rPr>
        <sz val="11"/>
        <color theme="1"/>
        <rFont val="Noto Sans CJK SC"/>
        <family val="2"/>
      </rPr>
      <t xml:space="preserve">）</t>
    </r>
  </si>
  <si>
    <t xml:space="preserve">SIF_eq_g_oth_fd</t>
  </si>
  <si>
    <r>
      <rPr>
        <sz val="11"/>
        <color theme="1"/>
        <rFont val="Noto Sans CJK SC"/>
        <family val="2"/>
      </rPr>
      <t xml:space="preserve">基準＝中芯（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+11%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18→20</t>
    </r>
    <r>
      <rPr>
        <sz val="11"/>
        <color theme="1"/>
        <rFont val="Noto Sans CJK SC"/>
        <family val="2"/>
      </rPr>
      <t xml:space="preserve">）以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金額加權約 </t>
    </r>
    <r>
      <rPr>
        <sz val="11"/>
        <color theme="1"/>
        <rFont val="Calibri"/>
        <family val="2"/>
        <charset val="1"/>
      </rPr>
      <t xml:space="preserve">+8%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）；低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＝中芯持平；高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假設 </t>
    </r>
    <r>
      <rPr>
        <sz val="11"/>
        <color theme="1"/>
        <rFont val="Calibri"/>
        <family val="2"/>
        <charset val="1"/>
      </rPr>
      <t xml:space="preserve">Intel 2027 </t>
    </r>
    <r>
      <rPr>
        <sz val="11"/>
        <color theme="1"/>
        <rFont val="Noto Sans CJK SC"/>
        <family val="2"/>
      </rPr>
      <t xml:space="preserve">大增。三星晶圓代工、華虹、聯電、</t>
    </r>
    <r>
      <rPr>
        <sz val="11"/>
        <color theme="1"/>
        <rFont val="Calibri"/>
        <family val="2"/>
        <charset val="1"/>
      </rPr>
      <t xml:space="preserve">GlobalFoundries </t>
    </r>
    <r>
      <rPr>
        <sz val="11"/>
        <color theme="1"/>
        <rFont val="Noto Sans CJK SC"/>
        <family val="2"/>
      </rPr>
      <t xml:space="preserve">資本支出指引：未找到（三星僅有半導體合計）</t>
    </r>
  </si>
  <si>
    <t xml:space="preserve">eq_sh_oth</t>
  </si>
  <si>
    <t xml:space="preserve">其他記憶體廠設備占資本支出比例（業界值）</t>
  </si>
  <si>
    <r>
      <rPr>
        <sz val="11"/>
        <color theme="1"/>
        <rFont val="Calibri"/>
        <family val="2"/>
        <charset val="1"/>
      </rPr>
      <t xml:space="preserve">SEMI 2025 WFE 116.9B</t>
    </r>
    <r>
      <rPr>
        <sz val="11"/>
        <color theme="1"/>
        <rFont val="Noto Sans CJK SC"/>
        <family val="2"/>
      </rPr>
      <t xml:space="preserve">（年中預測新聞稿）</t>
    </r>
    <r>
      <rPr>
        <sz val="11"/>
        <color theme="1"/>
        <rFont val="Calibri"/>
        <family val="2"/>
        <charset val="1"/>
      </rPr>
      <t xml:space="preserve">÷ Semiconductor Intelligence 2025 </t>
    </r>
    <r>
      <rPr>
        <sz val="11"/>
        <color theme="1"/>
        <rFont val="Noto Sans CJK SC"/>
        <family val="2"/>
      </rPr>
      <t xml:space="preserve">全球半導體資本支出 </t>
    </r>
    <r>
      <rPr>
        <sz val="11"/>
        <color theme="1"/>
        <rFont val="Calibri"/>
        <family val="2"/>
        <charset val="1"/>
      </rPr>
      <t xml:space="preserve">166B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https://www.semiconductorintelligence.com/capex-up-for-foundry-memory/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70.4% →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70%</t>
    </r>
  </si>
  <si>
    <t xml:space="preserve">SIF_eq_sh_oth</t>
  </si>
  <si>
    <r>
      <rPr>
        <sz val="11"/>
        <color theme="1"/>
        <rFont val="Calibri"/>
        <family val="2"/>
        <charset val="1"/>
      </rPr>
      <t xml:space="preserve">Rebound Capital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Substack</t>
    </r>
    <r>
      <rPr>
        <sz val="11"/>
        <color theme="1"/>
        <rFont val="Noto Sans CJK SC"/>
        <family val="2"/>
      </rPr>
      <t xml:space="preserve">）資本支出→晶圓前段設備轉換率約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https://reboundcapital.substack.com/p/industry-deep-dive-semiconductor</t>
    </r>
    <r>
      <rPr>
        <sz val="11"/>
        <color theme="1"/>
        <rFont val="Noto Sans CJK SC"/>
        <family val="2"/>
      </rPr>
      <t xml:space="preserve">）→ 低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；基準取兩者中點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Noto Sans CJK SC"/>
        <family val="2"/>
      </rPr>
      <t xml:space="preserve">。業界合計值，未找到記憶體／代工分項</t>
    </r>
  </si>
  <si>
    <t xml:space="preserve">eq_ind_cxmt</t>
  </si>
  <si>
    <r>
      <rPr>
        <sz val="11"/>
        <color theme="1"/>
        <rFont val="Noto Sans CJK SC"/>
        <family val="2"/>
      </rPr>
      <t xml:space="preserve">長鑫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資本支出（高值年度未核對）</t>
    </r>
  </si>
  <si>
    <r>
      <rPr>
        <sz val="11"/>
        <color theme="1"/>
        <rFont val="Calibri"/>
        <family val="2"/>
        <charset val="1"/>
      </rPr>
      <t xml:space="preserve">TechInsights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轉引，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初）：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$6–7B</t>
    </r>
    <r>
      <rPr>
        <sz val="11"/>
        <color theme="1"/>
        <rFont val="Noto Sans CJK SC"/>
        <family val="2"/>
      </rPr>
      <t xml:space="preserve">，預期 </t>
    </r>
    <r>
      <rPr>
        <sz val="11"/>
        <color theme="1"/>
        <rFont val="Calibri"/>
        <family val="2"/>
        <charset val="1"/>
      </rPr>
      <t xml:space="preserve">2025 +5%</t>
    </r>
    <r>
      <rPr>
        <sz val="11"/>
        <color theme="1"/>
        <rFont val="Noto Sans CJK SC"/>
        <family val="2"/>
      </rPr>
      <t xml:space="preserve">（≈</t>
    </r>
    <r>
      <rPr>
        <sz val="11"/>
        <color theme="1"/>
        <rFont val="Calibri"/>
        <family val="2"/>
        <charset val="1"/>
      </rPr>
      <t xml:space="preserve">6.9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https://finance.yahoo.com/news/exclusive-chipmaker-cxmt-plans-shanghai-073043365.html</t>
    </r>
  </si>
  <si>
    <t xml:space="preserve">SIF_eq_ind_cxmt</t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</si>
  <si>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12.0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摘要「</t>
    </r>
    <r>
      <rPr>
        <sz val="11"/>
        <color theme="1"/>
        <rFont val="Calibri"/>
        <family val="2"/>
        <charset val="1"/>
      </rPr>
      <t xml:space="preserve">CNY 80.5B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$12.0B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+62%</t>
    </r>
    <r>
      <rPr>
        <sz val="11"/>
        <color theme="1"/>
        <rFont val="Noto Sans CJK SC"/>
        <family val="2"/>
      </rPr>
      <t xml:space="preserve">」，年度未核對 </t>
    </r>
    <r>
      <rPr>
        <sz val="11"/>
        <color theme="1"/>
        <rFont val="Calibri"/>
        <family val="2"/>
        <charset val="1"/>
      </rPr>
      <t xml:space="preserve">https://finance.biggo.com/news/5a548f95-479d-4e07-8dd1-af5beb8eea1f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、券商的長鑫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資本支出：未找到。基準取低端，無依據偏好</t>
    </r>
  </si>
  <si>
    <t xml:space="preserve">eq_ind_nand_ind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</si>
  <si>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</si>
  <si>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TrendForce 2025-11-13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2025 $21.1B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2026 $22.2B https://www.trendforce.com/presscenter/news/20251113-12780.html</t>
    </r>
  </si>
  <si>
    <t xml:space="preserve">SIF_eq_ind_nand_ind</t>
  </si>
  <si>
    <r>
      <rPr>
        <sz val="11"/>
        <color theme="1"/>
        <rFont val="Calibri"/>
        <family val="2"/>
        <charset val="1"/>
      </rPr>
      <t xml:space="preserve">StorageNewsletter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https://www.storagenewsletter.com/2025/12/31/memory-industry-to-maintain-cautious-capex-in-2026/</t>
    </r>
    <r>
      <rPr>
        <sz val="11"/>
        <color theme="1"/>
        <rFont val="Noto Sans CJK SC"/>
        <family val="2"/>
      </rPr>
      <t xml:space="preserve">（非獨立）</t>
    </r>
  </si>
  <si>
    <t xml:space="preserve">eq_ind_ymtc_sh</t>
  </si>
  <si>
    <r>
      <rPr>
        <sz val="11"/>
        <color theme="1"/>
        <rFont val="Noto Sans CJK SC"/>
        <family val="2"/>
      </rPr>
      <t xml:space="preserve">長江存儲占全球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資本支出比例（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</si>
  <si>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搜尋摘要稱 </t>
    </r>
    <r>
      <rPr>
        <sz val="11"/>
        <color theme="1"/>
        <rFont val="Calibri"/>
        <family val="2"/>
        <charset val="1"/>
      </rPr>
      <t xml:space="preserve">YMTC 2025 </t>
    </r>
    <r>
      <rPr>
        <sz val="11"/>
        <color theme="1"/>
        <rFont val="Noto Sans CJK SC"/>
        <family val="2"/>
      </rPr>
      <t xml:space="preserve">資本支出約占全球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（出處為 </t>
    </r>
    <r>
      <rPr>
        <sz val="11"/>
        <color theme="1"/>
        <rFont val="Calibri"/>
        <family val="2"/>
        <charset val="1"/>
      </rPr>
      <t xml:space="preserve">Digitimes </t>
    </r>
    <r>
      <rPr>
        <sz val="11"/>
        <color theme="1"/>
        <rFont val="Noto Sans CJK SC"/>
        <family val="2"/>
      </rPr>
      <t xml:space="preserve">系列報導，確切文章未核對）</t>
    </r>
  </si>
  <si>
    <t xml:space="preserve">SIF_eq_ind_ymtc_sh</t>
  </si>
  <si>
    <t xml:space="preserve">第二來源：未找到</t>
  </si>
  <si>
    <t xml:space="preserve">eq_ind_kioxia</t>
  </si>
  <si>
    <r>
      <rPr>
        <sz val="11"/>
        <color theme="1"/>
        <rFont val="Noto Sans CJK SC"/>
        <family val="2"/>
      </rPr>
      <t xml:space="preserve">鎧俠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</t>
    </r>
  </si>
  <si>
    <t xml:space="preserve">¥B</t>
  </si>
  <si>
    <r>
      <rPr>
        <sz val="11"/>
        <color theme="1"/>
        <rFont val="Calibri"/>
        <family val="2"/>
        <charset val="1"/>
      </rPr>
      <t xml:space="preserve">TrendForce 2026-06-03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FY26 ¥450B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FY26–28 </t>
    </r>
    <r>
      <rPr>
        <sz val="11"/>
        <color theme="1"/>
        <rFont val="Noto Sans CJK SC"/>
        <family val="2"/>
      </rPr>
      <t xml:space="preserve">年均 </t>
    </r>
    <r>
      <rPr>
        <sz val="11"/>
        <color theme="1"/>
        <rFont val="Calibri"/>
        <family val="2"/>
        <charset val="1"/>
      </rPr>
      <t xml:space="preserve">¥470B</t>
    </r>
    <r>
      <rPr>
        <sz val="11"/>
        <color theme="1"/>
        <rFont val="Noto Sans CJK SC"/>
        <family val="2"/>
      </rPr>
      <t xml:space="preserve">，較 </t>
    </r>
    <r>
      <rPr>
        <sz val="11"/>
        <color theme="1"/>
        <rFont val="Calibri"/>
        <family val="2"/>
        <charset val="1"/>
      </rPr>
      <t xml:space="preserve">FY25 +66%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FY25 ¥283.7B </t>
    </r>
    <r>
      <rPr>
        <sz val="11"/>
        <color theme="1"/>
        <rFont val="Noto Sans CJK SC"/>
        <family val="2"/>
      </rPr>
      <t xml:space="preserve">為二手整理）</t>
    </r>
    <r>
      <rPr>
        <sz val="11"/>
        <color theme="1"/>
        <rFont val="Calibri"/>
        <family val="2"/>
        <charset val="1"/>
      </rPr>
      <t xml:space="preserve">https://www.trendforce.com/news/2026/06/03/news-kioxia-targets-%C2%A5470b-yearly-capex-in-fy26-28-up-66-from-fy25-reportedly-weighing-third-kitakami-fab-and-ma/</t>
    </r>
  </si>
  <si>
    <t xml:space="preserve">SIF_eq_ind_kioxia</t>
  </si>
  <si>
    <r>
      <rPr>
        <sz val="11"/>
        <color theme="1"/>
        <rFont val="Noto Sans CJK SC"/>
        <family val="2"/>
      </rPr>
      <t xml:space="preserve">鎧俠 </t>
    </r>
    <r>
      <rPr>
        <sz val="11"/>
        <color theme="1"/>
        <rFont val="Calibri"/>
        <family val="2"/>
        <charset val="1"/>
      </rPr>
      <t xml:space="preserve">Investor Day 2026 </t>
    </r>
    <r>
      <rPr>
        <sz val="11"/>
        <color theme="1"/>
        <rFont val="Noto Sans CJK SC"/>
        <family val="2"/>
      </rPr>
      <t xml:space="preserve">簡報 </t>
    </r>
    <r>
      <rPr>
        <sz val="11"/>
        <color theme="1"/>
        <rFont val="Calibri"/>
        <family val="2"/>
        <charset val="1"/>
      </rPr>
      <t xml:space="preserve">https://www.kioxia-holdings.com/content/dam/kioxia-hd/en-jp/ir/library/event/asset/Kioxia-Investor-Day-2026-en.pdf</t>
    </r>
    <r>
      <rPr>
        <sz val="11"/>
        <color theme="1"/>
        <rFont val="Noto Sans CJK SC"/>
        <family val="2"/>
      </rPr>
      <t xml:space="preserve">（未開啟，未核對 </t>
    </r>
    <r>
      <rPr>
        <sz val="11"/>
        <color theme="1"/>
        <rFont val="Calibri"/>
        <family val="2"/>
        <charset val="1"/>
      </rPr>
      <t xml:space="preserve">¥283.7B</t>
    </r>
    <r>
      <rPr>
        <sz val="11"/>
        <color theme="1"/>
        <rFont val="Noto Sans CJK SC"/>
        <family val="2"/>
      </rPr>
      <t xml:space="preserve">）</t>
    </r>
  </si>
  <si>
    <t xml:space="preserve">eq_fx_jpy</t>
  </si>
  <si>
    <r>
      <rPr>
        <sz val="11"/>
        <color theme="1"/>
        <rFont val="Noto Sans CJK SC"/>
        <family val="2"/>
      </rPr>
      <t xml:space="preserve">日圓兌美元（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</si>
  <si>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t xml:space="preserve">JPY/USD</t>
  </si>
  <si>
    <r>
      <rPr>
        <sz val="11"/>
        <color theme="1"/>
        <rFont val="Noto Sans CJK SC"/>
        <family val="2"/>
      </rPr>
      <t xml:space="preserve">無：未查匯率來源（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年大致在 </t>
    </r>
    <r>
      <rPr>
        <sz val="11"/>
        <color theme="1"/>
        <rFont val="Calibri"/>
        <family val="2"/>
        <charset val="1"/>
      </rPr>
      <t xml:space="preserve">140–155</t>
    </r>
    <r>
      <rPr>
        <sz val="11"/>
        <color theme="1"/>
        <rFont val="Noto Sans CJK SC"/>
        <family val="2"/>
      </rPr>
      <t xml:space="preserve">）</t>
    </r>
  </si>
  <si>
    <t xml:space="preserve">SIF_eq_fx_jpy</t>
  </si>
  <si>
    <t xml:space="preserve">eq_ind_nanya</t>
  </si>
  <si>
    <r>
      <rPr>
        <sz val="11"/>
        <color theme="1"/>
        <rFont val="Noto Sans CJK SC"/>
        <family val="2"/>
      </rPr>
      <t xml:space="preserve">南亞科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</t>
    </r>
  </si>
  <si>
    <t xml:space="preserve">NT$B</t>
  </si>
  <si>
    <r>
      <rPr>
        <sz val="11"/>
        <color theme="1"/>
        <rFont val="Noto Sans CJK SC"/>
        <family val="2"/>
      </rPr>
      <t xml:space="preserve">南亞科 </t>
    </r>
    <r>
      <rPr>
        <sz val="11"/>
        <color theme="1"/>
        <rFont val="Calibri"/>
        <family val="2"/>
        <charset val="1"/>
      </rPr>
      <t xml:space="preserve">IR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預算上限 </t>
    </r>
    <r>
      <rPr>
        <sz val="11"/>
        <color theme="1"/>
        <rFont val="Calibri"/>
        <family val="2"/>
        <charset val="1"/>
      </rPr>
      <t xml:space="preserve">19.6</t>
    </r>
    <r>
      <rPr>
        <sz val="11"/>
        <color theme="1"/>
        <rFont val="Noto Sans CJK SC"/>
        <family val="2"/>
      </rPr>
      <t xml:space="preserve">、實支 </t>
    </r>
    <r>
      <rPr>
        <sz val="11"/>
        <color theme="1"/>
        <rFont val="Calibri"/>
        <family val="2"/>
        <charset val="1"/>
      </rPr>
      <t xml:space="preserve">13.4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6.2 </t>
    </r>
    <r>
      <rPr>
        <sz val="11"/>
        <color theme="1"/>
        <rFont val="Noto Sans CJK SC"/>
        <family val="2"/>
      </rPr>
      <t xml:space="preserve">遞延到 </t>
    </r>
    <r>
      <rPr>
        <sz val="11"/>
        <color theme="1"/>
        <rFont val="Calibri"/>
        <family val="2"/>
        <charset val="1"/>
      </rPr>
      <t xml:space="preserve">2026 https://www.nanya.com/en/IR/16/?IRId=11068</t>
    </r>
  </si>
  <si>
    <t xml:space="preserve">SIF_eq_ind_nanya</t>
  </si>
  <si>
    <r>
      <rPr>
        <sz val="11"/>
        <color theme="1"/>
        <rFont val="Noto Sans CJK SC"/>
        <family val="2"/>
      </rPr>
      <t xml:space="preserve">第三方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簡報摘要同值（見 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頁）</t>
    </r>
  </si>
  <si>
    <t xml:space="preserve">eq_fx_twd</t>
  </si>
  <si>
    <r>
      <rPr>
        <sz val="11"/>
        <color theme="1"/>
        <rFont val="Noto Sans CJK SC"/>
        <family val="2"/>
      </rPr>
      <t xml:space="preserve">新台幣兌美元（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</si>
  <si>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t xml:space="preserve">TWD/USD</t>
  </si>
  <si>
    <t xml:space="preserve">無：未查匯率來源</t>
  </si>
  <si>
    <t xml:space="preserve">SIF_eq_fx_twd</t>
  </si>
  <si>
    <t xml:space="preserve">eq_ind_winbond</t>
  </si>
  <si>
    <r>
      <rPr>
        <sz val="11"/>
        <color theme="1"/>
        <rFont val="Noto Sans CJK SC"/>
        <family val="2"/>
      </rPr>
      <t xml:space="preserve">華邦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</t>
    </r>
  </si>
  <si>
    <t xml:space="preserve">—（未找到）</t>
  </si>
  <si>
    <r>
      <rPr>
        <sz val="11"/>
        <color theme="1"/>
        <rFont val="Noto Sans CJK SC"/>
        <family val="2"/>
      </rPr>
      <t xml:space="preserve">未找到（只查到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NT$42.1B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https://www.gate.com/news/detail/winbond-approves-507b-capex-expands-kaohsiung-fab-production-to-24000-23369791</t>
    </r>
    <r>
      <rPr>
        <sz val="11"/>
        <color theme="1"/>
        <rFont val="Noto Sans CJK SC"/>
        <family val="2"/>
      </rPr>
      <t xml:space="preserve">）</t>
    </r>
  </si>
  <si>
    <t xml:space="preserve">SIF_eq_ind_winbond</t>
  </si>
  <si>
    <r>
      <rPr>
        <sz val="11"/>
        <color theme="1"/>
        <rFont val="Noto Sans CJK SC"/>
        <family val="2"/>
      </rPr>
      <t xml:space="preserve">未找到；估計記為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（總額偏低）</t>
    </r>
  </si>
  <si>
    <t xml:space="preserve">eq_ind_sandisk</t>
  </si>
  <si>
    <r>
      <rPr>
        <sz val="11"/>
        <color theme="1"/>
        <rFont val="Calibri"/>
        <family val="2"/>
        <charset val="1"/>
      </rPr>
      <t xml:space="preserve">SanDisk 2025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分攤）</t>
    </r>
  </si>
  <si>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數字未找到；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毛資本支出 </t>
    </r>
    <r>
      <rPr>
        <sz val="11"/>
        <color theme="1"/>
        <rFont val="Calibri"/>
        <family val="2"/>
        <charset val="1"/>
      </rPr>
      <t xml:space="preserve">$0.562B</t>
    </r>
    <r>
      <rPr>
        <sz val="11"/>
        <color theme="1"/>
        <rFont val="Noto Sans CJK SC"/>
        <family val="2"/>
      </rPr>
      <t xml:space="preserve">，其中 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分攤 </t>
    </r>
    <r>
      <rPr>
        <sz val="11"/>
        <color theme="1"/>
        <rFont val="Calibri"/>
        <family val="2"/>
        <charset val="1"/>
      </rPr>
      <t xml:space="preserve">$0.519B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簡報 </t>
    </r>
    <r>
      <rPr>
        <sz val="11"/>
        <color theme="1"/>
        <rFont val="Calibri"/>
        <family val="2"/>
        <charset val="1"/>
      </rPr>
      <t xml:space="preserve">https://investor.sandisk.com/static-files/c75d1bee-c5c9-4e5a-8605-302c1aeac59b</t>
    </r>
    <r>
      <rPr>
        <sz val="11"/>
        <color theme="1"/>
        <rFont val="Noto Sans CJK SC"/>
        <family val="2"/>
      </rPr>
      <t xml:space="preserve">）</t>
    </r>
  </si>
  <si>
    <t xml:space="preserve">SIF_eq_ind_sandisk</t>
  </si>
  <si>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分攤與鎧俠重疊（</t>
    </r>
    <r>
      <rPr>
        <sz val="11"/>
        <color theme="1"/>
        <rFont val="Calibri"/>
        <family val="2"/>
        <charset val="1"/>
      </rPr>
      <t xml:space="preserve">Flash Ventures </t>
    </r>
    <r>
      <rPr>
        <sz val="11"/>
        <color theme="1"/>
        <rFont val="Noto Sans CJK SC"/>
        <family val="2"/>
      </rPr>
      <t xml:space="preserve">由鎧俠 </t>
    </r>
    <r>
      <rPr>
        <sz val="11"/>
        <color theme="1"/>
        <rFont val="Calibri"/>
        <family val="2"/>
        <charset val="1"/>
      </rPr>
      <t xml:space="preserve">50.1</t>
    </r>
    <r>
      <rPr>
        <sz val="11"/>
        <color theme="1"/>
        <rFont val="Noto Sans CJK SC"/>
        <family val="2"/>
      </rPr>
      <t xml:space="preserve">％、</t>
    </r>
    <r>
      <rPr>
        <sz val="11"/>
        <color theme="1"/>
        <rFont val="Calibri"/>
        <family val="2"/>
        <charset val="1"/>
      </rPr>
      <t xml:space="preserve">SanDisk 49.9</t>
    </r>
    <r>
      <rPr>
        <sz val="11"/>
        <color theme="1"/>
        <rFont val="Noto Sans CJK SC"/>
        <family val="2"/>
      </rPr>
      <t xml:space="preserve">％持有），不另計；非 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部分約 </t>
    </r>
    <r>
      <rPr>
        <sz val="11"/>
        <color theme="1"/>
        <rFont val="Calibri"/>
        <family val="2"/>
        <charset val="1"/>
      </rPr>
      <t xml:space="preserve">$0.04B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</t>
    </r>
    <r>
      <rPr>
        <sz val="11"/>
        <color theme="1"/>
        <rFont val="Noto Sans CJK SC"/>
        <family val="2"/>
      </rPr>
      <t xml:space="preserve">），忽略</t>
    </r>
  </si>
  <si>
    <t xml:space="preserve">eq_s_dram_26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</si>
  <si>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</si>
  <si>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SEMI 2026-07-14 </t>
    </r>
    <r>
      <rPr>
        <sz val="11"/>
        <color theme="1"/>
        <rFont val="Noto Sans CJK SC"/>
        <family val="2"/>
      </rPr>
      <t xml:space="preserve">年中預測新聞稿 </t>
    </r>
    <r>
      <rPr>
        <sz val="11"/>
        <color theme="1"/>
        <rFont val="Calibri"/>
        <family val="2"/>
        <charset val="1"/>
      </rPr>
      <t xml:space="preserve">https://www.semi.org/en/semi-press-release/global-semiconductor-equipment-sales-forecast-to-reach-a-record-229-billion-dollars-in-2028-semi-reports</t>
    </r>
  </si>
  <si>
    <t xml:space="preserve">SIF_eq_s_dram_26</t>
  </si>
  <si>
    <r>
      <rPr>
        <sz val="11"/>
        <color theme="1"/>
        <rFont val="Noto Sans CJK SC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Noto Sans CJK SC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</si>
  <si>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eq_g_dram_26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</si>
  <si>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</si>
  <si>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SIF_eq_g_dram_26</t>
  </si>
  <si>
    <t xml:space="preserve">eq_g_dram_27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</si>
  <si>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</si>
  <si>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SEMI 2026-07-14 </t>
    </r>
    <r>
      <rPr>
        <sz val="11"/>
        <color theme="1"/>
        <rFont val="Noto Sans CJK SC"/>
        <family val="2"/>
      </rPr>
      <t xml:space="preserve">年中預測新聞稿 </t>
    </r>
    <r>
      <rPr>
        <sz val="11"/>
        <color theme="1"/>
        <rFont val="Calibri"/>
        <family val="2"/>
        <charset val="1"/>
      </rPr>
      <t xml:space="preserve">https://www.semi.org/en/semi-press-release/global-semiconductor-equipment-sales-forecast-to-reach-a-record-229-billion-dollars-in-2028-semi-reports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前段 </t>
    </r>
    <r>
      <rPr>
        <sz val="11"/>
        <color theme="1"/>
        <rFont val="Calibri"/>
        <family val="2"/>
        <charset val="1"/>
      </rPr>
      <t xml:space="preserve">+21.8% </t>
    </r>
    <r>
      <rPr>
        <sz val="11"/>
        <color theme="1"/>
        <rFont val="Noto Sans CJK SC"/>
        <family val="2"/>
      </rPr>
      <t xml:space="preserve">與其餘分項年增皆來自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新聞稿摘要）</t>
    </r>
  </si>
  <si>
    <t xml:space="preserve">SIF_eq_g_dram_27</t>
  </si>
  <si>
    <t xml:space="preserve">eq_g_dram_28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</si>
  <si>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</t>
    </r>
  </si>
  <si>
    <t xml:space="preserve">SIF_eq_g_dram_28</t>
  </si>
  <si>
    <r>
      <rPr>
        <sz val="11"/>
        <color theme="1"/>
        <rFont val="Noto Sans CJK SC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Noto Sans CJK SC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DRAM 2028 </t>
    </r>
    <r>
      <rPr>
        <sz val="11"/>
        <color theme="1"/>
        <rFont val="Noto Sans CJK SC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56.85 vs </t>
    </r>
    <r>
      <rPr>
        <sz val="11"/>
        <color theme="1"/>
        <rFont val="Noto Sans CJK SC"/>
        <family val="2"/>
      </rPr>
      <t xml:space="preserve">報導 </t>
    </r>
    <r>
      <rPr>
        <sz val="11"/>
        <color theme="1"/>
        <rFont val="Calibri"/>
        <family val="2"/>
        <charset val="1"/>
      </rPr>
      <t xml:space="preserve">56.9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NAND 20.87 vs 20.8</t>
    </r>
    <r>
      <rPr>
        <sz val="11"/>
        <color theme="1"/>
        <rFont val="Noto Sans CJK SC"/>
        <family val="2"/>
      </rPr>
      <t xml:space="preserve">（捨入）</t>
    </r>
  </si>
  <si>
    <t xml:space="preserve">eq_s_nand_26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</si>
  <si>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</si>
  <si>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SIF_eq_s_nand_26</t>
  </si>
  <si>
    <t xml:space="preserve">eq_g_nand_26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</si>
  <si>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</si>
  <si>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SIF_eq_g_nand_26</t>
  </si>
  <si>
    <t xml:space="preserve">eq_g_nand_27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</si>
  <si>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</t>
    </r>
  </si>
  <si>
    <t xml:space="preserve">SIF_eq_g_nand_27</t>
  </si>
  <si>
    <t xml:space="preserve">eq_g_nand_28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</si>
  <si>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</t>
    </r>
  </si>
  <si>
    <t xml:space="preserve">SIF_eq_g_nand_28</t>
  </si>
  <si>
    <t xml:space="preserve">eq_s_fd_26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</si>
  <si>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</si>
  <si>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SIF_eq_s_fd_26</t>
  </si>
  <si>
    <t xml:space="preserve">eq_g_fd_26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</si>
  <si>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</si>
  <si>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SIF_eq_g_fd_26</t>
  </si>
  <si>
    <t xml:space="preserve">eq_g_fd_27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</si>
  <si>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</t>
    </r>
  </si>
  <si>
    <t xml:space="preserve">SIF_eq_g_fd_27</t>
  </si>
  <si>
    <t xml:space="preserve">eq_g_fd_28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</si>
  <si>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</t>
    </r>
  </si>
  <si>
    <t xml:space="preserve">SIF_eq_g_fd_28</t>
  </si>
  <si>
    <t xml:space="preserve">eq_s_wfe_26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</si>
  <si>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</si>
  <si>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SIF_eq_s_wfe_26</t>
  </si>
  <si>
    <t xml:space="preserve">eq_g_wfe_26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</si>
  <si>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</si>
  <si>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SIF_eq_g_wfe_26</t>
  </si>
  <si>
    <t xml:space="preserve">eq_g_wfe_27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</si>
  <si>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</t>
    </r>
  </si>
  <si>
    <t xml:space="preserve">SIF_eq_g_wfe_27</t>
  </si>
  <si>
    <t xml:space="preserve">eq_g_wfe_28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</si>
  <si>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</t>
    </r>
  </si>
  <si>
    <t xml:space="preserve">SIF_eq_g_wfe_28</t>
  </si>
  <si>
    <t xml:space="preserve">eq_s_test_26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</si>
  <si>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</si>
  <si>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SIF_eq_s_test_26</t>
  </si>
  <si>
    <t xml:space="preserve">eq_g_test_26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</si>
  <si>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</si>
  <si>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SIF_eq_g_test_26</t>
  </si>
  <si>
    <t xml:space="preserve">eq_s_test_28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</si>
  <si>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2028</t>
    </r>
  </si>
  <si>
    <t xml:space="preserve">SIF_eq_s_test_28</t>
  </si>
  <si>
    <r>
      <rPr>
        <sz val="11"/>
        <color theme="1"/>
        <rFont val="Noto Sans CJK SC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Noto Sans CJK SC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年值未找到 →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幾何內插（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</si>
  <si>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eq_s_pkg_26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</si>
  <si>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</si>
  <si>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SIF_eq_s_pkg_26</t>
  </si>
  <si>
    <t xml:space="preserve">eq_g_pkg_26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</si>
  <si>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</si>
  <si>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SIF_eq_g_pkg_26</t>
  </si>
  <si>
    <t xml:space="preserve">eq_s_pkg_28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</si>
  <si>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2028</t>
    </r>
  </si>
  <si>
    <t xml:space="preserve">SIF_eq_s_pkg_28</t>
  </si>
  <si>
    <r>
      <rPr>
        <sz val="11"/>
        <color theme="1"/>
        <rFont val="Noto Sans CJK SC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Noto Sans CJK SC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年值未找到 → 幾何內插（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</si>
  <si>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eq_s_tot_26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</si>
  <si>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設備合計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（對帳用）</t>
    </r>
  </si>
  <si>
    <t xml:space="preserve">SIF_eq_s_tot_26</t>
  </si>
  <si>
    <t xml:space="preserve">eq_g_tot_26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</si>
  <si>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年增（對帳用）</t>
    </r>
  </si>
  <si>
    <t xml:space="preserve">SIF_eq_g_tot_26</t>
  </si>
  <si>
    <t xml:space="preserve">eq_s_tot_28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</si>
  <si>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設備合計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（對帳用）</t>
    </r>
  </si>
  <si>
    <t xml:space="preserve">SIF_eq_s_tot_28</t>
  </si>
  <si>
    <t xml:space="preserve">eq_g29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</si>
  <si>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測試、封裝設備年增（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預測；僅用於測試與封裝）</t>
    </r>
  </si>
  <si>
    <r>
      <rPr>
        <sz val="11"/>
        <color theme="1"/>
        <rFont val="Noto Sans CJK SC"/>
        <family val="2"/>
      </rPr>
      <t xml:space="preserve">無。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前段年增 </t>
    </r>
    <r>
      <rPr>
        <sz val="11"/>
        <color theme="1"/>
        <rFont val="Calibri"/>
        <family val="2"/>
        <charset val="1"/>
      </rPr>
      <t xml:space="preserve">2026 +23.1%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+21.8%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+14.1%</t>
    </r>
    <r>
      <rPr>
        <sz val="11"/>
        <color theme="1"/>
        <rFont val="Noto Sans CJK SC"/>
        <family val="2"/>
      </rPr>
      <t xml:space="preserve">：逐年減速約 </t>
    </r>
    <r>
      <rPr>
        <sz val="11"/>
        <color theme="1"/>
        <rFont val="Calibri"/>
        <family val="2"/>
        <charset val="1"/>
      </rPr>
      <t xml:space="preserve">2–7 </t>
    </r>
    <r>
      <rPr>
        <sz val="11"/>
        <color theme="1"/>
        <rFont val="Noto Sans CJK SC"/>
        <family val="2"/>
      </rPr>
      <t xml:space="preserve">個百分點，外推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+8%</t>
    </r>
  </si>
  <si>
    <t xml:space="preserve">SIF_eq_g29</t>
  </si>
  <si>
    <r>
      <rPr>
        <sz val="11"/>
        <color theme="1"/>
        <rFont val="Noto Sans CJK SC"/>
        <family val="2"/>
      </rPr>
      <t xml:space="preserve">未找到第二來源；情境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的意思是「續增」，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由情境係數覆寫</t>
    </r>
  </si>
  <si>
    <t xml:space="preserve">eq_ck_B_28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</si>
  <si>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2028 </t>
    </r>
    <r>
      <rPr>
        <sz val="11"/>
        <color theme="1"/>
        <rFont val="Noto Sans CJK SC"/>
        <family val="2"/>
      </rPr>
      <t xml:space="preserve">係數（持平）</t>
    </r>
  </si>
  <si>
    <r>
      <rPr>
        <sz val="11"/>
        <color theme="1"/>
        <rFont val="Noto Sans CJK SC"/>
        <family val="2"/>
      </rPr>
      <t xml:space="preserve">依核心問題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持平（循環在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見頂）</t>
    </r>
  </si>
  <si>
    <t xml:space="preserve">SIF_eq_ck_B_28</t>
  </si>
  <si>
    <r>
      <rPr>
        <sz val="11"/>
        <color theme="1"/>
        <rFont val="Noto Sans CJK SC"/>
        <family val="2"/>
      </rPr>
      <t xml:space="preserve">理由：記憶體模型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價格見頂；資本支出滯後約 </t>
    </r>
    <r>
      <rPr>
        <sz val="11"/>
        <color theme="1"/>
        <rFont val="Calibri"/>
        <family val="2"/>
        <charset val="1"/>
      </rPr>
      <t xml:space="preserve">1–2 </t>
    </r>
    <r>
      <rPr>
        <sz val="11"/>
        <color theme="1"/>
        <rFont val="Noto Sans CJK SC"/>
        <family val="2"/>
      </rPr>
      <t xml:space="preserve">季，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設備訂單轉為持平。無實證，非預測</t>
    </r>
  </si>
  <si>
    <t xml:space="preserve">eq_ck_C_28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</si>
  <si>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2028 </t>
    </r>
    <r>
      <rPr>
        <sz val="11"/>
        <color theme="1"/>
        <rFont val="Noto Sans CJK SC"/>
        <family val="2"/>
      </rPr>
      <t xml:space="preserve">係數（下滑約兩成）</t>
    </r>
  </si>
  <si>
    <r>
      <rPr>
        <sz val="11"/>
        <color theme="1"/>
        <rFont val="Noto Sans CJK SC"/>
        <family val="2"/>
      </rPr>
      <t xml:space="preserve">依核心問題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下滑約兩成</t>
    </r>
  </si>
  <si>
    <t xml:space="preserve">SIF_eq_ck_C_28</t>
  </si>
  <si>
    <r>
      <rPr>
        <sz val="11"/>
        <color theme="1"/>
        <rFont val="Noto Sans CJK SC"/>
        <family val="2"/>
      </rPr>
      <t xml:space="preserve">理由：記憶體模型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價格回到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水準；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歷史下行年（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）跌幅較淺，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為壓力情境。無實證</t>
    </r>
  </si>
  <si>
    <t xml:space="preserve">eq_ck_B_29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</si>
  <si>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2029 </t>
    </r>
    <r>
      <rPr>
        <sz val="11"/>
        <color theme="1"/>
        <rFont val="Noto Sans CJK SC"/>
        <family val="2"/>
      </rPr>
      <t xml:space="preserve">係數</t>
    </r>
  </si>
  <si>
    <t xml:space="preserve">平台後的溫和消化</t>
  </si>
  <si>
    <t xml:space="preserve">SIF_eq_ck_B_29</t>
  </si>
  <si>
    <t xml:space="preserve">無實證</t>
  </si>
  <si>
    <t xml:space="preserve">eq_ck_C_29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</si>
  <si>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2029 </t>
    </r>
    <r>
      <rPr>
        <sz val="11"/>
        <color theme="1"/>
        <rFont val="Noto Sans CJK SC"/>
        <family val="2"/>
      </rPr>
      <t xml:space="preserve">係數</t>
    </r>
  </si>
  <si>
    <t xml:space="preserve">谷底持平</t>
  </si>
  <si>
    <t xml:space="preserve">SIF_eq_ck_C_29</t>
  </si>
  <si>
    <t xml:space="preserve">eq_adv_other</t>
  </si>
  <si>
    <t xml:space="preserve">台積電以外代工邏輯中屬先進邏輯的比例</t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</si>
  <si>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Intel 18A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14A</t>
    </r>
    <r>
      <rPr>
        <sz val="11"/>
        <color theme="1"/>
        <rFont val="Noto Sans CJK SC"/>
        <family val="2"/>
      </rPr>
      <t xml:space="preserve">、三星 </t>
    </r>
    <r>
      <rPr>
        <sz val="11"/>
        <color theme="1"/>
        <rFont val="Calibri"/>
        <family val="2"/>
        <charset val="1"/>
      </rPr>
      <t xml:space="preserve">SF2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Rapidus </t>
    </r>
    <r>
      <rPr>
        <sz val="11"/>
        <color theme="1"/>
        <rFont val="Noto Sans CJK SC"/>
        <family val="2"/>
      </rPr>
      <t xml:space="preserve">相對成熟製程擴產（中芯、華虹等）的占比未找到</t>
    </r>
  </si>
  <si>
    <t xml:space="preserve">SIF_eq_adv_other</t>
  </si>
  <si>
    <t xml:space="preserve">未找到第二來源</t>
  </si>
  <si>
    <t xml:space="preserve">eq_pkg_adv</t>
  </si>
  <si>
    <t xml:space="preserve">組裝與封裝設備中屬先進封裝的比例</t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</si>
  <si>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先進封裝製程控制營收約 </t>
    </r>
    <r>
      <rPr>
        <sz val="11"/>
        <color theme="1"/>
        <rFont val="Calibri"/>
        <family val="2"/>
        <charset val="1"/>
      </rPr>
      <t xml:space="preserve">$1.1B</t>
    </r>
    <r>
      <rPr>
        <sz val="11"/>
        <color theme="1"/>
        <rFont val="Noto Sans CJK SC"/>
        <family val="2"/>
      </rPr>
      <t xml:space="preserve">，但整體先進封裝設備金額未找到</t>
    </r>
  </si>
  <si>
    <t xml:space="preserve">SIF_eq_pkg_adv</t>
  </si>
  <si>
    <r>
      <rPr>
        <sz val="11"/>
        <color theme="1"/>
        <rFont val="Noto Sans CJK SC"/>
        <family val="2"/>
      </rPr>
      <t xml:space="preserve">未找到第二來源。台積電資本支出內的先進封裝設備可能與此重疊（見 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限制）</t>
    </r>
  </si>
  <si>
    <t xml:space="preserve">eq_rc_lam26</t>
  </si>
  <si>
    <r>
      <rPr>
        <sz val="11"/>
        <color theme="1"/>
        <rFont val="Calibri"/>
        <family val="2"/>
        <charset val="1"/>
      </rPr>
      <t xml:space="preserve">Lam Research 2026 WFE</t>
    </r>
    <r>
      <rPr>
        <sz val="11"/>
        <color theme="1"/>
        <rFont val="Noto Sans CJK SC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150B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</si>
  <si>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Lam FQ4-26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https://www.investing.com/news/transcripts/earnings-call-transcript-lam-research-posts-record-q4-2026-results-stock-rebounds-93CH-4821978</t>
    </r>
    <r>
      <rPr>
        <sz val="11"/>
        <color theme="1"/>
        <rFont val="Noto Sans CJK SC"/>
        <family val="2"/>
      </rPr>
      <t xml:space="preserve">）；另：</t>
    </r>
    <r>
      <rPr>
        <sz val="11"/>
        <color theme="1"/>
        <rFont val="Calibri"/>
        <family val="2"/>
        <charset val="1"/>
      </rPr>
      <t xml:space="preserve">Citi </t>
    </r>
    <r>
      <rPr>
        <sz val="11"/>
        <color theme="1"/>
        <rFont val="Noto Sans CJK SC"/>
        <family val="2"/>
      </rPr>
      <t xml:space="preserve">研討會 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稱「</t>
    </r>
    <r>
      <rPr>
        <sz val="11"/>
        <color theme="1"/>
        <rFont val="Calibri"/>
        <family val="2"/>
        <charset val="1"/>
      </rPr>
      <t xml:space="preserve">low-$150B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https://finance.yahoo.com/technology/ai/articles/lam-research-lifts-2026-wfe-180229282.html</t>
    </r>
    <r>
      <rPr>
        <sz val="11"/>
        <color theme="1"/>
        <rFont val="Noto Sans CJK SC"/>
        <family val="2"/>
      </rPr>
      <t xml:space="preserve">）</t>
    </r>
  </si>
  <si>
    <t xml:space="preserve">SIF_eq_rc_lam26</t>
  </si>
  <si>
    <r>
      <rPr>
        <sz val="11"/>
        <color theme="1"/>
        <rFont val="Calibri"/>
        <family val="2"/>
        <charset val="1"/>
      </rPr>
      <t xml:space="preserve">Lam 2026-10-21 </t>
    </r>
    <r>
      <rPr>
        <sz val="11"/>
        <color theme="1"/>
        <rFont val="Noto Sans CJK SC"/>
        <family val="2"/>
      </rPr>
      <t xml:space="preserve">法說稿另稱「</t>
    </r>
    <r>
      <rPr>
        <sz val="11"/>
        <color theme="1"/>
        <rFont val="Calibri"/>
        <family val="2"/>
        <charset val="1"/>
      </rPr>
      <t xml:space="preserve">mid-$150B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https://www.fool.com/earnings/call-transcripts/2026/10/21/lam-research-lrcx-q1-2027-earnings-call-transcript/</t>
    </r>
    <r>
      <rPr>
        <sz val="11"/>
        <color theme="1"/>
        <rFont val="Noto Sans CJK SC"/>
        <family val="2"/>
      </rPr>
      <t xml:space="preserve">）；取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為下限</t>
    </r>
  </si>
  <si>
    <t xml:space="preserve">eq_rc_lam27</t>
  </si>
  <si>
    <r>
      <rPr>
        <sz val="11"/>
        <color theme="1"/>
        <rFont val="Calibri"/>
        <family val="2"/>
        <charset val="1"/>
      </rPr>
      <t xml:space="preserve">Lam Research 2027 WFE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&gt;200B</t>
    </r>
    <r>
      <rPr>
        <sz val="11"/>
        <color theme="1"/>
        <rFont val="Noto Sans CJK SC"/>
        <family val="2"/>
      </rPr>
      <t xml:space="preserve">，下限；額外對照）</t>
    </r>
  </si>
  <si>
    <r>
      <rPr>
        <sz val="11"/>
        <color theme="1"/>
        <rFont val="Noto Sans CJK SC"/>
        <family val="2"/>
      </rPr>
      <t xml:space="preserve">同上法說稿：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預估 </t>
    </r>
    <r>
      <rPr>
        <sz val="11"/>
        <color theme="1"/>
        <rFont val="Calibri"/>
        <family val="2"/>
        <charset val="1"/>
      </rPr>
      <t xml:space="preserve">&gt;$200B</t>
    </r>
  </si>
  <si>
    <t xml:space="preserve">SIF_eq_rc_lam27</t>
  </si>
  <si>
    <t xml:space="preserve">使用者未列；額外列示</t>
  </si>
  <si>
    <t xml:space="preserve">eq_rc_kla26</t>
  </si>
  <si>
    <r>
      <rPr>
        <sz val="11"/>
        <color theme="1"/>
        <rFont val="Calibri"/>
        <family val="2"/>
        <charset val="1"/>
      </rPr>
      <t xml:space="preserve">KLA 2026 WFE</t>
    </r>
    <r>
      <rPr>
        <sz val="11"/>
        <color theme="1"/>
        <rFont val="Noto Sans CJK SC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150B</t>
    </r>
    <r>
      <rPr>
        <sz val="11"/>
        <color theme="1"/>
        <rFont val="Noto Sans CJK SC"/>
        <family val="2"/>
      </rPr>
      <t xml:space="preserve">；含先進封裝）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</si>
  <si>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法說摘要（社群摘要，弱）</t>
    </r>
    <r>
      <rPr>
        <sz val="11"/>
        <color theme="1"/>
        <rFont val="Calibri"/>
        <family val="2"/>
        <charset val="1"/>
      </rPr>
      <t xml:space="preserve">https://x.com/TheValueist/status/2082235400190640364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摘要：</t>
    </r>
    <r>
      <rPr>
        <sz val="11"/>
        <color theme="1"/>
        <rFont val="Calibri"/>
        <family val="2"/>
        <charset val="1"/>
      </rPr>
      <t xml:space="preserve">https://finance.biggo.com/news/US_KLAC_2026-07-28</t>
    </r>
  </si>
  <si>
    <t xml:space="preserve">SIF_eq_rc_kla26</t>
  </si>
  <si>
    <r>
      <rPr>
        <sz val="11"/>
        <color theme="1"/>
        <rFont val="Noto Sans CJK SC"/>
        <family val="2"/>
      </rPr>
      <t xml:space="preserve">社群摘要 </t>
    </r>
    <r>
      <rPr>
        <sz val="11"/>
        <color theme="1"/>
        <rFont val="Calibri"/>
        <family val="2"/>
        <charset val="1"/>
      </rPr>
      <t xml:space="preserve">https://x.com/TheValueist/status/2082235400190640364</t>
    </r>
    <r>
      <rPr>
        <sz val="11"/>
        <color theme="1"/>
        <rFont val="Noto Sans CJK SC"/>
        <family val="2"/>
      </rPr>
      <t xml:space="preserve">（弱）；</t>
    </r>
    <r>
      <rPr>
        <sz val="11"/>
        <color theme="1"/>
        <rFont val="Calibri"/>
        <family val="2"/>
        <charset val="1"/>
      </rPr>
      <t xml:space="preserve">KLA 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120 vs SEMI 116.9</t>
    </r>
    <r>
      <rPr>
        <sz val="11"/>
        <color theme="1"/>
        <rFont val="Noto Sans CJK SC"/>
        <family val="2"/>
      </rPr>
      <t xml:space="preserve">，口徑含先進封裝</t>
    </r>
  </si>
  <si>
    <t xml:space="preserve">eq_rc_kla27</t>
  </si>
  <si>
    <r>
      <rPr>
        <sz val="11"/>
        <color theme="1"/>
        <rFont val="Calibri"/>
        <family val="2"/>
        <charset val="1"/>
      </rPr>
      <t xml:space="preserve">KLA 2027 </t>
    </r>
    <r>
      <rPr>
        <sz val="11"/>
        <color theme="1"/>
        <rFont val="Noto Sans CJK SC"/>
        <family val="2"/>
      </rPr>
      <t xml:space="preserve">規劃（約 </t>
    </r>
    <r>
      <rPr>
        <sz val="11"/>
        <color theme="1"/>
        <rFont val="Calibri"/>
        <family val="2"/>
        <charset val="1"/>
      </rPr>
      <t xml:space="preserve">190B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</si>
  <si>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法說摘要（社群摘要，弱）</t>
    </r>
    <r>
      <rPr>
        <sz val="11"/>
        <color theme="1"/>
        <rFont val="Calibri"/>
        <family val="2"/>
        <charset val="1"/>
      </rPr>
      <t xml:space="preserve">https://x.com/TheValueist/status/2082235400190640364</t>
    </r>
  </si>
  <si>
    <t xml:space="preserve">SIF_eq_rc_kla27</t>
  </si>
  <si>
    <t xml:space="preserve">同上社群摘要；一手逐字稿未找到</t>
  </si>
  <si>
    <t xml:space="preserve">eq_rc_ms27</t>
  </si>
  <si>
    <t xml:space="preserve">Morgan Stanley 2027 WFE</t>
  </si>
  <si>
    <r>
      <rPr>
        <sz val="11"/>
        <color theme="1"/>
        <rFont val="Noto Sans CJK SC"/>
        <family val="2"/>
      </rPr>
      <t xml:space="preserve">二手轉述（</t>
    </r>
    <r>
      <rPr>
        <sz val="11"/>
        <color theme="1"/>
        <rFont val="Calibri"/>
        <family val="2"/>
        <charset val="1"/>
      </rPr>
      <t xml:space="preserve">itiger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2026-07-06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https://www.itiger.com/news/2649678863——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191 </t>
    </r>
    <r>
      <rPr>
        <sz val="11"/>
        <color theme="1"/>
        <rFont val="Noto Sans CJK SC"/>
        <family val="2"/>
      </rPr>
      <t xml:space="preserve">上修到 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215 </t>
    </r>
    <r>
      <rPr>
        <sz val="11"/>
        <color theme="1"/>
        <rFont val="Noto Sans CJK SC"/>
        <family val="2"/>
      </rPr>
      <t xml:space="preserve">上修到 </t>
    </r>
    <r>
      <rPr>
        <sz val="11"/>
        <color theme="1"/>
        <rFont val="Calibri"/>
        <family val="2"/>
        <charset val="1"/>
      </rPr>
      <t xml:space="preserve">227</t>
    </r>
    <r>
      <rPr>
        <sz val="11"/>
        <color theme="1"/>
        <rFont val="Noto Sans CJK SC"/>
        <family val="2"/>
      </rPr>
      <t xml:space="preserve">」；本環境無法開啟該頁，未直接核對）</t>
    </r>
  </si>
  <si>
    <t xml:space="preserve">SIF_eq_rc_ms27</t>
  </si>
  <si>
    <r>
      <rPr>
        <sz val="11"/>
        <color theme="1"/>
        <rFont val="Noto Sans CJK SC"/>
        <family val="2"/>
      </rPr>
      <t xml:space="preserve">上修前版本 </t>
    </r>
    <r>
      <rPr>
        <sz val="11"/>
        <color theme="1"/>
        <rFont val="Calibri"/>
        <family val="2"/>
        <charset val="1"/>
      </rPr>
      <t xml:space="preserve">191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報導一致（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149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191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https://www.investing.com/news/stock-market-news/semicap-stocks-morgan-stanley-raises-wfe-outlook-and-shifts-ratings-4696580</t>
    </r>
    <r>
      <rPr>
        <sz val="11"/>
        <color theme="1"/>
        <rFont val="Noto Sans CJK SC"/>
        <family val="2"/>
      </rPr>
      <t xml:space="preserve">），故 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227 </t>
    </r>
    <r>
      <rPr>
        <sz val="11"/>
        <color theme="1"/>
        <rFont val="Noto Sans CJK SC"/>
        <family val="2"/>
      </rPr>
      <t xml:space="preserve">為其上修值</t>
    </r>
  </si>
  <si>
    <t xml:space="preserve">eq_rc_ms28</t>
  </si>
  <si>
    <t xml:space="preserve">Morgan Stanley 2028 WFE</t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</si>
  <si>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itiger</t>
    </r>
    <r>
      <rPr>
        <sz val="11"/>
        <color theme="1"/>
        <rFont val="Noto Sans CJK SC"/>
        <family val="2"/>
      </rPr>
      <t xml:space="preserve">，二手轉述）</t>
    </r>
  </si>
  <si>
    <t xml:space="preserve">SIF_eq_rc_ms28</t>
  </si>
  <si>
    <t xml:space="preserve">eq_rc_gs26</t>
  </si>
  <si>
    <t xml:space="preserve">Goldman Sachs 2026 WFE</t>
  </si>
  <si>
    <t xml:space="preserve">https://www.gate.com/news/detail/goldman-sachs-significantly-raises-wfe-forecasts-through-2028-can-the-ai-23706576</t>
  </si>
  <si>
    <t xml:space="preserve">SIF_eq_rc_gs26</t>
  </si>
  <si>
    <r>
      <rPr>
        <sz val="11"/>
        <color theme="1"/>
        <rFont val="Calibri"/>
        <family val="2"/>
        <charset val="1"/>
      </rPr>
      <t xml:space="preserve">https://www.kucoin.com/news/flash/goldman-sachs-upgrades-wfe-forecast-to-1-5-trillion-by-2026-dram-and-foundry-drive-growth</t>
    </r>
    <r>
      <rPr>
        <sz val="11"/>
        <color theme="1"/>
        <rFont val="Noto Sans CJK SC"/>
        <family val="2"/>
      </rPr>
      <t xml:space="preserve">（標題單位誤植，內文 </t>
    </r>
    <r>
      <rPr>
        <sz val="11"/>
        <color theme="1"/>
        <rFont val="Calibri"/>
        <family val="2"/>
        <charset val="1"/>
      </rPr>
      <t xml:space="preserve">150</t>
    </r>
    <r>
      <rPr>
        <sz val="11"/>
        <color theme="1"/>
        <rFont val="Noto Sans CJK SC"/>
        <family val="2"/>
      </rPr>
      <t xml:space="preserve">）</t>
    </r>
  </si>
  <si>
    <t xml:space="preserve">eq_rc_gs27</t>
  </si>
  <si>
    <t xml:space="preserve">Goldman Sachs 2027 WFE</t>
  </si>
  <si>
    <t xml:space="preserve">SIF_eq_rc_gs27</t>
  </si>
  <si>
    <t xml:space="preserve">eq_rc_gs28</t>
  </si>
  <si>
    <t xml:space="preserve">Goldman Sachs 2028 WFE</t>
  </si>
  <si>
    <t xml:space="preserve">SIF_eq_rc_gs28</t>
  </si>
  <si>
    <t xml:space="preserve">eq_rc_thr</t>
  </si>
  <si>
    <r>
      <rPr>
        <sz val="11"/>
        <color theme="1"/>
        <rFont val="Noto Sans CJK SC"/>
        <family val="2"/>
      </rPr>
      <t xml:space="preserve">差距門檻（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須說明原因）</t>
    </r>
  </si>
  <si>
    <r>
      <rPr>
        <sz val="11"/>
        <color theme="1"/>
        <rFont val="Noto Sans CJK SC"/>
        <family val="2"/>
      </rPr>
      <t xml:space="preserve">使用者指定 </t>
    </r>
    <r>
      <rPr>
        <sz val="11"/>
        <color theme="1"/>
        <rFont val="Calibri"/>
        <family val="2"/>
        <charset val="1"/>
      </rPr>
      <t xml:space="preserve">15%</t>
    </r>
  </si>
  <si>
    <t xml:space="preserve">SIF_eq_rc_thr</t>
  </si>
  <si>
    <r>
      <rPr>
        <b val="true"/>
        <sz val="11"/>
        <rFont val="Cambria"/>
        <family val="0"/>
        <charset val="1"/>
      </rPr>
      <t xml:space="preserve">M21. </t>
    </r>
    <r>
      <rPr>
        <b val="true"/>
        <sz val="11"/>
        <rFont val="Noto Sans CJK SC"/>
        <family val="2"/>
      </rPr>
      <t xml:space="preserve">測試設備（</t>
    </r>
    <r>
      <rPr>
        <b val="true"/>
        <sz val="11"/>
        <rFont val="Cambria"/>
        <family val="0"/>
        <charset val="1"/>
      </rPr>
      <t xml:space="preserve">SoC </t>
    </r>
    <r>
      <rPr>
        <b val="true"/>
        <sz val="11"/>
        <rFont val="Noto Sans CJK SC"/>
        <family val="2"/>
      </rPr>
      <t xml:space="preserve">與記憶體測試機市場錨點、非 </t>
    </r>
    <r>
      <rPr>
        <b val="true"/>
        <sz val="11"/>
        <rFont val="Cambria"/>
        <family val="0"/>
        <charset val="1"/>
      </rPr>
      <t xml:space="preserve">AI SoC</t>
    </r>
    <r>
      <rPr>
        <b val="true"/>
        <sz val="11"/>
        <rFont val="Noto Sans CJK SC"/>
        <family val="2"/>
      </rPr>
      <t xml:space="preserve">、每顆測試時間係數、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權重、泰瑞達測試 </t>
    </r>
    <r>
      <rPr>
        <b val="true"/>
        <sz val="11"/>
        <rFont val="Cambria"/>
        <family val="0"/>
        <charset val="1"/>
      </rPr>
      <t xml:space="preserve">÷ WFE </t>
    </r>
    <r>
      <rPr>
        <b val="true"/>
        <sz val="11"/>
        <rFont val="Noto Sans CJK SC"/>
        <family val="2"/>
      </rPr>
      <t xml:space="preserve">長期區間；原在 </t>
    </r>
    <r>
      <rPr>
        <b val="true"/>
        <sz val="11"/>
        <rFont val="Cambria"/>
        <family val="0"/>
        <charset val="1"/>
      </rPr>
      <t xml:space="preserve">advantest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ter</t>
    </r>
    <r>
      <rPr>
        <b val="true"/>
        <sz val="11"/>
        <rFont val="Noto Sans CJK SC"/>
        <family val="2"/>
      </rPr>
      <t xml:space="preserve">。</t>
    </r>
    <r>
      <rPr>
        <b val="true"/>
        <sz val="11"/>
        <rFont val="Cambria"/>
        <family val="0"/>
        <charset val="1"/>
      </rPr>
      <t xml:space="preserve">CF15</t>
    </r>
    <r>
      <rPr>
        <b val="true"/>
        <sz val="11"/>
        <rFont val="Noto Sans CJK SC"/>
        <family val="2"/>
      </rPr>
      <t xml:space="preserve">）</t>
    </r>
  </si>
  <si>
    <t xml:space="preserve">ts_mk_soc25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</si>
  <si>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</si>
  <si>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（測試機廠，有誇大市場傾向）：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6.9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簡報；經二手轉述，搜尋摘錄）</t>
    </r>
  </si>
  <si>
    <t xml:space="preserve">SIF_ts_mk_soc25</t>
  </si>
  <si>
    <t xml:space="preserve">ts_mk_mem25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</si>
  <si>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</si>
  <si>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Noto Sans CJK SC"/>
        <family val="2"/>
      </rPr>
      <t xml:space="preserve">同上：約 </t>
    </r>
    <r>
      <rPr>
        <sz val="11"/>
        <color theme="1"/>
        <rFont val="Calibri"/>
        <family val="2"/>
        <charset val="1"/>
      </rPr>
      <t xml:space="preserve">2.1</t>
    </r>
  </si>
  <si>
    <t xml:space="preserve">SIF_ts_mk_mem25</t>
  </si>
  <si>
    <t xml:space="preserve">ts_mk_soc26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</si>
  <si>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（公司上修後）</t>
    </r>
  </si>
  <si>
    <r>
      <rPr>
        <sz val="11"/>
        <color theme="1"/>
        <rFont val="Calibri"/>
        <family val="2"/>
        <charset val="1"/>
      </rPr>
      <t xml:space="preserve">Advantest FY2026 Q2 </t>
    </r>
    <r>
      <rPr>
        <sz val="11"/>
        <color theme="1"/>
        <rFont val="Noto Sans CJK SC"/>
        <family val="2"/>
      </rPr>
      <t xml:space="preserve">決算說明（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測試機市場約 </t>
    </r>
    <r>
      <rPr>
        <sz val="11"/>
        <color theme="1"/>
        <rFont val="Calibri"/>
        <family val="2"/>
        <charset val="1"/>
      </rPr>
      <t xml:space="preserve">115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2026-07-29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105–115 </t>
    </r>
    <r>
      <rPr>
        <sz val="11"/>
        <color theme="1"/>
        <rFont val="Noto Sans CJK SC"/>
        <family val="2"/>
      </rPr>
      <t xml:space="preserve">的上緣）。交叉核對（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v0.9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Advantest CY2026 SoC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 </t>
    </r>
    <r>
      <rPr>
        <sz val="11"/>
        <color theme="1"/>
        <rFont val="Noto Sans CJK SC"/>
        <family val="2"/>
      </rPr>
      <t xml:space="preserve">三季實績 </t>
    </r>
    <r>
      <rPr>
        <sz val="11"/>
        <color theme="1"/>
        <rFont val="Calibri"/>
        <family val="2"/>
        <charset val="1"/>
      </rPr>
      <t xml:space="preserve">850.1 </t>
    </r>
    <r>
      <rPr>
        <sz val="11"/>
        <color theme="1"/>
        <rFont val="Noto Sans CJK SC"/>
        <family val="2"/>
      </rPr>
      <t xml:space="preserve">十億日圓＋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月以下半年指引 </t>
    </r>
    <r>
      <rPr>
        <sz val="11"/>
        <color theme="1"/>
        <rFont val="Calibri"/>
        <family val="2"/>
        <charset val="1"/>
      </rPr>
      <t xml:space="preserve">762.1 </t>
    </r>
    <r>
      <rPr>
        <sz val="11"/>
        <color theme="1"/>
        <rFont val="Noto Sans CJK SC"/>
        <family val="2"/>
      </rPr>
      <t xml:space="preserve">的一半估 </t>
    </r>
    <r>
      <rPr>
        <sz val="11"/>
        <color theme="1"/>
        <rFont val="Calibri"/>
        <family val="2"/>
        <charset val="1"/>
      </rPr>
      <t xml:space="preserve">381.1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÷¥150</t>
    </r>
    <r>
      <rPr>
        <sz val="11"/>
        <color theme="1"/>
        <rFont val="Noto Sans CJK SC"/>
        <family val="2"/>
      </rPr>
      <t xml:space="preserve">）約 </t>
    </r>
    <r>
      <rPr>
        <sz val="11"/>
        <color theme="1"/>
        <rFont val="Calibri"/>
        <family val="2"/>
        <charset val="1"/>
      </rPr>
      <t xml:space="preserve">82 </t>
    </r>
    <r>
      <rPr>
        <sz val="11"/>
        <color theme="1"/>
        <rFont val="Noto Sans CJK SC"/>
        <family val="2"/>
      </rPr>
      <t xml:space="preserve">億美元＋泰瑞達 </t>
    </r>
    <r>
      <rPr>
        <sz val="11"/>
        <color theme="1"/>
        <rFont val="Calibri"/>
        <family val="2"/>
        <charset val="1"/>
      </rPr>
      <t xml:space="preserve">CY2026 SoC</t>
    </r>
    <r>
      <rPr>
        <sz val="11"/>
        <color theme="1"/>
        <rFont val="Noto Sans CJK SC"/>
        <family val="2"/>
      </rPr>
      <t xml:space="preserve">（三季實績 </t>
    </r>
    <r>
      <rPr>
        <sz val="11"/>
        <color theme="1"/>
        <rFont val="Calibri"/>
        <family val="2"/>
        <charset val="1"/>
      </rPr>
      <t xml:space="preserve">2,400.8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以營收指引中點 </t>
    </r>
    <r>
      <rPr>
        <sz val="11"/>
        <color theme="1"/>
        <rFont val="Calibri"/>
        <family val="2"/>
        <charset val="1"/>
      </rPr>
      <t xml:space="preserve">1,300 </t>
    </r>
    <r>
      <rPr>
        <sz val="11"/>
        <color theme="1"/>
        <rFont val="Noto Sans CJK SC"/>
        <family val="2"/>
      </rPr>
      <t xml:space="preserve">減非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事業推估約 </t>
    </r>
    <r>
      <rPr>
        <sz val="11"/>
        <color theme="1"/>
        <rFont val="Calibri"/>
        <family val="2"/>
        <charset val="1"/>
      </rPr>
      <t xml:space="preserve">670</t>
    </r>
    <r>
      <rPr>
        <sz val="11"/>
        <color theme="1"/>
        <rFont val="Noto Sans CJK SC"/>
        <family val="2"/>
      </rPr>
      <t xml:space="preserve">，百萬美元）約 </t>
    </r>
    <r>
      <rPr>
        <sz val="11"/>
        <color theme="1"/>
        <rFont val="Calibri"/>
        <family val="2"/>
        <charset val="1"/>
      </rPr>
      <t xml:space="preserve">31 </t>
    </r>
    <r>
      <rPr>
        <sz val="11"/>
        <color theme="1"/>
        <rFont val="Noto Sans CJK SC"/>
        <family val="2"/>
      </rPr>
      <t xml:space="preserve">億美元＝</t>
    </r>
    <r>
      <rPr>
        <sz val="11"/>
        <color theme="1"/>
        <rFont val="Calibri"/>
        <family val="2"/>
        <charset val="1"/>
      </rPr>
      <t xml:space="preserve">113 </t>
    </r>
    <r>
      <rPr>
        <sz val="11"/>
        <color theme="1"/>
        <rFont val="Noto Sans CJK SC"/>
        <family val="2"/>
      </rPr>
      <t xml:space="preserve">億美元，其他廠約 </t>
    </r>
    <r>
      <rPr>
        <sz val="11"/>
        <color theme="1"/>
        <rFont val="Calibri"/>
        <family val="2"/>
        <charset val="1"/>
      </rPr>
      <t xml:space="preserve">0–5 </t>
    </r>
    <r>
      <rPr>
        <sz val="11"/>
        <color theme="1"/>
        <rFont val="Noto Sans CJK SC"/>
        <family val="2"/>
      </rPr>
      <t xml:space="preserve">億；舊值 </t>
    </r>
    <r>
      <rPr>
        <sz val="11"/>
        <color theme="1"/>
        <rFont val="Calibri"/>
        <family val="2"/>
        <charset val="1"/>
      </rPr>
      <t xml:space="preserve">11.0 </t>
    </r>
    <r>
      <rPr>
        <sz val="11"/>
        <color theme="1"/>
        <rFont val="Noto Sans CJK SC"/>
        <family val="2"/>
      </rPr>
      <t xml:space="preserve">已低於兩家合計。低＝舊值 </t>
    </r>
    <r>
      <rPr>
        <sz val="11"/>
        <color theme="1"/>
        <rFont val="Calibri"/>
        <family val="2"/>
        <charset val="1"/>
      </rPr>
      <t xml:space="preserve">11.0</t>
    </r>
    <r>
      <rPr>
        <sz val="11"/>
        <color theme="1"/>
        <rFont val="Noto Sans CJK SC"/>
        <family val="2"/>
      </rPr>
      <t xml:space="preserve">，高＝</t>
    </r>
    <r>
      <rPr>
        <sz val="11"/>
        <color theme="1"/>
        <rFont val="Calibri"/>
        <family val="2"/>
        <charset val="1"/>
      </rPr>
      <t xml:space="preserve">12.0</t>
    </r>
  </si>
  <si>
    <t xml:space="preserve">SIF_ts_mk_soc26</t>
  </si>
  <si>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＋記憶體合計 </t>
    </r>
    <r>
      <rPr>
        <sz val="11"/>
        <color theme="1"/>
        <rFont val="Calibri"/>
        <family val="2"/>
        <charset val="1"/>
      </rPr>
      <t xml:space="preserve">13.0–14.5 </t>
    </r>
    <r>
      <rPr>
        <sz val="11"/>
        <color theme="1"/>
        <rFont val="Noto Sans CJK SC"/>
        <family val="2"/>
      </rPr>
      <t xml:space="preserve">的二手說法與 </t>
    </r>
    <r>
      <rPr>
        <sz val="11"/>
        <color theme="1"/>
        <rFont val="Calibri"/>
        <family val="2"/>
        <charset val="1"/>
      </rPr>
      <t xml:space="preserve">10.5+2.5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11.5+3.0 </t>
    </r>
    <r>
      <rPr>
        <sz val="11"/>
        <color theme="1"/>
        <rFont val="Noto Sans CJK SC"/>
        <family val="2"/>
      </rPr>
      <t xml:space="preserve">一致</t>
    </r>
  </si>
  <si>
    <t xml:space="preserve">ts_mk_mem26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</si>
  <si>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</si>
  <si>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2026-07-29 </t>
    </r>
    <r>
      <rPr>
        <sz val="11"/>
        <color theme="1"/>
        <rFont val="Noto Sans CJK SC"/>
        <family val="2"/>
      </rPr>
      <t xml:space="preserve">公司原文）：記憶體測試機市場上修至 </t>
    </r>
    <r>
      <rPr>
        <sz val="11"/>
        <color theme="1"/>
        <rFont val="Calibri"/>
        <family val="2"/>
        <charset val="1"/>
      </rPr>
      <t xml:space="preserve">25–30 </t>
    </r>
    <r>
      <rPr>
        <sz val="11"/>
        <color theme="1"/>
        <rFont val="Noto Sans CJK SC"/>
        <family val="2"/>
      </rPr>
      <t xml:space="preserve">億美元</t>
    </r>
  </si>
  <si>
    <t xml:space="preserve">SIF_ts_mk_mem26</t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</si>
  <si>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13.0–14.5 </t>
    </r>
    <r>
      <rPr>
        <sz val="11"/>
        <color theme="1"/>
        <rFont val="Noto Sans CJK SC"/>
        <family val="2"/>
      </rPr>
      <t xml:space="preserve">的二手說法間接支持；第二來源：未找到</t>
    </r>
  </si>
  <si>
    <t xml:space="preserve">ts_nonai26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</si>
  <si>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（手機、車用、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、工業等）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</si>
  <si>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需求出現前的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測試機市場：</t>
    </r>
    <r>
      <rPr>
        <sz val="11"/>
        <color theme="1"/>
        <rFont val="Calibri"/>
        <family val="2"/>
        <charset val="1"/>
      </rPr>
      <t xml:space="preserve">Teradyne 4Q22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</t>
    </r>
    <r>
      <rPr>
        <sz val="11"/>
        <color theme="1"/>
        <rFont val="Calibri"/>
        <family val="2"/>
        <charset val="1"/>
      </rPr>
      <t xml:space="preserve">CY2022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4.6</t>
    </r>
    <r>
      <rPr>
        <sz val="11"/>
        <color theme="1"/>
        <rFont val="Noto Sans CJK SC"/>
        <family val="2"/>
      </rPr>
      <t xml:space="preserve">、較 </t>
    </r>
    <r>
      <rPr>
        <sz val="11"/>
        <color theme="1"/>
        <rFont val="Calibri"/>
        <family val="2"/>
        <charset val="1"/>
      </rPr>
      <t xml:space="preserve">2021 −6%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Teradyne 2Q23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CY2023 3.7–4.1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https://www.marketbeat.com/earnings/transcripts/86996 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/94281</t>
    </r>
    <r>
      <rPr>
        <sz val="11"/>
        <color theme="1"/>
        <rFont val="Noto Sans CJK SC"/>
        <family val="2"/>
      </rPr>
      <t xml:space="preserve">）。低＝</t>
    </r>
    <r>
      <rPr>
        <sz val="11"/>
        <color theme="1"/>
        <rFont val="Calibri"/>
        <family val="2"/>
        <charset val="1"/>
      </rPr>
      <t xml:space="preserve">CY2023 </t>
    </r>
    <r>
      <rPr>
        <sz val="11"/>
        <color theme="1"/>
        <rFont val="Noto Sans CJK SC"/>
        <family val="2"/>
      </rPr>
      <t xml:space="preserve">下緣 </t>
    </r>
    <r>
      <rPr>
        <sz val="11"/>
        <color theme="1"/>
        <rFont val="Calibri"/>
        <family val="2"/>
        <charset val="1"/>
      </rPr>
      <t xml:space="preserve">3.7</t>
    </r>
    <r>
      <rPr>
        <sz val="11"/>
        <color theme="1"/>
        <rFont val="Noto Sans CJK SC"/>
        <family val="2"/>
      </rPr>
      <t xml:space="preserve">，高＝</t>
    </r>
    <r>
      <rPr>
        <sz val="11"/>
        <color theme="1"/>
        <rFont val="Calibri"/>
        <family val="2"/>
        <charset val="1"/>
      </rPr>
      <t xml:space="preserve">CY2021 </t>
    </r>
    <r>
      <rPr>
        <sz val="11"/>
        <color theme="1"/>
        <rFont val="Noto Sans CJK SC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，基準＝兩者中點 </t>
    </r>
    <r>
      <rPr>
        <sz val="11"/>
        <color theme="1"/>
        <rFont val="Calibri"/>
        <family val="2"/>
        <charset val="1"/>
      </rPr>
      <t xml:space="preserve">4.3</t>
    </r>
  </si>
  <si>
    <t xml:space="preserve">SIF_ts_nonai26</t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</si>
  <si>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Advantest FY2023 4Q Investor Note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4.3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3.3</t>
    </r>
    <r>
      <rPr>
        <sz val="11"/>
        <color theme="1"/>
        <rFont val="Noto Sans CJK SC"/>
        <family val="2"/>
      </rPr>
      <t xml:space="preserve">（年份標籤未能從摘錄確認，僅作數量級佐證）。搜尋過：</t>
    </r>
    <r>
      <rPr>
        <sz val="11"/>
        <color theme="1"/>
        <rFont val="Calibri"/>
        <family val="2"/>
        <charset val="1"/>
      </rPr>
      <t xml:space="preserve">Teradyne 4Q20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4Q22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2Q23 </t>
    </r>
    <r>
      <rPr>
        <sz val="11"/>
        <color theme="1"/>
        <rFont val="Noto Sans CJK SC"/>
        <family val="2"/>
      </rPr>
      <t xml:space="preserve">法說、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Note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Investors Guide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Technavio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ResearchAndMarkets</t>
    </r>
    <r>
      <rPr>
        <sz val="11"/>
        <color theme="1"/>
        <rFont val="Noto Sans CJK SC"/>
        <family val="2"/>
      </rPr>
      <t xml:space="preserve">（只有增量或不一致的估計，未採）。與現在的差異：</t>
    </r>
    <r>
      <rPr>
        <sz val="11"/>
        <color theme="1"/>
        <rFont val="Calibri"/>
        <family val="2"/>
        <charset val="1"/>
      </rPr>
      <t xml:space="preserve">(1) 2021–22 </t>
    </r>
    <r>
      <rPr>
        <sz val="11"/>
        <color theme="1"/>
        <rFont val="Noto Sans CJK SC"/>
        <family val="2"/>
      </rPr>
      <t xml:space="preserve">已含早期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／運算（</t>
    </r>
    <r>
      <rPr>
        <sz val="11"/>
        <color theme="1"/>
        <rFont val="Calibri"/>
        <family val="2"/>
        <charset val="1"/>
      </rPr>
      <t xml:space="preserve">Teradyne </t>
    </r>
    <r>
      <rPr>
        <sz val="11"/>
        <color theme="1"/>
        <rFont val="Noto Sans CJK SC"/>
        <family val="2"/>
      </rPr>
      <t xml:space="preserve">稱運算部分歷來僅 </t>
    </r>
    <r>
      <rPr>
        <sz val="11"/>
        <color theme="1"/>
        <rFont val="Calibri"/>
        <family val="2"/>
        <charset val="1"/>
      </rPr>
      <t xml:space="preserve">US$0.5–0.6B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2023 </t>
    </r>
    <r>
      <rPr>
        <sz val="11"/>
        <color theme="1"/>
        <rFont val="Noto Sans CJK SC"/>
        <family val="2"/>
      </rPr>
      <t xml:space="preserve">後手機大幅走弱（</t>
    </r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年手機測試市場約 </t>
    </r>
    <r>
      <rPr>
        <sz val="11"/>
        <color theme="1"/>
        <rFont val="Calibri"/>
        <family val="2"/>
        <charset val="1"/>
      </rPr>
      <t xml:space="preserve">1.7</t>
    </r>
    <r>
      <rPr>
        <sz val="11"/>
        <color theme="1"/>
        <rFont val="Noto Sans CJK SC"/>
        <family val="2"/>
      </rPr>
      <t xml:space="preserve">）、車用 </t>
    </r>
    <r>
      <rPr>
        <sz val="11"/>
        <color theme="1"/>
        <rFont val="Calibri"/>
        <family val="2"/>
        <charset val="1"/>
      </rPr>
      <t xml:space="preserve">ADAS </t>
    </r>
    <r>
      <rPr>
        <sz val="11"/>
        <color theme="1"/>
        <rFont val="Noto Sans CJK SC"/>
        <family val="2"/>
      </rPr>
      <t xml:space="preserve">與工業走強；</t>
    </r>
    <r>
      <rPr>
        <sz val="11"/>
        <color theme="1"/>
        <rFont val="Calibri"/>
        <family val="2"/>
        <charset val="1"/>
      </rPr>
      <t xml:space="preserve">(3) Teradyne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TAM </t>
    </r>
    <r>
      <rPr>
        <sz val="11"/>
        <color theme="1"/>
        <rFont val="Noto Sans CJK SC"/>
        <family val="2"/>
      </rPr>
      <t xml:space="preserve">的定義不同（兩家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分別約 </t>
    </r>
    <r>
      <rPr>
        <sz val="11"/>
        <color theme="1"/>
        <rFont val="Calibri"/>
        <family val="2"/>
        <charset val="1"/>
      </rPr>
      <t xml:space="preserve">4.0–4.2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4.1</t>
    </r>
    <r>
      <rPr>
        <sz val="11"/>
        <color theme="1"/>
        <rFont val="Noto Sans CJK SC"/>
        <family val="2"/>
      </rPr>
      <t xml:space="preserve">，相近）；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Noto Sans CJK SC"/>
        <family val="2"/>
      </rPr>
      <t xml:space="preserve">基準假設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2021–23 </t>
    </r>
    <r>
      <rPr>
        <sz val="11"/>
        <color theme="1"/>
        <rFont val="Noto Sans CJK SC"/>
        <family val="2"/>
      </rPr>
      <t xml:space="preserve">區間的中點</t>
    </r>
  </si>
  <si>
    <t xml:space="preserve">ts_g_nonai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</si>
  <si>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市場年增</t>
    </r>
  </si>
  <si>
    <t xml:space="preserve">無</t>
  </si>
  <si>
    <t xml:space="preserve">SIF_ts_g_nonai</t>
  </si>
  <si>
    <t xml:space="preserve">ts_eff_par</t>
  </si>
  <si>
    <t xml:space="preserve">平行測試效率提升（每年降低每加權顆所需測試支出）</t>
  </si>
  <si>
    <r>
      <rPr>
        <sz val="11"/>
        <color theme="1"/>
        <rFont val="Noto Sans CJK SC"/>
        <family val="2"/>
      </rPr>
      <t xml:space="preserve">無：基準為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，不納入基準（納入等於用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預測校準）；只在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</t>
    </r>
  </si>
  <si>
    <t xml:space="preserve">SIF_ts_eff_par</t>
  </si>
  <si>
    <r>
      <rPr>
        <sz val="11"/>
        <color theme="1"/>
        <rFont val="Noto Sans CJK SC"/>
        <family val="2"/>
      </rPr>
      <t xml:space="preserve">低欄＝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、高欄＝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用）；公司未揭露平行度提升</t>
    </r>
  </si>
  <si>
    <t xml:space="preserve">ts_tt_bw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</si>
  <si>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Blackwell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</si>
  <si>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無實證：公司稱每顆測試時間隨複雜度與世代上升，未給倍數；基準世代（定義為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</t>
    </r>
  </si>
  <si>
    <t xml:space="preserve">SIF_ts_tt_bw</t>
  </si>
  <si>
    <r>
      <rPr>
        <sz val="11"/>
        <color theme="1"/>
        <rFont val="Noto Sans CJK SC"/>
        <family val="2"/>
      </rPr>
      <t xml:space="preserve">第二來源：未找到。校準在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年進行，所以係數只決定世代間的相對權重</t>
    </r>
  </si>
  <si>
    <t xml:space="preserve">ts_tt_rb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</si>
  <si>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Rubin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</si>
  <si>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無實證：公司稱每顆測試時間隨複雜度與世代上升，未給倍數；晶粒數、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堆疊數、介面速度上升；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</si>
  <si>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SIF_ts_tt_rb</t>
  </si>
  <si>
    <t xml:space="preserve">ts_tt_ru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</si>
  <si>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Rubin Ultra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</si>
  <si>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  <r>
      <rPr>
        <sz val="11"/>
        <color theme="1"/>
        <rFont val="Noto Sans CJK SC"/>
        <family val="2"/>
      </rPr>
      <t xml:space="preserve">（台積電模型 </t>
    </r>
    <r>
      <rPr>
        <sz val="11"/>
        <color theme="1"/>
        <rFont val="Calibri"/>
        <family val="2"/>
        <charset val="1"/>
      </rPr>
      <t xml:space="preserve">PP </t>
    </r>
    <r>
      <rPr>
        <sz val="11"/>
        <color theme="1"/>
        <rFont val="Noto Sans CJK SC"/>
        <family val="2"/>
      </rPr>
      <t xml:space="preserve">表）；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</si>
  <si>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SIF_ts_tt_ru</t>
  </si>
  <si>
    <t xml:space="preserve">ts_tt_hp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</si>
  <si>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Hopper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</si>
  <si>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無實證：公司稱每顆測試時間隨複雜度與世代上升，未給倍數；單晶粒、</t>
    </r>
    <r>
      <rPr>
        <sz val="11"/>
        <color theme="1"/>
        <rFont val="Calibri"/>
        <family val="2"/>
        <charset val="1"/>
      </rPr>
      <t xml:space="preserve">HBM3E</t>
    </r>
    <r>
      <rPr>
        <sz val="11"/>
        <color theme="1"/>
        <rFont val="Noto Sans CJK SC"/>
        <family val="2"/>
      </rPr>
      <t xml:space="preserve">；上一世代</t>
    </r>
  </si>
  <si>
    <t xml:space="preserve">SIF_ts_tt_hp</t>
  </si>
  <si>
    <t xml:space="preserve">ts_tt_amd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</si>
  <si>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AMD Instinct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</si>
  <si>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MI455X 12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</si>
  <si>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SIF_ts_tt_amd</t>
  </si>
  <si>
    <t xml:space="preserve">ts_tt_tpu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</si>
  <si>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</si>
  <si>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TPU 7→8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</si>
  <si>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SIF_ts_tt_tpu</t>
  </si>
  <si>
    <t xml:space="preserve">ts_tt_trn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</si>
  <si>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</si>
  <si>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無實證：公司稱每顆測試時間隨複雜度與世代上升，未給倍數；較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簡單；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</si>
  <si>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SIF_ts_tt_trn</t>
  </si>
  <si>
    <t xml:space="preserve">ts_tt_oth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</si>
  <si>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</si>
  <si>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無實證：公司稱每顆測試時間隨複雜度與世代上升，未給倍數；中小型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</si>
  <si>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SIF_ts_tt_oth</t>
  </si>
  <si>
    <t xml:space="preserve">ts_w_hbm</t>
  </si>
  <si>
    <r>
      <rPr>
        <sz val="11"/>
        <color theme="1"/>
        <rFont val="Noto Sans CJK SC"/>
        <family val="2"/>
      </rPr>
      <t xml:space="preserve">記憶體測試機需求中隨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位元成長的比重（其餘隨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設備支出）</t>
    </r>
  </si>
  <si>
    <r>
      <rPr>
        <sz val="11"/>
        <color theme="1"/>
        <rFont val="Noto Sans CJK SC"/>
        <family val="2"/>
      </rPr>
      <t xml:space="preserve">無：公司稱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測試機為記憶體成長主力</t>
    </r>
  </si>
  <si>
    <t xml:space="preserve">SIF_ts_w_hbm</t>
  </si>
  <si>
    <t xml:space="preserve">ts_tw_lo</t>
  </si>
  <si>
    <r>
      <rPr>
        <sz val="11"/>
        <color theme="1"/>
        <rFont val="Noto Sans CJK SC"/>
        <family val="2"/>
      </rPr>
      <t xml:space="preserve">公司：測試對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比長期區間 下緣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</si>
  <si>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前五月約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；長期 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可能回到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earningswhispers</t>
    </r>
    <r>
      <rPr>
        <sz val="11"/>
        <color theme="1"/>
        <rFont val="Noto Sans CJK SC"/>
        <family val="2"/>
      </rPr>
      <t xml:space="preserve">）</t>
    </r>
  </si>
  <si>
    <t xml:space="preserve">SIF_ts_tw_lo</t>
  </si>
  <si>
    <r>
      <rPr>
        <sz val="11"/>
        <color theme="1"/>
        <rFont val="Calibri"/>
        <family val="2"/>
        <charset val="1"/>
      </rPr>
      <t xml:space="preserve">gurufocus 2Q26 </t>
    </r>
    <r>
      <rPr>
        <sz val="11"/>
        <color theme="1"/>
        <rFont val="Noto Sans CJK SC"/>
        <family val="2"/>
      </rPr>
      <t xml:space="preserve">摘要（同數字）</t>
    </r>
  </si>
  <si>
    <t xml:space="preserve">ts_tw_hi</t>
  </si>
  <si>
    <r>
      <rPr>
        <sz val="11"/>
        <color theme="1"/>
        <rFont val="Noto Sans CJK SC"/>
        <family val="2"/>
      </rPr>
      <t xml:space="preserve">公司：測試對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比長期區間 上緣</t>
    </r>
  </si>
  <si>
    <t xml:space="preserve">SIF_ts_tw_hi</t>
  </si>
  <si>
    <r>
      <rPr>
        <b val="true"/>
        <sz val="11"/>
        <rFont val="Cambria"/>
        <family val="0"/>
        <charset val="1"/>
      </rPr>
      <t xml:space="preserve">M22. HBM </t>
    </r>
    <r>
      <rPr>
        <b val="true"/>
        <sz val="11"/>
        <rFont val="Noto Sans CJK SC"/>
        <family val="2"/>
      </rPr>
      <t xml:space="preserve">堆疊技術（核心晶粒容量、堆疊層數、混合鍵合占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工序比例 </t>
    </r>
    <r>
      <rPr>
        <b val="true"/>
        <sz val="11"/>
        <rFont val="Cambria"/>
        <family val="0"/>
        <charset val="1"/>
      </rPr>
      <t xml:space="preserve">2025–2030</t>
    </r>
    <r>
      <rPr>
        <b val="true"/>
        <sz val="11"/>
        <rFont val="Noto Sans CJK SC"/>
        <family val="2"/>
      </rPr>
      <t xml:space="preserve">；原在 </t>
    </r>
    <r>
      <rPr>
        <b val="true"/>
        <sz val="11"/>
        <rFont val="Cambria"/>
        <family val="0"/>
        <charset val="1"/>
      </rPr>
      <t xml:space="preserve">disco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hanmi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besi </t>
    </r>
    <r>
      <rPr>
        <b val="true"/>
        <sz val="11"/>
        <rFont val="Noto Sans CJK SC"/>
        <family val="2"/>
      </rPr>
      <t xml:space="preserve">讀同值。混合鍵合為行業技術變數：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起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高、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基準、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低）</t>
    </r>
  </si>
  <si>
    <t xml:space="preserve">hbm_den_25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</si>
  <si>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</si>
  <si>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</si>
  <si>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JESD270-4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24Gb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32Gb </t>
    </r>
    <r>
      <rPr>
        <sz val="11"/>
        <color theme="1"/>
        <rFont val="Noto Sans CJK SC"/>
        <family val="2"/>
      </rPr>
      <t xml:space="preserve">晶粒（</t>
    </r>
    <r>
      <rPr>
        <sz val="11"/>
        <color theme="1"/>
        <rFont val="Calibri"/>
        <family val="2"/>
        <charset val="1"/>
      </rPr>
      <t xml:space="preserve">TrendForce 2025-04-28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HBM3E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24Gb </t>
    </r>
    <r>
      <rPr>
        <sz val="11"/>
        <color theme="1"/>
        <rFont val="Noto Sans CJK SC"/>
        <family val="2"/>
      </rPr>
      <t xml:space="preserve">為主</t>
    </r>
  </si>
  <si>
    <t xml:space="preserve">SIF_hbm_den_25</t>
  </si>
  <si>
    <t xml:space="preserve">組合比例未找到；容量愈大，同樣位元需要的晶粒（研削＋切割次數）愈少</t>
  </si>
  <si>
    <t xml:space="preserve">hbm_den_26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</si>
  <si>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2026</t>
    </r>
  </si>
  <si>
    <t xml:space="preserve">SIF_hbm_den_26</t>
  </si>
  <si>
    <t xml:space="preserve">hbm_den_27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</si>
  <si>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2027</t>
    </r>
  </si>
  <si>
    <t xml:space="preserve">SIF_hbm_den_27</t>
  </si>
  <si>
    <t xml:space="preserve">hbm_den_28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</si>
  <si>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2028</t>
    </r>
  </si>
  <si>
    <t xml:space="preserve">SIF_hbm_den_28</t>
  </si>
  <si>
    <t xml:space="preserve">hbm_den_29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</si>
  <si>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2029</t>
    </r>
  </si>
  <si>
    <t xml:space="preserve">SIF_hbm_den_29</t>
  </si>
  <si>
    <t xml:space="preserve">hbm_den_30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</si>
  <si>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2030</t>
    </r>
  </si>
  <si>
    <t xml:space="preserve">SIF_hbm_den_30</t>
  </si>
  <si>
    <t xml:space="preserve">hbm_stk_25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</si>
  <si>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2025</t>
    </r>
  </si>
  <si>
    <t xml:space="preserve">層</t>
  </si>
  <si>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TrendForce 2025-04-28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HBM3E 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層；</t>
    </r>
    <r>
      <rPr>
        <sz val="11"/>
        <color theme="1"/>
        <rFont val="Calibri"/>
        <family val="2"/>
        <charset val="1"/>
      </rPr>
      <t xml:space="preserve">Rubin Ultra 16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HBM4E</t>
    </r>
    <r>
      <rPr>
        <sz val="11"/>
        <color theme="1"/>
        <rFont val="Noto Sans CJK SC"/>
        <family val="2"/>
      </rPr>
      <t xml:space="preserve">（台積電模型 </t>
    </r>
    <r>
      <rPr>
        <sz val="11"/>
        <color theme="1"/>
        <rFont val="Calibri"/>
        <family val="2"/>
        <charset val="1"/>
      </rPr>
      <t xml:space="preserve">PP </t>
    </r>
    <r>
      <rPr>
        <sz val="11"/>
        <color theme="1"/>
        <rFont val="Noto Sans CJK SC"/>
        <family val="2"/>
      </rPr>
      <t xml:space="preserve">表）</t>
    </r>
  </si>
  <si>
    <t xml:space="preserve">SIF_hbm_stk_25</t>
  </si>
  <si>
    <r>
      <rPr>
        <sz val="11"/>
        <color theme="1"/>
        <rFont val="Noto Sans CJK SC"/>
        <family val="2"/>
      </rPr>
      <t xml:space="preserve">組合比例未找到；每多一層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＝多一顆晶粒要薄化與切割</t>
    </r>
  </si>
  <si>
    <t xml:space="preserve">hbm_stk_26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</si>
  <si>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2026</t>
    </r>
  </si>
  <si>
    <t xml:space="preserve">SIF_hbm_stk_26</t>
  </si>
  <si>
    <t xml:space="preserve">hbm_stk_27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</si>
  <si>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</si>
  <si>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SIF_hbm_stk_27</t>
  </si>
  <si>
    <t xml:space="preserve">hbm_stk_28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</si>
  <si>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</si>
  <si>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SIF_hbm_stk_28</t>
  </si>
  <si>
    <t xml:space="preserve">hbm_stk_29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</si>
  <si>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2029</t>
    </r>
  </si>
  <si>
    <t xml:space="preserve">SIF_hbm_stk_29</t>
  </si>
  <si>
    <t xml:space="preserve">hbm_stk_30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</si>
  <si>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2030</t>
    </r>
  </si>
  <si>
    <t xml:space="preserve">SIF_hbm_stk_30</t>
  </si>
  <si>
    <t xml:space="preserve">hbm_hbp_25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</si>
  <si>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</si>
  <si>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，引 </t>
    </r>
    <r>
      <rPr>
        <sz val="11"/>
        <color theme="1"/>
        <rFont val="Calibri"/>
        <family val="2"/>
        <charset val="1"/>
      </rPr>
      <t xml:space="preserve">ZDNet</t>
    </r>
    <r>
      <rPr>
        <sz val="11"/>
        <color theme="1"/>
        <rFont val="Noto Sans CJK SC"/>
        <family val="2"/>
      </rPr>
      <t xml:space="preserve">）：尚未用於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量產；三星最早在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HBM4E </t>
    </r>
    <r>
      <rPr>
        <sz val="11"/>
        <color theme="1"/>
        <rFont val="Noto Sans CJK SC"/>
        <family val="2"/>
      </rPr>
      <t xml:space="preserve">部分採用；</t>
    </r>
    <r>
      <rPr>
        <sz val="11"/>
        <color theme="1"/>
        <rFont val="Calibri"/>
        <family val="2"/>
        <charset val="1"/>
      </rPr>
      <t xml:space="preserve">JEDEC </t>
    </r>
    <r>
      <rPr>
        <sz val="11"/>
        <color theme="1"/>
        <rFont val="Noto Sans CJK SC"/>
        <family val="2"/>
      </rPr>
      <t xml:space="preserve">討論把高度上限放寬到 </t>
    </r>
    <r>
      <rPr>
        <sz val="11"/>
        <color theme="1"/>
        <rFont val="Calibri"/>
        <family val="2"/>
        <charset val="1"/>
      </rPr>
      <t xml:space="preserve">825–900µm</t>
    </r>
    <r>
      <rPr>
        <sz val="11"/>
        <color theme="1"/>
        <rFont val="Noto Sans CJK SC"/>
        <family val="2"/>
      </rPr>
      <t xml:space="preserve">，可能延後混合鍵合</t>
    </r>
  </si>
  <si>
    <t xml:space="preserve">SIF_hbm_hbp_25</t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</si>
  <si>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Referently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）：混合鍵合仍在導入初期</t>
    </r>
  </si>
  <si>
    <t xml:space="preserve">hbm_hbp_26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</si>
  <si>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2026</t>
    </r>
  </si>
  <si>
    <t xml:space="preserve">SIF_hbm_hbp_26</t>
  </si>
  <si>
    <t xml:space="preserve">hbm_hbp_27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</si>
  <si>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2027</t>
    </r>
  </si>
  <si>
    <t xml:space="preserve">SIF_hbm_hbp_27</t>
  </si>
  <si>
    <t xml:space="preserve">hbm_hbp_28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</si>
  <si>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2028</t>
    </r>
  </si>
  <si>
    <t xml:space="preserve">SIF_hbm_hbp_28</t>
  </si>
  <si>
    <t xml:space="preserve">hbm_hbp_29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</si>
  <si>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2029</t>
    </r>
  </si>
  <si>
    <t xml:space="preserve">SIF_hbm_hbp_29</t>
  </si>
  <si>
    <t xml:space="preserve">hbm_hbp_30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</si>
  <si>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2030</t>
    </r>
  </si>
  <si>
    <t xml:space="preserve">SIF_hbm_hbp_30</t>
  </si>
  <si>
    <r>
      <rPr>
        <b val="true"/>
        <sz val="11"/>
        <rFont val="Cambria"/>
        <family val="0"/>
        <charset val="1"/>
      </rPr>
      <t xml:space="preserve">M23. NAND </t>
    </r>
    <r>
      <rPr>
        <b val="true"/>
        <sz val="11"/>
        <rFont val="Noto Sans CJK SC"/>
        <family val="2"/>
      </rPr>
      <t xml:space="preserve">市場輸入（每顆加速器企業級 </t>
    </r>
    <r>
      <rPr>
        <b val="true"/>
        <sz val="11"/>
        <rFont val="Cambria"/>
        <family val="0"/>
        <charset val="1"/>
      </rPr>
      <t xml:space="preserve">SSD </t>
    </r>
    <r>
      <rPr>
        <b val="true"/>
        <sz val="11"/>
        <rFont val="Noto Sans CJK SC"/>
        <family val="2"/>
      </rPr>
      <t xml:space="preserve">容量、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位元基期與應用結構、各應用位元年增、位元供給年增、各廠季營收〔</t>
    </r>
    <r>
      <rPr>
        <b val="true"/>
        <sz val="11"/>
        <rFont val="Cambria"/>
        <family val="0"/>
        <charset val="1"/>
      </rPr>
      <t xml:space="preserve">TrendForce</t>
    </r>
    <r>
      <rPr>
        <b val="true"/>
        <sz val="11"/>
        <rFont val="Noto Sans CJK SC"/>
        <family val="2"/>
      </rPr>
      <t xml:space="preserve">〕、份額年變動；原在 </t>
    </r>
    <r>
      <rPr>
        <b val="true"/>
        <sz val="11"/>
        <rFont val="Cambria"/>
        <family val="0"/>
        <charset val="1"/>
      </rPr>
      <t xml:space="preserve">markets/nand</t>
    </r>
    <r>
      <rPr>
        <b val="true"/>
        <sz val="11"/>
        <rFont val="Noto Sans CJK SC"/>
        <family val="2"/>
      </rPr>
      <t xml:space="preserve">。合約價季增已在 </t>
    </r>
    <r>
      <rPr>
        <b val="true"/>
        <sz val="11"/>
        <rFont val="Cambria"/>
        <family val="0"/>
        <charset val="1"/>
      </rPr>
      <t xml:space="preserve">M1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SanDisk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Kioxia </t>
    </r>
    <r>
      <rPr>
        <b val="true"/>
        <sz val="11"/>
        <rFont val="Noto Sans CJK SC"/>
        <family val="2"/>
      </rPr>
      <t xml:space="preserve">公司指引留在 </t>
    </r>
    <r>
      <rPr>
        <b val="true"/>
        <sz val="11"/>
        <rFont val="Cambria"/>
        <family val="0"/>
        <charset val="1"/>
      </rPr>
      <t xml:space="preserve">markets/nand</t>
    </r>
    <r>
      <rPr>
        <b val="true"/>
        <sz val="11"/>
        <rFont val="Noto Sans CJK SC"/>
        <family val="2"/>
      </rPr>
      <t xml:space="preserve">）</t>
    </r>
  </si>
  <si>
    <t xml:space="preserve">nd_p10</t>
  </si>
  <si>
    <r>
      <rPr>
        <sz val="11"/>
        <color theme="1"/>
        <rFont val="Calibri"/>
        <family val="2"/>
        <charset val="1"/>
      </rPr>
      <t xml:space="preserve">CY2030 NAND </t>
    </r>
    <r>
      <rPr>
        <sz val="11"/>
        <color theme="1"/>
        <rFont val="Noto Sans CJK SC"/>
        <family val="2"/>
      </rPr>
      <t xml:space="preserve">平均售價年變動（收斂法：十年平均；三情境相同）</t>
    </r>
  </si>
  <si>
    <r>
      <rPr>
        <sz val="11"/>
        <color theme="1"/>
        <rFont val="Noto Sans CJK SC"/>
        <family val="2"/>
      </rPr>
      <t xml:space="preserve">上游 </t>
    </r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季價只到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。收斂法：</t>
    </r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起價格回到長期趨勢＝過去十年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GB </t>
    </r>
    <r>
      <rPr>
        <sz val="11"/>
        <color theme="1"/>
        <rFont val="Noto Sans CJK SC"/>
        <family val="2"/>
      </rPr>
      <t xml:space="preserve">售價的年均變動；可驗證的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$/GB </t>
    </r>
    <r>
      <rPr>
        <sz val="11"/>
        <color theme="1"/>
        <rFont val="Noto Sans CJK SC"/>
        <family val="2"/>
      </rPr>
      <t xml:space="preserve">序列未找到，取每位元成本年降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減去循環中段的溢價（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：製程每代密度提升、價格長期跟隨成本）</t>
    </r>
  </si>
  <si>
    <t xml:space="preserve">SIF_nd_p10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</si>
  <si>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各季季增＝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p10)^(1/4)−1</t>
    </r>
    <r>
      <rPr>
        <sz val="11"/>
        <color theme="1"/>
        <rFont val="Noto Sans CJK SC"/>
        <family val="2"/>
      </rPr>
      <t xml:space="preserve">，自 </t>
    </r>
    <r>
      <rPr>
        <sz val="11"/>
        <color theme="1"/>
        <rFont val="Calibri"/>
        <family val="2"/>
        <charset val="1"/>
      </rPr>
      <t xml:space="preserve">2029Q4 </t>
    </r>
    <r>
      <rPr>
        <sz val="11"/>
        <color theme="1"/>
        <rFont val="Noto Sans CJK SC"/>
        <family val="2"/>
      </rPr>
      <t xml:space="preserve">起算；低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、高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列）</t>
    </r>
  </si>
  <si>
    <t xml:space="preserve">nd_tb_26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</si>
  <si>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</si>
  <si>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TB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</si>
  <si>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推論的 </t>
    </r>
    <r>
      <rPr>
        <sz val="11"/>
        <color theme="1"/>
        <rFont val="Calibri"/>
        <family val="2"/>
        <charset val="1"/>
      </rPr>
      <t xml:space="preserve">KV </t>
    </r>
    <r>
      <rPr>
        <sz val="11"/>
        <color theme="1"/>
        <rFont val="Noto Sans CJK SC"/>
        <family val="2"/>
      </rPr>
      <t xml:space="preserve">快取卸載、</t>
    </r>
    <r>
      <rPr>
        <sz val="11"/>
        <color theme="1"/>
        <rFont val="Calibri"/>
        <family val="2"/>
        <charset val="1"/>
      </rPr>
      <t xml:space="preserve">RAG </t>
    </r>
    <r>
      <rPr>
        <sz val="11"/>
        <color theme="1"/>
        <rFont val="Noto Sans CJK SC"/>
        <family val="2"/>
      </rPr>
      <t xml:space="preserve">向量庫、檢查點與資料湖（伺服器內建＋外接儲存）。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值使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約占位元需求四成（</t>
    </r>
    <r>
      <rPr>
        <sz val="11"/>
        <color theme="1"/>
        <rFont val="Calibri"/>
        <family val="2"/>
        <charset val="1"/>
      </rPr>
      <t xml:space="preserve">TrendForce 2026-07</t>
    </r>
    <r>
      <rPr>
        <sz val="11"/>
        <color theme="1"/>
        <rFont val="Noto Sans CJK SC"/>
        <family val="2"/>
      </rPr>
      <t xml:space="preserve">：伺服器約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Counterpoint 2Q26</t>
    </r>
    <r>
      <rPr>
        <sz val="11"/>
        <color theme="1"/>
        <rFont val="Noto Sans CJK SC"/>
        <family val="2"/>
      </rPr>
      <t xml:space="preserve">：企業級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占出貨位元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）</t>
    </r>
  </si>
  <si>
    <t xml:space="preserve">SIF_nd_tb_26</t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</si>
  <si>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±20%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列）；三情境相同（情境差異來自顆數）</t>
    </r>
  </si>
  <si>
    <t xml:space="preserve">nd_tb_27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</si>
  <si>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</si>
  <si>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每年約 </t>
    </r>
    <r>
      <rPr>
        <sz val="11"/>
        <color theme="1"/>
        <rFont val="Calibri"/>
        <family val="2"/>
        <charset val="1"/>
      </rPr>
      <t xml:space="preserve">+13–18%</t>
    </r>
    <r>
      <rPr>
        <sz val="11"/>
        <color theme="1"/>
        <rFont val="Noto Sans CJK SC"/>
        <family val="2"/>
      </rPr>
      <t xml:space="preserve">：單顆加速器記憶體與脈絡長度增加（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</si>
  <si>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SIF_nd_tb_27</t>
  </si>
  <si>
    <t xml:space="preserve">nd_tb_28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</si>
  <si>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2028</t>
    </r>
  </si>
  <si>
    <t xml:space="preserve">SIF_nd_tb_28</t>
  </si>
  <si>
    <t xml:space="preserve">nd_tb_29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</si>
  <si>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2029</t>
    </r>
  </si>
  <si>
    <t xml:space="preserve">SIF_nd_tb_29</t>
  </si>
  <si>
    <t xml:space="preserve">nd_tb_30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</si>
  <si>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2030</t>
    </r>
  </si>
  <si>
    <t xml:space="preserve">SIF_nd_tb_30</t>
  </si>
  <si>
    <t xml:space="preserve">nd_bits25</t>
  </si>
  <si>
    <r>
      <rPr>
        <sz val="11"/>
        <color theme="1"/>
        <rFont val="Calibri"/>
        <family val="2"/>
        <charset val="1"/>
      </rPr>
      <t xml:space="preserve">2025 NAND </t>
    </r>
    <r>
      <rPr>
        <sz val="11"/>
        <color theme="1"/>
        <rFont val="Noto Sans CJK SC"/>
        <family val="2"/>
      </rPr>
      <t xml:space="preserve">位元出貨（全產業）</t>
    </r>
  </si>
  <si>
    <t xml:space="preserve">EB</t>
  </si>
  <si>
    <r>
      <rPr>
        <sz val="11"/>
        <color theme="1"/>
        <rFont val="Noto Sans CJK SC"/>
        <family val="2"/>
      </rPr>
      <t xml:space="preserve">全產業 </t>
    </r>
    <r>
      <rPr>
        <sz val="11"/>
        <color theme="1"/>
        <rFont val="Calibri"/>
        <family val="2"/>
        <charset val="1"/>
      </rPr>
      <t xml:space="preserve">EB </t>
    </r>
    <r>
      <rPr>
        <sz val="11"/>
        <color theme="1"/>
        <rFont val="Noto Sans CJK SC"/>
        <family val="2"/>
      </rPr>
      <t xml:space="preserve">的公開數字未找到（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付費）；以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$72B ÷ </t>
    </r>
    <r>
      <rPr>
        <sz val="11"/>
        <color theme="1"/>
        <rFont val="Noto Sans CJK SC"/>
        <family val="2"/>
      </rPr>
      <t xml:space="preserve">合約均價約 </t>
    </r>
    <r>
      <rPr>
        <sz val="11"/>
        <color theme="1"/>
        <rFont val="Calibri"/>
        <family val="2"/>
        <charset val="1"/>
      </rPr>
      <t xml:space="preserve">$0.07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 </t>
    </r>
    <r>
      <rPr>
        <sz val="11"/>
        <color theme="1"/>
        <rFont val="Noto Sans CJK SC"/>
        <family val="2"/>
      </rPr>
      <t xml:space="preserve">粗估約 </t>
    </r>
    <r>
      <rPr>
        <sz val="11"/>
        <color theme="1"/>
        <rFont val="Calibri"/>
        <family val="2"/>
        <charset val="1"/>
      </rPr>
      <t xml:space="preserve">1 ZB</t>
    </r>
  </si>
  <si>
    <t xml:space="preserve">SIF_nd_bits25</t>
  </si>
  <si>
    <r>
      <rPr>
        <sz val="11"/>
        <color theme="1"/>
        <rFont val="Noto Sans CJK SC"/>
        <family val="2"/>
      </rPr>
      <t xml:space="preserve">只影響 </t>
    </r>
    <r>
      <rPr>
        <sz val="11"/>
        <color theme="1"/>
        <rFont val="Calibri"/>
        <family val="2"/>
        <charset val="1"/>
      </rPr>
      <t xml:space="preserve">EB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$/GB </t>
    </r>
    <r>
      <rPr>
        <sz val="11"/>
        <color theme="1"/>
        <rFont val="Noto Sans CJK SC"/>
        <family val="2"/>
      </rPr>
      <t xml:space="preserve">的絕對值，以及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需求（顆數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容量，絕對量）與其他應用（比例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基期）的相對大小；營收以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實績為錨，不受基期水準影響</t>
    </r>
  </si>
  <si>
    <t xml:space="preserve">nd_g25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</si>
  <si>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位元出貨年增（推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位元）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</si>
  <si>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上半庫存去化、下半價漲；全年位元成長公開數字未找到</t>
    </r>
  </si>
  <si>
    <t xml:space="preserve">SIF_nd_g25</t>
  </si>
  <si>
    <r>
      <rPr>
        <sz val="11"/>
        <color theme="1"/>
        <rFont val="Noto Sans CJK SC"/>
        <family val="2"/>
      </rPr>
      <t xml:space="preserve">只用於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欄</t>
    </r>
  </si>
  <si>
    <t xml:space="preserve">nd_sh_essd25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</si>
  <si>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占位元需求</t>
    </r>
  </si>
  <si>
    <r>
      <rPr>
        <sz val="11"/>
        <color theme="1"/>
        <rFont val="Calibri"/>
        <family val="2"/>
        <charset val="1"/>
      </rPr>
      <t xml:space="preserve">Counterpoint 2Q25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48%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capitalandcompute 2026-08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Counterpoint Q2 2026 Memory &amp; Storage Tracker</t>
    </r>
    <r>
      <rPr>
        <sz val="11"/>
        <color theme="1"/>
        <rFont val="Noto Sans CJK SC"/>
        <family val="2"/>
      </rPr>
      <t xml:space="preserve">）</t>
    </r>
  </si>
  <si>
    <t xml:space="preserve">SIF_nd_sh_essd25</t>
  </si>
  <si>
    <r>
      <rPr>
        <sz val="11"/>
        <color theme="1"/>
        <rFont val="Noto Sans CJK SC"/>
        <family val="2"/>
      </rPr>
      <t xml:space="preserve">全年平均取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（下半年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伺服器拉貨，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</si>
  <si>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nd_ai25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</si>
  <si>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伺服器的比例</t>
    </r>
  </si>
  <si>
    <r>
      <rPr>
        <sz val="11"/>
        <color theme="1"/>
        <rFont val="Noto Sans CJK SC"/>
        <family val="2"/>
      </rPr>
      <t xml:space="preserve">未找到；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伺服器（加速器）帶動的企業級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約過半</t>
    </r>
  </si>
  <si>
    <t xml:space="preserve">SIF_nd_ai25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</si>
  <si>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部分改由顆數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每顆容量推導</t>
    </r>
  </si>
  <si>
    <t xml:space="preserve">nd_sh_mob25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</si>
  <si>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手機占位元需求</t>
    </r>
  </si>
  <si>
    <r>
      <rPr>
        <sz val="11"/>
        <color theme="1"/>
        <rFont val="Calibri"/>
        <family val="2"/>
        <charset val="1"/>
      </rPr>
      <t xml:space="preserve">TrendForce 2026-07</t>
    </r>
    <r>
      <rPr>
        <sz val="11"/>
        <color theme="1"/>
        <rFont val="Noto Sans CJK SC"/>
        <family val="2"/>
      </rPr>
      <t xml:space="preserve">：手機與筆電合計約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，企業級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擴大後）；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手機約三成</t>
    </r>
  </si>
  <si>
    <t xml:space="preserve">SIF_nd_sh_mob25</t>
  </si>
  <si>
    <t xml:space="preserve">nd_sh_pc25</t>
  </si>
  <si>
    <r>
      <rPr>
        <sz val="11"/>
        <color theme="1"/>
        <rFont val="Calibri"/>
        <family val="2"/>
        <charset val="1"/>
      </rPr>
      <t xml:space="preserve">2025 PC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client SSD</t>
    </r>
    <r>
      <rPr>
        <sz val="11"/>
        <color theme="1"/>
        <rFont val="Noto Sans CJK SC"/>
        <family val="2"/>
      </rPr>
      <t xml:space="preserve">）占位元需求</t>
    </r>
  </si>
  <si>
    <t xml:space="preserve">SIF_nd_sh_pc25</t>
  </si>
  <si>
    <r>
      <rPr>
        <sz val="11"/>
        <color theme="1"/>
        <rFont val="Noto Sans CJK SC"/>
        <family val="2"/>
      </rPr>
      <t xml:space="preserve">消費性（記憶卡、</t>
    </r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Noto Sans CJK SC"/>
        <family val="2"/>
      </rPr>
      <t xml:space="preserve">、遊戲機、車用等）＝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其餘</t>
    </r>
  </si>
  <si>
    <t xml:space="preserve">nd_g_nai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</si>
  <si>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位元年增（一般伺服器、儲存陣列取代 </t>
    </r>
    <r>
      <rPr>
        <sz val="11"/>
        <color theme="1"/>
        <rFont val="Calibri"/>
        <family val="2"/>
        <charset val="1"/>
      </rPr>
      <t xml:space="preserve">HDD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</si>
  <si>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QLC </t>
    </r>
    <r>
      <rPr>
        <sz val="11"/>
        <color theme="1"/>
        <rFont val="Noto Sans CJK SC"/>
        <family val="2"/>
      </rPr>
      <t xml:space="preserve">取代近線 </t>
    </r>
    <r>
      <rPr>
        <sz val="11"/>
        <color theme="1"/>
        <rFont val="Calibri"/>
        <family val="2"/>
        <charset val="1"/>
      </rPr>
      <t xml:space="preserve">HDD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 2025-09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HDD </t>
    </r>
    <r>
      <rPr>
        <sz val="11"/>
        <color theme="1"/>
        <rFont val="Noto Sans CJK SC"/>
        <family val="2"/>
      </rPr>
      <t xml:space="preserve">交期逾 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週）</t>
    </r>
  </si>
  <si>
    <t xml:space="preserve">SIF_nd_g_nai</t>
  </si>
  <si>
    <t xml:space="preserve">三情境相同</t>
  </si>
  <si>
    <t xml:space="preserve">nd_g_mob_26</t>
  </si>
  <si>
    <r>
      <rPr>
        <sz val="11"/>
        <color theme="1"/>
        <rFont val="Noto Sans CJK SC"/>
        <family val="2"/>
      </rPr>
      <t xml:space="preserve">手機位元年增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</si>
  <si>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：手機、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因 </t>
    </r>
    <r>
      <rPr>
        <sz val="11"/>
        <color theme="1"/>
        <rFont val="Calibri"/>
        <family val="2"/>
        <charset val="1"/>
      </rPr>
      <t xml:space="preserve">BOM </t>
    </r>
    <r>
      <rPr>
        <sz val="11"/>
        <color theme="1"/>
        <rFont val="Noto Sans CJK SC"/>
        <family val="2"/>
      </rPr>
      <t xml:space="preserve">成本上升需求轉弱；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起每機容量回升</t>
    </r>
  </si>
  <si>
    <t xml:space="preserve">SIF_nd_g_mob_26</t>
  </si>
  <si>
    <r>
      <rPr>
        <sz val="11"/>
        <color theme="1"/>
        <rFont val="Noto Sans CJK SC"/>
        <family val="2"/>
      </rPr>
      <t xml:space="preserve">三情境相同（非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應用不隨加速器情境）</t>
    </r>
  </si>
  <si>
    <t xml:space="preserve">nd_g_mob_27</t>
  </si>
  <si>
    <r>
      <rPr>
        <sz val="11"/>
        <color theme="1"/>
        <rFont val="Noto Sans CJK SC"/>
        <family val="2"/>
      </rPr>
      <t xml:space="preserve">手機位元年增 </t>
    </r>
    <r>
      <rPr>
        <sz val="11"/>
        <color theme="1"/>
        <rFont val="Calibri"/>
        <family val="2"/>
        <charset val="1"/>
      </rPr>
      <t xml:space="preserve">2027</t>
    </r>
  </si>
  <si>
    <t xml:space="preserve">SIF_nd_g_mob_27</t>
  </si>
  <si>
    <t xml:space="preserve">nd_g_mob_28</t>
  </si>
  <si>
    <r>
      <rPr>
        <sz val="11"/>
        <color theme="1"/>
        <rFont val="Noto Sans CJK SC"/>
        <family val="2"/>
      </rPr>
      <t xml:space="preserve">手機位元年增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2029–30 </t>
    </r>
    <r>
      <rPr>
        <sz val="11"/>
        <color theme="1"/>
        <rFont val="Noto Sans CJK SC"/>
        <family val="2"/>
      </rPr>
      <t xml:space="preserve">同此值）</t>
    </r>
  </si>
  <si>
    <t xml:space="preserve">SIF_nd_g_mob_28</t>
  </si>
  <si>
    <t xml:space="preserve">nd_g_pc_26</t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</si>
  <si>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位元年增 </t>
    </r>
    <r>
      <rPr>
        <sz val="11"/>
        <color theme="1"/>
        <rFont val="Calibri"/>
        <family val="2"/>
        <charset val="1"/>
      </rPr>
      <t xml:space="preserve">2026</t>
    </r>
  </si>
  <si>
    <t xml:space="preserve">SIF_nd_g_pc_26</t>
  </si>
  <si>
    <t xml:space="preserve">nd_g_pc_27</t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</si>
  <si>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位元年增 </t>
    </r>
    <r>
      <rPr>
        <sz val="11"/>
        <color theme="1"/>
        <rFont val="Calibri"/>
        <family val="2"/>
        <charset val="1"/>
      </rPr>
      <t xml:space="preserve">2027</t>
    </r>
  </si>
  <si>
    <t xml:space="preserve">SIF_nd_g_pc_27</t>
  </si>
  <si>
    <t xml:space="preserve">nd_g_pc_28</t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</si>
  <si>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位元年增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2029–30 </t>
    </r>
    <r>
      <rPr>
        <sz val="11"/>
        <color theme="1"/>
        <rFont val="Noto Sans CJK SC"/>
        <family val="2"/>
      </rPr>
      <t xml:space="preserve">同此值）</t>
    </r>
  </si>
  <si>
    <t xml:space="preserve">SIF_nd_g_pc_28</t>
  </si>
  <si>
    <t xml:space="preserve">nd_g_con_26</t>
  </si>
  <si>
    <r>
      <rPr>
        <sz val="11"/>
        <color theme="1"/>
        <rFont val="Noto Sans CJK SC"/>
        <family val="2"/>
      </rPr>
      <t xml:space="preserve">消費性與其他位元年增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</si>
  <si>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微軟、任天堂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年遊戲機漲價（儲存成本上升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倍）</t>
    </r>
  </si>
  <si>
    <t xml:space="preserve">SIF_nd_g_con_26</t>
  </si>
  <si>
    <t xml:space="preserve">nd_g_con_27</t>
  </si>
  <si>
    <r>
      <rPr>
        <sz val="11"/>
        <color theme="1"/>
        <rFont val="Noto Sans CJK SC"/>
        <family val="2"/>
      </rPr>
      <t xml:space="preserve">消費性與其他位元年增 </t>
    </r>
    <r>
      <rPr>
        <sz val="11"/>
        <color theme="1"/>
        <rFont val="Calibri"/>
        <family val="2"/>
        <charset val="1"/>
      </rPr>
      <t xml:space="preserve">2027</t>
    </r>
  </si>
  <si>
    <t xml:space="preserve">SIF_nd_g_con_27</t>
  </si>
  <si>
    <t xml:space="preserve">nd_g_con_28</t>
  </si>
  <si>
    <r>
      <rPr>
        <sz val="11"/>
        <color theme="1"/>
        <rFont val="Noto Sans CJK SC"/>
        <family val="2"/>
      </rPr>
      <t xml:space="preserve">消費性與其他位元年增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2029–30 </t>
    </r>
    <r>
      <rPr>
        <sz val="11"/>
        <color theme="1"/>
        <rFont val="Noto Sans CJK SC"/>
        <family val="2"/>
      </rPr>
      <t xml:space="preserve">同此值）</t>
    </r>
  </si>
  <si>
    <t xml:space="preserve">SIF_nd_g_con_28</t>
  </si>
  <si>
    <t xml:space="preserve">nd_gs_26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</si>
  <si>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</si>
  <si>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FQ4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）：產業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位元出貨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段、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約中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段，供給受限至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Guru3D 2026-10-01 </t>
    </r>
    <r>
      <rPr>
        <sz val="11"/>
        <color theme="1"/>
        <rFont val="Noto Sans CJK SC"/>
        <family val="2"/>
      </rPr>
      <t xml:space="preserve">轉載）</t>
    </r>
  </si>
  <si>
    <t xml:space="preserve">SIF_nd_gs_26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</si>
  <si>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晶圓投片約 −</t>
    </r>
    <r>
      <rPr>
        <sz val="11"/>
        <color theme="1"/>
        <rFont val="Calibri"/>
        <family val="2"/>
        <charset val="1"/>
      </rPr>
      <t xml:space="preserve">4.5%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（投資轉向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borecraft 2026-05-26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DigiTimes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Blocks &amp; Files</t>
    </r>
    <r>
      <rPr>
        <sz val="11"/>
        <color theme="1"/>
        <rFont val="Noto Sans CJK SC"/>
        <family val="2"/>
      </rPr>
      <t xml:space="preserve">），位元成長來自層數</t>
    </r>
  </si>
  <si>
    <t xml:space="preserve">nd_gs_27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</si>
  <si>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2027</t>
    </r>
  </si>
  <si>
    <t xml:space="preserve">SIF_nd_gs_27</t>
  </si>
  <si>
    <t xml:space="preserve">nd_gs_28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</si>
  <si>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2028</t>
    </r>
  </si>
  <si>
    <t xml:space="preserve">SIF_nd_gs_28</t>
  </si>
  <si>
    <t xml:space="preserve">nd_gs_29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</si>
  <si>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</si>
  <si>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上游無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北上 </t>
    </r>
    <r>
      <rPr>
        <sz val="11"/>
        <color theme="1"/>
        <rFont val="Calibri"/>
        <family val="2"/>
        <charset val="1"/>
      </rPr>
      <t xml:space="preserve">K2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BiCS10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332 </t>
    </r>
    <r>
      <rPr>
        <sz val="11"/>
        <color theme="1"/>
        <rFont val="Noto Sans CJK SC"/>
        <family val="2"/>
      </rPr>
      <t xml:space="preserve">層）、三星 </t>
    </r>
    <r>
      <rPr>
        <sz val="11"/>
        <color theme="1"/>
        <rFont val="Calibri"/>
        <family val="2"/>
        <charset val="1"/>
      </rPr>
      <t xml:space="preserve">V10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430 </t>
    </r>
    <r>
      <rPr>
        <sz val="11"/>
        <color theme="1"/>
        <rFont val="Noto Sans CJK SC"/>
        <family val="2"/>
      </rPr>
      <t xml:space="preserve">層以上）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起量產</t>
    </r>
  </si>
  <si>
    <t xml:space="preserve">SIF_nd_gs_29</t>
  </si>
  <si>
    <t xml:space="preserve">nd_gs_30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</si>
  <si>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2030</t>
    </r>
  </si>
  <si>
    <t xml:space="preserve">SIF_nd_gs_30</t>
  </si>
  <si>
    <t xml:space="preserve">nd_rv_ss_0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</si>
  <si>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</si>
  <si>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季增）（</t>
    </r>
    <r>
      <rPr>
        <sz val="11"/>
        <color theme="1"/>
        <rFont val="Calibri"/>
        <family val="2"/>
        <charset val="1"/>
      </rPr>
      <t xml:space="preserve">TrendForce 2025-08-28</t>
    </r>
    <r>
      <rPr>
        <sz val="11"/>
        <color theme="1"/>
        <rFont val="Noto Sans CJK SC"/>
        <family val="2"/>
      </rPr>
      <t xml:space="preserve">：三星 </t>
    </r>
    <r>
      <rPr>
        <sz val="11"/>
        <color theme="1"/>
        <rFont val="Calibri"/>
        <family val="2"/>
        <charset val="1"/>
      </rPr>
      <t xml:space="preserve">+23.8%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+52.5%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Kioxia +11.4%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+3.7%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SanDisk +12.2%</t>
    </r>
    <r>
      <rPr>
        <sz val="11"/>
        <color theme="1"/>
        <rFont val="Noto Sans CJK SC"/>
        <family val="2"/>
      </rPr>
      <t xml:space="preserve">）</t>
    </r>
  </si>
  <si>
    <t xml:space="preserve">SIF_nd_rv_ss_0</t>
  </si>
  <si>
    <t xml:space="preserve">nd_rv_ss_1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</si>
  <si>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</si>
  <si>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 2025-08-28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前五大 </t>
    </r>
    <r>
      <rPr>
        <sz val="11"/>
        <color theme="1"/>
        <rFont val="Calibri"/>
        <family val="2"/>
        <charset val="1"/>
      </rPr>
      <t xml:space="preserve">$14.67B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https://www.trendforce.com/presscenter/news/20250828-12688.html</t>
    </r>
  </si>
  <si>
    <t xml:space="preserve">SIF_nd_rv_ss_1</t>
  </si>
  <si>
    <t xml:space="preserve">nd_rv_ss_2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</si>
  <si>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</si>
  <si>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r>
      <rPr>
        <sz val="11"/>
        <color theme="1"/>
        <rFont val="Calibri"/>
        <family val="2"/>
        <charset val="1"/>
      </rPr>
      <t xml:space="preserve">TrendForce 2025-12-03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前五大約 </t>
    </r>
    <r>
      <rPr>
        <sz val="11"/>
        <color theme="1"/>
        <rFont val="Calibri"/>
        <family val="2"/>
        <charset val="1"/>
      </rPr>
      <t xml:space="preserve">$17.1B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https://www.trendforce.com/presscenter/news/20251203-12813.html</t>
    </r>
  </si>
  <si>
    <t xml:space="preserve">SIF_nd_rv_ss_2</t>
  </si>
  <si>
    <t xml:space="preserve">nd_rv_ss_3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</si>
  <si>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</si>
  <si>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前五大 </t>
    </r>
    <r>
      <rPr>
        <sz val="11"/>
        <color theme="1"/>
        <rFont val="Calibri"/>
        <family val="2"/>
        <charset val="1"/>
      </rPr>
      <t xml:space="preserve">$21.17B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+23.8%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I-Connect007 </t>
    </r>
    <r>
      <rPr>
        <sz val="11"/>
        <color theme="1"/>
        <rFont val="Noto Sans CJK SC"/>
        <family val="2"/>
      </rPr>
      <t xml:space="preserve">轉載）</t>
    </r>
  </si>
  <si>
    <t xml:space="preserve">SIF_nd_rv_ss_3</t>
  </si>
  <si>
    <t xml:space="preserve">nd_rv_ss_4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</si>
  <si>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</si>
  <si>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季增）（</t>
    </r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：三星 </t>
    </r>
    <r>
      <rPr>
        <sz val="11"/>
        <color theme="1"/>
        <rFont val="Calibri"/>
        <family val="2"/>
        <charset val="1"/>
      </rPr>
      <t xml:space="preserve">+70.7%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+89.5%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+99.2%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Kioxia +79.9%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SanDisk +50.7%</t>
    </r>
    <r>
      <rPr>
        <sz val="11"/>
        <color theme="1"/>
        <rFont val="Noto Sans CJK SC"/>
        <family val="2"/>
      </rPr>
      <t xml:space="preserve">）</t>
    </r>
  </si>
  <si>
    <t xml:space="preserve">SIF_nd_rv_ss_4</t>
  </si>
  <si>
    <t xml:space="preserve">nd_rv_ss_5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</si>
  <si>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</si>
  <si>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NAND </t>
    </r>
    <r>
      <rPr>
        <sz val="11"/>
        <color theme="1"/>
        <rFont val="Noto Sans CJK SC"/>
        <family val="2"/>
      </rPr>
      <t xml:space="preserve">前五大營收排名）</t>
    </r>
    <r>
      <rPr>
        <sz val="11"/>
        <color theme="1"/>
        <rFont val="Calibri"/>
        <family val="2"/>
        <charset val="1"/>
      </rPr>
      <t xml:space="preserve">https://www.trendforce.com/presscenter/news/20260818-13186.html</t>
    </r>
  </si>
  <si>
    <t xml:space="preserve">SIF_nd_rv_ss_5</t>
  </si>
  <si>
    <t xml:space="preserve">nd_rv_sk_0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</si>
  <si>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</si>
  <si>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SIF_nd_rv_sk_0</t>
  </si>
  <si>
    <t xml:space="preserve">nd_rv_sk_1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</si>
  <si>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</si>
  <si>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t xml:space="preserve">SIF_nd_rv_sk_1</t>
  </si>
  <si>
    <t xml:space="preserve">nd_rv_sk_2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</si>
  <si>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</si>
  <si>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SIF_nd_rv_sk_2</t>
  </si>
  <si>
    <t xml:space="preserve">nd_rv_sk_3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</si>
  <si>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</si>
  <si>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SIF_nd_rv_sk_3</t>
  </si>
  <si>
    <t xml:space="preserve">nd_rv_sk_4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</si>
  <si>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</si>
  <si>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SIF_nd_rv_sk_4</t>
  </si>
  <si>
    <t xml:space="preserve">nd_rv_sk_5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</si>
  <si>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</si>
  <si>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SIF_nd_rv_sk_5</t>
  </si>
  <si>
    <t xml:space="preserve">nd_rv_mu_0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</si>
  <si>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</si>
  <si>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SIF_nd_rv_mu_0</t>
  </si>
  <si>
    <t xml:space="preserve">nd_rv_mu_1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</si>
  <si>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</si>
  <si>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t xml:space="preserve">SIF_nd_rv_mu_1</t>
  </si>
  <si>
    <t xml:space="preserve">nd_rv_mu_2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</si>
  <si>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</si>
  <si>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SIF_nd_rv_mu_2</t>
  </si>
  <si>
    <t xml:space="preserve">nd_rv_mu_3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</si>
  <si>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</si>
  <si>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SIF_nd_rv_mu_3</t>
  </si>
  <si>
    <t xml:space="preserve">nd_rv_mu_4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</si>
  <si>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</si>
  <si>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SIF_nd_rv_mu_4</t>
  </si>
  <si>
    <t xml:space="preserve">nd_rv_mu_5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</si>
  <si>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</si>
  <si>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SIF_nd_rv_mu_5</t>
  </si>
  <si>
    <t xml:space="preserve">nd_rv_kx_0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</si>
  <si>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</si>
  <si>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SIF_nd_rv_kx_0</t>
  </si>
  <si>
    <t xml:space="preserve">nd_rv_kx_1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</si>
  <si>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</si>
  <si>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t xml:space="preserve">SIF_nd_rv_kx_1</t>
  </si>
  <si>
    <t xml:space="preserve">nd_rv_kx_2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</si>
  <si>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</si>
  <si>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SIF_nd_rv_kx_2</t>
  </si>
  <si>
    <t xml:space="preserve">nd_rv_kx_3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</si>
  <si>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</si>
  <si>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SIF_nd_rv_kx_3</t>
  </si>
  <si>
    <t xml:space="preserve">nd_rv_kx_4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</si>
  <si>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</si>
  <si>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SIF_nd_rv_kx_4</t>
  </si>
  <si>
    <t xml:space="preserve">nd_rv_kx_5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</si>
  <si>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</si>
  <si>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SIF_nd_rv_kx_5</t>
  </si>
  <si>
    <t xml:space="preserve">nd_rv_sd_0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</si>
  <si>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</si>
  <si>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SIF_nd_rv_sd_0</t>
  </si>
  <si>
    <t xml:space="preserve">nd_rv_sd_1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</si>
  <si>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</si>
  <si>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t xml:space="preserve">SIF_nd_rv_sd_1</t>
  </si>
  <si>
    <t xml:space="preserve">nd_rv_sd_2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</si>
  <si>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</si>
  <si>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SIF_nd_rv_sd_2</t>
  </si>
  <si>
    <t xml:space="preserve">nd_rv_sd_3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</si>
  <si>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</si>
  <si>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SIF_nd_rv_sd_3</t>
  </si>
  <si>
    <t xml:space="preserve">nd_rv_sd_4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</si>
  <si>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</si>
  <si>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SIF_nd_rv_sd_4</t>
  </si>
  <si>
    <t xml:space="preserve">nd_rv_sd_5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</si>
  <si>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</si>
  <si>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SIF_nd_rv_sd_5</t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</si>
  <si>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公司營收：</t>
    </r>
    <r>
      <rPr>
        <sz val="11"/>
        <color theme="1"/>
        <rFont val="Calibri"/>
        <family val="2"/>
        <charset val="1"/>
      </rPr>
      <t xml:space="preserve">FQ1 FY26 2.308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FQ2 3.025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FQ3 5.950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FQ4 8.965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），與 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一致</t>
    </r>
  </si>
  <si>
    <t xml:space="preserve">nd_rev24</t>
  </si>
  <si>
    <r>
      <rPr>
        <sz val="11"/>
        <color theme="1"/>
        <rFont val="Calibri"/>
        <family val="2"/>
        <charset val="1"/>
      </rPr>
      <t xml:space="preserve">2024 NAND </t>
    </r>
    <r>
      <rPr>
        <sz val="11"/>
        <color theme="1"/>
        <rFont val="Noto Sans CJK SC"/>
        <family val="2"/>
      </rPr>
      <t xml:space="preserve">市場營收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</si>
  <si>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TelecomLead </t>
    </r>
    <r>
      <rPr>
        <sz val="11"/>
        <color theme="1"/>
        <rFont val="Noto Sans CJK SC"/>
        <family val="2"/>
      </rPr>
      <t xml:space="preserve">轉載）：</t>
    </r>
    <r>
      <rPr>
        <sz val="11"/>
        <color theme="1"/>
        <rFont val="Calibri"/>
        <family val="2"/>
        <charset val="1"/>
      </rPr>
      <t xml:space="preserve">2024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$67.4B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+77%</t>
    </r>
    <r>
      <rPr>
        <sz val="11"/>
        <color theme="1"/>
        <rFont val="Noto Sans CJK SC"/>
        <family val="2"/>
      </rPr>
      <t xml:space="preserve">）</t>
    </r>
  </si>
  <si>
    <t xml:space="preserve">SIF_nd_rev24</t>
  </si>
  <si>
    <r>
      <rPr>
        <sz val="11"/>
        <color theme="1"/>
        <rFont val="Noto Sans CJK SC"/>
        <family val="2"/>
      </rPr>
      <t xml:space="preserve">第二來源：未找到；只用於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欄</t>
    </r>
  </si>
  <si>
    <t xml:space="preserve">nd_dr_ss</t>
  </si>
  <si>
    <r>
      <rPr>
        <sz val="11"/>
        <color theme="1"/>
        <rFont val="Noto Sans CJK SC"/>
        <family val="2"/>
      </rPr>
      <t xml:space="preserve">三星 營收份額年變動（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起，三情境相同）</t>
    </r>
  </si>
  <si>
    <r>
      <rPr>
        <sz val="11"/>
        <color theme="1"/>
        <rFont val="Calibri"/>
        <family val="2"/>
        <charset val="1"/>
      </rPr>
      <t xml:space="preserve">pt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</si>
  <si>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三星：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晶圓投片減少、投資轉向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Blocks &amp; Files 2026-01-20 </t>
    </r>
    <r>
      <rPr>
        <sz val="11"/>
        <color theme="1"/>
        <rFont val="Noto Sans CJK SC"/>
        <family val="2"/>
      </rPr>
      <t xml:space="preserve">轉載）；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市占小降（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</si>
  <si>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t xml:space="preserve">SIF_nd_dr_ss</t>
  </si>
  <si>
    <t xml:space="preserve">nd_dr_sk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</si>
  <si>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</t>
    </r>
    <r>
      <rPr>
        <sz val="11"/>
        <color theme="1"/>
        <rFont val="Noto Sans CJK SC"/>
        <family val="2"/>
      </rPr>
      <t xml:space="preserve">營收份額年變動（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起，三情境相同）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</si>
  <si>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</t>
    </r>
    <r>
      <rPr>
        <sz val="11"/>
        <color theme="1"/>
        <rFont val="Noto Sans CJK SC"/>
        <family val="2"/>
      </rPr>
      <t xml:space="preserve">：投片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，但 </t>
    </r>
    <r>
      <rPr>
        <sz val="11"/>
        <color theme="1"/>
        <rFont val="Calibri"/>
        <family val="2"/>
        <charset val="1"/>
      </rPr>
      <t xml:space="preserve">QLC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接單強（</t>
    </r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）</t>
    </r>
  </si>
  <si>
    <t xml:space="preserve">SIF_nd_dr_sk</t>
  </si>
  <si>
    <t xml:space="preserve">nd_dr_mu</t>
  </si>
  <si>
    <r>
      <rPr>
        <sz val="11"/>
        <color theme="1"/>
        <rFont val="Noto Sans CJK SC"/>
        <family val="2"/>
      </rPr>
      <t xml:space="preserve">美光 營收份額年變動（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起，三情境相同）</t>
    </r>
  </si>
  <si>
    <r>
      <rPr>
        <sz val="11"/>
        <color theme="1"/>
        <rFont val="Noto Sans CJK SC"/>
        <family val="2"/>
      </rPr>
      <t xml:space="preserve">美光：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季增最高（</t>
    </r>
    <r>
      <rPr>
        <sz val="11"/>
        <color theme="1"/>
        <rFont val="Calibri"/>
        <family val="2"/>
        <charset val="1"/>
      </rPr>
      <t xml:space="preserve">+99.2%</t>
    </r>
    <r>
      <rPr>
        <sz val="11"/>
        <color theme="1"/>
        <rFont val="Noto Sans CJK SC"/>
        <family val="2"/>
      </rPr>
      <t xml:space="preserve">）；位元成長低於產業（美光 </t>
    </r>
    <r>
      <rPr>
        <sz val="11"/>
        <color theme="1"/>
        <rFont val="Calibri"/>
        <family val="2"/>
        <charset val="1"/>
      </rPr>
      <t xml:space="preserve">FQ4 FY26</t>
    </r>
    <r>
      <rPr>
        <sz val="11"/>
        <color theme="1"/>
        <rFont val="Noto Sans CJK SC"/>
        <family val="2"/>
      </rPr>
      <t xml:space="preserve">）</t>
    </r>
  </si>
  <si>
    <t xml:space="preserve">SIF_nd_dr_mu</t>
  </si>
  <si>
    <r>
      <rPr>
        <b val="true"/>
        <sz val="11"/>
        <rFont val="Cambria"/>
        <family val="0"/>
        <charset val="1"/>
      </rPr>
      <t xml:space="preserve">M24. HBM </t>
    </r>
    <r>
      <rPr>
        <b val="true"/>
        <sz val="11"/>
        <rFont val="Noto Sans CJK SC"/>
        <family val="2"/>
      </rPr>
      <t xml:space="preserve">營收份額（</t>
    </r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海力士、三星、美光 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；原在各公司 </t>
    </r>
    <r>
      <rPr>
        <b val="true"/>
        <sz val="11"/>
        <rFont val="Cambria"/>
        <family val="0"/>
        <charset val="1"/>
      </rPr>
      <t xml:space="preserve">company.py</t>
    </r>
    <r>
      <rPr>
        <b val="true"/>
        <sz val="11"/>
        <rFont val="Noto Sans CJK SC"/>
        <family val="2"/>
      </rPr>
      <t xml:space="preserve">，數值逐字搬入；份額不隨情境，低／高供公司模型敏感度）</t>
    </r>
  </si>
  <si>
    <t xml:space="preserve">hbmsh_skh_25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</si>
  <si>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</si>
  <si>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3Q25 57%</t>
    </r>
    <r>
      <rPr>
        <sz val="11"/>
        <color theme="1"/>
        <rFont val="Noto Sans CJK SC"/>
        <family val="2"/>
      </rPr>
      <t xml:space="preserve">；出貨 </t>
    </r>
    <r>
      <rPr>
        <sz val="11"/>
        <color theme="1"/>
        <rFont val="Calibri"/>
        <family val="2"/>
        <charset val="1"/>
      </rPr>
      <t xml:space="preserve">62%</t>
    </r>
  </si>
  <si>
    <t xml:space="preserve">SIF_hbmsh_skh_25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</si>
  <si>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skhynix/company.py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sh25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</si>
  <si>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hbmsh_skh_26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</si>
  <si>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</si>
  <si>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Q1 58%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IDC Q1 56.4%</t>
    </r>
  </si>
  <si>
    <t xml:space="preserve">SIF_hbmsh_skh_26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</si>
  <si>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skhynix/company.py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sh26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</si>
  <si>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hbmsh_skh_27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</si>
  <si>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</si>
  <si>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位元：</t>
    </r>
    <r>
      <rPr>
        <sz val="11"/>
        <color theme="1"/>
        <rFont val="Calibri"/>
        <family val="2"/>
        <charset val="1"/>
      </rPr>
      <t xml:space="preserve">SK 39%</t>
    </r>
    <r>
      <rPr>
        <sz val="11"/>
        <color theme="1"/>
        <rFont val="Noto Sans CJK SC"/>
        <family val="2"/>
      </rPr>
      <t xml:space="preserve">、三星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</t>
    </r>
  </si>
  <si>
    <t xml:space="preserve">SIF_hbmsh_skh_27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</si>
  <si>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skhynix/company.py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sh27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</si>
  <si>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hbmsh_skh_28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</si>
  <si>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</si>
  <si>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海力士模型假設（無外部來源）；區間 </t>
    </r>
    <r>
      <rPr>
        <sz val="11"/>
        <color theme="1"/>
        <rFont val="Calibri"/>
        <family val="2"/>
        <charset val="1"/>
      </rPr>
      <t xml:space="preserve">35%–45%</t>
    </r>
  </si>
  <si>
    <t xml:space="preserve">SIF_hbmsh_skh_28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</si>
  <si>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skhynix/company.py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sh28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</si>
  <si>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hbmsh_skh_29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</si>
  <si>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2029</t>
    </r>
  </si>
  <si>
    <t xml:space="preserve">SIF_hbmsh_skh_29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</si>
  <si>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skhynix/company.py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sh29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</si>
  <si>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hbmsh_ss_25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</si>
  <si>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營收份額：三星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</si>
  <si>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2Q25 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22%</t>
    </r>
  </si>
  <si>
    <t xml:space="preserve">SIF_hbmsh_ss_25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</si>
  <si>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samsung/company.py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sh25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</si>
  <si>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hbmsh_ss_26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</si>
  <si>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營收份額：三星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</si>
  <si>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1Q26 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33%</t>
    </r>
    <r>
      <rPr>
        <sz val="11"/>
        <color theme="1"/>
        <rFont val="Noto Sans CJK SC"/>
        <family val="2"/>
      </rPr>
      <t xml:space="preserve">；下半年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放量</t>
    </r>
  </si>
  <si>
    <t xml:space="preserve">SIF_hbmsh_ss_26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</si>
  <si>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samsung/company.py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sh26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</si>
  <si>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hbmsh_ss_27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</si>
  <si>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營收份額：三星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</si>
  <si>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 39%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SK 42%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加總約 </t>
    </r>
    <r>
      <rPr>
        <sz val="11"/>
        <color theme="1"/>
        <rFont val="Calibri"/>
        <family val="2"/>
        <charset val="1"/>
      </rPr>
      <t xml:space="preserve">100%</t>
    </r>
  </si>
  <si>
    <t xml:space="preserve">SIF_hbmsh_ss_27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</si>
  <si>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samsung/company.py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sh27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</si>
  <si>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hbmsh_ss_28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</si>
  <si>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營收份額：三星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</si>
  <si>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公司目標：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份額向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份額（約 </t>
    </r>
    <r>
      <rPr>
        <sz val="11"/>
        <color theme="1"/>
        <rFont val="Calibri"/>
        <family val="2"/>
        <charset val="1"/>
      </rPr>
      <t xml:space="preserve">39%</t>
    </r>
    <r>
      <rPr>
        <sz val="11"/>
        <color theme="1"/>
        <rFont val="Noto Sans CJK SC"/>
        <family val="2"/>
      </rPr>
      <t xml:space="preserve">）靠攏</t>
    </r>
  </si>
  <si>
    <t xml:space="preserve">SIF_hbmsh_ss_28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</si>
  <si>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samsung/company.py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sh28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</si>
  <si>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hbmsh_ss_29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</si>
  <si>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營收份額：三星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</si>
  <si>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三星模型假設（無外部來源）；區間 </t>
    </r>
    <r>
      <rPr>
        <sz val="11"/>
        <color theme="1"/>
        <rFont val="Calibri"/>
        <family val="2"/>
        <charset val="1"/>
      </rPr>
      <t xml:space="preserve">35%–45%</t>
    </r>
  </si>
  <si>
    <t xml:space="preserve">SIF_hbmsh_ss_29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</si>
  <si>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samsung/company.py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sh29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</si>
  <si>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hbmsh_mu_25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</si>
  <si>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營收份額：美光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</si>
  <si>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3Q25 21%</t>
    </r>
    <r>
      <rPr>
        <sz val="11"/>
        <color theme="1"/>
        <rFont val="Noto Sans CJK SC"/>
        <family val="2"/>
      </rPr>
      <t xml:space="preserve">；美光：與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市占相當</t>
    </r>
  </si>
  <si>
    <t xml:space="preserve">SIF_hbmsh_mu_25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</si>
  <si>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micron/company.py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sh25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</si>
  <si>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hbmsh_mu_26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</si>
  <si>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營收份額：美光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</si>
  <si>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Q1 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18%</t>
    </r>
  </si>
  <si>
    <t xml:space="preserve">SIF_hbmsh_mu_26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</si>
  <si>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micron/company.py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sh26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</si>
  <si>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hbmsh_mu_27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</si>
  <si>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營收份額：美光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</si>
  <si>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20%</t>
    </r>
  </si>
  <si>
    <t xml:space="preserve">SIF_hbmsh_mu_27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</si>
  <si>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micron/company.py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sh27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</si>
  <si>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hbmsh_mu_28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</si>
  <si>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營收份額：美光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</si>
  <si>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美光模型假設（無外部來源）；區間 </t>
    </r>
    <r>
      <rPr>
        <sz val="11"/>
        <color theme="1"/>
        <rFont val="Calibri"/>
        <family val="2"/>
        <charset val="1"/>
      </rPr>
      <t xml:space="preserve">17%–23%</t>
    </r>
  </si>
  <si>
    <t xml:space="preserve">SIF_hbmsh_mu_28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</si>
  <si>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micron/company.py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sh28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</si>
  <si>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hbmsh_mu_29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</si>
  <si>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營收份額：美光 </t>
    </r>
    <r>
      <rPr>
        <sz val="11"/>
        <color theme="1"/>
        <rFont val="Calibri"/>
        <family val="2"/>
        <charset val="1"/>
      </rPr>
      <t xml:space="preserve">2029</t>
    </r>
  </si>
  <si>
    <t xml:space="preserve">SIF_hbmsh_mu_29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</si>
  <si>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micron/company.py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sh29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</si>
  <si>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M25. AI </t>
    </r>
    <r>
      <rPr>
        <b val="true"/>
        <sz val="11"/>
        <rFont val="Noto Sans CJK SC"/>
        <family val="2"/>
      </rPr>
      <t xml:space="preserve">伺服器組裝份額（廣達、鴻海、緯創本體、緯穎：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有效份額快照與 </t>
    </r>
    <r>
      <rPr>
        <b val="true"/>
        <sz val="11"/>
        <rFont val="Cambria"/>
        <family val="0"/>
        <charset val="1"/>
      </rPr>
      <t xml:space="preserve">2027–29 </t>
    </r>
    <r>
      <rPr>
        <b val="true"/>
        <sz val="11"/>
        <rFont val="Noto Sans CJK SC"/>
        <family val="2"/>
      </rPr>
      <t xml:space="preserve">份額相對值；緯穎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比重。分母＝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伺服器組裝市場；份額不隨情境）</t>
    </r>
  </si>
  <si>
    <t xml:space="preserve">asm_qush_26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</si>
  <si>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伺服器組裝有效份額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快照：廣達</t>
    </r>
  </si>
  <si>
    <r>
      <rPr>
        <sz val="11"/>
        <color theme="1"/>
        <rFont val="Calibri"/>
        <family val="2"/>
        <charset val="1"/>
      </rPr>
      <t xml:space="preserve">quanta/dist PL</t>
    </r>
    <r>
      <rPr>
        <sz val="11"/>
        <color theme="1"/>
        <rFont val="Noto Sans CJK SC"/>
        <family val="2"/>
      </rPr>
      <t xml:space="preserve">「廣達有效份額（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校準）」：公司伺服器營收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組裝市場</t>
    </r>
  </si>
  <si>
    <t xml:space="preserve">SIF_asm_qush_26</t>
  </si>
  <si>
    <t xml:space="preserve">公司模型校準值的快照（只供份額表；公司模型仍以自身營收校準）；公司重新校準時本列隨下版更新</t>
  </si>
  <si>
    <t xml:space="preserve">asm_fxsh_26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</si>
  <si>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伺服器組裝有效份額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快照：鴻海</t>
    </r>
  </si>
  <si>
    <r>
      <rPr>
        <sz val="11"/>
        <color theme="1"/>
        <rFont val="Calibri"/>
        <family val="2"/>
        <charset val="1"/>
      </rPr>
      <t xml:space="preserve">foxconn/dist PL</t>
    </r>
    <r>
      <rPr>
        <sz val="11"/>
        <color theme="1"/>
        <rFont val="Noto Sans CJK SC"/>
        <family val="2"/>
      </rPr>
      <t xml:space="preserve">「鴻海有效份額（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校準）」：雲端網路占比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組裝市場</t>
    </r>
  </si>
  <si>
    <t xml:space="preserve">SIF_asm_fxsh_26</t>
  </si>
  <si>
    <t xml:space="preserve">asm_wish_26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</si>
  <si>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伺服器組裝有效份額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快照：緯創本體</t>
    </r>
  </si>
  <si>
    <r>
      <rPr>
        <sz val="11"/>
        <color theme="1"/>
        <rFont val="Calibri"/>
        <family val="2"/>
        <charset val="1"/>
      </rPr>
      <t xml:space="preserve">wistron/dist PL</t>
    </r>
    <r>
      <rPr>
        <sz val="11"/>
        <color theme="1"/>
        <rFont val="Noto Sans CJK SC"/>
        <family val="2"/>
      </rPr>
      <t xml:space="preserve">「本體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校準）」：本體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系統營收殘差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組裝市場</t>
    </r>
  </si>
  <si>
    <t xml:space="preserve">SIF_asm_wish_26</t>
  </si>
  <si>
    <t xml:space="preserve">asm_wysh_26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</si>
  <si>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伺服器組裝有效份額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快照：緯穎</t>
    </r>
  </si>
  <si>
    <r>
      <rPr>
        <sz val="11"/>
        <color theme="1"/>
        <rFont val="Calibri"/>
        <family val="2"/>
        <charset val="1"/>
      </rPr>
      <t xml:space="preserve">wiwynn/dist PL</t>
    </r>
    <r>
      <rPr>
        <sz val="11"/>
        <color theme="1"/>
        <rFont val="Noto Sans CJK SC"/>
        <family val="2"/>
      </rPr>
      <t xml:space="preserve">「緯穎有效份額（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校準）」：公司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組裝市場（緯創模型自算 </t>
    </r>
    <r>
      <rPr>
        <sz val="11"/>
        <color theme="1"/>
        <rFont val="Calibri"/>
        <family val="2"/>
        <charset val="1"/>
      </rPr>
      <t xml:space="preserve">3.42%</t>
    </r>
    <r>
      <rPr>
        <sz val="11"/>
        <color theme="1"/>
        <rFont val="Noto Sans CJK SC"/>
        <family val="2"/>
      </rPr>
      <t xml:space="preserve">，口徑差 </t>
    </r>
    <r>
      <rPr>
        <sz val="11"/>
        <color theme="1"/>
        <rFont val="Calibri"/>
        <family val="2"/>
        <charset val="1"/>
      </rPr>
      <t xml:space="preserve">0.03pt</t>
    </r>
    <r>
      <rPr>
        <sz val="11"/>
        <color theme="1"/>
        <rFont val="Noto Sans CJK SC"/>
        <family val="2"/>
      </rPr>
      <t xml:space="preserve">）</t>
    </r>
  </si>
  <si>
    <t xml:space="preserve">SIF_asm_wysh_26</t>
  </si>
  <si>
    <t xml:space="preserve">asm_qurel_27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</si>
  <si>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：廣達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</si>
  <si>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 </t>
    </r>
    <r>
      <rPr>
        <sz val="11"/>
        <color theme="1"/>
        <rFont val="Noto Sans CJK SC"/>
        <family val="2"/>
      </rPr>
      <t xml:space="preserve">引述美系券商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月調查：鴻海約 </t>
    </r>
    <r>
      <rPr>
        <sz val="11"/>
        <color theme="1"/>
        <rFont val="Calibri"/>
        <family val="2"/>
        <charset val="1"/>
      </rPr>
      <t xml:space="preserve">2,600 </t>
    </r>
    <r>
      <rPr>
        <sz val="11"/>
        <color theme="1"/>
        <rFont val="Noto Sans CJK SC"/>
        <family val="2"/>
      </rPr>
      <t xml:space="preserve">櫃、廣達 </t>
    </r>
    <r>
      <rPr>
        <sz val="11"/>
        <color theme="1"/>
        <rFont val="Calibri"/>
        <family val="2"/>
        <charset val="1"/>
      </rPr>
      <t xml:space="preserve">2,500–2,550</t>
    </r>
    <r>
      <rPr>
        <sz val="11"/>
        <color theme="1"/>
        <rFont val="Noto Sans CJK SC"/>
        <family val="2"/>
      </rPr>
      <t xml:space="preserve">、緯創 </t>
    </r>
    <r>
      <rPr>
        <sz val="11"/>
        <color theme="1"/>
        <rFont val="Calibri"/>
        <family val="2"/>
        <charset val="1"/>
      </rPr>
      <t xml:space="preserve">2,300–2,400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，單一來源）；廣達台灣組裝產能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再翻倍（公司）</t>
    </r>
  </si>
  <si>
    <t xml:space="preserve">SIF_asm_qurel_27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</si>
  <si>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rel_27</t>
    </r>
    <r>
      <rPr>
        <sz val="11"/>
        <color theme="1"/>
        <rFont val="Noto Sans CJK SC"/>
        <family val="2"/>
      </rPr>
      <t xml:space="preserve">）</t>
    </r>
  </si>
  <si>
    <t xml:space="preserve">asm_qurel_28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</si>
  <si>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：廣達</t>
    </r>
  </si>
  <si>
    <t xml:space="preserve">SIF_asm_qurel_28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</si>
  <si>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rel_28</t>
    </r>
    <r>
      <rPr>
        <sz val="11"/>
        <color theme="1"/>
        <rFont val="Noto Sans CJK SC"/>
        <family val="2"/>
      </rPr>
      <t xml:space="preserve">）</t>
    </r>
  </si>
  <si>
    <t xml:space="preserve">asm_qurel_29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</si>
  <si>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：廣達</t>
    </r>
  </si>
  <si>
    <t xml:space="preserve">SIF_asm_qurel_29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</si>
  <si>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rel_29</t>
    </r>
    <r>
      <rPr>
        <sz val="11"/>
        <color theme="1"/>
        <rFont val="Noto Sans CJK SC"/>
        <family val="2"/>
      </rPr>
      <t xml:space="preserve">）</t>
    </r>
  </si>
  <si>
    <t xml:space="preserve">asm_fxrel_27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</si>
  <si>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：鴻海</t>
    </r>
  </si>
  <si>
    <r>
      <rPr>
        <sz val="11"/>
        <color theme="1"/>
        <rFont val="Noto Sans CJK SC"/>
        <family val="2"/>
      </rPr>
      <t xml:space="preserve">鴻海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市占目標五成、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四成以上（公司，富果）；法人預期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以上（經濟日報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</si>
  <si>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SIF_asm_fxrel_27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</si>
  <si>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foxconn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rel_27</t>
    </r>
    <r>
      <rPr>
        <sz val="11"/>
        <color theme="1"/>
        <rFont val="Noto Sans CJK SC"/>
        <family val="2"/>
      </rPr>
      <t xml:space="preserve">）</t>
    </r>
  </si>
  <si>
    <t xml:space="preserve">asm_fxrel_28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</si>
  <si>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：鴻海</t>
    </r>
  </si>
  <si>
    <t xml:space="preserve">SIF_asm_fxrel_28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</si>
  <si>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foxconn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rel_28</t>
    </r>
    <r>
      <rPr>
        <sz val="11"/>
        <color theme="1"/>
        <rFont val="Noto Sans CJK SC"/>
        <family val="2"/>
      </rPr>
      <t xml:space="preserve">）</t>
    </r>
  </si>
  <si>
    <t xml:space="preserve">asm_fxrel_29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</si>
  <si>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：鴻海</t>
    </r>
  </si>
  <si>
    <t xml:space="preserve">SIF_asm_fxrel_29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</si>
  <si>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foxconn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rel_29</t>
    </r>
    <r>
      <rPr>
        <sz val="11"/>
        <color theme="1"/>
        <rFont val="Noto Sans CJK SC"/>
        <family val="2"/>
      </rPr>
      <t xml:space="preserve">）</t>
    </r>
  </si>
  <si>
    <t xml:space="preserve">asm_wirel_27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</si>
  <si>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：緯創本體</t>
    </r>
  </si>
  <si>
    <r>
      <rPr>
        <sz val="11"/>
        <color theme="1"/>
        <rFont val="Noto Sans CJK SC"/>
        <family val="2"/>
      </rPr>
      <t xml:space="preserve">緯創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起新企業與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客戶，含 </t>
    </r>
    <r>
      <rPr>
        <sz val="11"/>
        <color theme="1"/>
        <rFont val="Calibri"/>
        <family val="2"/>
        <charset val="1"/>
      </rPr>
      <t xml:space="preserve">L10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L11 </t>
    </r>
    <r>
      <rPr>
        <sz val="11"/>
        <color theme="1"/>
        <rFont val="Noto Sans CJK SC"/>
        <family val="2"/>
      </rPr>
      <t xml:space="preserve">整櫃（公司）；同上美系券商櫃數調查</t>
    </r>
  </si>
  <si>
    <t xml:space="preserve">SIF_asm_wirel_27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</si>
  <si>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rel_27</t>
    </r>
    <r>
      <rPr>
        <sz val="11"/>
        <color theme="1"/>
        <rFont val="Noto Sans CJK SC"/>
        <family val="2"/>
      </rPr>
      <t xml:space="preserve">）</t>
    </r>
  </si>
  <si>
    <t xml:space="preserve">asm_wirel_28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</si>
  <si>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：緯創本體</t>
    </r>
  </si>
  <si>
    <t xml:space="preserve">SIF_asm_wirel_28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</si>
  <si>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rel_28</t>
    </r>
    <r>
      <rPr>
        <sz val="11"/>
        <color theme="1"/>
        <rFont val="Noto Sans CJK SC"/>
        <family val="2"/>
      </rPr>
      <t xml:space="preserve">）</t>
    </r>
  </si>
  <si>
    <t xml:space="preserve">asm_wirel_29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</si>
  <si>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：緯創本體</t>
    </r>
  </si>
  <si>
    <t xml:space="preserve">SIF_asm_wirel_29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</si>
  <si>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rel_29</t>
    </r>
    <r>
      <rPr>
        <sz val="11"/>
        <color theme="1"/>
        <rFont val="Noto Sans CJK SC"/>
        <family val="2"/>
      </rPr>
      <t xml:space="preserve">）</t>
    </r>
  </si>
  <si>
    <t xml:space="preserve">asm_wyrel_27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</si>
  <si>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：緯穎（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傾斜之外）</t>
    </r>
  </si>
  <si>
    <r>
      <rPr>
        <sz val="11"/>
        <color theme="1"/>
        <rFont val="Noto Sans CJK SC"/>
        <family val="2"/>
      </rPr>
      <t xml:space="preserve">緯穎：</t>
    </r>
    <r>
      <rPr>
        <sz val="11"/>
        <color theme="1"/>
        <rFont val="Calibri"/>
        <family val="2"/>
        <charset val="1"/>
      </rPr>
      <t xml:space="preserve">4Q26 ASIC </t>
    </r>
    <r>
      <rPr>
        <sz val="11"/>
        <color theme="1"/>
        <rFont val="Noto Sans CJK SC"/>
        <family val="2"/>
      </rPr>
      <t xml:space="preserve">出貨超越通用伺服器、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機櫃季底開始出貨（公司）；客戶自行分散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、廣達等）為下檔</t>
    </r>
  </si>
  <si>
    <t xml:space="preserve">SIF_asm_wyrel_27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</si>
  <si>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rel_27</t>
    </r>
    <r>
      <rPr>
        <sz val="11"/>
        <color theme="1"/>
        <rFont val="Noto Sans CJK SC"/>
        <family val="2"/>
      </rPr>
      <t xml:space="preserve">）</t>
    </r>
  </si>
  <si>
    <t xml:space="preserve">asm_wyrel_28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</si>
  <si>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：緯穎（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傾斜之外）</t>
    </r>
  </si>
  <si>
    <t xml:space="preserve">SIF_asm_wyrel_28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</si>
  <si>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rel_28</t>
    </r>
    <r>
      <rPr>
        <sz val="11"/>
        <color theme="1"/>
        <rFont val="Noto Sans CJK SC"/>
        <family val="2"/>
      </rPr>
      <t xml:space="preserve">）</t>
    </r>
  </si>
  <si>
    <t xml:space="preserve">asm_wyrel_29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</si>
  <si>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：緯穎（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傾斜之外）</t>
    </r>
  </si>
  <si>
    <t xml:space="preserve">SIF_asm_wyrel_29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</si>
  <si>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rel_29</t>
    </r>
    <r>
      <rPr>
        <sz val="11"/>
        <color theme="1"/>
        <rFont val="Noto Sans CJK SC"/>
        <family val="2"/>
      </rPr>
      <t xml:space="preserve">）</t>
    </r>
  </si>
  <si>
    <t xml:space="preserve">asm_wyam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</si>
  <si>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</si>
  <si>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伺服器九成（公司）</t>
    </r>
  </si>
  <si>
    <t xml:space="preserve">SIF_asm_wyam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</si>
  <si>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2026F ASIC 91%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2027F 88%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asic_mix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用於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傾斜係數</t>
    </r>
  </si>
  <si>
    <r>
      <rPr>
        <b val="true"/>
        <sz val="11"/>
        <rFont val="Cambria"/>
        <family val="0"/>
        <charset val="1"/>
      </rPr>
      <t xml:space="preserve">M26. </t>
    </r>
    <r>
      <rPr>
        <b val="true"/>
        <sz val="11"/>
        <rFont val="Noto Sans CJK SC"/>
        <family val="2"/>
      </rPr>
      <t xml:space="preserve">共用匯率（新台幣、人民幣、韓元；日圓不共用：</t>
    </r>
    <r>
      <rPr>
        <b val="true"/>
        <sz val="11"/>
        <rFont val="Cambria"/>
        <family val="0"/>
        <charset val="1"/>
      </rPr>
      <t xml:space="preserve">Ibiden ¥152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Advantest ¥150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Kioxia ¥160 </t>
    </r>
    <r>
      <rPr>
        <b val="true"/>
        <sz val="11"/>
        <rFont val="Noto Sans CJK SC"/>
        <family val="2"/>
      </rPr>
      <t xml:space="preserve">為公司財測前提，屬公司變數）</t>
    </r>
  </si>
  <si>
    <t xml:space="preserve">fx_twd</t>
  </si>
  <si>
    <r>
      <rPr>
        <sz val="11"/>
        <color theme="1"/>
        <rFont val="Noto Sans CJK SC"/>
        <family val="2"/>
      </rPr>
      <t xml:space="preserve">匯率：新台幣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美元（</t>
    </r>
    <r>
      <rPr>
        <sz val="11"/>
        <color theme="1"/>
        <rFont val="Calibri"/>
        <family val="2"/>
        <charset val="1"/>
      </rPr>
      <t xml:space="preserve">2026–2029 </t>
    </r>
    <r>
      <rPr>
        <sz val="11"/>
        <color theme="1"/>
        <rFont val="Noto Sans CJK SC"/>
        <family val="2"/>
      </rPr>
      <t xml:space="preserve">共用）</t>
    </r>
  </si>
  <si>
    <t xml:space="preserve">NT$/US$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</si>
  <si>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法說換算 </t>
    </r>
    <r>
      <rPr>
        <sz val="11"/>
        <color theme="1"/>
        <rFont val="Calibri"/>
        <family val="2"/>
        <charset val="1"/>
      </rPr>
      <t xml:space="preserve">NT$183.2B ≈ US$5.6B</t>
    </r>
    <r>
      <rPr>
        <sz val="11"/>
        <color theme="1"/>
        <rFont val="Noto Sans CJK SC"/>
        <family val="2"/>
      </rPr>
      <t xml:space="preserve">（隱含約 </t>
    </r>
    <r>
      <rPr>
        <sz val="11"/>
        <color theme="1"/>
        <rFont val="Calibri"/>
        <family val="2"/>
        <charset val="1"/>
      </rPr>
      <t xml:space="preserve">32.7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年初 </t>
    </r>
    <r>
      <rPr>
        <sz val="11"/>
        <color theme="1"/>
        <rFont val="Calibri"/>
        <family val="2"/>
        <charset val="1"/>
      </rPr>
      <t xml:space="preserve">31.4</t>
    </r>
    <r>
      <rPr>
        <sz val="11"/>
        <color theme="1"/>
        <rFont val="Noto Sans CJK SC"/>
        <family val="2"/>
      </rPr>
      <t xml:space="preserve">；鉅亨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USD/TWD 32.508</t>
    </r>
  </si>
  <si>
    <t xml:space="preserve">SIF_fx_twd</t>
  </si>
  <si>
    <r>
      <rPr>
        <sz val="11"/>
        <color theme="1"/>
        <rFont val="Calibri"/>
        <family val="2"/>
        <charset val="1"/>
      </rPr>
      <t xml:space="preserve">v0.8.2 </t>
    </r>
    <r>
      <rPr>
        <sz val="11"/>
        <color theme="1"/>
        <rFont val="Noto Sans CJK SC"/>
        <family val="2"/>
      </rPr>
      <t xml:space="preserve">前：多數台廠模型 </t>
    </r>
    <r>
      <rPr>
        <sz val="11"/>
        <color theme="1"/>
        <rFont val="Calibri"/>
        <family val="2"/>
        <charset val="1"/>
      </rPr>
      <t xml:space="preserve">32.0</t>
    </r>
    <r>
      <rPr>
        <sz val="11"/>
        <color theme="1"/>
        <rFont val="Noto Sans CJK SC"/>
        <family val="2"/>
      </rPr>
      <t xml:space="preserve">、欣興／南電／景碩 </t>
    </r>
    <r>
      <rPr>
        <sz val="11"/>
        <color theme="1"/>
        <rFont val="Calibri"/>
        <family val="2"/>
        <charset val="1"/>
      </rPr>
      <t xml:space="preserve">32.5</t>
    </r>
    <r>
      <rPr>
        <sz val="11"/>
        <color theme="1"/>
        <rFont val="Noto Sans CJK SC"/>
        <family val="2"/>
      </rPr>
      <t xml:space="preserve">；台積電、聯發科、創意、世芯、智邦保留自己的低／高區間（公司指引或敏感度用）</t>
    </r>
  </si>
  <si>
    <t xml:space="preserve">fx_rmb</t>
  </si>
  <si>
    <r>
      <rPr>
        <sz val="11"/>
        <color theme="1"/>
        <rFont val="Noto Sans CJK SC"/>
        <family val="2"/>
      </rPr>
      <t xml:space="preserve">匯率：人民幣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美元（</t>
    </r>
    <r>
      <rPr>
        <sz val="11"/>
        <color theme="1"/>
        <rFont val="Calibri"/>
        <family val="2"/>
        <charset val="1"/>
      </rPr>
      <t xml:space="preserve">2026–2029 </t>
    </r>
    <r>
      <rPr>
        <sz val="11"/>
        <color theme="1"/>
        <rFont val="Noto Sans CJK SC"/>
        <family val="2"/>
      </rPr>
      <t xml:space="preserve">共用）</t>
    </r>
  </si>
  <si>
    <t xml:space="preserve">RMB/US$</t>
  </si>
  <si>
    <r>
      <rPr>
        <sz val="11"/>
        <color theme="1"/>
        <rFont val="Noto Sans CJK SC"/>
        <family val="2"/>
      </rPr>
      <t xml:space="preserve">中國經濟網 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：人民幣兌美元中間價 </t>
    </r>
    <r>
      <rPr>
        <sz val="11"/>
        <color theme="1"/>
        <rFont val="Calibri"/>
        <family val="2"/>
        <charset val="1"/>
      </rPr>
      <t xml:space="preserve">6.7220</t>
    </r>
  </si>
  <si>
    <t xml:space="preserve">SIF_fx_rmb</t>
  </si>
  <si>
    <r>
      <rPr>
        <sz val="11"/>
        <color theme="1"/>
        <rFont val="Calibri"/>
        <family val="2"/>
        <charset val="1"/>
      </rPr>
      <t xml:space="preserve">v0.8.2 </t>
    </r>
    <r>
      <rPr>
        <sz val="11"/>
        <color theme="1"/>
        <rFont val="Noto Sans CJK SC"/>
        <family val="2"/>
      </rPr>
      <t xml:space="preserve">前：勝宏 </t>
    </r>
    <r>
      <rPr>
        <sz val="11"/>
        <color theme="1"/>
        <rFont val="Calibri"/>
        <family val="2"/>
        <charset val="1"/>
      </rPr>
      <t xml:space="preserve">6.72</t>
    </r>
    <r>
      <rPr>
        <sz val="11"/>
        <color theme="1"/>
        <rFont val="Noto Sans CJK SC"/>
        <family val="2"/>
      </rPr>
      <t xml:space="preserve">、中際旭創與新易盛 </t>
    </r>
    <r>
      <rPr>
        <sz val="11"/>
        <color theme="1"/>
        <rFont val="Calibri"/>
        <family val="2"/>
        <charset val="1"/>
      </rPr>
      <t xml:space="preserve">7.1</t>
    </r>
    <r>
      <rPr>
        <sz val="11"/>
        <color theme="1"/>
        <rFont val="Noto Sans CJK SC"/>
        <family val="2"/>
      </rPr>
      <t xml:space="preserve">（較舊）；區間為 </t>
    </r>
    <r>
      <rPr>
        <sz val="11"/>
        <color theme="1"/>
        <rFont val="Calibri"/>
        <family val="2"/>
        <charset val="1"/>
      </rPr>
      <t xml:space="preserve">2025–26 </t>
    </r>
    <r>
      <rPr>
        <sz val="11"/>
        <color theme="1"/>
        <rFont val="Noto Sans CJK SC"/>
        <family val="2"/>
      </rPr>
      <t xml:space="preserve">波動範圍（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</si>
  <si>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fx_krw</t>
  </si>
  <si>
    <r>
      <rPr>
        <sz val="11"/>
        <color theme="1"/>
        <rFont val="Noto Sans CJK SC"/>
        <family val="2"/>
      </rPr>
      <t xml:space="preserve">匯率：韓元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美元（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Noto Sans CJK SC"/>
        <family val="2"/>
      </rPr>
      <t xml:space="preserve">平均）</t>
    </r>
  </si>
  <si>
    <t xml:space="preserve">KRW/USD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</si>
  <si>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79.32 </t>
    </r>
    <r>
      <rPr>
        <sz val="11"/>
        <color theme="1"/>
        <rFont val="Noto Sans CJK SC"/>
        <family val="2"/>
      </rPr>
      <t xml:space="preserve">兆韓元 ≈ </t>
    </r>
    <r>
      <rPr>
        <sz val="11"/>
        <color theme="1"/>
        <rFont val="Calibri"/>
        <family val="2"/>
        <charset val="1"/>
      </rPr>
      <t xml:space="preserve">US$55.2B →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1,437</t>
    </r>
  </si>
  <si>
    <t xml:space="preserve">SIF_fx_krw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</si>
  <si>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skhynix company.py</t>
    </r>
    <r>
      <rPr>
        <sz val="11"/>
        <color theme="1"/>
        <rFont val="Noto Sans CJK SC"/>
        <family val="2"/>
      </rPr>
      <t xml:space="preserve">；三星、韓美、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同值</t>
    </r>
  </si>
  <si>
    <r>
      <rPr>
        <b val="true"/>
        <sz val="11"/>
        <rFont val="Cambria"/>
        <family val="0"/>
        <charset val="1"/>
      </rPr>
      <t xml:space="preserve">M2 </t>
    </r>
    <r>
      <rPr>
        <b val="true"/>
        <sz val="11"/>
        <rFont val="Noto Sans CJK SC"/>
        <family val="2"/>
      </rPr>
      <t xml:space="preserve">分組：加速器平台（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頁各列與 </t>
    </r>
    <r>
      <rPr>
        <b val="true"/>
        <sz val="11"/>
        <rFont val="Cambria"/>
        <family val="0"/>
        <charset val="1"/>
      </rPr>
      <t xml:space="preserve">market.py UNITS </t>
    </r>
    <r>
      <rPr>
        <b val="true"/>
        <sz val="11"/>
        <rFont val="Noto Sans CJK SC"/>
        <family val="2"/>
      </rPr>
      <t xml:space="preserve">的名稱、標記、來源）</t>
    </r>
  </si>
  <si>
    <t xml:space="preserve">分組鍵</t>
  </si>
  <si>
    <t xml:space="preserve">平台名稱</t>
  </si>
  <si>
    <t xml:space="preserve">grp_bw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</si>
  <si>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</si>
  <si>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grp_rb</t>
  </si>
  <si>
    <t xml:space="preserve">NVIDIA Rubin</t>
  </si>
  <si>
    <t xml:space="preserve">grp_ru</t>
  </si>
  <si>
    <t xml:space="preserve">NVIDIA Rubin Ultra</t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</si>
  <si>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</si>
  <si>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t xml:space="preserve">grp_hp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</si>
  <si>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</si>
  <si>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grp_amd</t>
  </si>
  <si>
    <t xml:space="preserve">AMD Instinct</t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</si>
  <si>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</si>
  <si>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grp_tpu</t>
  </si>
  <si>
    <t xml:space="preserve">Google TPU</t>
  </si>
  <si>
    <t xml:space="preserve">grp_trn</t>
  </si>
  <si>
    <t xml:space="preserve">AWS Trainium</t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</si>
  <si>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</si>
  <si>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grp_oth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</si>
  <si>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</si>
  <si>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</si>
  <si>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加速器平台別顆數（百萬顆；情境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基準）。</t>
    </r>
    <r>
      <rPr>
        <sz val="11"/>
        <color theme="1"/>
        <rFont val="Calibri"/>
        <family val="2"/>
        <charset val="1"/>
      </rPr>
      <t xml:space="preserve">2026–2028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平台別成長率）。情境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Scen </t>
    </r>
    <r>
      <rPr>
        <sz val="11"/>
        <color theme="1"/>
        <rFont val="Noto Sans CJK SC"/>
        <family val="2"/>
      </rPr>
      <t xml:space="preserve">頁係數（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</t>
    </r>
  </si>
  <si>
    <t xml:space="preserve">平台</t>
  </si>
  <si>
    <t xml:space="preserve">2026</t>
  </si>
  <si>
    <t xml:space="preserve">2027</t>
  </si>
  <si>
    <t xml:space="preserve">2028</t>
  </si>
  <si>
    <t xml:space="preserve">2029</t>
  </si>
  <si>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成長</t>
    </r>
  </si>
  <si>
    <t xml:space="preserve">bw</t>
  </si>
  <si>
    <t xml:space="preserve">rb</t>
  </si>
  <si>
    <t xml:space="preserve">ru</t>
  </si>
  <si>
    <t xml:space="preserve">hp</t>
  </si>
  <si>
    <t xml:space="preserve">amd</t>
  </si>
  <si>
    <t xml:space="preserve">tpu</t>
  </si>
  <si>
    <t xml:space="preserve">trn</t>
  </si>
  <si>
    <t xml:space="preserve">oth</t>
  </si>
  <si>
    <r>
      <rPr>
        <b val="true"/>
        <sz val="11"/>
        <rFont val="Noto Sans CJK SC"/>
        <family val="2"/>
      </rPr>
      <t xml:space="preserve">合計（基準＝情境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，未乘係數）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</si>
  <si>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</si>
  <si>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</si>
  <si>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</si>
  <si>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ShareTbl — ASIC </t>
    </r>
    <r>
      <rPr>
        <sz val="11"/>
        <color theme="1"/>
        <rFont val="Noto Sans CJK SC"/>
        <family val="2"/>
      </rPr>
      <t xml:space="preserve">設計服務顆數份額表（基準值；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M7</t>
    </r>
    <r>
      <rPr>
        <sz val="11"/>
        <color theme="1"/>
        <rFont val="Noto Sans CJK SC"/>
        <family val="2"/>
      </rPr>
      <t xml:space="preserve">）。同一平台各設計夥伴份額加總須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，餘額＝客戶自行設計或未建模的夥伴。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的世芯份額隨情境（公司特有：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最不利），三情境各列一次</t>
    </r>
  </si>
  <si>
    <t xml:space="preserve">夥伴</t>
  </si>
  <si>
    <r>
      <rPr>
        <b val="true"/>
        <sz val="11"/>
        <rFont val="Noto Sans CJK SC"/>
        <family val="2"/>
      </rPr>
      <t xml:space="preserve">鍵（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）</t>
    </r>
  </si>
  <si>
    <t xml:space="preserve">Broadcom</t>
  </si>
  <si>
    <r>
      <rPr>
        <sz val="11"/>
        <color theme="1"/>
        <rFont val="Calibri"/>
        <family val="2"/>
        <charset val="1"/>
      </rPr>
      <t xml:space="preserve">sh_tpu_26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sh_tpu_28</t>
    </r>
  </si>
  <si>
    <t xml:space="preserve">Marvell</t>
  </si>
  <si>
    <r>
      <rPr>
        <sz val="11"/>
        <color theme="1"/>
        <rFont val="Calibri"/>
        <family val="2"/>
        <charset val="1"/>
      </rPr>
      <t xml:space="preserve">msh_tpu_26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msh_tpu_28</t>
    </r>
  </si>
  <si>
    <t xml:space="preserve">聯發科</t>
  </si>
  <si>
    <r>
      <rPr>
        <sz val="11"/>
        <color theme="1"/>
        <rFont val="Calibri"/>
        <family val="2"/>
        <charset val="1"/>
      </rPr>
      <t xml:space="preserve">mtk_tpu_26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mtk_tpu_28</t>
    </r>
  </si>
  <si>
    <t xml:space="preserve">合計</t>
  </si>
  <si>
    <t xml:space="preserve">餘額（客戶自行設計或未建模）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</si>
  <si>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</si>
  <si>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sh_oth_26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sh_oth_28</t>
    </r>
  </si>
  <si>
    <r>
      <rPr>
        <sz val="11"/>
        <color theme="1"/>
        <rFont val="Calibri"/>
        <family val="2"/>
        <charset val="1"/>
      </rPr>
      <t xml:space="preserve">msh_oth_26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msh_oth_28</t>
    </r>
  </si>
  <si>
    <r>
      <rPr>
        <sz val="11"/>
        <color theme="1"/>
        <rFont val="Calibri"/>
        <family val="2"/>
        <charset val="1"/>
      </rPr>
      <t xml:space="preserve">mtk_oth_26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mtk_oth_28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</si>
  <si>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</si>
  <si>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msh_trn_26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msh_trn_27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msh_trn_28</t>
    </r>
  </si>
  <si>
    <t xml:space="preserve">世芯</t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</si>
  <si>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al28_A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</si>
  <si>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</si>
  <si>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al28_B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</si>
  <si>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</si>
  <si>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al28_C</t>
    </r>
  </si>
  <si>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光學金額份額（欄 </t>
    </r>
    <r>
      <rPr>
        <b val="true"/>
        <sz val="11"/>
        <rFont val="Cambria"/>
        <family val="0"/>
        <charset val="1"/>
      </rPr>
      <t xml:space="preserve">D–F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為代工，與模組廠重疊，不計入合計）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</si>
  <si>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</t>
    </r>
  </si>
  <si>
    <t xml:space="preserve">Lumentum</t>
  </si>
  <si>
    <r>
      <rPr>
        <sz val="11"/>
        <color theme="1"/>
        <rFont val="Calibri"/>
        <family val="2"/>
        <charset val="1"/>
      </rPr>
      <t xml:space="preserve">cposh_lite_27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</si>
  <si>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Coherent</t>
  </si>
  <si>
    <r>
      <rPr>
        <sz val="11"/>
        <color theme="1"/>
        <rFont val="Calibri"/>
        <family val="2"/>
        <charset val="1"/>
      </rPr>
      <t xml:space="preserve">cposh_cohr_27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</si>
  <si>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中際旭創</t>
  </si>
  <si>
    <r>
      <rPr>
        <sz val="11"/>
        <color theme="1"/>
        <rFont val="Calibri"/>
        <family val="2"/>
        <charset val="1"/>
      </rPr>
      <t xml:space="preserve">cposh_innolight_27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</si>
  <si>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新易盛</t>
  </si>
  <si>
    <r>
      <rPr>
        <sz val="11"/>
        <color theme="1"/>
        <rFont val="Calibri"/>
        <family val="2"/>
        <charset val="1"/>
      </rPr>
      <t xml:space="preserve">cposh_eoptolink_27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</si>
  <si>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合計（模組與雷射廠）</t>
  </si>
  <si>
    <r>
      <rPr>
        <sz val="11"/>
        <color theme="1"/>
        <rFont val="Noto Sans CJK SC"/>
        <family val="2"/>
      </rPr>
      <t xml:space="preserve">餘額（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交換器端自製光引擎與其他，未建模）</t>
    </r>
  </si>
  <si>
    <r>
      <rPr>
        <sz val="11"/>
        <color theme="1"/>
        <rFont val="Calibri"/>
        <family val="2"/>
        <charset val="1"/>
      </rPr>
      <t xml:space="preserve">Fabrinet</t>
    </r>
    <r>
      <rPr>
        <sz val="11"/>
        <color theme="1"/>
        <rFont val="Noto Sans CJK SC"/>
        <family val="2"/>
      </rPr>
      <t xml:space="preserve">（代工；參考，不計入）</t>
    </r>
  </si>
  <si>
    <r>
      <rPr>
        <sz val="11"/>
        <color theme="1"/>
        <rFont val="Calibri"/>
        <family val="2"/>
        <charset val="1"/>
      </rPr>
      <t xml:space="preserve">cposh_fabrinet_27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</si>
  <si>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b val="true"/>
        <sz val="11"/>
        <rFont val="Noto Sans CJK SC"/>
        <family val="2"/>
      </rPr>
      <t xml:space="preserve">加速器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載板份額（欄 </t>
    </r>
    <r>
      <rPr>
        <b val="true"/>
        <sz val="11"/>
        <rFont val="Cambria"/>
        <family val="0"/>
        <charset val="1"/>
      </rPr>
      <t xml:space="preserve">D–G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為顆數份額，非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為金額份額）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</si>
  <si>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</t>
    </r>
  </si>
  <si>
    <t xml:space="preserve">Ibiden</t>
  </si>
  <si>
    <t xml:space="preserve">abf_ibsh26 × abf_ibrel</t>
  </si>
  <si>
    <t xml:space="preserve">欣興</t>
  </si>
  <si>
    <r>
      <rPr>
        <sz val="11"/>
        <color theme="1"/>
        <rFont val="Calibri"/>
        <family val="2"/>
        <charset val="1"/>
      </rPr>
      <t xml:space="preserve">abf_un_nv_26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</si>
  <si>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南電</t>
  </si>
  <si>
    <r>
      <rPr>
        <sz val="11"/>
        <color theme="1"/>
        <rFont val="Calibri"/>
        <family val="2"/>
        <charset val="1"/>
      </rPr>
      <t xml:space="preserve">abf_np_nv_26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</si>
  <si>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景碩</t>
  </si>
  <si>
    <r>
      <rPr>
        <sz val="11"/>
        <color theme="1"/>
        <rFont val="Calibri"/>
        <family val="2"/>
        <charset val="1"/>
      </rPr>
      <t xml:space="preserve">abf_ks_nv_26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</si>
  <si>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Noto Sans CJK SC"/>
        <family val="2"/>
      </rPr>
      <t xml:space="preserve">餘額（三星電機、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 </t>
    </r>
    <r>
      <rPr>
        <sz val="11"/>
        <color theme="1"/>
        <rFont val="Noto Sans CJK SC"/>
        <family val="2"/>
      </rPr>
      <t xml:space="preserve">等，未建模）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</si>
  <si>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</t>
    </r>
  </si>
  <si>
    <t xml:space="preserve">abf_wot_ib × abf_ibrel ÷ abf_vot</t>
  </si>
  <si>
    <r>
      <rPr>
        <sz val="11"/>
        <color theme="1"/>
        <rFont val="Calibri"/>
        <family val="2"/>
        <charset val="1"/>
      </rPr>
      <t xml:space="preserve">abf_un_ot_26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</si>
  <si>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abf_np_ot_26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</si>
  <si>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abf_ks_ot_26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</si>
  <si>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電源有效份額（欄 </t>
    </r>
    <r>
      <rPr>
        <b val="true"/>
        <sz val="11"/>
        <rFont val="Cambria"/>
        <family val="0"/>
        <charset val="1"/>
      </rPr>
      <t xml:space="preserve">D–G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；分母＝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電源市場；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＝公司模型校準值，之後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份額相對值；光寶相對值隨情境：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高、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基準、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低）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</si>
  <si>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</si>
  <si>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台達電</t>
  </si>
  <si>
    <r>
      <rPr>
        <sz val="11"/>
        <color theme="1"/>
        <rFont val="Calibri"/>
        <family val="2"/>
        <charset val="1"/>
      </rPr>
      <t xml:space="preserve">pwr_dsh_26 × pwr_drel_27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（不隨情境）</t>
    </r>
  </si>
  <si>
    <t xml:space="preserve">光寶</t>
  </si>
  <si>
    <r>
      <rPr>
        <sz val="11"/>
        <color theme="1"/>
        <rFont val="Calibri"/>
        <family val="2"/>
        <charset val="1"/>
      </rPr>
      <t xml:space="preserve">pwr_lsh_26 × pwr_lrel_27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29_hi</t>
    </r>
  </si>
  <si>
    <r>
      <rPr>
        <sz val="11"/>
        <color theme="1"/>
        <rFont val="Noto Sans CJK SC"/>
        <family val="2"/>
      </rPr>
      <t xml:space="preserve">餘額（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、群電、康舒、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、麥格米特等，未建模）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</si>
  <si>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</si>
  <si>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pwr_lsh_26 × pwr_lrel_27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</si>
  <si>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</si>
  <si>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pwr_lsh_26 × pwr_lrel_27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29_lo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</si>
  <si>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液冷有效份額（欄 </t>
    </r>
    <r>
      <rPr>
        <b val="true"/>
        <sz val="11"/>
        <rFont val="Cambria"/>
        <family val="0"/>
        <charset val="1"/>
      </rPr>
      <t xml:space="preserve">D–G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；分母＝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液冷市場〔機架內＋分歧管〕；奇鋐相對值不隨情境，雙鴻與健策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高、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基準、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低）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</si>
  <si>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</si>
  <si>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奇鋐</t>
  </si>
  <si>
    <r>
      <rPr>
        <sz val="11"/>
        <color theme="1"/>
        <rFont val="Calibri"/>
        <family val="2"/>
        <charset val="1"/>
      </rPr>
      <t xml:space="preserve">lc_avsh_26 × lc_avrel_27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（不隨情境）</t>
    </r>
  </si>
  <si>
    <t xml:space="preserve">雙鴻</t>
  </si>
  <si>
    <r>
      <rPr>
        <sz val="11"/>
        <color theme="1"/>
        <rFont val="Calibri"/>
        <family val="2"/>
        <charset val="1"/>
      </rPr>
      <t xml:space="preserve">lc_aush_26 × lc_avrel_27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29_hi</t>
    </r>
  </si>
  <si>
    <r>
      <rPr>
        <sz val="11"/>
        <color theme="1"/>
        <rFont val="Noto Sans CJK SC"/>
        <family val="2"/>
      </rPr>
      <t xml:space="preserve">健策（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 </t>
    </r>
    <r>
      <rPr>
        <sz val="11"/>
        <color theme="1"/>
        <rFont val="Noto Sans CJK SC"/>
        <family val="2"/>
      </rPr>
      <t xml:space="preserve">冷板元件）</t>
    </r>
  </si>
  <si>
    <r>
      <rPr>
        <sz val="11"/>
        <color theme="1"/>
        <rFont val="Calibri"/>
        <family val="2"/>
        <charset val="1"/>
      </rPr>
      <t xml:space="preserve">lc_jtsh_27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29_hi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含在其他散熱）</t>
    </r>
  </si>
  <si>
    <r>
      <rPr>
        <sz val="11"/>
        <color theme="1"/>
        <rFont val="Noto Sans CJK SC"/>
        <family val="2"/>
      </rPr>
      <t xml:space="preserve">餘額（酷碼、富世達、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Vertiv </t>
    </r>
    <r>
      <rPr>
        <sz val="11"/>
        <color theme="1"/>
        <rFont val="Noto Sans CJK SC"/>
        <family val="2"/>
      </rPr>
      <t xml:space="preserve">等，未建模）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</si>
  <si>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</si>
  <si>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lc_aush_26 × lc_avrel_27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</si>
  <si>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lc_jtsh_27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含在其他散熱）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</si>
  <si>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</si>
  <si>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lc_aush_26 × lc_avrel_27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29_lo</t>
    </r>
  </si>
  <si>
    <r>
      <rPr>
        <sz val="11"/>
        <color theme="1"/>
        <rFont val="Calibri"/>
        <family val="2"/>
        <charset val="1"/>
      </rPr>
      <t xml:space="preserve">lc_jtsh_27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29_lo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含在其他散熱）</t>
    </r>
  </si>
  <si>
    <r>
      <rPr>
        <sz val="11"/>
        <color theme="1"/>
        <rFont val="Noto Sans CJK SC"/>
        <family val="2"/>
      </rPr>
      <t xml:space="preserve">註：台達電液冷營收多在機架外（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Liquid-to-Air</t>
    </r>
    <r>
      <rPr>
        <sz val="11"/>
        <color theme="1"/>
        <rFont val="Noto Sans CJK SC"/>
        <family val="2"/>
      </rPr>
      <t xml:space="preserve">），不屬本市場，不入表（</t>
    </r>
    <r>
      <rPr>
        <sz val="11"/>
        <color theme="1"/>
        <rFont val="Calibri"/>
        <family val="2"/>
        <charset val="1"/>
      </rPr>
      <t xml:space="preserve">CF12</t>
    </r>
    <r>
      <rPr>
        <sz val="11"/>
        <color theme="1"/>
        <rFont val="Noto Sans CJK SC"/>
        <family val="2"/>
      </rPr>
      <t xml:space="preserve">）；奇鋐、雙鴻分子含部分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，份額可能高估</t>
    </r>
  </si>
  <si>
    <r>
      <rPr>
        <sz val="11"/>
        <color theme="1"/>
        <rFont val="Noto Sans CJK SC"/>
        <family val="2"/>
      </rPr>
      <t xml:space="preserve">對照：凱基台達電份額（只作對照，不入表；</t>
    </r>
    <r>
      <rPr>
        <sz val="11"/>
        <color theme="1"/>
        <rFont val="Calibri"/>
        <family val="2"/>
        <charset val="1"/>
      </rPr>
      <t xml:space="preserve">CF11 </t>
    </r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</si>
  <si>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2025-07 Blackwell PSU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2025-09 AI </t>
    </r>
    <r>
      <rPr>
        <sz val="11"/>
        <color theme="1"/>
        <rFont val="Noto Sans CJK SC"/>
        <family val="2"/>
      </rPr>
      <t xml:space="preserve">伺服器電源</t>
    </r>
  </si>
  <si>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營收份額（欄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M24</t>
    </r>
    <r>
      <rPr>
        <b val="true"/>
        <sz val="11"/>
        <rFont val="Noto Sans CJK SC"/>
        <family val="2"/>
      </rPr>
      <t xml:space="preserve">；份額不隨情境；餘額＝長鑫等其他）</t>
    </r>
  </si>
  <si>
    <t xml:space="preserve">HBM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</si>
  <si>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</t>
    </r>
  </si>
  <si>
    <t xml:space="preserve">hbmsh_skh_25…29</t>
  </si>
  <si>
    <t xml:space="preserve">三星</t>
  </si>
  <si>
    <t xml:space="preserve">hbmsh_ss_25…29</t>
  </si>
  <si>
    <t xml:space="preserve">美光</t>
  </si>
  <si>
    <t xml:space="preserve">hbmsh_mu_25…29</t>
  </si>
  <si>
    <t xml:space="preserve">餘額（長鑫等，未建模）</t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</si>
  <si>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伺服器組裝有效份額（欄 </t>
    </r>
    <r>
      <rPr>
        <b val="true"/>
        <sz val="11"/>
        <rFont val="Cambria"/>
        <family val="0"/>
        <charset val="1"/>
      </rPr>
      <t xml:space="preserve">D–G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；分母＝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伺服器組裝市場〔</t>
    </r>
    <r>
      <rPr>
        <b val="true"/>
        <sz val="11"/>
        <rFont val="Cambria"/>
        <family val="0"/>
        <charset val="1"/>
      </rPr>
      <t xml:space="preserve">ODM </t>
    </r>
    <r>
      <rPr>
        <b val="true"/>
        <sz val="11"/>
        <rFont val="Noto Sans CJK SC"/>
        <family val="2"/>
      </rPr>
      <t xml:space="preserve">價〕；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＝公司模型校準快照，之後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份額相對值；不隨情境）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</si>
  <si>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</si>
  <si>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傾斜係數（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</si>
  <si>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asm_wyam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顆數指數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全部顆數指數）＋（</t>
    </r>
    <r>
      <rPr>
        <sz val="11"/>
        <color theme="1"/>
        <rFont val="Calibri"/>
        <family val="2"/>
        <charset val="1"/>
      </rPr>
      <t xml:space="preserve">1 − asm_wyam</t>
    </r>
    <r>
      <rPr>
        <sz val="11"/>
        <color theme="1"/>
        <rFont val="Noto Sans CJK SC"/>
        <family val="2"/>
      </rPr>
      <t xml:space="preserve">）</t>
    </r>
  </si>
  <si>
    <t xml:space="preserve">廣達</t>
  </si>
  <si>
    <r>
      <rPr>
        <sz val="11"/>
        <color theme="1"/>
        <rFont val="Calibri"/>
        <family val="2"/>
        <charset val="1"/>
      </rPr>
      <t xml:space="preserve">asm_qush_26 × asm_qurel_27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</si>
  <si>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鴻海</t>
  </si>
  <si>
    <r>
      <rPr>
        <sz val="11"/>
        <color theme="1"/>
        <rFont val="Calibri"/>
        <family val="2"/>
        <charset val="1"/>
      </rPr>
      <t xml:space="preserve">asm_fxsh_26 × asm_fxrel_27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</si>
  <si>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緯創本體</t>
  </si>
  <si>
    <r>
      <rPr>
        <sz val="11"/>
        <color theme="1"/>
        <rFont val="Calibri"/>
        <family val="2"/>
        <charset val="1"/>
      </rPr>
      <t xml:space="preserve">asm_wish_26 × asm_wirel_27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</si>
  <si>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Noto Sans CJK SC"/>
        <family val="2"/>
      </rPr>
      <t xml:space="preserve">緯穎（</t>
    </r>
    <r>
      <rPr>
        <sz val="11"/>
        <color theme="1"/>
        <rFont val="Calibri"/>
        <family val="2"/>
        <charset val="1"/>
      </rPr>
      <t xml:space="preserve">× ASIC </t>
    </r>
    <r>
      <rPr>
        <sz val="11"/>
        <color theme="1"/>
        <rFont val="Noto Sans CJK SC"/>
        <family val="2"/>
      </rPr>
      <t xml:space="preserve">傾斜）</t>
    </r>
  </si>
  <si>
    <r>
      <rPr>
        <sz val="11"/>
        <color theme="1"/>
        <rFont val="Calibri"/>
        <family val="2"/>
        <charset val="1"/>
      </rPr>
      <t xml:space="preserve">asm_wysh_26 × asm_wyrel_27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 × </t>
    </r>
    <r>
      <rPr>
        <sz val="11"/>
        <color theme="1"/>
        <rFont val="Noto Sans CJK SC"/>
        <family val="2"/>
      </rPr>
      <t xml:space="preserve">傾斜係數</t>
    </r>
  </si>
  <si>
    <r>
      <rPr>
        <sz val="11"/>
        <color theme="1"/>
        <rFont val="Noto Sans CJK SC"/>
        <family val="2"/>
      </rPr>
      <t xml:space="preserve">餘額（英業達、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、美超微、</t>
    </r>
    <r>
      <rPr>
        <sz val="11"/>
        <color theme="1"/>
        <rFont val="Calibri"/>
        <family val="2"/>
        <charset val="1"/>
      </rPr>
      <t xml:space="preserve">HPE </t>
    </r>
    <r>
      <rPr>
        <sz val="11"/>
        <color theme="1"/>
        <rFont val="Noto Sans CJK SC"/>
        <family val="2"/>
      </rPr>
      <t xml:space="preserve">等，未建模）</t>
    </r>
  </si>
  <si>
    <r>
      <rPr>
        <sz val="11"/>
        <color theme="1"/>
        <rFont val="Noto Sans CJK SC"/>
        <family val="2"/>
      </rPr>
      <t xml:space="preserve">註：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、美超微以整櫃售價計（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系統市場），分母不同，不入本表；緯創模型自算的緯穎份額路徑與本表不同（</t>
    </r>
    <r>
      <rPr>
        <sz val="11"/>
        <color theme="1"/>
        <rFont val="Calibri"/>
        <family val="2"/>
        <charset val="1"/>
      </rPr>
      <t xml:space="preserve">CF23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</si>
  <si>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Deploy — AI IT </t>
    </r>
    <r>
      <rPr>
        <sz val="11"/>
        <color theme="1"/>
        <rFont val="Noto Sans CJK SC"/>
        <family val="2"/>
      </rPr>
      <t xml:space="preserve">資本支出＝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平台顆數（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情境顆數係數；部署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）。公式與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、各公司模型相同；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產業部署路徑上線後改讀算力收支</t>
    </r>
  </si>
  <si>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資本支出（基準，未乘係數）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</si>
  <si>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</si>
  <si>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</si>
  <si>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電力）</t>
    </r>
  </si>
  <si>
    <r>
      <rPr>
        <sz val="11"/>
        <color theme="1"/>
        <rFont val="Calibri"/>
        <family val="2"/>
        <charset val="1"/>
      </rPr>
      <t xml:space="preserve">ABF — </t>
    </r>
    <r>
      <rPr>
        <sz val="11"/>
        <color theme="1"/>
        <rFont val="Noto Sans CJK SC"/>
        <family val="2"/>
      </rPr>
      <t xml:space="preserve">載板供需表。需求（面積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層數口徑，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）＝加速器（顆數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1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 v_ot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^t</t>
    </r>
    <r>
      <rPr>
        <sz val="11"/>
        <color theme="1"/>
        <rFont val="Noto Sans CJK SC"/>
        <family val="2"/>
      </rPr>
      <t xml:space="preserve">）、其他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Noto Sans CJK SC"/>
        <family val="2"/>
      </rPr>
      <t xml:space="preserve">彈性）、非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（年增 </t>
    </r>
    <r>
      <rPr>
        <sz val="11"/>
        <color theme="1"/>
        <rFont val="Calibri"/>
        <family val="2"/>
        <charset val="1"/>
      </rPr>
      <t xml:space="preserve">g_nai</t>
    </r>
    <r>
      <rPr>
        <sz val="11"/>
        <color theme="1"/>
        <rFont val="Noto Sans CJK SC"/>
        <family val="2"/>
      </rPr>
      <t xml:space="preserve">），以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金額權重加總；供給＝各載板廠產能指數 </t>
    </r>
    <r>
      <rPr>
        <sz val="11"/>
        <color theme="1"/>
        <rFont val="Calibri"/>
        <family val="2"/>
        <charset val="1"/>
      </rPr>
      <t xml:space="preserve">× 2026 </t>
    </r>
    <r>
      <rPr>
        <sz val="11"/>
        <color theme="1"/>
        <rFont val="Noto Sans CJK SC"/>
        <family val="2"/>
      </rPr>
      <t xml:space="preserve">營收權重，再與味之素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膜可出貨量上限取小；缺口＝（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外部缺口）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有效供給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。價格溢價不計入（只量）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</si>
  <si>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需求</t>
    </r>
  </si>
  <si>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載板產值（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</si>
  <si>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TPCA 2025 × 2026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</si>
  <si>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權重：加速器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</si>
  <si>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權重：其他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（交換器、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</si>
  <si>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權重：非 </t>
    </r>
    <r>
      <rPr>
        <sz val="11"/>
        <color theme="1"/>
        <rFont val="Calibri"/>
        <family val="2"/>
        <charset val="1"/>
      </rPr>
      <t xml:space="preserve">AI</t>
    </r>
  </si>
  <si>
    <r>
      <rPr>
        <sz val="11"/>
        <color theme="1"/>
        <rFont val="Noto Sans CJK SC"/>
        <family val="2"/>
      </rPr>
      <t xml:space="preserve">加速器有效顆數（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＋ 非 </t>
    </r>
    <r>
      <rPr>
        <sz val="11"/>
        <color theme="1"/>
        <rFont val="Calibri"/>
        <family val="2"/>
        <charset val="1"/>
      </rPr>
      <t xml:space="preserve">NVIDIA × v_ot</t>
    </r>
    <r>
      <rPr>
        <sz val="11"/>
        <color theme="1"/>
        <rFont val="Noto Sans CJK SC"/>
        <family val="2"/>
      </rPr>
      <t xml:space="preserve">；百萬顆）</t>
    </r>
  </si>
  <si>
    <r>
      <rPr>
        <sz val="11"/>
        <color theme="1"/>
        <rFont val="Noto Sans CJK SC"/>
        <family val="2"/>
      </rPr>
      <t xml:space="preserve">需求指數：加速器（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面積層數）</t>
    </r>
  </si>
  <si>
    <r>
      <rPr>
        <sz val="11"/>
        <color theme="1"/>
        <rFont val="Noto Sans CJK SC"/>
        <family val="2"/>
      </rPr>
      <t xml:space="preserve">需求指數：其他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Noto Sans CJK SC"/>
        <family val="2"/>
      </rPr>
      <t xml:space="preserve">彈性）</t>
    </r>
  </si>
  <si>
    <r>
      <rPr>
        <sz val="11"/>
        <color theme="1"/>
        <rFont val="Noto Sans CJK SC"/>
        <family val="2"/>
      </rPr>
      <t xml:space="preserve">需求指數：非 </t>
    </r>
    <r>
      <rPr>
        <sz val="11"/>
        <color theme="1"/>
        <rFont val="Calibri"/>
        <family val="2"/>
        <charset val="1"/>
      </rPr>
      <t xml:space="preserve">AI</t>
    </r>
  </si>
  <si>
    <r>
      <rPr>
        <b val="true"/>
        <sz val="11"/>
        <rFont val="Noto Sans CJK SC"/>
        <family val="2"/>
      </rPr>
      <t xml:space="preserve">需求指數合計（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</si>
  <si>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供給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</si>
  <si>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</t>
    </r>
    <r>
      <rPr>
        <sz val="11"/>
        <color theme="1"/>
        <rFont val="Calibri"/>
        <family val="2"/>
        <charset val="1"/>
      </rPr>
      <t xml:space="preserve">Ibiden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</si>
  <si>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供給權重：欣興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</si>
  <si>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供給權重：南電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</si>
  <si>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供給權重：景碩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</si>
  <si>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供給權重：其他（三星電機、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、臻鼎等）</t>
    </r>
  </si>
  <si>
    <r>
      <rPr>
        <sz val="11"/>
        <color theme="1"/>
        <rFont val="Noto Sans CJK SC"/>
        <family val="2"/>
      </rPr>
      <t xml:space="preserve">產能指數：</t>
    </r>
    <r>
      <rPr>
        <sz val="11"/>
        <color theme="1"/>
        <rFont val="Calibri"/>
        <family val="2"/>
        <charset val="1"/>
      </rPr>
      <t xml:space="preserve">Ibiden</t>
    </r>
  </si>
  <si>
    <t xml:space="preserve">產能指數：欣興</t>
  </si>
  <si>
    <t xml:space="preserve">產能指數：南電</t>
  </si>
  <si>
    <t xml:space="preserve">產能指數：景碩</t>
  </si>
  <si>
    <t xml:space="preserve">產能指數：其他</t>
  </si>
  <si>
    <t xml:space="preserve">載板產能指數（加權）</t>
  </si>
  <si>
    <r>
      <rPr>
        <sz val="11"/>
        <color theme="1"/>
        <rFont val="Noto Sans CJK SC"/>
        <family val="2"/>
      </rPr>
      <t xml:space="preserve">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膜可出貨量上限（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</si>
  <si>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有效供給指數（取小）</t>
  </si>
  <si>
    <t xml:space="preserve">膜上限低於載板產能時，膜為瓶頸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</si>
  <si>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缺口（缺口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供給；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以外部缺口校準）</t>
    </r>
  </si>
  <si>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供需缺口</t>
    </r>
  </si>
  <si>
    <r>
      <rPr>
        <sz val="11"/>
        <color theme="1"/>
        <rFont val="Noto Sans CJK SC"/>
        <family val="2"/>
      </rPr>
      <t xml:space="preserve">對照：外部缺口（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abf_gap_*</t>
    </r>
    <r>
      <rPr>
        <sz val="11"/>
        <color theme="1"/>
        <rFont val="Noto Sans CJK SC"/>
        <family val="2"/>
      </rPr>
      <t xml:space="preserve">；兩來源中點）</t>
    </r>
  </si>
  <si>
    <t xml:space="preserve">對照：外部缺口低／高</t>
  </si>
  <si>
    <r>
      <rPr>
        <sz val="11"/>
        <color theme="1"/>
        <rFont val="Calibri"/>
        <family val="2"/>
        <charset val="1"/>
      </rPr>
      <t xml:space="preserve">PGW —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，不含價格指數）＝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元件金額 </t>
    </r>
    <r>
      <rPr>
        <sz val="11"/>
        <color theme="1"/>
        <rFont val="Calibri"/>
        <family val="2"/>
        <charset val="1"/>
      </rPr>
      <t xml:space="preserve">× 2027–29 </t>
    </r>
    <r>
      <rPr>
        <sz val="11"/>
        <color theme="1"/>
        <rFont val="Noto Sans CJK SC"/>
        <family val="2"/>
      </rPr>
      <t xml:space="preserve">指數；市場＝每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頁）。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口徑權威原在勝宏模型、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口徑原在台光電模型；兩者口徑不同，不可相加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</si>
  <si>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</si>
  <si>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</si>
  <si>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</si>
  <si>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：中板／背板／其他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</si>
  <si>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 </t>
    </r>
    <r>
      <rPr>
        <b val="true"/>
        <sz val="11"/>
        <rFont val="Noto Sans CJK SC"/>
        <family val="2"/>
      </rPr>
      <t xml:space="preserve">合計（</t>
    </r>
    <r>
      <rPr>
        <b val="true"/>
        <sz val="11"/>
        <rFont val="Cambria"/>
        <family val="0"/>
        <charset val="1"/>
      </rPr>
      <t xml:space="preserve">US$M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</si>
  <si>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市場（不含價格指數；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</si>
  <si>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CCL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</si>
  <si>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：加速器／運算板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</si>
  <si>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：交換器板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</si>
  <si>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</si>
  <si>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CCL </t>
    </r>
    <r>
      <rPr>
        <b val="true"/>
        <sz val="11"/>
        <rFont val="Noto Sans CJK SC"/>
        <family val="2"/>
      </rPr>
      <t xml:space="preserve">合計（</t>
    </r>
    <r>
      <rPr>
        <b val="true"/>
        <sz val="11"/>
        <rFont val="Cambria"/>
        <family val="0"/>
        <charset val="1"/>
      </rPr>
      <t xml:space="preserve">US$M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</si>
  <si>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市場（不含價格指數；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</si>
  <si>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</si>
  <si>
    <r>
      <rPr>
        <sz val="11"/>
        <color theme="1"/>
        <rFont val="Calibri"/>
        <family val="2"/>
        <charset val="1"/>
      </rPr>
      <t xml:space="preserve">Rack — </t>
    </r>
    <r>
      <rPr>
        <sz val="11"/>
        <color theme="1"/>
        <rFont val="Noto Sans CJK SC"/>
        <family val="2"/>
      </rPr>
      <t xml:space="preserve">機架層市場（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價）＝部署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OEM</t>
    </r>
    <r>
      <rPr>
        <sz val="11"/>
        <color theme="1"/>
        <rFont val="Noto Sans CJK SC"/>
        <family val="2"/>
      </rPr>
      <t xml:space="preserve">／整櫃售價，含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）＝商用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每顆系統價值（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數）；</t>
    </r>
    <r>
      <rPr>
        <sz val="11"/>
        <color theme="1"/>
        <rFont val="Calibri"/>
        <family val="2"/>
        <charset val="1"/>
      </rPr>
      <t xml:space="preserve">(3) AI </t>
    </r>
    <r>
      <rPr>
        <sz val="11"/>
        <color theme="1"/>
        <rFont val="Noto Sans CJK SC"/>
        <family val="2"/>
      </rPr>
      <t xml:space="preserve">電源市場＝部署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電源內容。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部署依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機架假設每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價值相同）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</si>
  <si>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伺服器組裝市場（</t>
    </r>
    <r>
      <rPr>
        <b val="true"/>
        <sz val="11"/>
        <rFont val="Cambria"/>
        <family val="0"/>
        <charset val="1"/>
      </rPr>
      <t xml:space="preserve">ODM </t>
    </r>
    <r>
      <rPr>
        <b val="true"/>
        <sz val="11"/>
        <rFont val="Noto Sans CJK SC"/>
        <family val="2"/>
      </rPr>
      <t xml:space="preserve">價；</t>
    </r>
    <r>
      <rPr>
        <b val="true"/>
        <sz val="11"/>
        <rFont val="Cambria"/>
        <family val="0"/>
        <charset val="1"/>
      </rPr>
      <t xml:space="preserve">quanta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foxconn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wistron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wiwynn </t>
    </r>
    <r>
      <rPr>
        <b val="true"/>
        <sz val="11"/>
        <rFont val="Noto Sans CJK SC"/>
        <family val="2"/>
      </rPr>
      <t xml:space="preserve">同讀）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</si>
  <si>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</si>
  <si>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 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M18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</si>
  <si>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伺服器組裝市場（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</si>
  <si>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系統市場（</t>
    </r>
    <r>
      <rPr>
        <b val="true"/>
        <sz val="11"/>
        <rFont val="Cambria"/>
        <family val="0"/>
        <charset val="1"/>
      </rPr>
      <t xml:space="preserve">OEM</t>
    </r>
    <r>
      <rPr>
        <b val="true"/>
        <sz val="11"/>
        <rFont val="Noto Sans CJK SC"/>
        <family val="2"/>
      </rPr>
      <t xml:space="preserve">／整櫃售價；</t>
    </r>
    <r>
      <rPr>
        <b val="true"/>
        <sz val="11"/>
        <rFont val="Cambria"/>
        <family val="0"/>
        <charset val="1"/>
      </rPr>
      <t xml:space="preserve">dell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smci </t>
    </r>
    <r>
      <rPr>
        <b val="true"/>
        <sz val="11"/>
        <rFont val="Noto Sans CJK SC"/>
        <family val="2"/>
      </rPr>
      <t xml:space="preserve">同讀；</t>
    </r>
    <r>
      <rPr>
        <b val="true"/>
        <sz val="11"/>
        <rFont val="Cambria"/>
        <family val="0"/>
        <charset val="1"/>
      </rPr>
      <t xml:space="preserve">CF10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</si>
  <si>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每顆系統價值：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／顆）</t>
    </r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</si>
  <si>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數；</t>
    </r>
    <r>
      <rPr>
        <sz val="11"/>
        <color theme="1"/>
        <rFont val="Calibri"/>
        <family val="2"/>
        <charset val="1"/>
      </rPr>
      <t xml:space="preserve">HGX </t>
    </r>
    <r>
      <rPr>
        <sz val="11"/>
        <color theme="1"/>
        <rFont val="Noto Sans CJK SC"/>
        <family val="2"/>
      </rPr>
      <t xml:space="preserve">八卡與 </t>
    </r>
    <r>
      <rPr>
        <sz val="11"/>
        <color theme="1"/>
        <rFont val="Calibri"/>
        <family val="2"/>
        <charset val="1"/>
      </rPr>
      <t xml:space="preserve">AMD MI355 </t>
    </r>
    <r>
      <rPr>
        <sz val="11"/>
        <color theme="1"/>
        <rFont val="Noto Sans CJK SC"/>
        <family val="2"/>
      </rPr>
      <t xml:space="preserve">以同值近似（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</si>
  <si>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每顆系統價值：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／顆）</t>
    </r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</si>
  <si>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AMD MI450 </t>
    </r>
    <r>
      <rPr>
        <sz val="11"/>
        <color theme="1"/>
        <rFont val="Noto Sans CJK SC"/>
        <family val="2"/>
      </rPr>
      <t xml:space="preserve">整櫃以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同值近似（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</si>
  <si>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另含 </t>
    </r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；百萬顆，情境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</si>
  <si>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世代分組依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實際產品：</t>
    </r>
    <r>
      <rPr>
        <sz val="11"/>
        <color theme="1"/>
        <rFont val="Calibri"/>
        <family val="2"/>
        <charset val="1"/>
      </rPr>
      <t xml:space="preserve">2026 MI355</t>
    </r>
    <r>
      <rPr>
        <sz val="11"/>
        <color theme="1"/>
        <rFont val="Noto Sans CJK SC"/>
        <family val="2"/>
      </rPr>
      <t xml:space="preserve">（八卡，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世代）、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MI450 Helios </t>
    </r>
    <r>
      <rPr>
        <sz val="11"/>
        <color theme="1"/>
        <rFont val="Noto Sans CJK SC"/>
        <family val="2"/>
      </rPr>
      <t xml:space="preserve">整櫃（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</si>
  <si>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起另含 </t>
    </r>
    <r>
      <rPr>
        <sz val="11"/>
        <color theme="1"/>
        <rFont val="Calibri"/>
        <family val="2"/>
        <charset val="1"/>
      </rPr>
      <t xml:space="preserve">AMD MI450</t>
    </r>
    <r>
      <rPr>
        <sz val="11"/>
        <color theme="1"/>
        <rFont val="Noto Sans CJK SC"/>
        <family val="2"/>
      </rPr>
      <t xml:space="preserve">；百萬顆，情境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</si>
  <si>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系統市場（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</si>
  <si>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AI </t>
    </r>
    <r>
      <rPr>
        <b val="true"/>
        <sz val="11"/>
        <rFont val="Noto Sans CJK SC"/>
        <family val="2"/>
      </rPr>
      <t xml:space="preserve">電源市場（</t>
    </r>
    <r>
      <rPr>
        <b val="true"/>
        <sz val="11"/>
        <rFont val="Cambria"/>
        <family val="0"/>
        <charset val="1"/>
      </rPr>
      <t xml:space="preserve">delta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liteon </t>
    </r>
    <r>
      <rPr>
        <b val="true"/>
        <sz val="11"/>
        <rFont val="Noto Sans CJK SC"/>
        <family val="2"/>
      </rPr>
      <t xml:space="preserve">同讀）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</si>
  <si>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US$/kW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</si>
  <si>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機架電源櫃、</t>
    </r>
    <r>
      <rPr>
        <sz val="11"/>
        <color theme="1"/>
        <rFont val="Calibri"/>
        <family val="2"/>
        <charset val="1"/>
      </rPr>
      <t xml:space="preserve">PSU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電源櫃（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M17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</si>
  <si>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電源市場（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</si>
  <si>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；口徑未找到）</t>
    </r>
  </si>
  <si>
    <r>
      <rPr>
        <sz val="11"/>
        <color theme="1"/>
        <rFont val="Noto Sans CJK SC"/>
        <family val="2"/>
      </rPr>
      <t xml:space="preserve">本庫情境 </t>
    </r>
    <r>
      <rPr>
        <sz val="11"/>
        <color theme="1"/>
        <rFont val="Calibri"/>
        <family val="2"/>
        <charset val="1"/>
      </rPr>
      <t xml:space="preserve">A ÷ UBS</t>
    </r>
  </si>
  <si>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高出約五到七成：口徑（是否含 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）未找到，只作對照</t>
    </r>
  </si>
  <si>
    <r>
      <rPr>
        <b val="true"/>
        <sz val="11"/>
        <rFont val="Cambria"/>
        <family val="0"/>
        <charset val="1"/>
      </rPr>
      <t xml:space="preserve">D. AI </t>
    </r>
    <r>
      <rPr>
        <b val="true"/>
        <sz val="11"/>
        <rFont val="Noto Sans CJK SC"/>
        <family val="2"/>
      </rPr>
      <t xml:space="preserve">液冷市場（機架內液冷＋分歧管；</t>
    </r>
    <r>
      <rPr>
        <b val="true"/>
        <sz val="11"/>
        <rFont val="Cambria"/>
        <family val="0"/>
        <charset val="1"/>
      </rPr>
      <t xml:space="preserve">avc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auras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jentech </t>
    </r>
    <r>
      <rPr>
        <b val="true"/>
        <sz val="11"/>
        <rFont val="Noto Sans CJK SC"/>
        <family val="2"/>
      </rPr>
      <t xml:space="preserve">同讀；不含 </t>
    </r>
    <r>
      <rPr>
        <b val="true"/>
        <sz val="11"/>
        <rFont val="Cambria"/>
        <family val="0"/>
        <charset val="1"/>
      </rPr>
      <t xml:space="preserve">CDU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Liquid-to-Air </t>
    </r>
    <r>
      <rPr>
        <b val="true"/>
        <sz val="11"/>
        <rFont val="Noto Sans CJK SC"/>
        <family val="2"/>
      </rPr>
      <t xml:space="preserve">等機架外冷卻）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</si>
  <si>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液冷內容（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</si>
  <si>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每架機架內液冷（</t>
    </r>
    <r>
      <rPr>
        <sz val="11"/>
        <color theme="1"/>
        <rFont val="Calibri"/>
        <family val="2"/>
        <charset val="1"/>
      </rPr>
      <t xml:space="preserve">Morgan Stanley BOM</t>
    </r>
    <r>
      <rPr>
        <sz val="11"/>
        <color theme="1"/>
        <rFont val="Noto Sans CJK SC"/>
        <family val="2"/>
      </rPr>
      <t xml:space="preserve">）＋分歧管，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內容調整（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液冷）</t>
    </r>
  </si>
  <si>
    <r>
      <rPr>
        <sz val="11"/>
        <color theme="1"/>
        <rFont val="Noto Sans CJK SC"/>
        <family val="2"/>
      </rPr>
      <t xml:space="preserve">液冷滲透率（部署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</si>
  <si>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液冷市場（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</si>
  <si>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TrendForce AI </t>
    </r>
    <r>
      <rPr>
        <sz val="11"/>
        <color theme="1"/>
        <rFont val="Noto Sans CJK SC"/>
        <family val="2"/>
      </rPr>
      <t xml:space="preserve">晶片液冷滲透率（顆數口徑）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</si>
  <si>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計高於顆數計（液冷晶片功耗較高）</t>
    </r>
  </si>
  <si>
    <r>
      <rPr>
        <sz val="11"/>
        <color theme="1"/>
        <rFont val="Calibri"/>
        <family val="2"/>
        <charset val="1"/>
      </rPr>
      <t xml:space="preserve">Equip — (1) SEMI </t>
    </r>
    <r>
      <rPr>
        <sz val="11"/>
        <color theme="1"/>
        <rFont val="Noto Sans CJK SC"/>
        <family val="2"/>
      </rPr>
      <t xml:space="preserve">設備分項路徑（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新聞稿值；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由年增回推；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年增連乘，測試與封裝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的幾何內插；</t>
    </r>
    <r>
      <rPr>
        <sz val="11"/>
        <color theme="1"/>
        <rFont val="Calibri"/>
        <family val="2"/>
        <charset val="1"/>
      </rPr>
      <t xml:space="preserve">2029 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g29)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SoC </t>
    </r>
    <r>
      <rPr>
        <sz val="11"/>
        <color theme="1"/>
        <rFont val="Noto Sans CJK SC"/>
        <family val="2"/>
      </rPr>
      <t xml:space="preserve">測試機市場三情境＝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每顆測試時間係數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每加權顆支出，以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公司市場校準）＋非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測試 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）。記憶體測試機市場依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設備支出（公司資本支出推導，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），留在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</t>
    </r>
  </si>
  <si>
    <t xml:space="preserve">2025</t>
  </si>
  <si>
    <r>
      <rPr>
        <b val="true"/>
        <sz val="11"/>
        <rFont val="Cambria"/>
        <family val="0"/>
        <charset val="1"/>
      </rPr>
      <t xml:space="preserve">A. SEMI </t>
    </r>
    <r>
      <rPr>
        <b val="true"/>
        <sz val="11"/>
        <rFont val="Noto Sans CJK SC"/>
        <family val="2"/>
      </rPr>
      <t xml:space="preserve">設備分項（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為設備商協會，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</si>
  <si>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</t>
    </r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</si>
  <si>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</si>
  <si>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</si>
  <si>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</si>
  <si>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</si>
  <si>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幾何內插（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年中預測未給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</si>
  <si>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</t>
    </r>
  </si>
  <si>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設備合計（</t>
    </r>
    <r>
      <rPr>
        <b val="true"/>
        <sz val="11"/>
        <rFont val="Cambria"/>
        <family val="0"/>
        <charset val="1"/>
      </rPr>
      <t xml:space="preserve">WFE</t>
    </r>
    <r>
      <rPr>
        <b val="true"/>
        <sz val="11"/>
        <rFont val="Noto Sans CJK SC"/>
        <family val="2"/>
      </rPr>
      <t xml:space="preserve">＋測試＋封裝）</t>
    </r>
  </si>
  <si>
    <r>
      <rPr>
        <b val="true"/>
        <sz val="11"/>
        <rFont val="Cambria"/>
        <family val="0"/>
        <charset val="1"/>
      </rPr>
      <t xml:space="preserve">B. SoC </t>
    </r>
    <r>
      <rPr>
        <b val="true"/>
        <sz val="11"/>
        <rFont val="Noto Sans CJK SC"/>
        <family val="2"/>
      </rPr>
      <t xml:space="preserve">測試機市場（日曆年，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</si>
  <si>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t xml:space="preserve">測試時間加權顆數（百萬顆）</t>
  </si>
  <si>
    <r>
      <rPr>
        <sz val="11"/>
        <color theme="1"/>
        <rFont val="Noto Sans CJK SC"/>
        <family val="2"/>
      </rPr>
      <t xml:space="preserve">每加權顆測試支出（以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／百萬顆）</t>
    </r>
  </si>
  <si>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市場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加權顆數；平行測試效率提升基準為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</si>
  <si>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</t>
    </r>
  </si>
  <si>
    <r>
      <rPr>
        <b val="true"/>
        <sz val="11"/>
        <rFont val="Cambria"/>
        <family val="0"/>
        <charset val="1"/>
      </rPr>
      <t xml:space="preserve">SoC </t>
    </r>
    <r>
      <rPr>
        <b val="true"/>
        <sz val="11"/>
        <rFont val="Noto Sans CJK SC"/>
        <family val="2"/>
      </rPr>
      <t xml:space="preserve">測試機市場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</si>
  <si>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測試 </t>
    </r>
    <r>
      <rPr>
        <b val="true"/>
        <sz val="11"/>
        <rFont val="Cambria"/>
        <family val="0"/>
        <charset val="1"/>
      </rPr>
      <t xml:space="preserve">÷ WFE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CF15</t>
    </r>
    <r>
      <rPr>
        <b val="true"/>
        <sz val="11"/>
        <rFont val="Noto Sans CJK SC"/>
        <family val="2"/>
      </rPr>
      <t xml:space="preserve">；泰瑞達長期 </t>
    </r>
    <r>
      <rPr>
        <b val="true"/>
        <sz val="11"/>
        <rFont val="Cambria"/>
        <family val="0"/>
        <charset val="1"/>
      </rPr>
      <t xml:space="preserve">7–9% </t>
    </r>
    <r>
      <rPr>
        <b val="true"/>
        <sz val="11"/>
        <rFont val="Noto Sans CJK SC"/>
        <family val="2"/>
      </rPr>
      <t xml:space="preserve">是其 </t>
    </r>
    <r>
      <rPr>
        <b val="true"/>
        <sz val="11"/>
        <rFont val="Cambria"/>
        <family val="0"/>
        <charset val="1"/>
      </rPr>
      <t xml:space="preserve">ATE </t>
    </r>
    <r>
      <rPr>
        <b val="true"/>
        <sz val="11"/>
        <rFont val="Noto Sans CJK SC"/>
        <family val="2"/>
      </rPr>
      <t xml:space="preserve">口徑，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測試設備另含探針台、分選機等）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</si>
  <si>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÷ SEMI WFE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</si>
  <si>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</t>
    </r>
  </si>
  <si>
    <r>
      <rPr>
        <sz val="11"/>
        <color theme="1"/>
        <rFont val="Noto Sans CJK SC"/>
        <family val="2"/>
      </rPr>
      <t xml:space="preserve">對照：泰瑞達測試 </t>
    </r>
    <r>
      <rPr>
        <sz val="11"/>
        <color theme="1"/>
        <rFont val="Calibri"/>
        <family val="2"/>
        <charset val="1"/>
      </rPr>
      <t xml:space="preserve">÷ WFE </t>
    </r>
    <r>
      <rPr>
        <sz val="11"/>
        <color theme="1"/>
        <rFont val="Noto Sans CJK SC"/>
        <family val="2"/>
      </rPr>
      <t xml:space="preserve">長期區間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</si>
  <si>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混合鍵合占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工序比例（行業技術情境：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起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高、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基準、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低；</t>
    </r>
    <r>
      <rPr>
        <b val="true"/>
        <sz val="11"/>
        <rFont val="Cambria"/>
        <family val="0"/>
        <charset val="1"/>
      </rPr>
      <t xml:space="preserve">disco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hanmi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besi </t>
    </r>
    <r>
      <rPr>
        <b val="true"/>
        <sz val="11"/>
        <rFont val="Noto Sans CJK SC"/>
        <family val="2"/>
      </rPr>
      <t xml:space="preserve">同讀）</t>
    </r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</si>
  <si>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工序比例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</si>
  <si>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平均堆疊層數（基準）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</si>
  <si>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Noto Sans CJK SC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Noto Sans CJK SC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</si>
  <si>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</si>
  <si>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</si>
  <si>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</si>
  <si>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</si>
  <si>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</si>
  <si>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</si>
  <si>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</si>
  <si>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</si>
  <si>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</si>
  <si>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</si>
  <si>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</si>
  <si>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</si>
  <si>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</si>
  <si>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</si>
  <si>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</si>
  <si>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</si>
  <si>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</si>
  <si>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</si>
  <si>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</si>
  <si>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</si>
  <si>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</si>
  <si>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</si>
  <si>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NAND</t>
  </si>
  <si>
    <t xml:space="preserve">年均指數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</si>
  <si>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</si>
  <si>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</si>
  <si>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</si>
  <si>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</si>
  <si>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Noto Sans CJK SC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 × </t>
    </r>
    <r>
      <rPr>
        <sz val="11"/>
        <color theme="1"/>
        <rFont val="Noto Sans CJK SC"/>
        <family val="2"/>
      </rPr>
      <t xml:space="preserve">情境顆數係數（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）；供給三情境相同；出貨＝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單價（單價依情境）</t>
    </r>
  </si>
  <si>
    <r>
      <rPr>
        <sz val="11"/>
        <color theme="1"/>
        <rFont val="Noto Sans CJK SC"/>
        <family val="2"/>
      </rPr>
      <t xml:space="preserve">公式由 </t>
    </r>
    <r>
      <rPr>
        <sz val="11"/>
        <color theme="1"/>
        <rFont val="Calibri"/>
        <family val="2"/>
        <charset val="1"/>
      </rPr>
      <t xml:space="preserve">markets/memory/market.py write() </t>
    </r>
    <r>
      <rPr>
        <sz val="11"/>
        <color theme="1"/>
        <rFont val="Noto Sans CJK SC"/>
        <family val="2"/>
      </rPr>
      <t xml:space="preserve">產生（與各記憶體公司模型的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頁同一份）；輸入讀本活頁簿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</si>
  <si>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Noto Sans CJK SC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</si>
  <si>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</si>
  <si>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</si>
  <si>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</si>
  <si>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</si>
  <si>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</si>
  <si>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</si>
  <si>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</si>
  <si>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</si>
  <si>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</si>
  <si>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需求合計（裝載）</t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</si>
  <si>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出貨係數（基準＝情境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</si>
  <si>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</si>
  <si>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</si>
  <si>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</si>
  <si>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供給（三情境相同）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</si>
  <si>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供給＝需求出貨（年中已成交）；供給不隨需求情境變（產能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</si>
  <si>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</si>
  <si>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無情境差異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</si>
  <si>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</si>
  <si>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</si>
  <si>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</si>
  <si>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</si>
  <si>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</si>
  <si>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</si>
  <si>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需求低於供給時出貨＝需求（閒置產能）</t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</si>
  <si>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</si>
  <si>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</si>
  <si>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</si>
  <si>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</si>
  <si>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</si>
  <si>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</si>
  <si>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</si>
  <si>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</si>
  <si>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</si>
  <si>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</si>
  <si>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</si>
  <si>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</si>
  <si>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</si>
  <si>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</si>
  <si>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；與顆數預測獨立</t>
    </r>
  </si>
  <si>
    <t xml:space="preserve">  差距</t>
  </si>
  <si>
    <r>
      <rPr>
        <sz val="11"/>
        <color theme="1"/>
        <rFont val="Noto Sans CJK SC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</si>
  <si>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</si>
  <si>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</si>
  <si>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Noto Sans CJK SC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</si>
  <si>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TK_In — Tokenomics </t>
    </r>
    <r>
      <rPr>
        <sz val="11"/>
        <color theme="1"/>
        <rFont val="Noto Sans CJK SC"/>
        <family val="2"/>
      </rPr>
      <t xml:space="preserve">取數（只讀鏡像；權威在算力收支）：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v21.7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commit 91d541f</t>
    </r>
    <r>
      <rPr>
        <sz val="11"/>
        <color theme="1"/>
        <rFont val="Noto Sans CJK SC"/>
        <family val="2"/>
      </rPr>
      <t xml:space="preserve">，擷取 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）。綠字＝外部連結值，不得在本頁修改；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升版時以 </t>
    </r>
    <r>
      <rPr>
        <sz val="11"/>
        <color theme="1"/>
        <rFont val="Calibri"/>
        <family val="2"/>
        <charset val="1"/>
      </rPr>
      <t xml:space="preserve">tools/tokenomics/import_tokenomics.py </t>
    </r>
    <r>
      <rPr>
        <sz val="11"/>
        <color theme="1"/>
        <rFont val="Noto Sans CJK SC"/>
        <family val="2"/>
      </rPr>
      <t xml:space="preserve">重抽快照再重建</t>
    </r>
  </si>
  <si>
    <r>
      <rPr>
        <sz val="11"/>
        <color theme="1"/>
        <rFont val="Noto Sans CJK SC"/>
        <family val="2"/>
      </rPr>
      <t xml:space="preserve">右側 </t>
    </r>
    <r>
      <rPr>
        <sz val="11"/>
        <color theme="1"/>
        <rFont val="Calibri"/>
        <family val="2"/>
        <charset val="1"/>
      </rPr>
      <t xml:space="preserve">J–L </t>
    </r>
    <r>
      <rPr>
        <sz val="11"/>
        <color theme="1"/>
        <rFont val="Noto Sans CJK SC"/>
        <family val="2"/>
      </rPr>
      <t xml:space="preserve">欄：</t>
    </r>
    <r>
      <rPr>
        <sz val="11"/>
        <color theme="1"/>
        <rFont val="Calibri"/>
        <family val="2"/>
        <charset val="1"/>
      </rPr>
      <t xml:space="preserve">company-models </t>
    </r>
    <r>
      <rPr>
        <sz val="11"/>
        <color theme="1"/>
        <rFont val="Noto Sans CJK SC"/>
        <family val="2"/>
      </rPr>
      <t xml:space="preserve">下游目前讀的舊版快照（</t>
    </r>
    <r>
      <rPr>
        <sz val="11"/>
        <color theme="1"/>
        <rFont val="Calibri"/>
        <family val="2"/>
        <charset val="1"/>
      </rPr>
      <t xml:space="preserve">markets/chip_bridge v20.1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欄＝與現行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不同的格數（</t>
    </r>
    <r>
      <rPr>
        <sz val="11"/>
        <color theme="1"/>
        <rFont val="Calibri"/>
        <family val="2"/>
        <charset val="1"/>
      </rPr>
      <t xml:space="preserve">&gt;0 </t>
    </r>
    <r>
      <rPr>
        <sz val="11"/>
        <color theme="1"/>
        <rFont val="Noto Sans CJK SC"/>
        <family val="2"/>
      </rPr>
      <t xml:space="preserve">表示下游用的值已過時）</t>
    </r>
  </si>
  <si>
    <r>
      <rPr>
        <b val="true"/>
        <sz val="11"/>
        <rFont val="Noto Sans CJK SC"/>
        <family val="2"/>
      </rPr>
      <t xml:space="preserve">名稱（</t>
    </r>
    <r>
      <rPr>
        <b val="true"/>
        <sz val="11"/>
        <rFont val="Cambria"/>
        <family val="0"/>
        <charset val="1"/>
      </rPr>
      <t xml:space="preserve">TK</t>
    </r>
    <r>
      <rPr>
        <b val="true"/>
        <sz val="11"/>
        <rFont val="Noto Sans CJK SC"/>
        <family val="2"/>
      </rPr>
      <t xml:space="preserve">）</t>
    </r>
  </si>
  <si>
    <t xml:space="preserve">世代／項目</t>
  </si>
  <si>
    <t xml:space="preserve">本庫名稱</t>
  </si>
  <si>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位置</t>
    </r>
  </si>
  <si>
    <t xml:space="preserve">取用者</t>
  </si>
  <si>
    <t xml:space="preserve">舊快照 低</t>
  </si>
  <si>
    <t xml:space="preserve">舊快照 基準</t>
  </si>
  <si>
    <t xml:space="preserve">舊快照 高</t>
  </si>
  <si>
    <t xml:space="preserve">差異格數</t>
  </si>
  <si>
    <t xml:space="preserve">IF_RacksPerGW</t>
  </si>
  <si>
    <t xml:space="preserve">Hopper H100</t>
  </si>
  <si>
    <t xml:space="preserve">TK_RacksPerGW_H100</t>
  </si>
  <si>
    <t xml:space="preserve">架</t>
  </si>
  <si>
    <t xml:space="preserve">Interface!C6:Q6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</si>
  <si>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（經橋接表）</t>
    </r>
  </si>
  <si>
    <t xml:space="preserve">GB200 NVL72</t>
  </si>
  <si>
    <t xml:space="preserve">TK_RacksPerGW_GB200</t>
  </si>
  <si>
    <t xml:space="preserve">GB300 NVL72</t>
  </si>
  <si>
    <t xml:space="preserve">TK_RacksPerGW_GB300</t>
  </si>
  <si>
    <t xml:space="preserve">VR200 NVL72</t>
  </si>
  <si>
    <t xml:space="preserve">TK_RacksPerGW_VR200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</si>
  <si>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</t>
    </r>
  </si>
  <si>
    <t xml:space="preserve">TK_RacksPerGW_RU</t>
  </si>
  <si>
    <t xml:space="preserve">IF_GPUsPerGW</t>
  </si>
  <si>
    <t xml:space="preserve">TK_GPUsPerGW_H100</t>
  </si>
  <si>
    <t xml:space="preserve">顆</t>
  </si>
  <si>
    <t xml:space="preserve">Interface!C7:Q7</t>
  </si>
  <si>
    <t xml:space="preserve">chip_bridge</t>
  </si>
  <si>
    <t xml:space="preserve">TK_GPUsPerGW_GB200</t>
  </si>
  <si>
    <t xml:space="preserve">TK_GPUsPerGW_GB300</t>
  </si>
  <si>
    <t xml:space="preserve">TK_GPUsPerGW_VR200</t>
  </si>
  <si>
    <t xml:space="preserve">TK_GPUsPerGW_RU</t>
  </si>
  <si>
    <t xml:space="preserve">IF_CapexIT</t>
  </si>
  <si>
    <t xml:space="preserve">TK_CapexIT_H100</t>
  </si>
  <si>
    <t xml:space="preserve">Interface!C9:Q9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</si>
  <si>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等（部署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換算）</t>
    </r>
  </si>
  <si>
    <t xml:space="preserve">TK_CapexIT_GB200</t>
  </si>
  <si>
    <t xml:space="preserve">TK_CapexIT_GB300</t>
  </si>
  <si>
    <t xml:space="preserve">TK_CapexIT_VR200</t>
  </si>
  <si>
    <t xml:space="preserve">TK_CapexIT_RU</t>
  </si>
  <si>
    <t xml:space="preserve">IF_CapexFacility</t>
  </si>
  <si>
    <t xml:space="preserve">TK_CapexFacility_H100</t>
  </si>
  <si>
    <t xml:space="preserve">Interface!C10:Q10</t>
  </si>
  <si>
    <t xml:space="preserve">TK_CapexFacility_GB200</t>
  </si>
  <si>
    <t xml:space="preserve">TK_CapexFacility_GB300</t>
  </si>
  <si>
    <t xml:space="preserve">TK_CapexFacility_VR200</t>
  </si>
  <si>
    <t xml:space="preserve">TK_CapexFacility_RU</t>
  </si>
  <si>
    <t xml:space="preserve">IF_CapexTotal</t>
  </si>
  <si>
    <t xml:space="preserve">TK_CapexTotal_H100</t>
  </si>
  <si>
    <t xml:space="preserve">Interface!C11:Q11</t>
  </si>
  <si>
    <t xml:space="preserve">TK_CapexTotal_GB200</t>
  </si>
  <si>
    <t xml:space="preserve">TK_CapexTotal_GB300</t>
  </si>
  <si>
    <t xml:space="preserve">TK_CapexTotal_VR200</t>
  </si>
  <si>
    <t xml:space="preserve">TK_CapexTotal_RU</t>
  </si>
  <si>
    <t xml:space="preserve">IF_RackPrice</t>
  </si>
  <si>
    <t xml:space="preserve">TK_RackPrice_H100</t>
  </si>
  <si>
    <r>
      <rPr>
        <sz val="11"/>
        <color theme="1"/>
        <rFont val="Calibri"/>
        <family val="2"/>
        <charset val="1"/>
      </rPr>
      <t xml:space="preserve">$M/</t>
    </r>
    <r>
      <rPr>
        <sz val="11"/>
        <color theme="1"/>
        <rFont val="Noto Sans CJK SC"/>
        <family val="2"/>
      </rPr>
      <t xml:space="preserve">架</t>
    </r>
  </si>
  <si>
    <t xml:space="preserve">Interface!C364:Q364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</si>
  <si>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（目前抄錄值，改接排入中）</t>
    </r>
  </si>
  <si>
    <t xml:space="preserve">TK_RackPrice_GB200</t>
  </si>
  <si>
    <t xml:space="preserve">TK_RackPrice_GB300</t>
  </si>
  <si>
    <t xml:space="preserve">TK_RackPrice_VR200</t>
  </si>
  <si>
    <t xml:space="preserve">TK_RackPrice_RU</t>
  </si>
  <si>
    <t xml:space="preserve">IF_ScaleOutShare</t>
  </si>
  <si>
    <t xml:space="preserve">TK_ScaleOutShare_H100</t>
  </si>
  <si>
    <r>
      <rPr>
        <sz val="11"/>
        <color theme="1"/>
        <rFont val="Noto Sans CJK SC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</t>
    </r>
  </si>
  <si>
    <t xml:space="preserve">Interface!C365:Q365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</si>
  <si>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（目前抄錄值）</t>
    </r>
  </si>
  <si>
    <t xml:space="preserve">TK_ScaleOutShare_GB200</t>
  </si>
  <si>
    <t xml:space="preserve">TK_ScaleOutShare_GB300</t>
  </si>
  <si>
    <t xml:space="preserve">TK_ScaleOutShare_VR200</t>
  </si>
  <si>
    <t xml:space="preserve">TK_ScaleOutShare_RU</t>
  </si>
  <si>
    <t xml:space="preserve">IF_StoragePerGPU</t>
  </si>
  <si>
    <t xml:space="preserve">TK_StoragePerGPU_H100</t>
  </si>
  <si>
    <t xml:space="preserve">$/GPU</t>
  </si>
  <si>
    <t xml:space="preserve">Interface!C366:Q366</t>
  </si>
  <si>
    <t xml:space="preserve">TK_StoragePerGPU_GB200</t>
  </si>
  <si>
    <t xml:space="preserve">TK_StoragePerGPU_GB300</t>
  </si>
  <si>
    <t xml:space="preserve">TK_StoragePerGPU_VR200</t>
  </si>
  <si>
    <t xml:space="preserve">TK_StoragePerGPU_RU</t>
  </si>
  <si>
    <t xml:space="preserve">IF_NonNV_Out_AMD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</si>
  <si>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</si>
  <si>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TK_NonNV_Out_AMD</t>
  </si>
  <si>
    <r>
      <rPr>
        <sz val="11"/>
        <color theme="1"/>
        <rFont val="Noto Sans CJK SC"/>
        <family val="2"/>
      </rPr>
      <t xml:space="preserve">比（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</t>
    </r>
  </si>
  <si>
    <t xml:space="preserve">Interface!C369:E369</t>
  </si>
  <si>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等（目前各自假設，待改接）</t>
    </r>
  </si>
  <si>
    <t xml:space="preserve">IF_NonNV_Out_TPU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</si>
  <si>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</si>
  <si>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TK_NonNV_Out_TPU</t>
  </si>
  <si>
    <t xml:space="preserve">Interface!C370:E370</t>
  </si>
  <si>
    <t xml:space="preserve">IF_NonNV_Out_Trn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</si>
  <si>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</si>
  <si>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TK_NonNV_Out_Trn</t>
  </si>
  <si>
    <t xml:space="preserve">Interface!C371:E371</t>
  </si>
  <si>
    <t xml:space="preserve">IF_NonNV_Out_CS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</si>
  <si>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</si>
  <si>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TK_NonNV_Out_CS</t>
  </si>
  <si>
    <t xml:space="preserve">Interface!C372:E372</t>
  </si>
  <si>
    <t xml:space="preserve">IF_NonNV_Out_OAI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</si>
  <si>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</si>
  <si>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TK_NonNV_Out_OAI</t>
  </si>
  <si>
    <t xml:space="preserve">Interface!C373:E373</t>
  </si>
  <si>
    <t xml:space="preserve">IF_NonNV_Out_Ascend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</si>
  <si>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</si>
  <si>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TK_NonNV_Out_Ascend</t>
  </si>
  <si>
    <t xml:space="preserve">Interface!C379:E379</t>
  </si>
  <si>
    <t xml:space="preserve">IF_NonNV_Out_Maia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</si>
  <si>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</si>
  <si>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TK_NonNV_Out_Maia</t>
  </si>
  <si>
    <t xml:space="preserve">Interface!C380:E380</t>
  </si>
  <si>
    <t xml:space="preserve">IF_NonNV_Hold_AMD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</si>
  <si>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</si>
  <si>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TK_NonNV_Hold_AMD</t>
  </si>
  <si>
    <t xml:space="preserve">Interface!C374:E374</t>
  </si>
  <si>
    <t xml:space="preserve">IF_NonNV_Hold_TPU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</si>
  <si>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</si>
  <si>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TK_NonNV_Hold_TPU</t>
  </si>
  <si>
    <t xml:space="preserve">Interface!C375:E375</t>
  </si>
  <si>
    <t xml:space="preserve">IF_NonNV_Hold_Trn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</si>
  <si>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</si>
  <si>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TK_NonNV_Hold_Trn</t>
  </si>
  <si>
    <t xml:space="preserve">Interface!C376:E376</t>
  </si>
  <si>
    <t xml:space="preserve">IF_NonNV_Hold_CS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</si>
  <si>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</si>
  <si>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TK_NonNV_Hold_CS</t>
  </si>
  <si>
    <t xml:space="preserve">Interface!C377:E377</t>
  </si>
  <si>
    <t xml:space="preserve">IF_NonNV_Hold_OAI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</si>
  <si>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</si>
  <si>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TK_NonNV_Hold_OAI</t>
  </si>
  <si>
    <t xml:space="preserve">Interface!C378:E378</t>
  </si>
  <si>
    <t xml:space="preserve">IF_NonNV_Hold_Ascend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</si>
  <si>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</si>
  <si>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TK_NonNV_Hold_Ascend</t>
  </si>
  <si>
    <t xml:space="preserve">Interface!C381:E381</t>
  </si>
  <si>
    <t xml:space="preserve">IF_NonNV_Hold_Maia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</si>
  <si>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</si>
  <si>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TK_NonNV_Hold_Maia</t>
  </si>
  <si>
    <t xml:space="preserve">Interface!C382:E382</t>
  </si>
  <si>
    <r>
      <rPr>
        <b val="true"/>
        <sz val="11"/>
        <rFont val="Noto Sans CJK SC"/>
        <family val="2"/>
      </rPr>
      <t xml:space="preserve">下游舊快照與現行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不同的格數</t>
    </r>
  </si>
  <si>
    <r>
      <rPr>
        <sz val="11"/>
        <color theme="1"/>
        <rFont val="Calibri"/>
        <family val="2"/>
        <charset val="1"/>
      </rPr>
      <t xml:space="preserve">Conflicts — </t>
    </r>
    <r>
      <rPr>
        <sz val="11"/>
        <color theme="1"/>
        <rFont val="Noto Sans CJK SC"/>
        <family val="2"/>
      </rPr>
      <t xml:space="preserve">跨模型衝突登錄：同一個行業變數在兩個以上公司模型有不同值。本庫的任務是讓每個變數只有一個值；建議值為 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預設（判斷類，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可改），在對應子產業併入本庫的版本生效，生效前各公司模型維持現值</t>
    </r>
  </si>
  <si>
    <t xml:space="preserve">ID</t>
  </si>
  <si>
    <t xml:space="preserve">子產業</t>
  </si>
  <si>
    <t xml:space="preserve">變數</t>
  </si>
  <si>
    <t xml:space="preserve">模型甲（位置）</t>
  </si>
  <si>
    <t xml:space="preserve">甲值</t>
  </si>
  <si>
    <t xml:space="preserve">模型乙（位置）</t>
  </si>
  <si>
    <t xml:space="preserve">乙值</t>
  </si>
  <si>
    <t xml:space="preserve">性質</t>
  </si>
  <si>
    <t xml:space="preserve">建議單一值與理由</t>
  </si>
  <si>
    <t xml:space="preserve">生效版本</t>
  </si>
  <si>
    <t xml:space="preserve">狀態</t>
  </si>
  <si>
    <t xml:space="preserve">來源</t>
  </si>
  <si>
    <t xml:space="preserve">CF01</t>
  </si>
  <si>
    <t xml:space="preserve">載板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</si>
  <si>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資本支出（新廠是否已核准）</t>
    </r>
  </si>
  <si>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</si>
  <si>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nanya_pcb In!I104</t>
    </r>
    <r>
      <rPr>
        <sz val="11"/>
        <color theme="1"/>
        <rFont val="Noto Sans CJK SC"/>
        <family val="2"/>
      </rPr>
      <t xml:space="preserve">（待董事會決議）</t>
    </r>
  </si>
  <si>
    <r>
      <rPr>
        <sz val="11"/>
        <color theme="1"/>
        <rFont val="Calibri"/>
        <family val="2"/>
        <charset val="1"/>
      </rPr>
      <t xml:space="preserve">140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120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</si>
  <si>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：董事會已通過高階載板新廠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</si>
  <si>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468</t>
    </r>
  </si>
  <si>
    <t xml:space="preserve">過時（公司變數）</t>
  </si>
  <si>
    <t xml:space="preserve">屬公司變數，不入本庫；南電模型下次改版更新為已核准，資本支出依新廠時程重排</t>
  </si>
  <si>
    <t xml:space="preserve">南電下版</t>
  </si>
  <si>
    <r>
      <rPr>
        <sz val="11"/>
        <color theme="1"/>
        <rFont val="Noto Sans CJK SC"/>
        <family val="2"/>
      </rPr>
      <t xml:space="preserve">移到南電分部重建（部分符合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檔，預計 </t>
    </r>
    <r>
      <rPr>
        <sz val="11"/>
        <color theme="1"/>
        <rFont val="Calibri"/>
        <family val="2"/>
        <charset val="1"/>
      </rPr>
      <t xml:space="preserve">11-07</t>
    </r>
    <r>
      <rPr>
        <sz val="11"/>
        <color theme="1"/>
        <rFont val="Noto Sans CJK SC"/>
        <family val="2"/>
      </rPr>
      <t xml:space="preserve">）：屬公司變數，新廠 </t>
    </r>
    <r>
      <rPr>
        <sz val="11"/>
        <color theme="1"/>
        <rFont val="Calibri"/>
        <family val="2"/>
        <charset val="1"/>
      </rPr>
      <t xml:space="preserve">468 </t>
    </r>
    <r>
      <rPr>
        <sz val="11"/>
        <color theme="1"/>
        <rFont val="Noto Sans CJK SC"/>
        <family val="2"/>
      </rPr>
      <t xml:space="preserve">億的時程排入南電資本支出；本庫不收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</si>
  <si>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A1</t>
    </r>
  </si>
  <si>
    <t xml:space="preserve">CF02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</si>
  <si>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</t>
    </r>
  </si>
  <si>
    <t xml:space="preserve">unimicron In!E99</t>
  </si>
  <si>
    <t xml:space="preserve">537</t>
  </si>
  <si>
    <r>
      <rPr>
        <sz val="11"/>
        <color theme="1"/>
        <rFont val="Calibri"/>
        <family val="2"/>
        <charset val="1"/>
      </rPr>
      <t xml:space="preserve">ibiden In!H52</t>
    </r>
    <r>
      <rPr>
        <sz val="11"/>
        <color theme="1"/>
        <rFont val="Noto Sans CJK SC"/>
        <family val="2"/>
      </rPr>
      <t xml:space="preserve">（同業對照）</t>
    </r>
  </si>
  <si>
    <t xml:space="preserve">340</t>
  </si>
  <si>
    <t xml:space="preserve">過時</t>
  </si>
  <si>
    <r>
      <rPr>
        <sz val="11"/>
        <color theme="1"/>
        <rFont val="Noto Sans CJK SC"/>
        <family val="2"/>
      </rPr>
      <t xml:space="preserve">以欣興模型 </t>
    </r>
    <r>
      <rPr>
        <sz val="11"/>
        <color theme="1"/>
        <rFont val="Calibri"/>
        <family val="2"/>
        <charset val="1"/>
      </rPr>
      <t xml:space="preserve">537</t>
    </r>
    <r>
      <rPr>
        <sz val="11"/>
        <color theme="1"/>
        <rFont val="Noto Sans CJK SC"/>
        <family val="2"/>
      </rPr>
      <t xml:space="preserve">（較新）為準；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對照列下版改讀欣興成品</t>
    </r>
  </si>
  <si>
    <t xml:space="preserve">v0.4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</si>
  <si>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v0.8.3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abf_ibrel_28 </t>
    </r>
    <r>
      <rPr>
        <sz val="11"/>
        <color theme="1"/>
        <rFont val="Noto Sans CJK SC"/>
        <family val="2"/>
      </rPr>
      <t xml:space="preserve">的來源文字改以欣興 </t>
    </r>
    <r>
      <rPr>
        <sz val="11"/>
        <color theme="1"/>
        <rFont val="Calibri"/>
        <family val="2"/>
        <charset val="1"/>
      </rPr>
      <t xml:space="preserve">537 </t>
    </r>
    <r>
      <rPr>
        <sz val="11"/>
        <color theme="1"/>
        <rFont val="Noto Sans CJK SC"/>
        <family val="2"/>
      </rPr>
      <t xml:space="preserve">億為準；數值不變）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</si>
  <si>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A2</t>
    </r>
  </si>
  <si>
    <t xml:space="preserve">CF03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</si>
  <si>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</si>
  <si>
    <r>
      <rPr>
        <sz val="11"/>
        <color theme="1"/>
        <rFont val="Calibri"/>
        <family val="2"/>
        <charset val="1"/>
      </rPr>
      <t xml:space="preserve">unimicron In!E131</t>
    </r>
    <r>
      <rPr>
        <sz val="11"/>
        <color theme="1"/>
        <rFont val="Noto Sans CJK SC"/>
        <family val="2"/>
      </rPr>
      <t xml:space="preserve">（永豐）</t>
    </r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</si>
  <si>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</si>
  <si>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模型與比對 </t>
    </r>
    <r>
      <rPr>
        <sz val="11"/>
        <color theme="1"/>
        <rFont val="Calibri"/>
        <family val="2"/>
        <charset val="1"/>
      </rPr>
      <t xml:space="preserve">I9</t>
    </r>
  </si>
  <si>
    <r>
      <rPr>
        <sz val="11"/>
        <color theme="1"/>
        <rFont val="Noto Sans CJK SC"/>
        <family val="2"/>
      </rPr>
      <t xml:space="preserve">—／約 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／逾 </t>
    </r>
    <r>
      <rPr>
        <sz val="11"/>
        <color theme="1"/>
        <rFont val="Calibri"/>
        <family val="2"/>
        <charset val="1"/>
      </rPr>
      <t xml:space="preserve">40</t>
    </r>
  </si>
  <si>
    <t xml:space="preserve">行業變數（兩來源）</t>
  </si>
  <si>
    <r>
      <rPr>
        <sz val="11"/>
        <color theme="1"/>
        <rFont val="Noto Sans CJK SC"/>
        <family val="2"/>
      </rPr>
      <t xml:space="preserve">本庫設單一路徑：基準取兩來源中點（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），低／高為兩來源；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、欣興、南電、景碩、味之素改讀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</si>
  <si>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（各載板與膜模型的滿足率是否改讀本庫缺口；預設不改）：</t>
    </r>
    <r>
      <rPr>
        <sz val="11"/>
        <color theme="1"/>
        <rFont val="Calibri"/>
        <family val="2"/>
        <charset val="1"/>
      </rPr>
      <t xml:space="preserve">v0.5.1 ABF </t>
    </r>
    <r>
      <rPr>
        <sz val="11"/>
        <color theme="1"/>
        <rFont val="Noto Sans CJK SC"/>
        <family val="2"/>
      </rPr>
      <t xml:space="preserve">供需表已建（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頁）：本庫推導缺口情境 </t>
    </r>
    <r>
      <rPr>
        <sz val="11"/>
        <color theme="1"/>
        <rFont val="Calibri"/>
        <family val="2"/>
        <charset val="1"/>
      </rPr>
      <t xml:space="preserve">A 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11.0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12.3%</t>
    </r>
    <r>
      <rPr>
        <sz val="11"/>
        <color theme="1"/>
        <rFont val="Noto Sans CJK SC"/>
        <family val="2"/>
      </rPr>
      <t xml:space="preserve">（外部 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、各公司自算 </t>
    </r>
    <r>
      <rPr>
        <sz val="11"/>
        <color theme="1"/>
        <rFont val="Calibri"/>
        <family val="2"/>
        <charset val="1"/>
      </rPr>
      <t xml:space="preserve">1.6–14.1%</t>
    </r>
    <r>
      <rPr>
        <sz val="11"/>
        <color theme="1"/>
        <rFont val="Noto Sans CJK SC"/>
        <family val="2"/>
      </rPr>
      <t xml:space="preserve">）；味之素膜上限取低值時為 </t>
    </r>
    <r>
      <rPr>
        <sz val="11"/>
        <color theme="1"/>
        <rFont val="Calibri"/>
        <family val="2"/>
        <charset val="1"/>
      </rPr>
      <t xml:space="preserve">24.6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34.1%</t>
    </r>
    <r>
      <rPr>
        <sz val="11"/>
        <color theme="1"/>
        <rFont val="Noto Sans CJK SC"/>
        <family val="2"/>
      </rPr>
      <t xml:space="preserve">。待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：各載板與膜模型是否改讀本庫缺口（會改變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）；未改前各公司仍用自身滿足率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</si>
  <si>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A3</t>
    </r>
  </si>
  <si>
    <t xml:space="preserve">CF04</t>
  </si>
  <si>
    <t xml:space="preserve">散熱</t>
  </si>
  <si>
    <t xml:space="preserve">液冷份額合計（健策是否已納入雙鴻）</t>
  </si>
  <si>
    <r>
      <rPr>
        <sz val="11"/>
        <color theme="1"/>
        <rFont val="Calibri"/>
        <family val="2"/>
        <charset val="1"/>
      </rPr>
      <t xml:space="preserve">jentech README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Units!G18</t>
    </r>
  </si>
  <si>
    <t xml:space="preserve">未含雙鴻</t>
  </si>
  <si>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15.9%</t>
    </r>
    <r>
      <rPr>
        <sz val="11"/>
        <color theme="1"/>
        <rFont val="Noto Sans CJK SC"/>
        <family val="2"/>
      </rPr>
      <t xml:space="preserve">）</t>
    </r>
  </si>
  <si>
    <t xml:space="preserve">15.9</t>
  </si>
  <si>
    <t xml:space="preserve">份額表不完整</t>
  </si>
  <si>
    <r>
      <rPr>
        <sz val="11"/>
        <color theme="1"/>
        <rFont val="Noto Sans CJK SC"/>
        <family val="2"/>
      </rPr>
      <t xml:space="preserve">本庫建液冷份額表（奇鋐、雙鴻、台達電、其他），合計＝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；各公司讀自己的列</t>
    </r>
  </si>
  <si>
    <t xml:space="preserve">v0.5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</si>
  <si>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v0.6.1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 AI </t>
    </r>
    <r>
      <rPr>
        <sz val="11"/>
        <color theme="1"/>
        <rFont val="Noto Sans CJK SC"/>
        <family val="2"/>
      </rPr>
      <t xml:space="preserve">液冷份額表：奇鋐、雙鴻、健策三情境，</t>
    </r>
    <r>
      <rPr>
        <sz val="11"/>
        <color theme="1"/>
        <rFont val="Calibri"/>
        <family val="2"/>
        <charset val="1"/>
      </rPr>
      <t xml:space="preserve">K6-lc </t>
    </r>
    <r>
      <rPr>
        <sz val="11"/>
        <color theme="1"/>
        <rFont val="Noto Sans CJK SC"/>
        <family val="2"/>
      </rPr>
      <t xml:space="preserve">全部 ≤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；雙鴻份額相對值與奇鋐同一組，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</si>
  <si>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A4</t>
    </r>
  </si>
  <si>
    <t xml:space="preserve">CF05</t>
  </si>
  <si>
    <t xml:space="preserve">運算</t>
  </si>
  <si>
    <r>
      <rPr>
        <sz val="11"/>
        <color theme="1"/>
        <rFont val="Calibri"/>
        <family val="2"/>
        <charset val="1"/>
      </rPr>
      <t xml:space="preserve">AMD README </t>
    </r>
    <r>
      <rPr>
        <sz val="11"/>
        <color theme="1"/>
        <rFont val="Noto Sans CJK SC"/>
        <family val="2"/>
      </rPr>
      <t xml:space="preserve">結果表過時</t>
    </r>
  </si>
  <si>
    <r>
      <rPr>
        <sz val="11"/>
        <color theme="1"/>
        <rFont val="Calibri"/>
        <family val="2"/>
        <charset val="1"/>
      </rPr>
      <t xml:space="preserve">amd/README.md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</t>
    </r>
  </si>
  <si>
    <t xml:space="preserve">FY2028 EPS A 10.44</t>
  </si>
  <si>
    <t xml:space="preserve">amd xlsx v0.2.1 PL!F17</t>
  </si>
  <si>
    <t xml:space="preserve">11.39</t>
  </si>
  <si>
    <t xml:space="preserve">文件過時（非數值）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</si>
  <si>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重產（工程類，下次改版）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</si>
  <si>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</si>
  <si>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已釐清（</t>
    </r>
    <r>
      <rPr>
        <sz val="11"/>
        <color theme="1"/>
        <rFont val="Calibri"/>
        <family val="2"/>
        <charset val="1"/>
      </rPr>
      <t xml:space="preserve">v0.8.3 </t>
    </r>
    <r>
      <rPr>
        <sz val="11"/>
        <color theme="1"/>
        <rFont val="Noto Sans CJK SC"/>
        <family val="2"/>
      </rPr>
      <t xml:space="preserve">核對：</t>
    </r>
    <r>
      <rPr>
        <sz val="11"/>
        <color theme="1"/>
        <rFont val="Calibri"/>
        <family val="2"/>
        <charset val="1"/>
      </rPr>
      <t xml:space="preserve">amd/README.md </t>
    </r>
    <r>
      <rPr>
        <sz val="11"/>
        <color theme="1"/>
        <rFont val="Noto Sans CJK SC"/>
        <family val="2"/>
      </rPr>
      <t xml:space="preserve">已有修正前後對照表 </t>
    </r>
    <r>
      <rPr>
        <sz val="11"/>
        <color theme="1"/>
        <rFont val="Calibri"/>
        <family val="2"/>
        <charset val="1"/>
      </rPr>
      <t xml:space="preserve">10.44 → 11.39</t>
    </r>
    <r>
      <rPr>
        <sz val="11"/>
        <color theme="1"/>
        <rFont val="Noto Sans CJK SC"/>
        <family val="2"/>
      </rPr>
      <t xml:space="preserve">，與成品一致）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</si>
  <si>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B5</t>
    </r>
  </si>
  <si>
    <t xml:space="preserve">CF06</t>
  </si>
  <si>
    <t xml:space="preserve">設備</t>
  </si>
  <si>
    <r>
      <rPr>
        <sz val="11"/>
        <color theme="1"/>
        <rFont val="Calibri"/>
        <family val="2"/>
        <charset val="1"/>
      </rPr>
      <t xml:space="preserve">Hanmi README </t>
    </r>
    <r>
      <rPr>
        <sz val="11"/>
        <color theme="1"/>
        <rFont val="Noto Sans CJK SC"/>
        <family val="2"/>
      </rPr>
      <t xml:space="preserve">與敏感度頁情境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定義</t>
    </r>
  </si>
  <si>
    <r>
      <rPr>
        <sz val="11"/>
        <color theme="1"/>
        <rFont val="Calibri"/>
        <family val="2"/>
        <charset val="1"/>
      </rPr>
      <t xml:space="preserve">hanmi README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Sens!B33</t>
    </r>
  </si>
  <si>
    <r>
      <rPr>
        <sz val="11"/>
        <color theme="1"/>
        <rFont val="Calibri"/>
        <family val="2"/>
        <charset val="1"/>
      </rPr>
      <t xml:space="preserve">3,380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2,835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1,465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＝高值</t>
    </r>
  </si>
  <si>
    <t xml:space="preserve">hanmi xlsx v0.2.1</t>
  </si>
  <si>
    <r>
      <rPr>
        <sz val="11"/>
        <color theme="1"/>
        <rFont val="Calibri"/>
        <family val="2"/>
        <charset val="1"/>
      </rPr>
      <t xml:space="preserve">3,098 </t>
    </r>
    <r>
      <rPr>
        <sz val="11"/>
        <color theme="1"/>
        <rFont val="Noto Sans CJK SC"/>
        <family val="2"/>
      </rPr>
      <t xml:space="preserve">三情境；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＝低值</t>
    </r>
  </si>
  <si>
    <t xml:space="preserve">文件過時、標籤相反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</si>
  <si>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重產、</t>
    </r>
    <r>
      <rPr>
        <sz val="11"/>
        <color theme="1"/>
        <rFont val="Calibri"/>
        <family val="2"/>
        <charset val="1"/>
      </rPr>
      <t xml:space="preserve">Sens!B33 </t>
    </r>
    <r>
      <rPr>
        <sz val="11"/>
        <color theme="1"/>
        <rFont val="Noto Sans CJK SC"/>
        <family val="2"/>
      </rPr>
      <t xml:space="preserve">標籤更正（工程類）；混合鍵合滲透率移入本庫 </t>
    </r>
    <r>
      <rPr>
        <sz val="11"/>
        <color theme="1"/>
        <rFont val="Calibri"/>
        <family val="2"/>
        <charset val="1"/>
      </rPr>
      <t xml:space="preserve">v0.6</t>
    </r>
  </si>
  <si>
    <r>
      <rPr>
        <sz val="11"/>
        <color theme="1"/>
        <rFont val="Calibri"/>
        <family val="2"/>
        <charset val="1"/>
      </rPr>
      <t xml:space="preserve">Hanmi </t>
    </r>
    <r>
      <rPr>
        <sz val="11"/>
        <color theme="1"/>
        <rFont val="Noto Sans CJK SC"/>
        <family val="2"/>
      </rPr>
      <t xml:space="preserve">下版／</t>
    </r>
    <r>
      <rPr>
        <sz val="11"/>
        <color theme="1"/>
        <rFont val="Calibri"/>
        <family val="2"/>
        <charset val="1"/>
      </rPr>
      <t xml:space="preserve">v0.6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</si>
  <si>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v0.8.3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已於 </t>
    </r>
    <r>
      <rPr>
        <sz val="11"/>
        <color theme="1"/>
        <rFont val="Calibri"/>
        <family val="2"/>
        <charset val="1"/>
      </rPr>
      <t xml:space="preserve">v0.2.1 </t>
    </r>
    <r>
      <rPr>
        <sz val="11"/>
        <color theme="1"/>
        <rFont val="Noto Sans CJK SC"/>
        <family val="2"/>
      </rPr>
      <t xml:space="preserve">重寫；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標籤更正為「混合鍵合低值（導入慢）」）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</si>
  <si>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B6</t>
    </r>
  </si>
  <si>
    <t xml:space="preserve">CF07</t>
  </si>
  <si>
    <r>
      <rPr>
        <sz val="11"/>
        <color theme="1"/>
        <rFont val="Calibri"/>
        <family val="2"/>
        <charset val="1"/>
      </rPr>
      <t xml:space="preserve">BESI README</t>
    </r>
    <r>
      <rPr>
        <sz val="11"/>
        <color theme="1"/>
        <rFont val="Noto Sans CJK SC"/>
        <family val="2"/>
      </rPr>
      <t xml:space="preserve">『跨模型注意』過時</t>
    </r>
  </si>
  <si>
    <t xml:space="preserve">besi README</t>
  </si>
  <si>
    <r>
      <rPr>
        <sz val="11"/>
        <color theme="1"/>
        <rFont val="Calibri"/>
        <family val="2"/>
        <charset val="1"/>
      </rPr>
      <t xml:space="preserve">Hanmi A </t>
    </r>
    <r>
      <rPr>
        <sz val="11"/>
        <color theme="1"/>
        <rFont val="Noto Sans CJK SC"/>
        <family val="2"/>
      </rPr>
      <t xml:space="preserve">不含混合鍵合</t>
    </r>
  </si>
  <si>
    <r>
      <rPr>
        <sz val="11"/>
        <color theme="1"/>
        <rFont val="Calibri"/>
        <family val="2"/>
        <charset val="1"/>
      </rPr>
      <t xml:space="preserve">hanmi v0.2.1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In!I35</t>
    </r>
  </si>
  <si>
    <r>
      <rPr>
        <sz val="11"/>
        <color theme="1"/>
        <rFont val="Noto Sans CJK SC"/>
        <family val="2"/>
      </rPr>
      <t xml:space="preserve">已同向（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＝高值）</t>
    </r>
  </si>
  <si>
    <t xml:space="preserve">文件過時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</si>
  <si>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更正（工程類）</t>
    </r>
  </si>
  <si>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</si>
  <si>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v0.8.3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besi/README.md </t>
    </r>
    <r>
      <rPr>
        <sz val="11"/>
        <color theme="1"/>
        <rFont val="Noto Sans CJK SC"/>
        <family val="2"/>
      </rPr>
      <t xml:space="preserve">跨模型注意更正：三家同向）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</si>
  <si>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B7</t>
    </r>
  </si>
  <si>
    <t xml:space="preserve">CF08</t>
  </si>
  <si>
    <r>
      <rPr>
        <sz val="11"/>
        <color theme="1"/>
        <rFont val="Calibri"/>
        <family val="2"/>
        <charset val="1"/>
      </rPr>
      <t xml:space="preserve">Lam Research </t>
    </r>
    <r>
      <rPr>
        <sz val="11"/>
        <color theme="1"/>
        <rFont val="Noto Sans CJK SC"/>
        <family val="2"/>
      </rPr>
      <t xml:space="preserve">遠期本益比文字</t>
    </r>
  </si>
  <si>
    <t xml:space="preserve">lrcx/README.md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</si>
  <si>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</t>
    </r>
  </si>
  <si>
    <t xml:space="preserve">lrcx xlsx README!A2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</si>
  <si>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</t>
    </r>
  </si>
  <si>
    <t xml:space="preserve">文件不一致</t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</si>
  <si>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為準（工程類）</t>
    </r>
  </si>
  <si>
    <r>
      <rPr>
        <sz val="11"/>
        <color theme="1"/>
        <rFont val="Calibri"/>
        <family val="2"/>
        <charset val="1"/>
      </rPr>
      <t xml:space="preserve">Lam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</si>
  <si>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v0.8.3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lrcx/README.md </t>
    </r>
    <r>
      <rPr>
        <sz val="11"/>
        <color theme="1"/>
        <rFont val="Noto Sans CJK SC"/>
        <family val="2"/>
      </rPr>
      <t xml:space="preserve">改為約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倍，與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一致）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</si>
  <si>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B8</t>
    </r>
  </si>
  <si>
    <t xml:space="preserve">CF09</t>
  </si>
  <si>
    <t xml:space="preserve">伺服器組裝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</si>
  <si>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占營收、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有效份額、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</si>
  <si>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US$B</t>
    </r>
  </si>
  <si>
    <t xml:space="preserve">wistron In!E52</t>
  </si>
  <si>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3.92%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24.85</t>
    </r>
  </si>
  <si>
    <t xml:space="preserve">wiwynn In!E44</t>
  </si>
  <si>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3.45%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21.88</t>
    </r>
  </si>
  <si>
    <t xml:space="preserve">行業變數（組裝份額表）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</si>
  <si>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伺服器組裝份額表（鴻海、廣達、緯穎、緯創、美超微、戴爾、其他），以緯穎模型（公司自身錨點，較直接）為準；緯創改讀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</si>
  <si>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M18 asm_wyai_26</t>
    </r>
    <r>
      <rPr>
        <sz val="11"/>
        <color theme="1"/>
        <rFont val="Noto Sans CJK SC"/>
        <family val="2"/>
      </rPr>
      <t xml:space="preserve">＝緯穎模型值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45–52%</t>
    </r>
    <r>
      <rPr>
        <sz val="11"/>
        <color theme="1"/>
        <rFont val="Noto Sans CJK SC"/>
        <family val="2"/>
      </rPr>
      <t xml:space="preserve">〕；緯創改讀，</t>
    </r>
    <r>
      <rPr>
        <sz val="11"/>
        <color theme="1"/>
        <rFont val="Calibri"/>
        <family val="2"/>
        <charset val="1"/>
      </rPr>
      <t xml:space="preserve">v0.6 </t>
    </r>
    <r>
      <rPr>
        <sz val="11"/>
        <color theme="1"/>
        <rFont val="Noto Sans CJK SC"/>
        <family val="2"/>
      </rPr>
      <t xml:space="preserve">前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；組裝市場由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頁單一推導）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</si>
  <si>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C9</t>
    </r>
  </si>
  <si>
    <t xml:space="preserve">CF10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</si>
  <si>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</t>
    </r>
  </si>
  <si>
    <r>
      <rPr>
        <sz val="11"/>
        <color theme="1"/>
        <rFont val="Calibri"/>
        <family val="2"/>
        <charset val="1"/>
      </rPr>
      <t xml:space="preserve">dell Units!C8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按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計價）</t>
    </r>
  </si>
  <si>
    <t xml:space="preserve">638.2</t>
  </si>
  <si>
    <r>
      <rPr>
        <sz val="11"/>
        <color theme="1"/>
        <rFont val="Calibri"/>
        <family val="2"/>
        <charset val="1"/>
      </rPr>
      <t xml:space="preserve">smci Units!C8</t>
    </r>
    <r>
      <rPr>
        <sz val="11"/>
        <color theme="1"/>
        <rFont val="Noto Sans CJK SC"/>
        <family val="2"/>
      </rPr>
      <t xml:space="preserve">（按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</si>
  <si>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595.5</t>
  </si>
  <si>
    <t xml:space="preserve">口徑（每顆計價世代）</t>
  </si>
  <si>
    <r>
      <rPr>
        <sz val="11"/>
        <color theme="1"/>
        <rFont val="Noto Sans CJK SC"/>
        <family val="2"/>
      </rPr>
      <t xml:space="preserve">本庫只留一個系統市場（每顆計價依各平台實際世代，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TK NonNV </t>
    </r>
    <r>
      <rPr>
        <sz val="11"/>
        <color theme="1"/>
        <rFont val="Noto Sans CJK SC"/>
        <family val="2"/>
      </rPr>
      <t xml:space="preserve">持有比換算），戴爾、美超微、廣達、鴻海同讀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</si>
  <si>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系統市場：</t>
    </r>
    <r>
      <rPr>
        <sz val="11"/>
        <color theme="1"/>
        <rFont val="Calibri"/>
        <family val="2"/>
        <charset val="1"/>
      </rPr>
      <t xml:space="preserve">AMD 2026 MI355 </t>
    </r>
    <r>
      <rPr>
        <sz val="11"/>
        <color theme="1"/>
        <rFont val="Noto Sans CJK SC"/>
        <family val="2"/>
      </rPr>
      <t xml:space="preserve">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計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595.5</t>
    </r>
    <r>
      <rPr>
        <sz val="11"/>
        <color theme="1"/>
        <rFont val="Noto Sans CJK SC"/>
        <family val="2"/>
      </rPr>
      <t xml:space="preserve">，戴爾由 </t>
    </r>
    <r>
      <rPr>
        <sz val="11"/>
        <color theme="1"/>
        <rFont val="Calibri"/>
        <family val="2"/>
        <charset val="1"/>
      </rPr>
      <t xml:space="preserve">638.2 </t>
    </r>
    <r>
      <rPr>
        <sz val="11"/>
        <color theme="1"/>
        <rFont val="Noto Sans CJK SC"/>
        <family val="2"/>
      </rPr>
      <t xml:space="preserve">改為同值，美超微不變。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TK NonNV </t>
    </r>
    <r>
      <rPr>
        <sz val="11"/>
        <color theme="1"/>
        <rFont val="Noto Sans CJK SC"/>
        <family val="2"/>
      </rPr>
      <t xml:space="preserve">持有比換算的細化未採用，列為後續選項）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</si>
  <si>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C10</t>
    </r>
  </si>
  <si>
    <t xml:space="preserve">CF11</t>
  </si>
  <si>
    <t xml:space="preserve">電源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</si>
  <si>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電源市占</t>
    </r>
  </si>
  <si>
    <r>
      <rPr>
        <sz val="11"/>
        <color theme="1"/>
        <rFont val="Calibri"/>
        <family val="2"/>
        <charset val="1"/>
      </rPr>
      <t xml:space="preserve">delta In!E67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</si>
  <si>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70</t>
    </r>
  </si>
  <si>
    <r>
      <rPr>
        <sz val="11"/>
        <color theme="1"/>
        <rFont val="Calibri"/>
        <family val="2"/>
        <charset val="1"/>
      </rPr>
      <t xml:space="preserve">liteon In!E75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）</t>
    </r>
  </si>
  <si>
    <t xml:space="preserve">60–65</t>
  </si>
  <si>
    <t xml:space="preserve">行業變數（份額表）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</si>
  <si>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電源份額表（台達電、光寶、其他），基準採較新的凱基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62.5%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60–65</t>
    </r>
    <r>
      <rPr>
        <sz val="11"/>
        <color theme="1"/>
        <rFont val="Noto Sans CJK SC"/>
        <family val="2"/>
      </rPr>
      <t xml:space="preserve">），兩家改讀；台達電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會下修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</si>
  <si>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v0.6 </t>
    </r>
    <r>
      <rPr>
        <sz val="11"/>
        <color theme="1"/>
        <rFont val="Noto Sans CJK SC"/>
        <family val="2"/>
      </rPr>
      <t xml:space="preserve">已建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電源份額表與 </t>
    </r>
    <r>
      <rPr>
        <sz val="11"/>
        <color theme="1"/>
        <rFont val="Calibri"/>
        <family val="2"/>
        <charset val="1"/>
      </rPr>
      <t xml:space="preserve">K6-pwr</t>
    </r>
    <r>
      <rPr>
        <sz val="11"/>
        <color theme="1"/>
        <rFont val="Noto Sans CJK SC"/>
        <family val="2"/>
      </rPr>
      <t xml:space="preserve">；預設：凱基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62.5% </t>
    </r>
    <r>
      <rPr>
        <sz val="11"/>
        <color theme="1"/>
        <rFont val="Noto Sans CJK SC"/>
        <family val="2"/>
      </rPr>
      <t xml:space="preserve">只作對照，有效份額維持公司營收校準，下游不變。若改為下修台達電份額路徑 </t>
    </r>
    <r>
      <rPr>
        <sz val="11"/>
        <color theme="1"/>
        <rFont val="Calibri"/>
        <family val="2"/>
        <charset val="1"/>
      </rPr>
      <t xml:space="preserve">×0.893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FY2027 EPS −5.6%</t>
    </r>
    <r>
      <rPr>
        <sz val="11"/>
        <color theme="1"/>
        <rFont val="Noto Sans CJK SC"/>
        <family val="2"/>
      </rPr>
      <t xml:space="preserve">、目標價 −</t>
    </r>
    <r>
      <rPr>
        <sz val="11"/>
        <color theme="1"/>
        <rFont val="Calibri"/>
        <family val="2"/>
        <charset val="1"/>
      </rPr>
      <t xml:space="preserve">5.9%</t>
    </r>
    <r>
      <rPr>
        <sz val="11"/>
        <color theme="1"/>
        <rFont val="Noto Sans CJK SC"/>
        <family val="2"/>
      </rPr>
      <t xml:space="preserve">、評等中立→放空；見報告 </t>
    </r>
    <r>
      <rPr>
        <sz val="11"/>
        <color theme="1"/>
        <rFont val="Calibri"/>
        <family val="2"/>
        <charset val="1"/>
      </rPr>
      <t xml:space="preserve">20261027_v0.6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</si>
  <si>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C11</t>
    </r>
  </si>
  <si>
    <t xml:space="preserve">CF12</t>
  </si>
  <si>
    <t xml:space="preserve">每櫃液冷內容的權威位置</t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</si>
  <si>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</si>
  <si>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Noto Sans CJK SC"/>
        <family val="2"/>
      </rPr>
      <t xml:space="preserve">先驗比對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台達電：權威在 </t>
    </r>
    <r>
      <rPr>
        <sz val="11"/>
        <color theme="1"/>
        <rFont val="Calibri"/>
        <family val="2"/>
        <charset val="1"/>
      </rPr>
      <t xml:space="preserve">delta/</t>
    </r>
  </si>
  <si>
    <r>
      <rPr>
        <sz val="11"/>
        <color theme="1"/>
        <rFont val="Calibri"/>
        <family val="2"/>
        <charset val="1"/>
      </rPr>
      <t xml:space="preserve">delta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</si>
  <si>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avc </t>
    </r>
    <r>
      <rPr>
        <sz val="11"/>
        <color theme="1"/>
        <rFont val="Noto Sans CJK SC"/>
        <family val="2"/>
      </rPr>
      <t xml:space="preserve">實際讀 </t>
    </r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台達電＋奇鋐＝市場 </t>
    </r>
    <r>
      <rPr>
        <sz val="11"/>
        <color theme="1"/>
        <rFont val="Calibri"/>
        <family val="2"/>
        <charset val="1"/>
      </rPr>
      <t xml:space="preserve">115%</t>
    </r>
  </si>
  <si>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列</t>
    </r>
  </si>
  <si>
    <t xml:space="preserve">權威重疊</t>
  </si>
  <si>
    <r>
      <rPr>
        <sz val="11"/>
        <color theme="1"/>
        <rFont val="Noto Sans CJK SC"/>
        <family val="2"/>
      </rPr>
      <t xml:space="preserve">權威移入本庫（每櫃液冷內容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滲透率），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jentech </t>
    </r>
    <r>
      <rPr>
        <sz val="11"/>
        <color theme="1"/>
        <rFont val="Noto Sans CJK SC"/>
        <family val="2"/>
      </rPr>
      <t xml:space="preserve">都讀本庫；份額表合計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消除 </t>
    </r>
    <r>
      <rPr>
        <sz val="11"/>
        <color theme="1"/>
        <rFont val="Calibri"/>
        <family val="2"/>
        <charset val="1"/>
      </rPr>
      <t xml:space="preserve">115%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</si>
  <si>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v0.6.1</t>
    </r>
    <r>
      <rPr>
        <sz val="11"/>
        <color theme="1"/>
        <rFont val="Noto Sans CJK SC"/>
        <family val="2"/>
      </rPr>
      <t xml:space="preserve">（每架液冷內容、分歧管、內容調整、滲透率權威移入本庫 </t>
    </r>
    <r>
      <rPr>
        <sz val="11"/>
        <color theme="1"/>
        <rFont val="Calibri"/>
        <family val="2"/>
        <charset val="1"/>
      </rPr>
      <t xml:space="preserve">M19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節；市場定義為機架內液冷＋分歧管，台達電液冷多在機架外〔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Liquid-to-Air</t>
    </r>
    <r>
      <rPr>
        <sz val="11"/>
        <color theme="1"/>
        <rFont val="Noto Sans CJK SC"/>
        <family val="2"/>
      </rPr>
      <t xml:space="preserve">〕，不屬本市場，不入份額表，</t>
    </r>
    <r>
      <rPr>
        <sz val="11"/>
        <color theme="1"/>
        <rFont val="Calibri"/>
        <family val="2"/>
        <charset val="1"/>
      </rPr>
      <t xml:space="preserve">115% </t>
    </r>
    <r>
      <rPr>
        <sz val="11"/>
        <color theme="1"/>
        <rFont val="Noto Sans CJK SC"/>
        <family val="2"/>
      </rPr>
      <t xml:space="preserve">為兩個市場相加；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／機架外冷卻市場尚未建）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</si>
  <si>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C12</t>
    </r>
  </si>
  <si>
    <t xml:space="preserve">CF13</t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</si>
  <si>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加速器金額份額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</si>
  <si>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amd Recon!C27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Units!D33</t>
    </r>
  </si>
  <si>
    <t xml:space="preserve">6.7</t>
  </si>
  <si>
    <r>
      <rPr>
        <sz val="11"/>
        <color theme="1"/>
        <rFont val="Calibri"/>
        <family val="2"/>
        <charset val="1"/>
      </rPr>
      <t xml:space="preserve">avgo Units</t>
    </r>
    <r>
      <rPr>
        <sz val="11"/>
        <color theme="1"/>
        <rFont val="Noto Sans CJK SC"/>
        <family val="2"/>
      </rPr>
      <t xml:space="preserve">（另用一組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每顆價）；候選母體、先驗比對 </t>
    </r>
    <r>
      <rPr>
        <sz val="11"/>
        <color theme="1"/>
        <rFont val="Calibri"/>
        <family val="2"/>
        <charset val="1"/>
      </rPr>
      <t xml:space="preserve">NVDA N5c</t>
    </r>
  </si>
  <si>
    <r>
      <rPr>
        <sz val="11"/>
        <color theme="1"/>
        <rFont val="Calibri"/>
        <family val="2"/>
        <charset val="1"/>
      </rPr>
      <t xml:space="preserve">6.36</t>
    </r>
    <r>
      <rPr>
        <sz val="11"/>
        <color theme="1"/>
        <rFont val="Noto Sans CJK SC"/>
        <family val="2"/>
      </rPr>
      <t xml:space="preserve">；文件 </t>
    </r>
    <r>
      <rPr>
        <sz val="11"/>
        <color theme="1"/>
        <rFont val="Calibri"/>
        <family val="2"/>
        <charset val="1"/>
      </rPr>
      <t xml:space="preserve">3–6</t>
    </r>
  </si>
  <si>
    <r>
      <rPr>
        <sz val="11"/>
        <color theme="1"/>
        <rFont val="Noto Sans CJK SC"/>
        <family val="2"/>
      </rPr>
      <t xml:space="preserve">推導值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文件區間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</si>
  <si>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已把兩組價格放在同一處（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的整顆售價 </t>
    </r>
    <r>
      <rPr>
        <sz val="11"/>
        <color theme="1"/>
        <rFont val="Calibri"/>
        <family val="2"/>
        <charset val="1"/>
      </rPr>
      <t xml:space="preserve">pa_*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的核心價 </t>
    </r>
    <r>
      <rPr>
        <sz val="11"/>
        <color theme="1"/>
        <rFont val="Calibri"/>
        <family val="2"/>
        <charset val="1"/>
      </rPr>
      <t xml:space="preserve">core_*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</t>
    </r>
    <r>
      <rPr>
        <sz val="11"/>
        <color theme="1"/>
        <rFont val="Calibri"/>
        <family val="2"/>
        <charset val="1"/>
      </rPr>
      <t xml:space="preserve">f_hbm</t>
    </r>
    <r>
      <rPr>
        <sz val="11"/>
        <color theme="1"/>
        <rFont val="Noto Sans CJK SC"/>
        <family val="2"/>
      </rPr>
      <t xml:space="preserve">）。仍待選定市場金額口徑：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整顆售價 </t>
    </r>
    <r>
      <rPr>
        <sz val="11"/>
        <color theme="1"/>
        <rFont val="Calibri"/>
        <family val="2"/>
        <charset val="1"/>
      </rPr>
      <t xml:space="preserve">pa_*</t>
    </r>
    <r>
      <rPr>
        <sz val="11"/>
        <color theme="1"/>
        <rFont val="Noto Sans CJK SC"/>
        <family val="2"/>
      </rPr>
      <t xml:space="preserve">（現行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2027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6.70%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核心 </t>
    </r>
    <r>
      <rPr>
        <sz val="11"/>
        <color theme="1"/>
        <rFont val="Calibri"/>
        <family val="2"/>
        <charset val="1"/>
      </rPr>
      <t xml:space="preserve">× k_x</t>
    </r>
    <r>
      <rPr>
        <sz val="11"/>
        <color theme="1"/>
        <rFont val="Noto Sans CJK SC"/>
        <family val="2"/>
      </rPr>
      <t xml:space="preserve">＋全部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（現行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6.36%</t>
    </r>
    <r>
      <rPr>
        <sz val="11"/>
        <color theme="1"/>
        <rFont val="Noto Sans CJK SC"/>
        <family val="2"/>
      </rPr>
      <t xml:space="preserve">）。預設 </t>
    </r>
    <r>
      <rPr>
        <sz val="11"/>
        <color theme="1"/>
        <rFont val="Calibri"/>
        <family val="2"/>
        <charset val="1"/>
      </rPr>
      <t xml:space="preserve">(a)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的份額展示改讀 </t>
    </r>
    <r>
      <rPr>
        <sz val="11"/>
        <color theme="1"/>
        <rFont val="Calibri"/>
        <family val="2"/>
        <charset val="1"/>
      </rPr>
      <t xml:space="preserve">(a)</t>
    </r>
    <r>
      <rPr>
        <sz val="11"/>
        <color theme="1"/>
        <rFont val="Noto Sans CJK SC"/>
        <family val="2"/>
      </rPr>
      <t xml:space="preserve">；影響只在份額與市場總額的展示，不影響各公司營收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</si>
  <si>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（位置）／待定（口徑）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</si>
  <si>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</si>
  <si>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C13</t>
    </r>
  </si>
  <si>
    <t xml:space="preserve">CF14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</si>
  <si>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每顆內容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</si>
  <si>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</si>
  <si>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mrvl Units!C8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60% HBM </t>
    </r>
    <r>
      <rPr>
        <sz val="11"/>
        <color theme="1"/>
        <rFont val="Noto Sans CJK SC"/>
        <family val="2"/>
      </rPr>
      <t xml:space="preserve">轉手）</t>
    </r>
  </si>
  <si>
    <t xml:space="preserve">5.9</t>
  </si>
  <si>
    <r>
      <rPr>
        <sz val="11"/>
        <color theme="1"/>
        <rFont val="Calibri"/>
        <family val="2"/>
        <charset val="1"/>
      </rPr>
      <t xml:space="preserve">alchip Units!C9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</si>
  <si>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2.5</t>
  </si>
  <si>
    <r>
      <rPr>
        <sz val="11"/>
        <color theme="1"/>
        <rFont val="Noto Sans CJK SC"/>
        <family val="2"/>
      </rPr>
      <t xml:space="preserve">口徑（含／不含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</si>
  <si>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兩家都由同一組 </t>
    </r>
    <r>
      <rPr>
        <sz val="11"/>
        <color theme="1"/>
        <rFont val="Calibri"/>
        <family val="2"/>
        <charset val="1"/>
      </rPr>
      <t xml:space="preserve">pa_trn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價推得核心價 </t>
    </r>
    <r>
      <rPr>
        <sz val="11"/>
        <color theme="1"/>
        <rFont val="Calibri"/>
        <family val="2"/>
        <charset val="1"/>
      </rPr>
      <t xml:space="preserve">6.394K</t>
    </r>
    <r>
      <rPr>
        <sz val="11"/>
        <color theme="1"/>
        <rFont val="Noto Sans CJK SC"/>
        <family val="2"/>
      </rPr>
      <t xml:space="preserve">；差異來自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60% HBM </t>
    </r>
    <r>
      <rPr>
        <sz val="11"/>
        <color theme="1"/>
        <rFont val="Noto Sans CJK SC"/>
        <family val="2"/>
      </rPr>
      <t xml:space="preserve">代購營收、世芯只計設計與量產服務——是公司營收口徑，不是行業變數衝突。保留兩家各自口徑</t>
    </r>
  </si>
  <si>
    <t xml:space="preserve">v0.2</t>
  </si>
  <si>
    <r>
      <rPr>
        <sz val="11"/>
        <color theme="1"/>
        <rFont val="Noto Sans CJK SC"/>
        <family val="2"/>
      </rPr>
      <t xml:space="preserve">已釐清（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</si>
  <si>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C14</t>
    </r>
  </si>
  <si>
    <t xml:space="preserve">CF15</t>
  </si>
  <si>
    <r>
      <rPr>
        <sz val="11"/>
        <color theme="1"/>
        <rFont val="Noto Sans CJK SC"/>
        <family val="2"/>
      </rPr>
      <t xml:space="preserve">測試 </t>
    </r>
    <r>
      <rPr>
        <sz val="11"/>
        <color theme="1"/>
        <rFont val="Calibri"/>
        <family val="2"/>
        <charset val="1"/>
      </rPr>
      <t xml:space="preserve">÷ WFE CY2027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</si>
  <si>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測試市場（</t>
    </r>
    <r>
      <rPr>
        <sz val="11"/>
        <color theme="1"/>
        <rFont val="Calibri"/>
        <family val="2"/>
        <charset val="1"/>
      </rPr>
      <t xml:space="preserve">ter Recon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列）</t>
    </r>
  </si>
  <si>
    <t xml:space="preserve">10.1</t>
  </si>
  <si>
    <t xml:space="preserve">泰瑞達公司長期說法</t>
  </si>
  <si>
    <t xml:space="preserve">7–9</t>
  </si>
  <si>
    <t xml:space="preserve">行業變數（測試市場）</t>
  </si>
  <si>
    <r>
      <rPr>
        <sz val="11"/>
        <color theme="1"/>
        <rFont val="Noto Sans CJK SC"/>
        <family val="2"/>
      </rPr>
      <t xml:space="preserve">本庫設測試市場路徑並以測試 </t>
    </r>
    <r>
      <rPr>
        <sz val="11"/>
        <color theme="1"/>
        <rFont val="Calibri"/>
        <family val="2"/>
        <charset val="1"/>
      </rPr>
      <t xml:space="preserve">÷ WFE 7–10% </t>
    </r>
    <r>
      <rPr>
        <sz val="11"/>
        <color theme="1"/>
        <rFont val="Noto Sans CJK SC"/>
        <family val="2"/>
      </rPr>
      <t xml:space="preserve">為檢查區間；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、泰瑞達同讀</t>
    </r>
  </si>
  <si>
    <t xml:space="preserve">v0.6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</si>
  <si>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Equip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測試機市場三情境單一值、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分項路徑、測試 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Checks K8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 </t>
    </r>
    <r>
      <rPr>
        <sz val="11"/>
        <color theme="1"/>
        <rFont val="Calibri"/>
        <family val="2"/>
        <charset val="1"/>
      </rPr>
      <t xml:space="preserve">÷ SEMI WFE 2026–28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8.6%</t>
    </r>
    <r>
      <rPr>
        <sz val="11"/>
        <color theme="1"/>
        <rFont val="Noto Sans CJK SC"/>
        <family val="2"/>
      </rPr>
      <t xml:space="preserve">，在泰瑞達 </t>
    </r>
    <r>
      <rPr>
        <sz val="11"/>
        <color theme="1"/>
        <rFont val="Calibri"/>
        <family val="2"/>
        <charset val="1"/>
      </rPr>
      <t xml:space="preserve">7–9% </t>
    </r>
    <r>
      <rPr>
        <sz val="11"/>
        <color theme="1"/>
        <rFont val="Noto Sans CJK SC"/>
        <family val="2"/>
      </rPr>
      <t xml:space="preserve">內。記憶體測試機依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設備支出，留在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模型；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＋記憶體合計比值見報告）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</si>
  <si>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C15</t>
    </r>
  </si>
  <si>
    <t xml:space="preserve">CF16</t>
  </si>
  <si>
    <t xml:space="preserve">選股資料</t>
  </si>
  <si>
    <t xml:space="preserve">候選母體『本專案狀態』</t>
  </si>
  <si>
    <r>
      <rPr>
        <sz val="11"/>
        <color theme="1"/>
        <rFont val="Noto Sans CJK SC"/>
        <family val="2"/>
      </rPr>
      <t xml:space="preserve">候選母體 </t>
    </r>
    <r>
      <rPr>
        <sz val="11"/>
        <color theme="1"/>
        <rFont val="Calibri"/>
        <family val="2"/>
        <charset val="1"/>
      </rPr>
      <t xml:space="preserve">v0.2.2</t>
    </r>
  </si>
  <si>
    <r>
      <rPr>
        <sz val="11"/>
        <color theme="1"/>
        <rFont val="Calibri"/>
        <family val="2"/>
        <charset val="1"/>
      </rPr>
      <t xml:space="preserve">39 </t>
    </r>
    <r>
      <rPr>
        <sz val="11"/>
        <color theme="1"/>
        <rFont val="Noto Sans CJK SC"/>
        <family val="2"/>
      </rPr>
      <t xml:space="preserve">家標待建</t>
    </r>
  </si>
  <si>
    <t xml:space="preserve">repo</t>
  </si>
  <si>
    <t xml:space="preserve">已建模</t>
  </si>
  <si>
    <t xml:space="preserve">候選母體下版更新狀態欄（工程類）</t>
  </si>
  <si>
    <t xml:space="preserve">母體下版</t>
  </si>
  <si>
    <r>
      <rPr>
        <sz val="11"/>
        <color theme="1"/>
        <rFont val="Noto Sans CJK SC"/>
        <family val="2"/>
      </rPr>
      <t xml:space="preserve">已併入（</t>
    </r>
    <r>
      <rPr>
        <sz val="11"/>
        <color theme="1"/>
        <rFont val="Calibri"/>
        <family val="2"/>
        <charset val="1"/>
      </rPr>
      <t xml:space="preserve">Drive </t>
    </r>
    <r>
      <rPr>
        <sz val="11"/>
        <color theme="1"/>
        <rFont val="Noto Sans CJK SC"/>
        <family val="2"/>
      </rPr>
      <t xml:space="preserve">候選母體 </t>
    </r>
    <r>
      <rPr>
        <sz val="11"/>
        <color theme="1"/>
        <rFont val="Calibri"/>
        <family val="2"/>
        <charset val="1"/>
      </rPr>
      <t xml:space="preserve">v0.2.4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54 </t>
    </r>
    <r>
      <rPr>
        <sz val="11"/>
        <color theme="1"/>
        <rFont val="Noto Sans CJK SC"/>
        <family val="2"/>
      </rPr>
      <t xml:space="preserve">家標已建模與現行成品檔名；未建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</si>
  <si>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D16</t>
    </r>
  </si>
  <si>
    <t xml:space="preserve">CF17</t>
  </si>
  <si>
    <t xml:space="preserve">Tokenomics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</si>
  <si>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低成本欄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資本支出（下游舊快照）</t>
    </r>
  </si>
  <si>
    <t xml:space="preserve">$B/GW</t>
  </si>
  <si>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v20.1</t>
    </r>
  </si>
  <si>
    <t xml:space="preserve">33.27</t>
  </si>
  <si>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（機架價低端 </t>
    </r>
    <r>
      <rPr>
        <sz val="11"/>
        <color theme="1"/>
        <rFont val="Calibri"/>
        <family val="2"/>
        <charset val="1"/>
      </rPr>
      <t xml:space="preserve">7.8→7.5</t>
    </r>
    <r>
      <rPr>
        <sz val="11"/>
        <color theme="1"/>
        <rFont val="Noto Sans CJK SC"/>
        <family val="2"/>
      </rPr>
      <t xml:space="preserve">）</t>
    </r>
  </si>
  <si>
    <t xml:space="preserve">32.00</t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</si>
  <si>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版本落差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</si>
  <si>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改讀本庫 </t>
    </r>
    <r>
      <rPr>
        <sz val="11"/>
        <color theme="1"/>
        <rFont val="Calibri"/>
        <family val="2"/>
        <charset val="1"/>
      </rPr>
      <t xml:space="preserve">TK v21.7 </t>
    </r>
    <r>
      <rPr>
        <sz val="11"/>
        <color theme="1"/>
        <rFont val="Noto Sans CJK SC"/>
        <family val="2"/>
      </rPr>
      <t xml:space="preserve">快照與 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三個契約名稱；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低成本欄機架價 </t>
    </r>
    <r>
      <rPr>
        <sz val="11"/>
        <color theme="1"/>
        <rFont val="Calibri"/>
        <family val="2"/>
        <charset val="1"/>
      </rPr>
      <t xml:space="preserve">7.5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／總資本支出 </t>
    </r>
    <r>
      <rPr>
        <sz val="11"/>
        <color theme="1"/>
        <rFont val="Calibri"/>
        <family val="2"/>
        <charset val="1"/>
      </rPr>
      <t xml:space="preserve">32.00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42.21</t>
    </r>
    <r>
      <rPr>
        <sz val="11"/>
        <color theme="1"/>
        <rFont val="Noto Sans CJK SC"/>
        <family val="2"/>
      </rPr>
      <t xml:space="preserve">（基準不變）</t>
    </r>
  </si>
  <si>
    <t xml:space="preserve">v0.3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</si>
  <si>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v0.4</t>
    </r>
  </si>
  <si>
    <t xml:space="preserve">Siliconomics Checks K3</t>
  </si>
  <si>
    <t xml:space="preserve">CF18</t>
  </si>
  <si>
    <t xml:space="preserve">運算（顆數層）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</si>
  <si>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</si>
  <si>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Calibri"/>
        <family val="2"/>
        <charset val="1"/>
      </rPr>
      <t xml:space="preserve">tsmc In g29_*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network </t>
    </r>
    <r>
      <rPr>
        <sz val="11"/>
        <color theme="1"/>
        <rFont val="Noto Sans CJK SC"/>
        <family val="2"/>
      </rPr>
      <t xml:space="preserve">同值複製）：</t>
    </r>
    <r>
      <rPr>
        <sz val="11"/>
        <color theme="1"/>
        <rFont val="Calibri"/>
        <family val="2"/>
        <charset val="1"/>
      </rPr>
      <t xml:space="preserve">Blackwell −50%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 0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+15%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</si>
  <si>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30.15M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+13.8%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</si>
  <si>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 In g_u29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markets/memory hbm_dem29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位元）</t>
    </r>
  </si>
  <si>
    <r>
      <rPr>
        <sz val="11"/>
        <color theme="1"/>
        <rFont val="Calibri"/>
        <family val="2"/>
        <charset val="1"/>
      </rPr>
      <t xml:space="preserve">29.15M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NAND g_u29 +10%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+30%</t>
    </r>
  </si>
  <si>
    <t xml:space="preserve">行業變數（三處各自外推）</t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</si>
  <si>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節平台別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成長率為單一來源（合計 </t>
    </r>
    <r>
      <rPr>
        <sz val="11"/>
        <color theme="1"/>
        <rFont val="Calibri"/>
        <family val="2"/>
        <charset val="1"/>
      </rPr>
      <t xml:space="preserve">+13.8%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30.15M</t>
    </r>
    <r>
      <rPr>
        <sz val="11"/>
        <color theme="1"/>
        <rFont val="Noto Sans CJK SC"/>
        <family val="2"/>
      </rPr>
      <t xml:space="preserve">）；台積電、網通改讀；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g_u29 </t>
    </r>
    <r>
      <rPr>
        <sz val="11"/>
        <color theme="1"/>
        <rFont val="Noto Sans CJK SC"/>
        <family val="2"/>
      </rPr>
      <t xml:space="preserve">改讀 </t>
    </r>
    <r>
      <rPr>
        <sz val="11"/>
        <color theme="1"/>
        <rFont val="Calibri"/>
        <family val="2"/>
        <charset val="1"/>
      </rPr>
      <t xml:space="preserve">SIF_UnitsGrowth29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10% → 13.8%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+30% </t>
    </r>
    <r>
      <rPr>
        <sz val="11"/>
        <color theme="1"/>
        <rFont val="Noto Sans CJK SC"/>
        <family val="2"/>
      </rPr>
      <t xml:space="preserve">為位元口徑，維持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</si>
  <si>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v0.2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</si>
  <si>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盤點 </t>
    </r>
    <r>
      <rPr>
        <sz val="11"/>
        <color theme="1"/>
        <rFont val="Calibri"/>
        <family val="2"/>
        <charset val="1"/>
      </rPr>
      <t xml:space="preserve">2026-10-27</t>
    </r>
  </si>
  <si>
    <t xml:space="preserve">CF19</t>
  </si>
  <si>
    <r>
      <rPr>
        <sz val="11"/>
        <color theme="1"/>
        <rFont val="Noto Sans CJK SC"/>
        <family val="2"/>
      </rPr>
      <t xml:space="preserve">運算（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</si>
  <si>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顆數份額：</t>
    </r>
    <r>
      <rPr>
        <sz val="11"/>
        <color theme="1"/>
        <rFont val="Calibri"/>
        <family val="2"/>
        <charset val="1"/>
      </rPr>
      <t xml:space="preserve">Broadcom vs </t>
    </r>
    <r>
      <rPr>
        <sz val="11"/>
        <color theme="1"/>
        <rFont val="Noto Sans CJK SC"/>
        <family val="2"/>
      </rPr>
      <t xml:space="preserve">聯發科</t>
    </r>
  </si>
  <si>
    <r>
      <rPr>
        <sz val="11"/>
        <color theme="1"/>
        <rFont val="Calibri"/>
        <family val="2"/>
        <charset val="1"/>
      </rPr>
      <t xml:space="preserve">avgo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＋聯發科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</si>
  <si>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98%</t>
    </r>
  </si>
  <si>
    <r>
      <rPr>
        <sz val="11"/>
        <color theme="1"/>
        <rFont val="Noto Sans CJK SC"/>
        <family val="2"/>
      </rPr>
      <t xml:space="preserve">賣方路徑（聯發科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</si>
  <si>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需聯發科 </t>
    </r>
    <r>
      <rPr>
        <sz val="11"/>
        <color theme="1"/>
        <rFont val="Calibri"/>
        <family val="2"/>
        <charset val="1"/>
      </rPr>
      <t xml:space="preserve">51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</si>
  <si>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賣方（模型間一致）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</si>
  <si>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已建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（三情境）份額表與加總檢查（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Checks K6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 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98%</t>
    </r>
    <r>
      <rPr>
        <sz val="11"/>
        <color theme="1"/>
        <rFont val="Noto Sans CJK SC"/>
        <family val="2"/>
      </rPr>
      <t xml:space="preserve">）。數值維持模型路徑（</t>
    </r>
    <r>
      <rPr>
        <sz val="11"/>
        <color theme="1"/>
        <rFont val="Calibri"/>
        <family val="2"/>
        <charset val="1"/>
      </rPr>
      <t xml:space="preserve">Broadcom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、聯發科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）；賣方路徑（聯發科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需降至約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）列為聯發科高情境證據。</t>
    </r>
    <r>
      <rPr>
        <sz val="11"/>
        <color theme="1"/>
        <rFont val="Calibri"/>
        <family val="2"/>
        <charset val="1"/>
      </rPr>
      <t xml:space="preserve">Andy 2026-10-27 15:09</t>
    </r>
    <r>
      <rPr>
        <sz val="11"/>
        <color theme="1"/>
        <rFont val="Noto Sans CJK SC"/>
        <family val="2"/>
      </rPr>
      <t xml:space="preserve">：「先這樣，我也沒有更好的數字」</t>
    </r>
  </si>
  <si>
    <r>
      <rPr>
        <sz val="11"/>
        <color theme="1"/>
        <rFont val="Noto Sans CJK SC"/>
        <family val="2"/>
      </rPr>
      <t xml:space="preserve">已定（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</si>
  <si>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索引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待判斷 </t>
    </r>
    <r>
      <rPr>
        <sz val="11"/>
        <color theme="1"/>
        <rFont val="Calibri"/>
        <family val="2"/>
        <charset val="1"/>
      </rPr>
      <t xml:space="preserve">(1)</t>
    </r>
  </si>
  <si>
    <t xml:space="preserve">CF20</t>
  </si>
  <si>
    <r>
      <rPr>
        <sz val="11"/>
        <color theme="1"/>
        <rFont val="Calibri"/>
        <family val="2"/>
        <charset val="1"/>
      </rPr>
      <t xml:space="preserve">NVIDIA GPU ABF </t>
    </r>
    <r>
      <rPr>
        <sz val="11"/>
        <color theme="1"/>
        <rFont val="Noto Sans CJK SC"/>
        <family val="2"/>
      </rPr>
      <t xml:space="preserve">載板份額合計</t>
    </r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</si>
  <si>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nanya_pcb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份額合計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</si>
  <si>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側 </t>
    </r>
    <r>
      <rPr>
        <sz val="11"/>
        <color theme="1"/>
        <rFont val="Calibri"/>
        <family val="2"/>
        <charset val="1"/>
      </rPr>
      <t xml:space="preserve">2026–29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99.0–99.6%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70→59.5</t>
    </r>
    <r>
      <rPr>
        <sz val="11"/>
        <color theme="1"/>
        <rFont val="Noto Sans CJK SC"/>
        <family val="2"/>
      </rPr>
      <t xml:space="preserve">、欣興 </t>
    </r>
    <r>
      <rPr>
        <sz val="11"/>
        <color theme="1"/>
        <rFont val="Calibri"/>
        <family val="2"/>
        <charset val="1"/>
      </rPr>
      <t xml:space="preserve">25→30</t>
    </r>
    <r>
      <rPr>
        <sz val="11"/>
        <color theme="1"/>
        <rFont val="Noto Sans CJK SC"/>
        <family val="2"/>
      </rPr>
      <t xml:space="preserve">、南電 </t>
    </r>
    <r>
      <rPr>
        <sz val="11"/>
        <color theme="1"/>
        <rFont val="Calibri"/>
        <family val="2"/>
        <charset val="1"/>
      </rPr>
      <t xml:space="preserve">2→4</t>
    </r>
    <r>
      <rPr>
        <sz val="11"/>
        <color theme="1"/>
        <rFont val="Noto Sans CJK SC"/>
        <family val="2"/>
      </rPr>
      <t xml:space="preserve">、景碩 </t>
    </r>
    <r>
      <rPr>
        <sz val="11"/>
        <color theme="1"/>
        <rFont val="Calibri"/>
        <family val="2"/>
        <charset val="1"/>
      </rPr>
      <t xml:space="preserve">2→6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</si>
  <si>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kinsus</t>
    </r>
    <r>
      <rPr>
        <sz val="11"/>
        <color theme="1"/>
        <rFont val="Noto Sans CJK SC"/>
        <family val="2"/>
      </rPr>
      <t xml:space="preserve">（券商：</t>
    </r>
    <r>
      <rPr>
        <sz val="11"/>
        <color theme="1"/>
        <rFont val="Calibri"/>
        <family val="2"/>
        <charset val="1"/>
      </rPr>
      <t xml:space="preserve">Rubin GPU 15–20%</t>
    </r>
    <r>
      <rPr>
        <sz val="11"/>
        <color theme="1"/>
        <rFont val="Noto Sans CJK SC"/>
        <family val="2"/>
      </rPr>
      <t xml:space="preserve">）；本版景碩取剩餘 </t>
    </r>
    <r>
      <rPr>
        <sz val="11"/>
        <color theme="1"/>
        <rFont val="Calibri"/>
        <family val="2"/>
        <charset val="1"/>
      </rPr>
      <t xml:space="preserve">2→6%</t>
    </r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</si>
  <si>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15–20</t>
    </r>
  </si>
  <si>
    <t xml:space="preserve">份額表（合計受限）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</si>
  <si>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載板份額表合計＝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（含三星電機等）：預設依各公司現值、景碩取剩餘；券商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列為景碩高情境證據。非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側合計 </t>
    </r>
    <r>
      <rPr>
        <sz val="11"/>
        <color theme="1"/>
        <rFont val="Calibri"/>
        <family val="2"/>
        <charset val="1"/>
      </rPr>
      <t xml:space="preserve">88–89.5% </t>
    </r>
    <r>
      <rPr>
        <sz val="11"/>
        <color theme="1"/>
        <rFont val="Noto Sans CJK SC"/>
        <family val="2"/>
      </rPr>
      <t xml:space="preserve">一併列表</t>
    </r>
  </si>
  <si>
    <r>
      <rPr>
        <sz val="11"/>
        <color theme="1"/>
        <rFont val="Noto Sans CJK SC"/>
        <family val="2"/>
      </rPr>
      <t xml:space="preserve">份額表已建 </t>
    </r>
    <r>
      <rPr>
        <sz val="11"/>
        <color theme="1"/>
        <rFont val="Calibri"/>
        <family val="2"/>
        <charset val="1"/>
      </rPr>
      <t xml:space="preserve">v0.5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K6-abf </t>
    </r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OK</t>
    </r>
    <r>
      <rPr>
        <sz val="11"/>
        <color theme="1"/>
        <rFont val="Noto Sans CJK SC"/>
        <family val="2"/>
      </rPr>
      <t xml:space="preserve">）；數值沿用各公司模型、景碩取剩餘，券商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為景碩高值證據。</t>
    </r>
    <r>
      <rPr>
        <sz val="11"/>
        <color theme="1"/>
        <rFont val="Calibri"/>
        <family val="2"/>
        <charset val="1"/>
      </rPr>
      <t xml:space="preserve">Andy 18:07</t>
    </r>
    <r>
      <rPr>
        <sz val="11"/>
        <color theme="1"/>
        <rFont val="Noto Sans CJK SC"/>
        <family val="2"/>
      </rPr>
      <t xml:space="preserve">：待 </t>
    </r>
    <r>
      <rPr>
        <sz val="11"/>
        <color theme="1"/>
        <rFont val="Calibri"/>
        <family val="2"/>
        <charset val="1"/>
      </rPr>
      <t xml:space="preserve">v0.5.1 ABF </t>
    </r>
    <r>
      <rPr>
        <sz val="11"/>
        <color theme="1"/>
        <rFont val="Noto Sans CJK SC"/>
        <family val="2"/>
      </rPr>
      <t xml:space="preserve">供需表建好後再確認緊縮下的份額，目前照預設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</si>
  <si>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索引 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待判斷 </t>
    </r>
    <r>
      <rPr>
        <sz val="11"/>
        <color theme="1"/>
        <rFont val="Calibri"/>
        <family val="2"/>
        <charset val="1"/>
      </rPr>
      <t xml:space="preserve">(14)</t>
    </r>
  </si>
  <si>
    <t xml:space="preserve">CF21</t>
  </si>
  <si>
    <r>
      <rPr>
        <sz val="11"/>
        <color theme="1"/>
        <rFont val="Noto Sans CJK SC"/>
        <family val="2"/>
      </rPr>
      <t xml:space="preserve">網通（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</si>
  <si>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金額份額合計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</si>
  <si>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lite 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cohr 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innolight 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eoptolink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fabrinet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</si>
  <si>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</t>
    </r>
  </si>
  <si>
    <r>
      <rPr>
        <sz val="11"/>
        <color theme="1"/>
        <rFont val="Calibri"/>
        <family val="2"/>
        <charset val="1"/>
      </rPr>
      <t xml:space="preserve">markets/network CPO </t>
    </r>
    <r>
      <rPr>
        <sz val="11"/>
        <color theme="1"/>
        <rFont val="Noto Sans CJK SC"/>
        <family val="2"/>
      </rPr>
      <t xml:space="preserve">三情境（無份額表）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</si>
  <si>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CPO </t>
    </r>
    <r>
      <rPr>
        <sz val="11"/>
        <color theme="1"/>
        <rFont val="Noto Sans CJK SC"/>
        <family val="2"/>
      </rPr>
      <t xml:space="preserve">份額未建模</t>
    </r>
  </si>
  <si>
    <t xml:space="preserve">份額表（無加總檢查）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</si>
  <si>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份額表（含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交換器端；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代工另列不加總），合計＝</t>
    </r>
    <r>
      <rPr>
        <sz val="11"/>
        <color theme="1"/>
        <rFont val="Calibri"/>
        <family val="2"/>
        <charset val="1"/>
      </rPr>
      <t xml:space="preserve">100%</t>
    </r>
  </si>
  <si>
    <t xml:space="preserve">v0.4.1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</si>
  <si>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v0.4.1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M12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K6</t>
    </r>
    <r>
      <rPr>
        <sz val="11"/>
        <color theme="1"/>
        <rFont val="Noto Sans CJK SC"/>
        <family val="2"/>
      </rPr>
      <t xml:space="preserve">；數值維持各公司模型，四家模組與雷射廠合計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），餘額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為交換器端自製與其他，未建模）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</si>
  <si>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盤點 </t>
    </r>
    <r>
      <rPr>
        <sz val="11"/>
        <color theme="1"/>
        <rFont val="Calibri"/>
        <family val="2"/>
        <charset val="1"/>
      </rPr>
      <t xml:space="preserve">2026-10-27 (i)</t>
    </r>
  </si>
  <si>
    <t xml:space="preserve">CF22</t>
  </si>
  <si>
    <t xml:space="preserve">部署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</si>
  <si>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</si>
  <si>
    <t xml:space="preserve">GW</t>
  </si>
  <si>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等（</t>
    </r>
    <r>
      <rPr>
        <sz val="11"/>
        <color theme="1"/>
        <rFont val="Calibri"/>
        <family val="2"/>
        <charset val="1"/>
      </rPr>
      <t xml:space="preserve">AI IT capex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</t>
    </r>
    <r>
      <rPr>
        <sz val="11"/>
        <color theme="1"/>
        <rFont val="Noto Sans CJK SC"/>
        <family val="2"/>
      </rPr>
      <t xml:space="preserve">）</t>
    </r>
  </si>
  <si>
    <t xml:space="preserve">23.40</t>
  </si>
  <si>
    <t xml:space="preserve">amkr</t>
  </si>
  <si>
    <t xml:space="preserve">24.25</t>
  </si>
  <si>
    <t xml:space="preserve">行業變數（兩算法）</t>
  </si>
  <si>
    <r>
      <rPr>
        <sz val="11"/>
        <color theme="1"/>
        <rFont val="Calibri"/>
        <family val="2"/>
        <charset val="1"/>
      </rPr>
      <t xml:space="preserve">vr26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Rubin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）移入本庫 </t>
    </r>
    <r>
      <rPr>
        <sz val="11"/>
        <color theme="1"/>
        <rFont val="Calibri"/>
        <family val="2"/>
        <charset val="1"/>
      </rPr>
      <t xml:space="preserve">M11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個模型改讀；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改用同一混合口徑（</t>
    </r>
    <r>
      <rPr>
        <sz val="11"/>
        <color theme="1"/>
        <rFont val="Calibri"/>
        <family val="2"/>
        <charset val="1"/>
      </rPr>
      <t xml:space="preserve">2026 24.25 → 23.40</t>
    </r>
    <r>
      <rPr>
        <sz val="11"/>
        <color theme="1"/>
        <rFont val="Noto Sans CJK SC"/>
        <family val="2"/>
      </rPr>
      <t xml:space="preserve">，只影響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TAM </t>
    </r>
    <r>
      <rPr>
        <sz val="11"/>
        <color theme="1"/>
        <rFont val="Noto Sans CJK SC"/>
        <family val="2"/>
      </rPr>
      <t xml:space="preserve">對照）；本庫 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頁發布 </t>
    </r>
    <r>
      <rPr>
        <sz val="11"/>
        <color theme="1"/>
        <rFont val="Calibri"/>
        <family val="2"/>
        <charset val="1"/>
      </rPr>
      <t xml:space="preserve">SIF_DeployGW_A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</si>
  <si>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CF23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</si>
  <si>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有效份額路徑（</t>
    </r>
    <r>
      <rPr>
        <sz val="11"/>
        <color theme="1"/>
        <rFont val="Calibri"/>
        <family val="2"/>
        <charset val="1"/>
      </rPr>
      <t xml:space="preserve">2027–29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</si>
  <si>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wistron PL</t>
    </r>
    <r>
      <rPr>
        <sz val="11"/>
        <color theme="1"/>
        <rFont val="Noto Sans CJK SC"/>
        <family val="2"/>
      </rPr>
      <t xml:space="preserve">「緯穎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有效份額」（</t>
    </r>
    <r>
      <rPr>
        <sz val="11"/>
        <color theme="1"/>
        <rFont val="Calibri"/>
        <family val="2"/>
        <charset val="1"/>
      </rPr>
      <t xml:space="preserve">wsh0 × wrel_*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</si>
  <si>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3.42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2026–29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</si>
  <si>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wiwynn PL</t>
    </r>
    <r>
      <rPr>
        <sz val="11"/>
        <color theme="1"/>
        <rFont val="Noto Sans CJK SC"/>
        <family val="2"/>
      </rPr>
      <t xml:space="preserve">「緯穎有效份額」（</t>
    </r>
    <r>
      <rPr>
        <sz val="11"/>
        <color theme="1"/>
        <rFont val="Calibri"/>
        <family val="2"/>
        <charset val="1"/>
      </rPr>
      <t xml:space="preserve">sh0 × rel × ASIC </t>
    </r>
    <r>
      <rPr>
        <sz val="11"/>
        <color theme="1"/>
        <rFont val="Noto Sans CJK SC"/>
        <family val="2"/>
      </rPr>
      <t xml:space="preserve">傾斜係數）；本庫 </t>
    </r>
    <r>
      <rPr>
        <sz val="11"/>
        <color theme="1"/>
        <rFont val="Calibri"/>
        <family val="2"/>
        <charset val="1"/>
      </rPr>
      <t xml:space="preserve">ShareTbl</t>
    </r>
  </si>
  <si>
    <r>
      <rPr>
        <sz val="11"/>
        <color theme="1"/>
        <rFont val="Calibri"/>
        <family val="2"/>
        <charset val="1"/>
      </rPr>
      <t xml:space="preserve">3.45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4.99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4.89</t>
    </r>
  </si>
  <si>
    <t xml:space="preserve">同一變數、兩模型不同路徑</t>
  </si>
  <si>
    <r>
      <rPr>
        <sz val="11"/>
        <color theme="1"/>
        <rFont val="Noto Sans CJK SC"/>
        <family val="2"/>
      </rPr>
      <t xml:space="preserve">單一來源應為緯穎模型（含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傾斜與客供）：緯創模型的緯穎部分改讀緯穎模型，或至少 </t>
    </r>
    <r>
      <rPr>
        <sz val="11"/>
        <color theme="1"/>
        <rFont val="Calibri"/>
        <family val="2"/>
        <charset val="1"/>
      </rPr>
      <t xml:space="preserve">wrel </t>
    </r>
    <r>
      <rPr>
        <sz val="11"/>
        <color theme="1"/>
        <rFont val="Noto Sans CJK SC"/>
        <family val="2"/>
      </rPr>
      <t xml:space="preserve">改讀本庫緯穎份額相對值。會改變緯創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v0.8.1 </t>
    </r>
    <r>
      <rPr>
        <sz val="11"/>
        <color theme="1"/>
        <rFont val="Noto Sans CJK SC"/>
        <family val="2"/>
      </rPr>
      <t xml:space="preserve">只登錄並試算，預設暫不改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</si>
  <si>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v0.8.1 </t>
    </r>
    <r>
      <rPr>
        <sz val="11"/>
        <color theme="1"/>
        <rFont val="Noto Sans CJK SC"/>
        <family val="2"/>
      </rPr>
      <t xml:space="preserve">已試算；預設暫不改）</t>
    </r>
  </si>
  <si>
    <r>
      <rPr>
        <sz val="11"/>
        <color theme="1"/>
        <rFont val="Calibri"/>
        <family val="2"/>
        <charset val="1"/>
      </rPr>
      <t xml:space="preserve">Siliconomics v0.8.1 </t>
    </r>
    <r>
      <rPr>
        <sz val="11"/>
        <color theme="1"/>
        <rFont val="Noto Sans CJK SC"/>
        <family val="2"/>
      </rPr>
      <t xml:space="preserve">盤點</t>
    </r>
  </si>
  <si>
    <r>
      <rPr>
        <sz val="11"/>
        <color theme="1"/>
        <rFont val="Calibri"/>
        <family val="2"/>
        <charset val="1"/>
      </rPr>
      <t xml:space="preserve">Interface — </t>
    </r>
    <r>
      <rPr>
        <sz val="11"/>
        <color theme="1"/>
        <rFont val="Noto Sans CJK SC"/>
        <family val="2"/>
      </rPr>
      <t xml:space="preserve">下游唯一連結點（各公司模型與市場層只讀本頁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具名範圍，經 </t>
    </r>
    <r>
      <rPr>
        <sz val="11"/>
        <color theme="1"/>
        <rFont val="Calibri"/>
        <family val="2"/>
        <charset val="1"/>
      </rPr>
      <t xml:space="preserve">tools/export_snapshot.py </t>
    </r>
    <r>
      <rPr>
        <sz val="11"/>
        <color theme="1"/>
        <rFont val="Noto Sans CJK SC"/>
        <family val="2"/>
      </rPr>
      <t xml:space="preserve">匯成版本固定快照）。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節＝輸入（純量，含低／高）；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節＝推導（年度）；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鏡像（</t>
    </r>
    <r>
      <rPr>
        <sz val="11"/>
        <color theme="1"/>
        <rFont val="Calibri"/>
        <family val="2"/>
        <charset val="1"/>
      </rPr>
      <t xml:space="preserve">SIF_TK_*</t>
    </r>
    <r>
      <rPr>
        <sz val="11"/>
        <color theme="1"/>
        <rFont val="Noto Sans CJK SC"/>
        <family val="2"/>
      </rPr>
      <t xml:space="preserve">，值＝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</si>
  <si>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版本：</t>
    </r>
    <r>
      <rPr>
        <sz val="11"/>
        <color theme="1"/>
        <rFont val="Calibri"/>
        <family val="2"/>
        <charset val="1"/>
      </rPr>
      <t xml:space="preserve">Siliconomics v0.10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20261031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Tokenomics v21.7</t>
    </r>
  </si>
  <si>
    <t xml:space="preserve">來源位置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</si>
  <si>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輸入（純量）</t>
    </r>
  </si>
  <si>
    <t xml:space="preserve">In!E6</t>
  </si>
  <si>
    <t xml:space="preserve">In!E7</t>
  </si>
  <si>
    <t xml:space="preserve">In!E8</t>
  </si>
  <si>
    <t xml:space="preserve">In!E9</t>
  </si>
  <si>
    <t xml:space="preserve">In!E10</t>
  </si>
  <si>
    <t xml:space="preserve">In!E11</t>
  </si>
  <si>
    <t xml:space="preserve">In!E12</t>
  </si>
  <si>
    <t xml:space="preserve">In!E13</t>
  </si>
  <si>
    <t xml:space="preserve">In!E14</t>
  </si>
  <si>
    <t xml:space="preserve">In!E15</t>
  </si>
  <si>
    <t xml:space="preserve">In!E16</t>
  </si>
  <si>
    <t xml:space="preserve">In!E17</t>
  </si>
  <si>
    <t xml:space="preserve">In!E18</t>
  </si>
  <si>
    <t xml:space="preserve">In!E19</t>
  </si>
  <si>
    <t xml:space="preserve">In!E20</t>
  </si>
  <si>
    <t xml:space="preserve">In!E21</t>
  </si>
  <si>
    <t xml:space="preserve">In!E22</t>
  </si>
  <si>
    <t xml:space="preserve">In!E23</t>
  </si>
  <si>
    <t xml:space="preserve">In!E24</t>
  </si>
  <si>
    <t xml:space="preserve">In!E25</t>
  </si>
  <si>
    <t xml:space="preserve">In!E26</t>
  </si>
  <si>
    <t xml:space="preserve">In!E27</t>
  </si>
  <si>
    <t xml:space="preserve">In!E28</t>
  </si>
  <si>
    <t xml:space="preserve">In!E29</t>
  </si>
  <si>
    <t xml:space="preserve">In!E30</t>
  </si>
  <si>
    <t xml:space="preserve">In!E31</t>
  </si>
  <si>
    <t xml:space="preserve">In!E32</t>
  </si>
  <si>
    <t xml:space="preserve">In!E33</t>
  </si>
  <si>
    <t xml:space="preserve">In!E34</t>
  </si>
  <si>
    <t xml:space="preserve">In!E35</t>
  </si>
  <si>
    <t xml:space="preserve">In!E36</t>
  </si>
  <si>
    <t xml:space="preserve">In!E37</t>
  </si>
  <si>
    <t xml:space="preserve">In!E38</t>
  </si>
  <si>
    <t xml:space="preserve">In!E39</t>
  </si>
  <si>
    <t xml:space="preserve">In!E40</t>
  </si>
  <si>
    <t xml:space="preserve">In!E41</t>
  </si>
  <si>
    <t xml:space="preserve">In!E42</t>
  </si>
  <si>
    <t xml:space="preserve">In!E43</t>
  </si>
  <si>
    <t xml:space="preserve">In!E44</t>
  </si>
  <si>
    <t xml:space="preserve">In!E45</t>
  </si>
  <si>
    <t xml:space="preserve">In!E46</t>
  </si>
  <si>
    <t xml:space="preserve">In!E47</t>
  </si>
  <si>
    <t xml:space="preserve">In!E48</t>
  </si>
  <si>
    <t xml:space="preserve">In!E49</t>
  </si>
  <si>
    <t xml:space="preserve">In!E50</t>
  </si>
  <si>
    <t xml:space="preserve">In!E51</t>
  </si>
  <si>
    <t xml:space="preserve">In!E52</t>
  </si>
  <si>
    <t xml:space="preserve">In!E53</t>
  </si>
  <si>
    <t xml:space="preserve">In!E54</t>
  </si>
  <si>
    <t xml:space="preserve">In!E55</t>
  </si>
  <si>
    <t xml:space="preserve">In!E56</t>
  </si>
  <si>
    <t xml:space="preserve">In!E57</t>
  </si>
  <si>
    <t xml:space="preserve">In!E58</t>
  </si>
  <si>
    <t xml:space="preserve">In!E59</t>
  </si>
  <si>
    <t xml:space="preserve">In!E60</t>
  </si>
  <si>
    <t xml:space="preserve">In!E61</t>
  </si>
  <si>
    <t xml:space="preserve">In!E62</t>
  </si>
  <si>
    <t xml:space="preserve">In!E63</t>
  </si>
  <si>
    <t xml:space="preserve">In!E64</t>
  </si>
  <si>
    <t xml:space="preserve">In!E65</t>
  </si>
  <si>
    <t xml:space="preserve">In!E66</t>
  </si>
  <si>
    <t xml:space="preserve">In!E67</t>
  </si>
  <si>
    <t xml:space="preserve">In!E68</t>
  </si>
  <si>
    <t xml:space="preserve">In!E69</t>
  </si>
  <si>
    <t xml:space="preserve">In!E70</t>
  </si>
  <si>
    <t xml:space="preserve">In!E71</t>
  </si>
  <si>
    <t xml:space="preserve">In!E72</t>
  </si>
  <si>
    <t xml:space="preserve">In!E73</t>
  </si>
  <si>
    <t xml:space="preserve">In!E74</t>
  </si>
  <si>
    <t xml:space="preserve">In!E75</t>
  </si>
  <si>
    <t xml:space="preserve">In!E76</t>
  </si>
  <si>
    <t xml:space="preserve">In!E77</t>
  </si>
  <si>
    <t xml:space="preserve">In!E78</t>
  </si>
  <si>
    <t xml:space="preserve">In!E79</t>
  </si>
  <si>
    <t xml:space="preserve">In!E80</t>
  </si>
  <si>
    <t xml:space="preserve">In!E81</t>
  </si>
  <si>
    <t xml:space="preserve">In!E82</t>
  </si>
  <si>
    <t xml:space="preserve">In!E83</t>
  </si>
  <si>
    <t xml:space="preserve">In!E84</t>
  </si>
  <si>
    <t xml:space="preserve">In!E85</t>
  </si>
  <si>
    <t xml:space="preserve">In!E86</t>
  </si>
  <si>
    <t xml:space="preserve">In!E87</t>
  </si>
  <si>
    <t xml:space="preserve">In!E88</t>
  </si>
  <si>
    <t xml:space="preserve">In!E89</t>
  </si>
  <si>
    <t xml:space="preserve">In!E90</t>
  </si>
  <si>
    <t xml:space="preserve">In!E91</t>
  </si>
  <si>
    <t xml:space="preserve">In!E93</t>
  </si>
  <si>
    <t xml:space="preserve">In!E94</t>
  </si>
  <si>
    <t xml:space="preserve">In!E95</t>
  </si>
  <si>
    <t xml:space="preserve">In!E96</t>
  </si>
  <si>
    <t xml:space="preserve">In!E97</t>
  </si>
  <si>
    <t xml:space="preserve">In!E98</t>
  </si>
  <si>
    <t xml:space="preserve">In!E99</t>
  </si>
  <si>
    <t xml:space="preserve">In!E100</t>
  </si>
  <si>
    <t xml:space="preserve">In!E101</t>
  </si>
  <si>
    <t xml:space="preserve">In!E102</t>
  </si>
  <si>
    <t xml:space="preserve">In!E103</t>
  </si>
  <si>
    <t xml:space="preserve">In!E104</t>
  </si>
  <si>
    <t xml:space="preserve">In!E105</t>
  </si>
  <si>
    <t xml:space="preserve">In!E106</t>
  </si>
  <si>
    <t xml:space="preserve">In!E107</t>
  </si>
  <si>
    <t xml:space="preserve">In!E108</t>
  </si>
  <si>
    <t xml:space="preserve">In!E109</t>
  </si>
  <si>
    <t xml:space="preserve">In!E110</t>
  </si>
  <si>
    <t xml:space="preserve">In!E111</t>
  </si>
  <si>
    <t xml:space="preserve">In!E112</t>
  </si>
  <si>
    <t xml:space="preserve">In!E113</t>
  </si>
  <si>
    <t xml:space="preserve">In!E114</t>
  </si>
  <si>
    <t xml:space="preserve">In!E115</t>
  </si>
  <si>
    <t xml:space="preserve">In!E116</t>
  </si>
  <si>
    <t xml:space="preserve">In!E117</t>
  </si>
  <si>
    <t xml:space="preserve">In!E118</t>
  </si>
  <si>
    <t xml:space="preserve">In!E119</t>
  </si>
  <si>
    <t xml:space="preserve">In!E120</t>
  </si>
  <si>
    <t xml:space="preserve">In!E121</t>
  </si>
  <si>
    <t xml:space="preserve">In!E122</t>
  </si>
  <si>
    <t xml:space="preserve">In!E123</t>
  </si>
  <si>
    <t xml:space="preserve">In!E124</t>
  </si>
  <si>
    <t xml:space="preserve">In!E125</t>
  </si>
  <si>
    <t xml:space="preserve">In!E126</t>
  </si>
  <si>
    <t xml:space="preserve">In!E127</t>
  </si>
  <si>
    <t xml:space="preserve">In!E128</t>
  </si>
  <si>
    <t xml:space="preserve">In!E129</t>
  </si>
  <si>
    <t xml:space="preserve">In!E130</t>
  </si>
  <si>
    <t xml:space="preserve">In!E131</t>
  </si>
  <si>
    <t xml:space="preserve">In!E132</t>
  </si>
  <si>
    <t xml:space="preserve">In!E133</t>
  </si>
  <si>
    <t xml:space="preserve">In!E134</t>
  </si>
  <si>
    <t xml:space="preserve">In!E135</t>
  </si>
  <si>
    <t xml:space="preserve">In!E136</t>
  </si>
  <si>
    <t xml:space="preserve">In!E137</t>
  </si>
  <si>
    <t xml:space="preserve">In!E138</t>
  </si>
  <si>
    <t xml:space="preserve">In!E139</t>
  </si>
  <si>
    <t xml:space="preserve">In!E140</t>
  </si>
  <si>
    <t xml:space="preserve">In!E142</t>
  </si>
  <si>
    <t xml:space="preserve">In!E143</t>
  </si>
  <si>
    <t xml:space="preserve">In!E144</t>
  </si>
  <si>
    <t xml:space="preserve">In!E145</t>
  </si>
  <si>
    <t xml:space="preserve">In!E146</t>
  </si>
  <si>
    <t xml:space="preserve">In!E147</t>
  </si>
  <si>
    <t xml:space="preserve">In!E149</t>
  </si>
  <si>
    <t xml:space="preserve">In!E150</t>
  </si>
  <si>
    <t xml:space="preserve">In!E151</t>
  </si>
  <si>
    <t xml:space="preserve">In!E152</t>
  </si>
  <si>
    <t xml:space="preserve">In!E153</t>
  </si>
  <si>
    <t xml:space="preserve">In!E154</t>
  </si>
  <si>
    <t xml:space="preserve">In!E155</t>
  </si>
  <si>
    <t xml:space="preserve">In!E156</t>
  </si>
  <si>
    <t xml:space="preserve">In!E157</t>
  </si>
  <si>
    <t xml:space="preserve">In!E158</t>
  </si>
  <si>
    <t xml:space="preserve">In!E159</t>
  </si>
  <si>
    <t xml:space="preserve">In!E160</t>
  </si>
  <si>
    <t xml:space="preserve">In!E161</t>
  </si>
  <si>
    <t xml:space="preserve">In!E162</t>
  </si>
  <si>
    <t xml:space="preserve">In!E163</t>
  </si>
  <si>
    <t xml:space="preserve">In!E165</t>
  </si>
  <si>
    <t xml:space="preserve">In!E166</t>
  </si>
  <si>
    <t xml:space="preserve">In!E167</t>
  </si>
  <si>
    <t xml:space="preserve">In!E168</t>
  </si>
  <si>
    <t xml:space="preserve">In!E169</t>
  </si>
  <si>
    <t xml:space="preserve">In!E170</t>
  </si>
  <si>
    <t xml:space="preserve">In!E172</t>
  </si>
  <si>
    <t xml:space="preserve">In!E173</t>
  </si>
  <si>
    <t xml:space="preserve">In!E174</t>
  </si>
  <si>
    <t xml:space="preserve">In!E175</t>
  </si>
  <si>
    <t xml:space="preserve">In!E176</t>
  </si>
  <si>
    <t xml:space="preserve">In!E177</t>
  </si>
  <si>
    <t xml:space="preserve">In!E178</t>
  </si>
  <si>
    <t xml:space="preserve">In!E179</t>
  </si>
  <si>
    <t xml:space="preserve">In!E181</t>
  </si>
  <si>
    <t xml:space="preserve">In!E182</t>
  </si>
  <si>
    <t xml:space="preserve">In!E183</t>
  </si>
  <si>
    <t xml:space="preserve">In!E184</t>
  </si>
  <si>
    <t xml:space="preserve">In!E185</t>
  </si>
  <si>
    <t xml:space="preserve">In!E186</t>
  </si>
  <si>
    <t xml:space="preserve">In!E187</t>
  </si>
  <si>
    <t xml:space="preserve">In!E189</t>
  </si>
  <si>
    <t xml:space="preserve">In!E190</t>
  </si>
  <si>
    <t xml:space="preserve">In!E191</t>
  </si>
  <si>
    <t xml:space="preserve">In!E192</t>
  </si>
  <si>
    <t xml:space="preserve">In!E193</t>
  </si>
  <si>
    <t xml:space="preserve">In!E194</t>
  </si>
  <si>
    <t xml:space="preserve">In!E195</t>
  </si>
  <si>
    <t xml:space="preserve">In!E196</t>
  </si>
  <si>
    <t xml:space="preserve">In!E197</t>
  </si>
  <si>
    <t xml:space="preserve">In!E198</t>
  </si>
  <si>
    <t xml:space="preserve">In!E199</t>
  </si>
  <si>
    <t xml:space="preserve">In!E200</t>
  </si>
  <si>
    <t xml:space="preserve">In!E201</t>
  </si>
  <si>
    <t xml:space="preserve">In!E202</t>
  </si>
  <si>
    <t xml:space="preserve">In!E203</t>
  </si>
  <si>
    <t xml:space="preserve">In!E204</t>
  </si>
  <si>
    <t xml:space="preserve">In!E205</t>
  </si>
  <si>
    <t xml:space="preserve">In!E206</t>
  </si>
  <si>
    <t xml:space="preserve">In!E207</t>
  </si>
  <si>
    <t xml:space="preserve">In!E208</t>
  </si>
  <si>
    <t xml:space="preserve">In!E209</t>
  </si>
  <si>
    <t xml:space="preserve">In!E210</t>
  </si>
  <si>
    <t xml:space="preserve">In!E211</t>
  </si>
  <si>
    <t xml:space="preserve">In!E212</t>
  </si>
  <si>
    <t xml:space="preserve">In!E213</t>
  </si>
  <si>
    <t xml:space="preserve">In!E214</t>
  </si>
  <si>
    <t xml:space="preserve">In!E215</t>
  </si>
  <si>
    <t xml:space="preserve">In!E216</t>
  </si>
  <si>
    <t xml:space="preserve">In!E218</t>
  </si>
  <si>
    <t xml:space="preserve">In!E219</t>
  </si>
  <si>
    <t xml:space="preserve">In!E220</t>
  </si>
  <si>
    <t xml:space="preserve">In!E221</t>
  </si>
  <si>
    <t xml:space="preserve">In!E222</t>
  </si>
  <si>
    <t xml:space="preserve">In!E223</t>
  </si>
  <si>
    <t xml:space="preserve">In!E224</t>
  </si>
  <si>
    <t xml:space="preserve">In!E225</t>
  </si>
  <si>
    <t xml:space="preserve">In!E226</t>
  </si>
  <si>
    <t xml:space="preserve">In!E227</t>
  </si>
  <si>
    <t xml:space="preserve">In!E228</t>
  </si>
  <si>
    <t xml:space="preserve">In!E229</t>
  </si>
  <si>
    <t xml:space="preserve">In!E230</t>
  </si>
  <si>
    <t xml:space="preserve">In!E231</t>
  </si>
  <si>
    <t xml:space="preserve">In!E232</t>
  </si>
  <si>
    <t xml:space="preserve">In!E233</t>
  </si>
  <si>
    <t xml:space="preserve">In!E234</t>
  </si>
  <si>
    <t xml:space="preserve">In!E235</t>
  </si>
  <si>
    <t xml:space="preserve">In!E236</t>
  </si>
  <si>
    <t xml:space="preserve">In!E237</t>
  </si>
  <si>
    <t xml:space="preserve">In!E238</t>
  </si>
  <si>
    <t xml:space="preserve">In!E239</t>
  </si>
  <si>
    <t xml:space="preserve">In!E240</t>
  </si>
  <si>
    <t xml:space="preserve">In!E241</t>
  </si>
  <si>
    <t xml:space="preserve">In!E242</t>
  </si>
  <si>
    <t xml:space="preserve">In!E243</t>
  </si>
  <si>
    <t xml:space="preserve">In!E244</t>
  </si>
  <si>
    <t xml:space="preserve">In!E245</t>
  </si>
  <si>
    <t xml:space="preserve">In!E246</t>
  </si>
  <si>
    <t xml:space="preserve">In!E247</t>
  </si>
  <si>
    <t xml:space="preserve">In!E248</t>
  </si>
  <si>
    <t xml:space="preserve">In!E249</t>
  </si>
  <si>
    <t xml:space="preserve">In!E250</t>
  </si>
  <si>
    <t xml:space="preserve">In!E251</t>
  </si>
  <si>
    <t xml:space="preserve">In!E252</t>
  </si>
  <si>
    <t xml:space="preserve">In!E253</t>
  </si>
  <si>
    <t xml:space="preserve">In!E254</t>
  </si>
  <si>
    <t xml:space="preserve">In!E255</t>
  </si>
  <si>
    <t xml:space="preserve">In!E256</t>
  </si>
  <si>
    <t xml:space="preserve">In!E257</t>
  </si>
  <si>
    <t xml:space="preserve">In!E258</t>
  </si>
  <si>
    <t xml:space="preserve">In!E259</t>
  </si>
  <si>
    <t xml:space="preserve">In!E260</t>
  </si>
  <si>
    <t xml:space="preserve">In!E261</t>
  </si>
  <si>
    <t xml:space="preserve">In!E262</t>
  </si>
  <si>
    <t xml:space="preserve">In!E263</t>
  </si>
  <si>
    <t xml:space="preserve">In!E264</t>
  </si>
  <si>
    <t xml:space="preserve">In!E265</t>
  </si>
  <si>
    <t xml:space="preserve">In!E266</t>
  </si>
  <si>
    <t xml:space="preserve">In!E267</t>
  </si>
  <si>
    <t xml:space="preserve">In!E268</t>
  </si>
  <si>
    <t xml:space="preserve">In!E269</t>
  </si>
  <si>
    <t xml:space="preserve">In!E270</t>
  </si>
  <si>
    <t xml:space="preserve">In!E271</t>
  </si>
  <si>
    <t xml:space="preserve">In!E273</t>
  </si>
  <si>
    <t xml:space="preserve">In!E274</t>
  </si>
  <si>
    <t xml:space="preserve">In!E275</t>
  </si>
  <si>
    <t xml:space="preserve">In!E276</t>
  </si>
  <si>
    <t xml:space="preserve">In!E277</t>
  </si>
  <si>
    <t xml:space="preserve">In!E278</t>
  </si>
  <si>
    <t xml:space="preserve">In!E279</t>
  </si>
  <si>
    <t xml:space="preserve">In!E280</t>
  </si>
  <si>
    <t xml:space="preserve">In!E281</t>
  </si>
  <si>
    <t xml:space="preserve">In!E283</t>
  </si>
  <si>
    <t xml:space="preserve">In!E284</t>
  </si>
  <si>
    <t xml:space="preserve">In!E285</t>
  </si>
  <si>
    <t xml:space="preserve">In!E286</t>
  </si>
  <si>
    <t xml:space="preserve">In!E287</t>
  </si>
  <si>
    <t xml:space="preserve">In!E288</t>
  </si>
  <si>
    <t xml:space="preserve">In!E289</t>
  </si>
  <si>
    <t xml:space="preserve">In!E290</t>
  </si>
  <si>
    <t xml:space="preserve">In!E291</t>
  </si>
  <si>
    <t xml:space="preserve">In!E292</t>
  </si>
  <si>
    <t xml:space="preserve">In!E293</t>
  </si>
  <si>
    <t xml:space="preserve">In!E294</t>
  </si>
  <si>
    <t xml:space="preserve">In!E295</t>
  </si>
  <si>
    <t xml:space="preserve">In!E296</t>
  </si>
  <si>
    <t xml:space="preserve">In!E297</t>
  </si>
  <si>
    <t xml:space="preserve">In!E298</t>
  </si>
  <si>
    <t xml:space="preserve">In!E299</t>
  </si>
  <si>
    <t xml:space="preserve">In!E301</t>
  </si>
  <si>
    <t xml:space="preserve">In!E303</t>
  </si>
  <si>
    <t xml:space="preserve">In!E304</t>
  </si>
  <si>
    <t xml:space="preserve">In!E305</t>
  </si>
  <si>
    <t xml:space="preserve">In!E306</t>
  </si>
  <si>
    <t xml:space="preserve">In!E307</t>
  </si>
  <si>
    <t xml:space="preserve">In!E308</t>
  </si>
  <si>
    <t xml:space="preserve">In!E309</t>
  </si>
  <si>
    <t xml:space="preserve">In!E310</t>
  </si>
  <si>
    <t xml:space="preserve">In!E311</t>
  </si>
  <si>
    <t xml:space="preserve">In!E312</t>
  </si>
  <si>
    <t xml:space="preserve">In!E313</t>
  </si>
  <si>
    <t xml:space="preserve">In!E314</t>
  </si>
  <si>
    <t xml:space="preserve">In!E315</t>
  </si>
  <si>
    <t xml:space="preserve">In!E316</t>
  </si>
  <si>
    <t xml:space="preserve">In!E317</t>
  </si>
  <si>
    <t xml:space="preserve">In!E319</t>
  </si>
  <si>
    <t xml:space="preserve">In!E320</t>
  </si>
  <si>
    <t xml:space="preserve">In!E321</t>
  </si>
  <si>
    <t xml:space="preserve">In!E322</t>
  </si>
  <si>
    <t xml:space="preserve">In!E323</t>
  </si>
  <si>
    <t xml:space="preserve">In!E324</t>
  </si>
  <si>
    <t xml:space="preserve">In!E325</t>
  </si>
  <si>
    <t xml:space="preserve">In!E326</t>
  </si>
  <si>
    <t xml:space="preserve">In!E327</t>
  </si>
  <si>
    <t xml:space="preserve">In!E328</t>
  </si>
  <si>
    <t xml:space="preserve">In!E329</t>
  </si>
  <si>
    <t xml:space="preserve">In!E330</t>
  </si>
  <si>
    <t xml:space="preserve">In!E331</t>
  </si>
  <si>
    <t xml:space="preserve">In!E332</t>
  </si>
  <si>
    <t xml:space="preserve">In!E333</t>
  </si>
  <si>
    <t xml:space="preserve">In!E334</t>
  </si>
  <si>
    <t xml:space="preserve">In!E335</t>
  </si>
  <si>
    <t xml:space="preserve">In!E336</t>
  </si>
  <si>
    <t xml:space="preserve">In!E337</t>
  </si>
  <si>
    <t xml:space="preserve">In!E338</t>
  </si>
  <si>
    <t xml:space="preserve">In!E339</t>
  </si>
  <si>
    <t xml:space="preserve">In!E340</t>
  </si>
  <si>
    <t xml:space="preserve">In!E341</t>
  </si>
  <si>
    <t xml:space="preserve">In!E342</t>
  </si>
  <si>
    <t xml:space="preserve">In!E343</t>
  </si>
  <si>
    <t xml:space="preserve">In!E344</t>
  </si>
  <si>
    <t xml:space="preserve">In!E345</t>
  </si>
  <si>
    <t xml:space="preserve">In!E346</t>
  </si>
  <si>
    <t xml:space="preserve">In!E347</t>
  </si>
  <si>
    <t xml:space="preserve">In!E348</t>
  </si>
  <si>
    <t xml:space="preserve">In!E349</t>
  </si>
  <si>
    <t xml:space="preserve">In!E350</t>
  </si>
  <si>
    <t xml:space="preserve">In!E351</t>
  </si>
  <si>
    <t xml:space="preserve">In!E352</t>
  </si>
  <si>
    <t xml:space="preserve">In!E353</t>
  </si>
  <si>
    <t xml:space="preserve">In!E354</t>
  </si>
  <si>
    <t xml:space="preserve">In!E355</t>
  </si>
  <si>
    <t xml:space="preserve">In!E357</t>
  </si>
  <si>
    <t xml:space="preserve">In!E358</t>
  </si>
  <si>
    <t xml:space="preserve">In!E359</t>
  </si>
  <si>
    <t xml:space="preserve">In!E360</t>
  </si>
  <si>
    <t xml:space="preserve">In!E361</t>
  </si>
  <si>
    <t xml:space="preserve">In!E362</t>
  </si>
  <si>
    <t xml:space="preserve">In!E363</t>
  </si>
  <si>
    <t xml:space="preserve">In!E364</t>
  </si>
  <si>
    <t xml:space="preserve">In!E365</t>
  </si>
  <si>
    <t xml:space="preserve">In!E366</t>
  </si>
  <si>
    <t xml:space="preserve">In!E367</t>
  </si>
  <si>
    <t xml:space="preserve">In!E368</t>
  </si>
  <si>
    <t xml:space="preserve">In!E369</t>
  </si>
  <si>
    <t xml:space="preserve">In!E370</t>
  </si>
  <si>
    <t xml:space="preserve">In!E371</t>
  </si>
  <si>
    <t xml:space="preserve">In!E372</t>
  </si>
  <si>
    <t xml:space="preserve">In!E373</t>
  </si>
  <si>
    <t xml:space="preserve">In!E374</t>
  </si>
  <si>
    <t xml:space="preserve">In!E375</t>
  </si>
  <si>
    <t xml:space="preserve">In!E376</t>
  </si>
  <si>
    <t xml:space="preserve">In!E378</t>
  </si>
  <si>
    <t xml:space="preserve">In!E379</t>
  </si>
  <si>
    <t xml:space="preserve">In!E380</t>
  </si>
  <si>
    <t xml:space="preserve">In!E381</t>
  </si>
  <si>
    <t xml:space="preserve">In!E382</t>
  </si>
  <si>
    <t xml:space="preserve">In!E383</t>
  </si>
  <si>
    <t xml:space="preserve">In!E384</t>
  </si>
  <si>
    <t xml:space="preserve">In!E385</t>
  </si>
  <si>
    <t xml:space="preserve">In!E386</t>
  </si>
  <si>
    <t xml:space="preserve">In!E387</t>
  </si>
  <si>
    <t xml:space="preserve">In!E388</t>
  </si>
  <si>
    <t xml:space="preserve">In!E389</t>
  </si>
  <si>
    <t xml:space="preserve">In!E390</t>
  </si>
  <si>
    <t xml:space="preserve">In!E391</t>
  </si>
  <si>
    <t xml:space="preserve">In!E392</t>
  </si>
  <si>
    <t xml:space="preserve">In!E393</t>
  </si>
  <si>
    <t xml:space="preserve">In!E394</t>
  </si>
  <si>
    <t xml:space="preserve">In!E395</t>
  </si>
  <si>
    <t xml:space="preserve">In!E396</t>
  </si>
  <si>
    <t xml:space="preserve">In!E397</t>
  </si>
  <si>
    <t xml:space="preserve">In!E398</t>
  </si>
  <si>
    <t xml:space="preserve">In!E399</t>
  </si>
  <si>
    <t xml:space="preserve">In!E400</t>
  </si>
  <si>
    <t xml:space="preserve">In!E401</t>
  </si>
  <si>
    <t xml:space="preserve">In!E402</t>
  </si>
  <si>
    <t xml:space="preserve">In!E403</t>
  </si>
  <si>
    <t xml:space="preserve">In!E404</t>
  </si>
  <si>
    <t xml:space="preserve">In!E405</t>
  </si>
  <si>
    <t xml:space="preserve">In!E407</t>
  </si>
  <si>
    <t xml:space="preserve">In!E408</t>
  </si>
  <si>
    <t xml:space="preserve">In!E409</t>
  </si>
  <si>
    <t xml:space="preserve">In!E410</t>
  </si>
  <si>
    <t xml:space="preserve">In!E411</t>
  </si>
  <si>
    <t xml:space="preserve">In!E412</t>
  </si>
  <si>
    <t xml:space="preserve">In!E413</t>
  </si>
  <si>
    <t xml:space="preserve">In!E414</t>
  </si>
  <si>
    <t xml:space="preserve">In!E415</t>
  </si>
  <si>
    <t xml:space="preserve">In!E416</t>
  </si>
  <si>
    <t xml:space="preserve">In!E417</t>
  </si>
  <si>
    <t xml:space="preserve">In!E418</t>
  </si>
  <si>
    <t xml:space="preserve">In!E419</t>
  </si>
  <si>
    <t xml:space="preserve">In!E420</t>
  </si>
  <si>
    <t xml:space="preserve">In!E421</t>
  </si>
  <si>
    <t xml:space="preserve">In!E422</t>
  </si>
  <si>
    <t xml:space="preserve">In!E423</t>
  </si>
  <si>
    <t xml:space="preserve">In!E424</t>
  </si>
  <si>
    <t xml:space="preserve">In!E425</t>
  </si>
  <si>
    <t xml:space="preserve">In!E426</t>
  </si>
  <si>
    <t xml:space="preserve">In!E427</t>
  </si>
  <si>
    <t xml:space="preserve">In!E428</t>
  </si>
  <si>
    <t xml:space="preserve">In!E429</t>
  </si>
  <si>
    <t xml:space="preserve">In!E430</t>
  </si>
  <si>
    <t xml:space="preserve">In!E432</t>
  </si>
  <si>
    <t xml:space="preserve">In!E433</t>
  </si>
  <si>
    <t xml:space="preserve">In!E434</t>
  </si>
  <si>
    <t xml:space="preserve">In!E435</t>
  </si>
  <si>
    <t xml:space="preserve">In!E436</t>
  </si>
  <si>
    <t xml:space="preserve">In!E437</t>
  </si>
  <si>
    <t xml:space="preserve">In!E438</t>
  </si>
  <si>
    <t xml:space="preserve">In!E439</t>
  </si>
  <si>
    <t xml:space="preserve">In!E440</t>
  </si>
  <si>
    <t xml:space="preserve">In!E441</t>
  </si>
  <si>
    <t xml:space="preserve">In!E442</t>
  </si>
  <si>
    <t xml:space="preserve">In!E443</t>
  </si>
  <si>
    <t xml:space="preserve">In!E444</t>
  </si>
  <si>
    <t xml:space="preserve">In!E445</t>
  </si>
  <si>
    <t xml:space="preserve">In!E446</t>
  </si>
  <si>
    <t xml:space="preserve">In!E447</t>
  </si>
  <si>
    <t xml:space="preserve">In!E449</t>
  </si>
  <si>
    <t xml:space="preserve">In!E450</t>
  </si>
  <si>
    <t xml:space="preserve">In!E451</t>
  </si>
  <si>
    <t xml:space="preserve">In!E453</t>
  </si>
  <si>
    <t xml:space="preserve">In!E454</t>
  </si>
  <si>
    <t xml:space="preserve">In!E455</t>
  </si>
  <si>
    <t xml:space="preserve">In!E456</t>
  </si>
  <si>
    <t xml:space="preserve">In!E457</t>
  </si>
  <si>
    <t xml:space="preserve">In!E458</t>
  </si>
  <si>
    <t xml:space="preserve">In!E459</t>
  </si>
  <si>
    <t xml:space="preserve">In!E460</t>
  </si>
  <si>
    <t xml:space="preserve">In!E461</t>
  </si>
  <si>
    <t xml:space="preserve">In!E462</t>
  </si>
  <si>
    <t xml:space="preserve">In!E463</t>
  </si>
  <si>
    <t xml:space="preserve">In!E464</t>
  </si>
  <si>
    <t xml:space="preserve">In!E465</t>
  </si>
  <si>
    <t xml:space="preserve">In!E466</t>
  </si>
  <si>
    <t xml:space="preserve">In!E467</t>
  </si>
  <si>
    <t xml:space="preserve">In!E468</t>
  </si>
  <si>
    <t xml:space="preserve">In!E469</t>
  </si>
  <si>
    <t xml:space="preserve">In!E470</t>
  </si>
  <si>
    <t xml:space="preserve">In!E471</t>
  </si>
  <si>
    <t xml:space="preserve">In!E472</t>
  </si>
  <si>
    <t xml:space="preserve">In!E474</t>
  </si>
  <si>
    <t xml:space="preserve">In!E475</t>
  </si>
  <si>
    <t xml:space="preserve">In!E476</t>
  </si>
  <si>
    <t xml:space="preserve">In!E477</t>
  </si>
  <si>
    <t xml:space="preserve">In!E478</t>
  </si>
  <si>
    <t xml:space="preserve">In!E479</t>
  </si>
  <si>
    <t xml:space="preserve">In!E480</t>
  </si>
  <si>
    <t xml:space="preserve">In!E481</t>
  </si>
  <si>
    <t xml:space="preserve">In!E482</t>
  </si>
  <si>
    <t xml:space="preserve">In!E483</t>
  </si>
  <si>
    <t xml:space="preserve">In!E484</t>
  </si>
  <si>
    <t xml:space="preserve">In!E485</t>
  </si>
  <si>
    <t xml:space="preserve">In!E486</t>
  </si>
  <si>
    <t xml:space="preserve">In!E487</t>
  </si>
  <si>
    <t xml:space="preserve">In!E488</t>
  </si>
  <si>
    <t xml:space="preserve">In!E489</t>
  </si>
  <si>
    <t xml:space="preserve">In!E490</t>
  </si>
  <si>
    <t xml:space="preserve">In!E491</t>
  </si>
  <si>
    <t xml:space="preserve">In!E492</t>
  </si>
  <si>
    <t xml:space="preserve">In!E493</t>
  </si>
  <si>
    <t xml:space="preserve">In!E494</t>
  </si>
  <si>
    <t xml:space="preserve">In!E495</t>
  </si>
  <si>
    <t xml:space="preserve">In!E496</t>
  </si>
  <si>
    <t xml:space="preserve">In!E497</t>
  </si>
  <si>
    <t xml:space="preserve">In!E498</t>
  </si>
  <si>
    <t xml:space="preserve">In!E499</t>
  </si>
  <si>
    <t xml:space="preserve">In!E500</t>
  </si>
  <si>
    <t xml:space="preserve">In!E501</t>
  </si>
  <si>
    <t xml:space="preserve">In!E502</t>
  </si>
  <si>
    <t xml:space="preserve">In!E503</t>
  </si>
  <si>
    <t xml:space="preserve">In!E504</t>
  </si>
  <si>
    <t xml:space="preserve">In!E505</t>
  </si>
  <si>
    <t xml:space="preserve">In!E506</t>
  </si>
  <si>
    <t xml:space="preserve">In!E507</t>
  </si>
  <si>
    <t xml:space="preserve">In!E508</t>
  </si>
  <si>
    <t xml:space="preserve">In!E509</t>
  </si>
  <si>
    <t xml:space="preserve">In!E510</t>
  </si>
  <si>
    <t xml:space="preserve">In!E511</t>
  </si>
  <si>
    <t xml:space="preserve">In!E512</t>
  </si>
  <si>
    <t xml:space="preserve">In!E513</t>
  </si>
  <si>
    <t xml:space="preserve">In!E514</t>
  </si>
  <si>
    <t xml:space="preserve">In!E515</t>
  </si>
  <si>
    <t xml:space="preserve">In!E516</t>
  </si>
  <si>
    <t xml:space="preserve">In!E517</t>
  </si>
  <si>
    <t xml:space="preserve">In!E518</t>
  </si>
  <si>
    <t xml:space="preserve">In!E519</t>
  </si>
  <si>
    <t xml:space="preserve">In!E520</t>
  </si>
  <si>
    <t xml:space="preserve">In!E521</t>
  </si>
  <si>
    <t xml:space="preserve">In!E522</t>
  </si>
  <si>
    <t xml:space="preserve">In!E523</t>
  </si>
  <si>
    <t xml:space="preserve">In!E524</t>
  </si>
  <si>
    <t xml:space="preserve">In!E525</t>
  </si>
  <si>
    <t xml:space="preserve">In!E526</t>
  </si>
  <si>
    <t xml:space="preserve">In!E527</t>
  </si>
  <si>
    <t xml:space="preserve">In!E528</t>
  </si>
  <si>
    <t xml:space="preserve">In!E530</t>
  </si>
  <si>
    <t xml:space="preserve">In!E531</t>
  </si>
  <si>
    <t xml:space="preserve">In!E532</t>
  </si>
  <si>
    <t xml:space="preserve">In!E533</t>
  </si>
  <si>
    <t xml:space="preserve">In!E534</t>
  </si>
  <si>
    <t xml:space="preserve">In!E535</t>
  </si>
  <si>
    <t xml:space="preserve">In!E536</t>
  </si>
  <si>
    <t xml:space="preserve">In!E537</t>
  </si>
  <si>
    <t xml:space="preserve">In!E538</t>
  </si>
  <si>
    <t xml:space="preserve">In!E539</t>
  </si>
  <si>
    <t xml:space="preserve">In!E540</t>
  </si>
  <si>
    <t xml:space="preserve">In!E541</t>
  </si>
  <si>
    <t xml:space="preserve">In!E542</t>
  </si>
  <si>
    <t xml:space="preserve">In!E543</t>
  </si>
  <si>
    <t xml:space="preserve">In!E544</t>
  </si>
  <si>
    <t xml:space="preserve">In!E545</t>
  </si>
  <si>
    <t xml:space="preserve">In!E546</t>
  </si>
  <si>
    <t xml:space="preserve">In!E547</t>
  </si>
  <si>
    <t xml:space="preserve">In!E549</t>
  </si>
  <si>
    <t xml:space="preserve">In!E550</t>
  </si>
  <si>
    <t xml:space="preserve">In!E551</t>
  </si>
  <si>
    <t xml:space="preserve">In!E552</t>
  </si>
  <si>
    <t xml:space="preserve">In!E553</t>
  </si>
  <si>
    <t xml:space="preserve">In!E554</t>
  </si>
  <si>
    <t xml:space="preserve">In!E555</t>
  </si>
  <si>
    <t xml:space="preserve">In!E556</t>
  </si>
  <si>
    <t xml:space="preserve">In!E557</t>
  </si>
  <si>
    <t xml:space="preserve">In!E558</t>
  </si>
  <si>
    <t xml:space="preserve">In!E559</t>
  </si>
  <si>
    <t xml:space="preserve">In!E560</t>
  </si>
  <si>
    <t xml:space="preserve">In!E561</t>
  </si>
  <si>
    <t xml:space="preserve">In!E562</t>
  </si>
  <si>
    <t xml:space="preserve">In!E563</t>
  </si>
  <si>
    <t xml:space="preserve">In!E564</t>
  </si>
  <si>
    <t xml:space="preserve">In!E565</t>
  </si>
  <si>
    <t xml:space="preserve">In!E566</t>
  </si>
  <si>
    <t xml:space="preserve">In!E568</t>
  </si>
  <si>
    <t xml:space="preserve">In!E569</t>
  </si>
  <si>
    <t xml:space="preserve">In!E570</t>
  </si>
  <si>
    <t xml:space="preserve">In!E571</t>
  </si>
  <si>
    <t xml:space="preserve">In!E572</t>
  </si>
  <si>
    <t xml:space="preserve">In!E573</t>
  </si>
  <si>
    <t xml:space="preserve">In!E574</t>
  </si>
  <si>
    <t xml:space="preserve">In!E575</t>
  </si>
  <si>
    <t xml:space="preserve">In!E576</t>
  </si>
  <si>
    <t xml:space="preserve">In!E577</t>
  </si>
  <si>
    <t xml:space="preserve">In!E578</t>
  </si>
  <si>
    <t xml:space="preserve">In!E579</t>
  </si>
  <si>
    <t xml:space="preserve">In!E580</t>
  </si>
  <si>
    <t xml:space="preserve">In!E581</t>
  </si>
  <si>
    <t xml:space="preserve">In!E582</t>
  </si>
  <si>
    <t xml:space="preserve">In!E583</t>
  </si>
  <si>
    <t xml:space="preserve">In!E584</t>
  </si>
  <si>
    <t xml:space="preserve">In!E585</t>
  </si>
  <si>
    <t xml:space="preserve">In!E586</t>
  </si>
  <si>
    <t xml:space="preserve">In!E587</t>
  </si>
  <si>
    <t xml:space="preserve">In!E588</t>
  </si>
  <si>
    <t xml:space="preserve">In!E589</t>
  </si>
  <si>
    <t xml:space="preserve">In!E590</t>
  </si>
  <si>
    <t xml:space="preserve">In!E591</t>
  </si>
  <si>
    <t xml:space="preserve">In!E592</t>
  </si>
  <si>
    <t xml:space="preserve">In!E593</t>
  </si>
  <si>
    <t xml:space="preserve">In!E594</t>
  </si>
  <si>
    <t xml:space="preserve">In!E595</t>
  </si>
  <si>
    <t xml:space="preserve">In!E596</t>
  </si>
  <si>
    <t xml:space="preserve">In!E597</t>
  </si>
  <si>
    <t xml:space="preserve">In!E598</t>
  </si>
  <si>
    <t xml:space="preserve">In!E599</t>
  </si>
  <si>
    <t xml:space="preserve">In!E600</t>
  </si>
  <si>
    <t xml:space="preserve">In!E601</t>
  </si>
  <si>
    <t xml:space="preserve">In!E602</t>
  </si>
  <si>
    <t xml:space="preserve">In!E603</t>
  </si>
  <si>
    <t xml:space="preserve">In!E604</t>
  </si>
  <si>
    <t xml:space="preserve">In!E605</t>
  </si>
  <si>
    <t xml:space="preserve">In!E606</t>
  </si>
  <si>
    <t xml:space="preserve">In!E607</t>
  </si>
  <si>
    <t xml:space="preserve">In!E608</t>
  </si>
  <si>
    <t xml:space="preserve">In!E609</t>
  </si>
  <si>
    <t xml:space="preserve">In!E610</t>
  </si>
  <si>
    <t xml:space="preserve">In!E611</t>
  </si>
  <si>
    <t xml:space="preserve">In!E612</t>
  </si>
  <si>
    <t xml:space="preserve">In!E613</t>
  </si>
  <si>
    <t xml:space="preserve">In!E614</t>
  </si>
  <si>
    <t xml:space="preserve">In!E615</t>
  </si>
  <si>
    <t xml:space="preserve">In!E616</t>
  </si>
  <si>
    <t xml:space="preserve">In!E617</t>
  </si>
  <si>
    <t xml:space="preserve">In!E618</t>
  </si>
  <si>
    <t xml:space="preserve">In!E619</t>
  </si>
  <si>
    <t xml:space="preserve">In!E620</t>
  </si>
  <si>
    <t xml:space="preserve">In!E621</t>
  </si>
  <si>
    <t xml:space="preserve">In!E622</t>
  </si>
  <si>
    <t xml:space="preserve">In!E623</t>
  </si>
  <si>
    <t xml:space="preserve">In!E624</t>
  </si>
  <si>
    <t xml:space="preserve">In!E625</t>
  </si>
  <si>
    <t xml:space="preserve">In!E626</t>
  </si>
  <si>
    <t xml:space="preserve">In!E627</t>
  </si>
  <si>
    <t xml:space="preserve">In!E628</t>
  </si>
  <si>
    <t xml:space="preserve">In!E630</t>
  </si>
  <si>
    <t xml:space="preserve">In!E631</t>
  </si>
  <si>
    <t xml:space="preserve">In!E632</t>
  </si>
  <si>
    <t xml:space="preserve">In!E633</t>
  </si>
  <si>
    <t xml:space="preserve">In!E634</t>
  </si>
  <si>
    <t xml:space="preserve">In!E635</t>
  </si>
  <si>
    <t xml:space="preserve">In!E636</t>
  </si>
  <si>
    <t xml:space="preserve">In!E637</t>
  </si>
  <si>
    <t xml:space="preserve">In!E638</t>
  </si>
  <si>
    <t xml:space="preserve">In!E639</t>
  </si>
  <si>
    <t xml:space="preserve">In!E640</t>
  </si>
  <si>
    <t xml:space="preserve">In!E641</t>
  </si>
  <si>
    <t xml:space="preserve">In!E642</t>
  </si>
  <si>
    <t xml:space="preserve">In!E643</t>
  </si>
  <si>
    <t xml:space="preserve">In!E644</t>
  </si>
  <si>
    <t xml:space="preserve">In!E646</t>
  </si>
  <si>
    <t xml:space="preserve">In!E647</t>
  </si>
  <si>
    <t xml:space="preserve">In!E648</t>
  </si>
  <si>
    <t xml:space="preserve">In!E649</t>
  </si>
  <si>
    <t xml:space="preserve">In!E650</t>
  </si>
  <si>
    <t xml:space="preserve">In!E651</t>
  </si>
  <si>
    <t xml:space="preserve">In!E652</t>
  </si>
  <si>
    <t xml:space="preserve">In!E653</t>
  </si>
  <si>
    <t xml:space="preserve">In!E654</t>
  </si>
  <si>
    <t xml:space="preserve">In!E655</t>
  </si>
  <si>
    <t xml:space="preserve">In!E656</t>
  </si>
  <si>
    <t xml:space="preserve">In!E657</t>
  </si>
  <si>
    <t xml:space="preserve">In!E658</t>
  </si>
  <si>
    <t xml:space="preserve">In!E659</t>
  </si>
  <si>
    <t xml:space="preserve">In!E660</t>
  </si>
  <si>
    <t xml:space="preserve">In!E661</t>
  </si>
  <si>
    <t xml:space="preserve">In!E662</t>
  </si>
  <si>
    <t xml:space="preserve">In!E664</t>
  </si>
  <si>
    <t xml:space="preserve">In!E665</t>
  </si>
  <si>
    <t xml:space="preserve">In!E666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</si>
  <si>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推導（日曆年；欄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）</t>
    </r>
  </si>
  <si>
    <t xml:space="preserve">SIF_HBM_DemandEB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</si>
  <si>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需求（加速器裝載，情境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</si>
  <si>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Mkt!C13:G13</t>
  </si>
  <si>
    <t xml:space="preserve">SIF_HBM_DemandGrossEB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</si>
  <si>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</si>
  <si>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Mkt!C14:G14</t>
  </si>
  <si>
    <t xml:space="preserve">SIF_Units_Total</t>
  </si>
  <si>
    <r>
      <rPr>
        <sz val="11"/>
        <color theme="1"/>
        <rFont val="Noto Sans CJK SC"/>
        <family val="2"/>
      </rPr>
      <t xml:space="preserve">加速器顆數合計（情境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</si>
  <si>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Mkt!C15:G15</t>
  </si>
  <si>
    <t xml:space="preserve">SIF_HBM_GBperUnit</t>
  </si>
  <si>
    <t xml:space="preserve">Mkt!C16:G16</t>
  </si>
  <si>
    <t xml:space="preserve">SIF_HBM_SupplyEB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</si>
  <si>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位元供給（三情境相同）</t>
    </r>
  </si>
  <si>
    <t xml:space="preserve">Mkt!C17:G17</t>
  </si>
  <si>
    <t xml:space="preserve">SIF_UnitsCoef_A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</si>
  <si>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</si>
  <si>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Mkt!C18:G18</t>
  </si>
  <si>
    <t xml:space="preserve">SIF_HBM_ShipEB_A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</si>
  <si>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</si>
  <si>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Mkt!C24:G24</t>
  </si>
  <si>
    <t xml:space="preserve">SIF_HBM_GapEB_A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</si>
  <si>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</si>
  <si>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Mkt!C27:G27</t>
  </si>
  <si>
    <t xml:space="preserve">SIF_HBM_Price_A</t>
  </si>
  <si>
    <t xml:space="preserve">Mkt!C30:G30</t>
  </si>
  <si>
    <t xml:space="preserve">SIF_HBM_Mkt_A</t>
  </si>
  <si>
    <t xml:space="preserve">Mkt!C33:G33</t>
  </si>
  <si>
    <t xml:space="preserve">SIF_UnitsCoef_B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</si>
  <si>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</si>
  <si>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Mkt!C19:G19</t>
  </si>
  <si>
    <t xml:space="preserve">SIF_HBM_ShipEB_B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</si>
  <si>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</si>
  <si>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Mkt!C25:G25</t>
  </si>
  <si>
    <t xml:space="preserve">SIF_HBM_GapEB_B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</si>
  <si>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</si>
  <si>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Mkt!C28:G28</t>
  </si>
  <si>
    <t xml:space="preserve">SIF_HBM_Price_B</t>
  </si>
  <si>
    <t xml:space="preserve">Mkt!C31:G31</t>
  </si>
  <si>
    <t xml:space="preserve">SIF_HBM_Mkt_B</t>
  </si>
  <si>
    <t xml:space="preserve">Mkt!C34:G34</t>
  </si>
  <si>
    <t xml:space="preserve">SIF_UnitsCoef_C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</si>
  <si>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</si>
  <si>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Mkt!C20:G20</t>
  </si>
  <si>
    <t xml:space="preserve">SIF_HBM_ShipEB_C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</si>
  <si>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</si>
  <si>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Mkt!C26:G26</t>
  </si>
  <si>
    <t xml:space="preserve">SIF_HBM_GapEB_C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</si>
  <si>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</si>
  <si>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Mkt!C29:G29</t>
  </si>
  <si>
    <t xml:space="preserve">SIF_HBM_Price_C</t>
  </si>
  <si>
    <t xml:space="preserve">Mkt!C32:G32</t>
  </si>
  <si>
    <t xml:space="preserve">SIF_HBM_Mkt_C</t>
  </si>
  <si>
    <t xml:space="preserve">Mkt!C35:G35</t>
  </si>
  <si>
    <r>
      <rPr>
        <b val="true"/>
        <sz val="11"/>
        <rFont val="Cambria"/>
        <family val="0"/>
        <charset val="1"/>
      </rPr>
      <t xml:space="preserve">B2. </t>
    </r>
    <r>
      <rPr>
        <b val="true"/>
        <sz val="11"/>
        <rFont val="Noto Sans CJK SC"/>
        <family val="2"/>
      </rPr>
      <t xml:space="preserve">平台別顆數（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空白）</t>
    </r>
  </si>
  <si>
    <t xml:space="preserve">SIF_UnitsPlat_bw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</si>
  <si>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</si>
  <si>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Units!C4:F4</t>
  </si>
  <si>
    <t xml:space="preserve">SIF_UnitsPlat_rb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</si>
  <si>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</si>
  <si>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Units!C5:F5</t>
  </si>
  <si>
    <t xml:space="preserve">SIF_UnitsPlat_ru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</si>
  <si>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</si>
  <si>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Units!C6:F6</t>
  </si>
  <si>
    <t xml:space="preserve">SIF_UnitsPlat_hp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</si>
  <si>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</si>
  <si>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Units!C7:F7</t>
  </si>
  <si>
    <t xml:space="preserve">SIF_UnitsPlat_amd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</si>
  <si>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</si>
  <si>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Units!C8:F8</t>
  </si>
  <si>
    <t xml:space="preserve">SIF_UnitsPlat_tpu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</si>
  <si>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</si>
  <si>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Units!C9:F9</t>
  </si>
  <si>
    <t xml:space="preserve">SIF_UnitsPlat_trn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</si>
  <si>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</si>
  <si>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Units!C10:F10</t>
  </si>
  <si>
    <t xml:space="preserve">SIF_UnitsPlat_oth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</si>
  <si>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</si>
  <si>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Units!C11:F11</t>
  </si>
  <si>
    <t xml:space="preserve">SIF_UnitsPlat_Total</t>
  </si>
  <si>
    <r>
      <rPr>
        <sz val="11"/>
        <color theme="1"/>
        <rFont val="Noto Sans CJK SC"/>
        <family val="2"/>
      </rPr>
      <t xml:space="preserve">加速器顆數合計（情境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</si>
  <si>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Units!C12:F12</t>
  </si>
  <si>
    <t xml:space="preserve">SIF_UnitsPlat_Total_A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</si>
  <si>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</si>
  <si>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Units!C13:F13</t>
  </si>
  <si>
    <t xml:space="preserve">SIF_UnitsPlat_Total_B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</si>
  <si>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</si>
  <si>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Units!C14:F14</t>
  </si>
  <si>
    <t xml:space="preserve">SIF_UnitsPlat_Total_C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</si>
  <si>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</si>
  <si>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Units!C15:F15</t>
  </si>
  <si>
    <t xml:space="preserve">SIF_UnitsGrowth29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</si>
  <si>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加速器顆數年增（情境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；平台別成長率加權）</t>
    </r>
  </si>
  <si>
    <t xml:space="preserve">Units!G12</t>
  </si>
  <si>
    <r>
      <rPr>
        <b val="true"/>
        <sz val="11"/>
        <rFont val="Cambria"/>
        <family val="0"/>
        <charset val="1"/>
      </rPr>
      <t xml:space="preserve">B3. </t>
    </r>
    <r>
      <rPr>
        <b val="true"/>
        <sz val="11"/>
        <rFont val="Noto Sans CJK SC"/>
        <family val="2"/>
      </rPr>
      <t xml:space="preserve">份額合計（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ASIC 2026–2028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CPO 2027–2029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載板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</si>
  <si>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SIF_ASICShareSum_tpu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</si>
  <si>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設計夥伴份額合計</t>
    </r>
  </si>
  <si>
    <t xml:space="preserve">ShareTbl!D7:F7</t>
  </si>
  <si>
    <t xml:space="preserve">SIF_ASICShareSum_oth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</si>
  <si>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設計夥伴份額合計</t>
    </r>
  </si>
  <si>
    <t xml:space="preserve">ShareTbl!D13:F13</t>
  </si>
  <si>
    <t xml:space="preserve">SIF_ASICShareSum_trnA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</si>
  <si>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</si>
  <si>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ShareTbl!D18:F18</t>
  </si>
  <si>
    <t xml:space="preserve">SIF_ASICShareSum_trnB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</si>
  <si>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</si>
  <si>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ShareTbl!D23:F23</t>
  </si>
  <si>
    <t xml:space="preserve">SIF_ASICShareSum_trnC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</si>
  <si>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</si>
  <si>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ShareTbl!D28:F28</t>
  </si>
  <si>
    <t xml:space="preserve">SIF_CPOShareSum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</si>
  <si>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） 光學金額份額合計</t>
    </r>
  </si>
  <si>
    <t xml:space="preserve">ShareTbl!D36:F36</t>
  </si>
  <si>
    <t xml:space="preserve">SIF_ABFShareSum_nv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</si>
  <si>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載板（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） 載板份額合計</t>
    </r>
  </si>
  <si>
    <t xml:space="preserve">ShareTbl!D45:G45</t>
  </si>
  <si>
    <t xml:space="preserve">SIF_ABFShareSum_ot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</si>
  <si>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載板（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） 載板份額合計</t>
    </r>
  </si>
  <si>
    <t xml:space="preserve">ShareTbl!D52:G52</t>
  </si>
  <si>
    <r>
      <rPr>
        <b val="true"/>
        <sz val="11"/>
        <rFont val="Cambria"/>
        <family val="0"/>
        <charset val="1"/>
      </rPr>
      <t xml:space="preserve">B4. AI IT </t>
    </r>
    <r>
      <rPr>
        <b val="true"/>
        <sz val="11"/>
        <rFont val="Noto Sans CJK SC"/>
        <family val="2"/>
      </rPr>
      <t xml:space="preserve">資本支出與部署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Deploy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</si>
  <si>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SIF_AIITCapex_A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</si>
  <si>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</si>
  <si>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Deploy!C5:F5</t>
  </si>
  <si>
    <t xml:space="preserve">SIF_AIITCapex_B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</si>
  <si>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</si>
  <si>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Deploy!C6:F6</t>
  </si>
  <si>
    <t xml:space="preserve">SIF_AIITCapex_C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</si>
  <si>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</si>
  <si>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Deploy!C7:F7</t>
  </si>
  <si>
    <t xml:space="preserve">SIF_ITCapexPerGW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</si>
  <si>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混合）</t>
    </r>
  </si>
  <si>
    <t xml:space="preserve">Deploy!C8:F8</t>
  </si>
  <si>
    <t xml:space="preserve">SIF_DeployGW_A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</si>
  <si>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</si>
  <si>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Deploy!C9:F9</t>
  </si>
  <si>
    <t xml:space="preserve">SIF_DeployGW_B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</si>
  <si>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</si>
  <si>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Deploy!C10:F10</t>
  </si>
  <si>
    <t xml:space="preserve">SIF_DeployGW_C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</si>
  <si>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</si>
  <si>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Deploy!C11:F11</t>
  </si>
  <si>
    <r>
      <rPr>
        <b val="true"/>
        <sz val="11"/>
        <rFont val="Cambria"/>
        <family val="0"/>
        <charset val="1"/>
      </rPr>
      <t xml:space="preserve">B5. ABF </t>
    </r>
    <r>
      <rPr>
        <b val="true"/>
        <sz val="11"/>
        <rFont val="Noto Sans CJK SC"/>
        <family val="2"/>
      </rPr>
      <t xml:space="preserve">供需（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</si>
  <si>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SIF_ABFDemIdx_A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</si>
  <si>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需求指數（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</si>
  <si>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ABF!C19:F19</t>
  </si>
  <si>
    <t xml:space="preserve">SIF_ABFDemIdx_B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</si>
  <si>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需求指數（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</si>
  <si>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ABF!C20:F20</t>
  </si>
  <si>
    <t xml:space="preserve">SIF_ABFDemIdx_C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</si>
  <si>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需求指數（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</si>
  <si>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ABF!C21:F21</t>
  </si>
  <si>
    <t xml:space="preserve">SIF_ABFSubCapIdx</t>
  </si>
  <si>
    <r>
      <rPr>
        <sz val="11"/>
        <color theme="1"/>
        <rFont val="Noto Sans CJK SC"/>
        <family val="2"/>
      </rPr>
      <t xml:space="preserve">載板產能指數（加權；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</si>
  <si>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ABF!C34:F34</t>
  </si>
  <si>
    <t xml:space="preserve">SIF_ABFFilmIdx</t>
  </si>
  <si>
    <r>
      <rPr>
        <sz val="11"/>
        <color theme="1"/>
        <rFont val="Noto Sans CJK SC"/>
        <family val="2"/>
      </rPr>
      <t xml:space="preserve">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膜上限（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</si>
  <si>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ABF!C35:F35</t>
  </si>
  <si>
    <t xml:space="preserve">SIF_ABFSupIdx</t>
  </si>
  <si>
    <t xml:space="preserve">有效供給指數</t>
  </si>
  <si>
    <t xml:space="preserve">ABF!C36:F36</t>
  </si>
  <si>
    <t xml:space="preserve">SIF_ABFGap_A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</si>
  <si>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</si>
  <si>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ABF!C39:F39</t>
  </si>
  <si>
    <t xml:space="preserve">SIF_ABFGap_B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</si>
  <si>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</si>
  <si>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ABF!C40:F40</t>
  </si>
  <si>
    <t xml:space="preserve">SIF_ABFGap_C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</si>
  <si>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</si>
  <si>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ABF!C41:F41</t>
  </si>
  <si>
    <r>
      <rPr>
        <b val="true"/>
        <sz val="11"/>
        <rFont val="Cambria"/>
        <family val="0"/>
        <charset val="1"/>
      </rPr>
      <t xml:space="preserve">B6.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CCL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PGW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</si>
  <si>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SIF_PCBperGW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</si>
  <si>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</si>
  <si>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PGW!C8:F8</t>
  </si>
  <si>
    <t xml:space="preserve">SIF_CCLperGW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</si>
  <si>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</si>
  <si>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PGW!C17:F17</t>
  </si>
  <si>
    <t xml:space="preserve">SIF_PCBMkt_A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</si>
  <si>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；不含價格指數）</t>
    </r>
  </si>
  <si>
    <t xml:space="preserve">PGW!C9:F9</t>
  </si>
  <si>
    <t xml:space="preserve">SIF_PCBMkt_B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</si>
  <si>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</si>
  <si>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PGW!C10:F10</t>
  </si>
  <si>
    <t xml:space="preserve">SIF_PCBMkt_C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</si>
  <si>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</si>
  <si>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PGW!C11:F11</t>
  </si>
  <si>
    <t xml:space="preserve">SIF_CCLMkt_A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</si>
  <si>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</si>
  <si>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PGW!C18:F18</t>
  </si>
  <si>
    <t xml:space="preserve">SIF_CCLMkt_B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</si>
  <si>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</si>
  <si>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PGW!C19:F19</t>
  </si>
  <si>
    <t xml:space="preserve">SIF_CCLMkt_C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</si>
  <si>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；不含價格指數）</t>
    </r>
  </si>
  <si>
    <t xml:space="preserve">PGW!C20:F20</t>
  </si>
  <si>
    <r>
      <rPr>
        <b val="true"/>
        <sz val="11"/>
        <rFont val="Cambria"/>
        <family val="0"/>
        <charset val="1"/>
      </rPr>
      <t xml:space="preserve">B7. </t>
    </r>
    <r>
      <rPr>
        <b val="true"/>
        <sz val="11"/>
        <rFont val="Noto Sans CJK SC"/>
        <family val="2"/>
      </rPr>
      <t xml:space="preserve">機架層市場（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</si>
  <si>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SIF_ODMValPerGW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</si>
  <si>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</t>
    </r>
  </si>
  <si>
    <t xml:space="preserve">US$B/GW</t>
  </si>
  <si>
    <t xml:space="preserve">Rack!C5:F5</t>
  </si>
  <si>
    <t xml:space="preserve">SIF_AsmMkt_A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</si>
  <si>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</si>
  <si>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Rack!C6:F6</t>
  </si>
  <si>
    <t xml:space="preserve">SIF_AsmMkt_B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</si>
  <si>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</si>
  <si>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Rack!C7:F7</t>
  </si>
  <si>
    <t xml:space="preserve">SIF_AsmMkt_C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</si>
  <si>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</si>
  <si>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Rack!C8:F8</t>
  </si>
  <si>
    <t xml:space="preserve">SIF_SysValGB</t>
  </si>
  <si>
    <r>
      <rPr>
        <sz val="11"/>
        <color theme="1"/>
        <rFont val="Noto Sans CJK SC"/>
        <family val="2"/>
      </rPr>
      <t xml:space="preserve">每顆系統價值（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世代）</t>
    </r>
  </si>
  <si>
    <t xml:space="preserve">Rack!C11:F11</t>
  </si>
  <si>
    <t xml:space="preserve">SIF_SysValVR</t>
  </si>
  <si>
    <r>
      <rPr>
        <sz val="11"/>
        <color theme="1"/>
        <rFont val="Noto Sans CJK SC"/>
        <family val="2"/>
      </rPr>
      <t xml:space="preserve">每顆系統價值（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</si>
  <si>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t xml:space="preserve">Rack!C12:F12</t>
  </si>
  <si>
    <t xml:space="preserve">SIF_SysUnitsGB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</si>
  <si>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</si>
  <si>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Rack!C13:F13</t>
  </si>
  <si>
    <t xml:space="preserve">SIF_SysUnitsVR</t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</si>
  <si>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</si>
  <si>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Rack!C14:F14</t>
  </si>
  <si>
    <t xml:space="preserve">SIF_GPUSysMkt_A</t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</si>
  <si>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</si>
  <si>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Rack!C15:F15</t>
  </si>
  <si>
    <t xml:space="preserve">SIF_GPUSysMkt_B</t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</si>
  <si>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</si>
  <si>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Rack!C16:F16</t>
  </si>
  <si>
    <t xml:space="preserve">SIF_GPUSysMkt_C</t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</si>
  <si>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</si>
  <si>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Rack!C17:F17</t>
  </si>
  <si>
    <t xml:space="preserve">SIF_PwrMkt_A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</si>
  <si>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</si>
  <si>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Rack!C21:F21</t>
  </si>
  <si>
    <t xml:space="preserve">SIF_PwrMkt_B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</si>
  <si>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</si>
  <si>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Rack!C22:F22</t>
  </si>
  <si>
    <t xml:space="preserve">SIF_PwrMkt_C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</si>
  <si>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</si>
  <si>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Rack!C23:F23</t>
  </si>
  <si>
    <t xml:space="preserve">SIF_LiqPerGW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</si>
  <si>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液冷內容（機架內＋分歧管）</t>
    </r>
  </si>
  <si>
    <t xml:space="preserve">Rack!C28:F28</t>
  </si>
  <si>
    <t xml:space="preserve">SIF_LiqPen_A</t>
  </si>
  <si>
    <r>
      <rPr>
        <sz val="11"/>
        <color theme="1"/>
        <rFont val="Noto Sans CJK SC"/>
        <family val="2"/>
      </rPr>
      <t xml:space="preserve">液冷滲透率（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</si>
  <si>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Rack!C29:F29</t>
  </si>
  <si>
    <t xml:space="preserve">SIF_LiqPen_B</t>
  </si>
  <si>
    <r>
      <rPr>
        <sz val="11"/>
        <color theme="1"/>
        <rFont val="Noto Sans CJK SC"/>
        <family val="2"/>
      </rPr>
      <t xml:space="preserve">液冷滲透率（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</si>
  <si>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Rack!C30:F30</t>
  </si>
  <si>
    <t xml:space="preserve">SIF_LiqPen_C</t>
  </si>
  <si>
    <r>
      <rPr>
        <sz val="11"/>
        <color theme="1"/>
        <rFont val="Noto Sans CJK SC"/>
        <family val="2"/>
      </rPr>
      <t xml:space="preserve">液冷滲透率（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</si>
  <si>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Rack!C31:F31</t>
  </si>
  <si>
    <t xml:space="preserve">SIF_LiqMkt_A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</si>
  <si>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</si>
  <si>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Rack!C32:F32</t>
  </si>
  <si>
    <t xml:space="preserve">SIF_LiqMkt_B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</si>
  <si>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</si>
  <si>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Rack!C33:F33</t>
  </si>
  <si>
    <t xml:space="preserve">SIF_LiqMkt_C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</si>
  <si>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</si>
  <si>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Rack!C34:F34</t>
  </si>
  <si>
    <r>
      <rPr>
        <b val="true"/>
        <sz val="11"/>
        <rFont val="Cambria"/>
        <family val="0"/>
        <charset val="1"/>
      </rPr>
      <t xml:space="preserve">B10. </t>
    </r>
    <r>
      <rPr>
        <b val="true"/>
        <sz val="11"/>
        <rFont val="Noto Sans CJK SC"/>
        <family val="2"/>
      </rPr>
      <t xml:space="preserve">設備（</t>
    </r>
    <r>
      <rPr>
        <b val="true"/>
        <sz val="11"/>
        <rFont val="Cambria"/>
        <family val="0"/>
        <charset val="1"/>
      </rPr>
      <t xml:space="preserve">Equip </t>
    </r>
    <r>
      <rPr>
        <b val="true"/>
        <sz val="11"/>
        <rFont val="Noto Sans CJK SC"/>
        <family val="2"/>
      </rPr>
      <t xml:space="preserve">頁；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分項欄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SoC </t>
    </r>
    <r>
      <rPr>
        <b val="true"/>
        <sz val="11"/>
        <rFont val="Noto Sans CJK SC"/>
        <family val="2"/>
      </rPr>
      <t xml:space="preserve">測試機市場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</si>
  <si>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SIF_SEMI_DRAM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</si>
  <si>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DRAM</t>
    </r>
  </si>
  <si>
    <t xml:space="preserve">Equip!C5:G5</t>
  </si>
  <si>
    <t xml:space="preserve">SIF_SEMI_NAND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</si>
  <si>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NAND</t>
    </r>
  </si>
  <si>
    <t xml:space="preserve">Equip!C6:G6</t>
  </si>
  <si>
    <t xml:space="preserve">SIF_SEMI_FoundryLogic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</si>
  <si>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FoundryLogic</t>
    </r>
  </si>
  <si>
    <t xml:space="preserve">Equip!C7:G7</t>
  </si>
  <si>
    <t xml:space="preserve">SIF_SEMI_WFE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</si>
  <si>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WFE</t>
    </r>
  </si>
  <si>
    <t xml:space="preserve">Equip!C8:G8</t>
  </si>
  <si>
    <t xml:space="preserve">SIF_SEMI_Test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</si>
  <si>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Test</t>
    </r>
  </si>
  <si>
    <t xml:space="preserve">Equip!C9:G9</t>
  </si>
  <si>
    <t xml:space="preserve">SIF_SEMI_Pkg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</si>
  <si>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Pkg</t>
    </r>
  </si>
  <si>
    <t xml:space="preserve">Equip!C10:G10</t>
  </si>
  <si>
    <t xml:space="preserve">SIF_SEMI_Total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</si>
  <si>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Total</t>
    </r>
  </si>
  <si>
    <t xml:space="preserve">Equip!C11:G11</t>
  </si>
  <si>
    <t xml:space="preserve">SIF_TestSoCMkt_A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</si>
  <si>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為公司值）</t>
    </r>
  </si>
  <si>
    <t xml:space="preserve">Equip!C19:G19</t>
  </si>
  <si>
    <t xml:space="preserve">SIF_TestSoCMkt_B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</si>
  <si>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為公司值）</t>
    </r>
  </si>
  <si>
    <t xml:space="preserve">Equip!C20:G20</t>
  </si>
  <si>
    <t xml:space="preserve">SIF_TestSoCMkt_C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</si>
  <si>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為公司值）</t>
    </r>
  </si>
  <si>
    <t xml:space="preserve">Equip!C21:G21</t>
  </si>
  <si>
    <t xml:space="preserve">SIF_TestWFE_SEMI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</si>
  <si>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 </t>
    </r>
    <r>
      <rPr>
        <sz val="11"/>
        <color theme="1"/>
        <rFont val="Calibri"/>
        <family val="2"/>
        <charset val="1"/>
      </rPr>
      <t xml:space="preserve">÷ SEMI WFE</t>
    </r>
  </si>
  <si>
    <t xml:space="preserve">Equip!C24:G24</t>
  </si>
  <si>
    <t xml:space="preserve">SIF_TestWFE_SoC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</si>
  <si>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</t>
    </r>
  </si>
  <si>
    <t xml:space="preserve">Equip!C25:G25</t>
  </si>
  <si>
    <t xml:space="preserve">SIF_HBMHybrid_A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</si>
  <si>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工序比例（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</si>
  <si>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Equip!C29:G29</t>
  </si>
  <si>
    <t xml:space="preserve">SIF_HBMHybrid_B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</si>
  <si>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工序比例（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</si>
  <si>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Equip!C30:G30</t>
  </si>
  <si>
    <t xml:space="preserve">SIF_HBMHybrid_C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</si>
  <si>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工序比例（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</si>
  <si>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Equip!C31:G31</t>
  </si>
  <si>
    <r>
      <rPr>
        <b val="true"/>
        <sz val="11"/>
        <rFont val="Cambria"/>
        <family val="0"/>
        <charset val="1"/>
      </rPr>
      <t xml:space="preserve">B9. AI </t>
    </r>
    <r>
      <rPr>
        <b val="true"/>
        <sz val="11"/>
        <rFont val="Noto Sans CJK SC"/>
        <family val="2"/>
      </rPr>
      <t xml:space="preserve">液冷份額合計（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</si>
  <si>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SIF_LiqShareSum_A</t>
  </si>
  <si>
    <r>
      <rPr>
        <sz val="11"/>
        <color theme="1"/>
        <rFont val="Noto Sans CJK SC"/>
        <family val="2"/>
      </rPr>
      <t xml:space="preserve">奇鋐＋雙鴻＋健策液冷有效份額合計（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</si>
  <si>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ShareTbl!D75:G75</t>
  </si>
  <si>
    <t xml:space="preserve">SIF_LiqShareSum_B</t>
  </si>
  <si>
    <r>
      <rPr>
        <sz val="11"/>
        <color theme="1"/>
        <rFont val="Noto Sans CJK SC"/>
        <family val="2"/>
      </rPr>
      <t xml:space="preserve">奇鋐＋雙鴻＋健策液冷有效份額合計（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</si>
  <si>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ShareTbl!D81:G81</t>
  </si>
  <si>
    <t xml:space="preserve">SIF_LiqShareSum_C</t>
  </si>
  <si>
    <r>
      <rPr>
        <sz val="11"/>
        <color theme="1"/>
        <rFont val="Noto Sans CJK SC"/>
        <family val="2"/>
      </rPr>
      <t xml:space="preserve">奇鋐＋雙鴻＋健策液冷有效份額合計（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</si>
  <si>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ShareTbl!D87:G87</t>
  </si>
  <si>
    <r>
      <rPr>
        <b val="true"/>
        <sz val="11"/>
        <rFont val="Cambria"/>
        <family val="0"/>
        <charset val="1"/>
      </rPr>
      <t xml:space="preserve">B11. AI </t>
    </r>
    <r>
      <rPr>
        <b val="true"/>
        <sz val="11"/>
        <rFont val="Noto Sans CJK SC"/>
        <family val="2"/>
      </rPr>
      <t xml:space="preserve">伺服器組裝份額（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</si>
  <si>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SIF_AsmShareSum</t>
  </si>
  <si>
    <t xml:space="preserve">廣達＋鴻海＋緯創本體＋緯穎組裝有效份額合計</t>
  </si>
  <si>
    <t xml:space="preserve">ShareTbl!D107:G107</t>
  </si>
  <si>
    <t xml:space="preserve">SIF_AsmWyTilt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</si>
  <si>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傾斜係數</t>
    </r>
  </si>
  <si>
    <t xml:space="preserve">ShareTbl!D102:G102</t>
  </si>
  <si>
    <t xml:space="preserve">SIF_AsmShare_wy</t>
  </si>
  <si>
    <r>
      <rPr>
        <sz val="11"/>
        <color theme="1"/>
        <rFont val="Noto Sans CJK SC"/>
        <family val="2"/>
      </rPr>
      <t xml:space="preserve">緯穎組裝有效份額（</t>
    </r>
    <r>
      <rPr>
        <sz val="11"/>
        <color theme="1"/>
        <rFont val="Calibri"/>
        <family val="2"/>
        <charset val="1"/>
      </rPr>
      <t xml:space="preserve">× ASIC </t>
    </r>
    <r>
      <rPr>
        <sz val="11"/>
        <color theme="1"/>
        <rFont val="Noto Sans CJK SC"/>
        <family val="2"/>
      </rPr>
      <t xml:space="preserve">傾斜）</t>
    </r>
  </si>
  <si>
    <t xml:space="preserve">ShareTbl!D106:G106</t>
  </si>
  <si>
    <r>
      <rPr>
        <b val="true"/>
        <sz val="11"/>
        <rFont val="Cambria"/>
        <family val="0"/>
        <charset val="1"/>
      </rPr>
      <t xml:space="preserve">B10. HBM </t>
    </r>
    <r>
      <rPr>
        <b val="true"/>
        <sz val="11"/>
        <rFont val="Noto Sans CJK SC"/>
        <family val="2"/>
      </rPr>
      <t xml:space="preserve">營收份額合計（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）</t>
    </r>
  </si>
  <si>
    <t xml:space="preserve">SIF_HBMShareSum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</si>
  <si>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海力士＋三星＋美光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營收份額合計</t>
    </r>
  </si>
  <si>
    <t xml:space="preserve">ShareTbl!D98:H98</t>
  </si>
  <si>
    <r>
      <rPr>
        <b val="true"/>
        <sz val="11"/>
        <rFont val="Cambria"/>
        <family val="0"/>
        <charset val="1"/>
      </rPr>
      <t xml:space="preserve">B8. AI </t>
    </r>
    <r>
      <rPr>
        <b val="true"/>
        <sz val="11"/>
        <rFont val="Noto Sans CJK SC"/>
        <family val="2"/>
      </rPr>
      <t xml:space="preserve">電源份額合計（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</si>
  <si>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SIF_PwrShareSum_A</t>
  </si>
  <si>
    <r>
      <rPr>
        <sz val="11"/>
        <color theme="1"/>
        <rFont val="Noto Sans CJK SC"/>
        <family val="2"/>
      </rPr>
      <t xml:space="preserve">台達電＋光寶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</si>
  <si>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ShareTbl!D58:G58</t>
  </si>
  <si>
    <t xml:space="preserve">SIF_PwrShareSum_B</t>
  </si>
  <si>
    <r>
      <rPr>
        <sz val="11"/>
        <color theme="1"/>
        <rFont val="Noto Sans CJK SC"/>
        <family val="2"/>
      </rPr>
      <t xml:space="preserve">台達電＋光寶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</si>
  <si>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ShareTbl!D63:G63</t>
  </si>
  <si>
    <t xml:space="preserve">SIF_PwrShareSum_C</t>
  </si>
  <si>
    <r>
      <rPr>
        <sz val="11"/>
        <color theme="1"/>
        <rFont val="Noto Sans CJK SC"/>
        <family val="2"/>
      </rPr>
      <t xml:space="preserve">台達電＋光寶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</si>
  <si>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ShareTbl!D68:G68</t>
  </si>
  <si>
    <r>
      <rPr>
        <b val="true"/>
        <sz val="11"/>
        <rFont val="Cambria"/>
        <family val="0"/>
        <charset val="1"/>
      </rPr>
      <t xml:space="preserve">C. Tokenomics </t>
    </r>
    <r>
      <rPr>
        <b val="true"/>
        <sz val="11"/>
        <rFont val="Noto Sans CJK SC"/>
        <family val="2"/>
      </rPr>
      <t xml:space="preserve">鏡像（只讀；權威在算力收支；本庫與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一致由 </t>
    </r>
    <r>
      <rPr>
        <b val="true"/>
        <sz val="11"/>
        <rFont val="Cambria"/>
        <family val="0"/>
        <charset val="1"/>
      </rPr>
      <t xml:space="preserve">Checks K3 </t>
    </r>
    <r>
      <rPr>
        <b val="true"/>
        <sz val="11"/>
        <rFont val="Noto Sans CJK SC"/>
        <family val="2"/>
      </rPr>
      <t xml:space="preserve">檢查）</t>
    </r>
  </si>
  <si>
    <t xml:space="preserve">SIF_TK_RacksPerGW_H100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</si>
  <si>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</si>
  <si>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TK_In!E5</t>
  </si>
  <si>
    <t xml:space="preserve">SIF_TK_RacksPerGW_GB200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</si>
  <si>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</si>
  <si>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TK_In!E6</t>
  </si>
  <si>
    <t xml:space="preserve">SIF_TK_RacksPerGW_GB300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</si>
  <si>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</si>
  <si>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TK_In!E7</t>
  </si>
  <si>
    <t xml:space="preserve">SIF_TK_RacksPerGW_VR200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</si>
  <si>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</si>
  <si>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TK_In!E8</t>
  </si>
  <si>
    <t xml:space="preserve">SIF_TK_RacksPerGW_RU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</si>
  <si>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</si>
  <si>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TK_In!E9</t>
  </si>
  <si>
    <t xml:space="preserve">SIF_TK_GPUsPerGW_H100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</si>
  <si>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</si>
  <si>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TK_In!E10</t>
  </si>
  <si>
    <t xml:space="preserve">SIF_TK_GPUsPerGW_GB200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</si>
  <si>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</si>
  <si>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TK_In!E11</t>
  </si>
  <si>
    <t xml:space="preserve">SIF_TK_GPUsPerGW_GB300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</si>
  <si>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</si>
  <si>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TK_In!E12</t>
  </si>
  <si>
    <t xml:space="preserve">SIF_TK_GPUsPerGW_VR200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</si>
  <si>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</si>
  <si>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TK_In!E13</t>
  </si>
  <si>
    <t xml:space="preserve">SIF_TK_GPUsPerGW_RU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</si>
  <si>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</si>
  <si>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TK_In!E14</t>
  </si>
  <si>
    <t xml:space="preserve">SIF_TK_CapexIT_H100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</si>
  <si>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</si>
  <si>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TK_In!E15</t>
  </si>
  <si>
    <t xml:space="preserve">SIF_TK_CapexIT_GB200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</si>
  <si>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</si>
  <si>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TK_In!E16</t>
  </si>
  <si>
    <t xml:space="preserve">SIF_TK_CapexIT_GB300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</si>
  <si>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</si>
  <si>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TK_In!E17</t>
  </si>
  <si>
    <t xml:space="preserve">SIF_TK_CapexIT_VR200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</si>
  <si>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</si>
  <si>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TK_In!E18</t>
  </si>
  <si>
    <t xml:space="preserve">SIF_TK_CapexIT_RU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</si>
  <si>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</si>
  <si>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TK_In!E19</t>
  </si>
  <si>
    <t xml:space="preserve">SIF_TK_CapexFacility_H100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</si>
  <si>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</si>
  <si>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TK_In!E20</t>
  </si>
  <si>
    <t xml:space="preserve">SIF_TK_CapexFacility_GB200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</si>
  <si>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</si>
  <si>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TK_In!E21</t>
  </si>
  <si>
    <t xml:space="preserve">SIF_TK_CapexFacility_GB300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</si>
  <si>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</si>
  <si>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TK_In!E22</t>
  </si>
  <si>
    <t xml:space="preserve">SIF_TK_CapexFacility_VR200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</si>
  <si>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</si>
  <si>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TK_In!E23</t>
  </si>
  <si>
    <t xml:space="preserve">SIF_TK_CapexFacility_RU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</si>
  <si>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</si>
  <si>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TK_In!E24</t>
  </si>
  <si>
    <t xml:space="preserve">SIF_TK_CapexTotal_H100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</si>
  <si>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</si>
  <si>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TK_In!E25</t>
  </si>
  <si>
    <t xml:space="preserve">SIF_TK_CapexTotal_GB200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</si>
  <si>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</si>
  <si>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TK_In!E26</t>
  </si>
  <si>
    <t xml:space="preserve">SIF_TK_CapexTotal_GB300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</si>
  <si>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</si>
  <si>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TK_In!E27</t>
  </si>
  <si>
    <t xml:space="preserve">SIF_TK_CapexTotal_VR200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</si>
  <si>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</si>
  <si>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TK_In!E28</t>
  </si>
  <si>
    <t xml:space="preserve">SIF_TK_CapexTotal_RU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</si>
  <si>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</si>
  <si>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TK_In!E29</t>
  </si>
  <si>
    <t xml:space="preserve">SIF_TK_RackPrice_H100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</si>
  <si>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</si>
  <si>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TK_In!E30</t>
  </si>
  <si>
    <t xml:space="preserve">SIF_TK_RackPrice_GB200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</si>
  <si>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</si>
  <si>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TK_In!E31</t>
  </si>
  <si>
    <t xml:space="preserve">SIF_TK_RackPrice_GB300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</si>
  <si>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</si>
  <si>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TK_In!E32</t>
  </si>
  <si>
    <t xml:space="preserve">SIF_TK_RackPrice_VR200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</si>
  <si>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</si>
  <si>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TK_In!E33</t>
  </si>
  <si>
    <t xml:space="preserve">SIF_TK_RackPrice_RU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</si>
  <si>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</si>
  <si>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TK_In!E34</t>
  </si>
  <si>
    <t xml:space="preserve">SIF_TK_ScaleOutShare_H100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</si>
  <si>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</si>
  <si>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TK_In!E35</t>
  </si>
  <si>
    <t xml:space="preserve">SIF_TK_ScaleOutShare_GB200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</si>
  <si>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</si>
  <si>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TK_In!E36</t>
  </si>
  <si>
    <t xml:space="preserve">SIF_TK_ScaleOutShare_GB300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</si>
  <si>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</si>
  <si>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TK_In!E37</t>
  </si>
  <si>
    <t xml:space="preserve">SIF_TK_ScaleOutShare_VR200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</si>
  <si>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</si>
  <si>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TK_In!E38</t>
  </si>
  <si>
    <t xml:space="preserve">SIF_TK_ScaleOutShare_RU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</si>
  <si>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</si>
  <si>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TK_In!E39</t>
  </si>
  <si>
    <t xml:space="preserve">SIF_TK_StoragePerGPU_H100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</si>
  <si>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</si>
  <si>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TK_In!E40</t>
  </si>
  <si>
    <t xml:space="preserve">SIF_TK_StoragePerGPU_GB200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</si>
  <si>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</si>
  <si>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TK_In!E41</t>
  </si>
  <si>
    <t xml:space="preserve">SIF_TK_StoragePerGPU_GB300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</si>
  <si>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</si>
  <si>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TK_In!E42</t>
  </si>
  <si>
    <t xml:space="preserve">SIF_TK_StoragePerGPU_VR200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</si>
  <si>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</si>
  <si>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TK_In!E43</t>
  </si>
  <si>
    <t xml:space="preserve">SIF_TK_StoragePerGPU_RU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</si>
  <si>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</si>
  <si>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TK_In!E44</t>
  </si>
  <si>
    <t xml:space="preserve">SIF_TK_NonNV_Out_AMD</t>
  </si>
  <si>
    <t xml:space="preserve">TK_In!E45</t>
  </si>
  <si>
    <t xml:space="preserve">SIF_TK_NonNV_Out_TPU</t>
  </si>
  <si>
    <t xml:space="preserve">TK_In!E46</t>
  </si>
  <si>
    <t xml:space="preserve">SIF_TK_NonNV_Out_Trn</t>
  </si>
  <si>
    <t xml:space="preserve">TK_In!E47</t>
  </si>
  <si>
    <t xml:space="preserve">SIF_TK_NonNV_Out_CS</t>
  </si>
  <si>
    <t xml:space="preserve">TK_In!E48</t>
  </si>
  <si>
    <t xml:space="preserve">SIF_TK_NonNV_Out_OAI</t>
  </si>
  <si>
    <t xml:space="preserve">TK_In!E49</t>
  </si>
  <si>
    <t xml:space="preserve">SIF_TK_NonNV_Out_Ascend</t>
  </si>
  <si>
    <t xml:space="preserve">TK_In!E50</t>
  </si>
  <si>
    <t xml:space="preserve">SIF_TK_NonNV_Out_Maia</t>
  </si>
  <si>
    <t xml:space="preserve">TK_In!E51</t>
  </si>
  <si>
    <t xml:space="preserve">SIF_TK_NonNV_Hold_AMD</t>
  </si>
  <si>
    <t xml:space="preserve">TK_In!E52</t>
  </si>
  <si>
    <t xml:space="preserve">SIF_TK_NonNV_Hold_TPU</t>
  </si>
  <si>
    <t xml:space="preserve">TK_In!E53</t>
  </si>
  <si>
    <t xml:space="preserve">SIF_TK_NonNV_Hold_Trn</t>
  </si>
  <si>
    <t xml:space="preserve">TK_In!E54</t>
  </si>
  <si>
    <t xml:space="preserve">SIF_TK_NonNV_Hold_CS</t>
  </si>
  <si>
    <t xml:space="preserve">TK_In!E55</t>
  </si>
  <si>
    <t xml:space="preserve">SIF_TK_NonNV_Hold_OAI</t>
  </si>
  <si>
    <t xml:space="preserve">TK_In!E56</t>
  </si>
  <si>
    <t xml:space="preserve">SIF_TK_NonNV_Hold_Ascend</t>
  </si>
  <si>
    <t xml:space="preserve">TK_In!E57</t>
  </si>
  <si>
    <t xml:space="preserve">SIF_TK_NonNV_Hold_Maia</t>
  </si>
  <si>
    <t xml:space="preserve">TK_In!E58</t>
  </si>
  <si>
    <r>
      <rPr>
        <sz val="11"/>
        <color theme="1"/>
        <rFont val="Calibri"/>
        <family val="2"/>
        <charset val="1"/>
      </rPr>
      <t xml:space="preserve">Checks — </t>
    </r>
    <r>
      <rPr>
        <sz val="11"/>
        <color theme="1"/>
        <rFont val="Noto Sans CJK SC"/>
        <family val="2"/>
      </rPr>
      <t xml:space="preserve">交叉檢查與治理（</t>
    </r>
    <r>
      <rPr>
        <sz val="11"/>
        <color theme="1"/>
        <rFont val="Calibri"/>
        <family val="2"/>
        <charset val="1"/>
      </rPr>
      <t xml:space="preserve">ERROR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SGOV_Errors</t>
    </r>
    <r>
      <rPr>
        <sz val="11"/>
        <color theme="1"/>
        <rFont val="Noto Sans CJK SC"/>
        <family val="2"/>
      </rPr>
      <t xml:space="preserve">，須為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WARN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SGOV_Warn</t>
    </r>
    <r>
      <rPr>
        <sz val="11"/>
        <color theme="1"/>
        <rFont val="Noto Sans CJK SC"/>
        <family val="2"/>
      </rPr>
      <t xml:space="preserve">，列為待補）</t>
    </r>
  </si>
  <si>
    <t xml:space="preserve">本庫值</t>
  </si>
  <si>
    <t xml:space="preserve">參照值</t>
  </si>
  <si>
    <t xml:space="preserve">差</t>
  </si>
  <si>
    <t xml:space="preserve">判讀</t>
  </si>
  <si>
    <t xml:space="preserve">K1-A2025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</si>
  <si>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</si>
  <si>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驗證（搬移忠實度）</t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</si>
  <si>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</si>
  <si>
    <t xml:space="preserve">K1-A2026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</si>
  <si>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</si>
  <si>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</si>
  <si>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</si>
  <si>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</si>
  <si>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</si>
  <si>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</si>
  <si>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</si>
  <si>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</si>
  <si>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</si>
  <si>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</si>
  <si>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</si>
  <si>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</si>
  <si>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</si>
  <si>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</si>
  <si>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</si>
  <si>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</si>
  <si>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</si>
  <si>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</si>
  <si>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</si>
  <si>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</si>
  <si>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</si>
  <si>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</si>
  <si>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</si>
  <si>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</si>
  <si>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</si>
  <si>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</si>
  <si>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</si>
  <si>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K2-A28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</si>
  <si>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</si>
  <si>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驗證</t>
  </si>
  <si>
    <t xml:space="preserve">K2-A29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</si>
  <si>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</si>
  <si>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K2-B28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</si>
  <si>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</si>
  <si>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K2-B29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</si>
  <si>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</si>
  <si>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K2-C28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</si>
  <si>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</si>
  <si>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K2-C29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</si>
  <si>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</si>
  <si>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K2-ord28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</si>
  <si>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 ≥ B ≥ C</t>
    </r>
  </si>
  <si>
    <t xml:space="preserve">K2-ord29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</si>
  <si>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 ≥ B ≥ C</t>
    </r>
  </si>
  <si>
    <t xml:space="preserve">K3</t>
  </si>
  <si>
    <r>
      <rPr>
        <sz val="11"/>
        <color theme="1"/>
        <rFont val="Noto Sans CJK SC"/>
        <family val="2"/>
      </rPr>
      <t xml:space="preserve">下游（</t>
    </r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等）讀的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快照與現行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不同的格數</t>
    </r>
  </si>
  <si>
    <r>
      <rPr>
        <sz val="11"/>
        <color theme="1"/>
        <rFont val="Noto Sans CJK SC"/>
        <family val="2"/>
      </rPr>
      <t xml:space="preserve">治理（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一致）</t>
    </r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</si>
  <si>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＝下游仍用舊版 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；本庫已用現行版；差異明細見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</t>
    </r>
  </si>
  <si>
    <t xml:space="preserve">K4-2026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</si>
  <si>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</si>
  <si>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恆等式（結構）</t>
  </si>
  <si>
    <t xml:space="preserve">K4-2027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</si>
  <si>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</si>
  <si>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K4-2028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</si>
  <si>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</si>
  <si>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K5-bw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</si>
  <si>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</si>
  <si>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K5-rb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</si>
  <si>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Rubin</t>
    </r>
  </si>
  <si>
    <t xml:space="preserve">K5-ru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</si>
  <si>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Rubin Ultra</t>
    </r>
  </si>
  <si>
    <t xml:space="preserve">K5-hp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</si>
  <si>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</si>
  <si>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K5-amd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</si>
  <si>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AMD Instinct</t>
    </r>
  </si>
  <si>
    <t xml:space="preserve">K5-tpu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</si>
  <si>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Google TPU</t>
    </r>
  </si>
  <si>
    <t xml:space="preserve">K5-trn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</si>
  <si>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AWS Trainium</t>
    </r>
  </si>
  <si>
    <t xml:space="preserve">K5-oth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</si>
  <si>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</si>
  <si>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K6-tpu2026</t>
  </si>
  <si>
    <r>
      <rPr>
        <sz val="11"/>
        <color theme="1"/>
        <rFont val="Calibri"/>
        <family val="2"/>
        <charset val="1"/>
      </rPr>
      <t xml:space="preserve">Google TPU 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</si>
  <si>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驗證（加總受限）</t>
  </si>
  <si>
    <t xml:space="preserve">K6-tpu2027</t>
  </si>
  <si>
    <r>
      <rPr>
        <sz val="11"/>
        <color theme="1"/>
        <rFont val="Calibri"/>
        <family val="2"/>
        <charset val="1"/>
      </rPr>
      <t xml:space="preserve">Google TPU 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</si>
  <si>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K6-tpu2028</t>
  </si>
  <si>
    <r>
      <rPr>
        <sz val="11"/>
        <color theme="1"/>
        <rFont val="Calibri"/>
        <family val="2"/>
        <charset val="1"/>
      </rPr>
      <t xml:space="preserve">Google TPU 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</si>
  <si>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</si>
  <si>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</si>
  <si>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</si>
  <si>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</si>
  <si>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</si>
  <si>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</si>
  <si>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</si>
  <si>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</si>
  <si>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</si>
  <si>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</si>
  <si>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</si>
  <si>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</si>
  <si>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</si>
  <si>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</si>
  <si>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</si>
  <si>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</si>
  <si>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</si>
  <si>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</si>
  <si>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</si>
  <si>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</si>
  <si>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</si>
  <si>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</si>
  <si>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</si>
  <si>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</si>
  <si>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K6-cpo2027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</si>
  <si>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光學（模組與雷射廠）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光學金額份額合計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</si>
  <si>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K6-cpo2028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</si>
  <si>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光學（模組與雷射廠）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光學金額份額合計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</si>
  <si>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K6-cpo2029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</si>
  <si>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光學（模組與雷射廠）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光學金額份額合計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</si>
  <si>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</si>
  <si>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</si>
  <si>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K6-abfnv2027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</si>
  <si>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</si>
  <si>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K6-abfnv2028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</si>
  <si>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</si>
  <si>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K6-abfnv2029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</si>
  <si>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</si>
  <si>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</si>
  <si>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</si>
  <si>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</si>
  <si>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</si>
  <si>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</si>
  <si>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</si>
  <si>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</si>
  <si>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</si>
  <si>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K6-pwrA2026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</si>
  <si>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</si>
  <si>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K6-pwrA2027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</si>
  <si>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</si>
  <si>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K6-pwrA2028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</si>
  <si>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</si>
  <si>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K6-pwrA2029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</si>
  <si>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</si>
  <si>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K6-pwrB2026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</si>
  <si>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</si>
  <si>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K6-pwrB2027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</si>
  <si>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</si>
  <si>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K6-pwrB2028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</si>
  <si>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</si>
  <si>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K6-pwrB2029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</si>
  <si>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</si>
  <si>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K6-pwrC2026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</si>
  <si>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</si>
  <si>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K6-pwrC2027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</si>
  <si>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</si>
  <si>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K6-pwrC2028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</si>
  <si>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</si>
  <si>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K6-pwrC2029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</si>
  <si>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</si>
  <si>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K6-lcA2026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</si>
  <si>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</si>
  <si>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K6-lcA2027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</si>
  <si>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</si>
  <si>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K6-lcA2028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</si>
  <si>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</si>
  <si>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K6-lcA2029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</si>
  <si>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</si>
  <si>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K6-lcB2026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</si>
  <si>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</si>
  <si>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K6-lcB2027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</si>
  <si>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</si>
  <si>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K6-lcB2028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</si>
  <si>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</si>
  <si>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K6-lcB2029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</si>
  <si>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</si>
  <si>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K6-lcC2026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</si>
  <si>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</si>
  <si>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K6-lcC2027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</si>
  <si>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</si>
  <si>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K6-lcC2028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</si>
  <si>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</si>
  <si>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K6-lcC2029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</si>
  <si>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</si>
  <si>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K6-asm2026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</si>
  <si>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廣達＋鴻海＋緯創本體＋緯穎有效份額合計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</si>
  <si>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K6-asm2027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</si>
  <si>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廣達＋鴻海＋緯創本體＋緯穎有效份額合計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</si>
  <si>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K6-asm2028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</si>
  <si>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廣達＋鴻海＋緯創本體＋緯穎有效份額合計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</si>
  <si>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K6-asm2029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</si>
  <si>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廣達＋鴻海＋緯創本體＋緯穎有效份額合計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</si>
  <si>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K6-hbm2025</t>
  </si>
  <si>
    <r>
      <rPr>
        <sz val="11"/>
        <color theme="1"/>
        <rFont val="Calibri"/>
        <family val="2"/>
        <charset val="1"/>
      </rPr>
      <t xml:space="preserve">HBM 2025 SK </t>
    </r>
    <r>
      <rPr>
        <sz val="11"/>
        <color theme="1"/>
        <rFont val="Noto Sans CJK SC"/>
        <family val="2"/>
      </rPr>
      <t xml:space="preserve">海力士＋三星＋美光營收份額合計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</si>
  <si>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K6-hbm2026</t>
  </si>
  <si>
    <r>
      <rPr>
        <sz val="11"/>
        <color theme="1"/>
        <rFont val="Calibri"/>
        <family val="2"/>
        <charset val="1"/>
      </rPr>
      <t xml:space="preserve">HBM 2026 SK </t>
    </r>
    <r>
      <rPr>
        <sz val="11"/>
        <color theme="1"/>
        <rFont val="Noto Sans CJK SC"/>
        <family val="2"/>
      </rPr>
      <t xml:space="preserve">海力士＋三星＋美光營收份額合計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</si>
  <si>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K6-hbm2027</t>
  </si>
  <si>
    <r>
      <rPr>
        <sz val="11"/>
        <color theme="1"/>
        <rFont val="Calibri"/>
        <family val="2"/>
        <charset val="1"/>
      </rPr>
      <t xml:space="preserve">HBM 2027 SK </t>
    </r>
    <r>
      <rPr>
        <sz val="11"/>
        <color theme="1"/>
        <rFont val="Noto Sans CJK SC"/>
        <family val="2"/>
      </rPr>
      <t xml:space="preserve">海力士＋三星＋美光營收份額合計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</si>
  <si>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K6-hbm2028</t>
  </si>
  <si>
    <r>
      <rPr>
        <sz val="11"/>
        <color theme="1"/>
        <rFont val="Calibri"/>
        <family val="2"/>
        <charset val="1"/>
      </rPr>
      <t xml:space="preserve">HBM 2028 SK </t>
    </r>
    <r>
      <rPr>
        <sz val="11"/>
        <color theme="1"/>
        <rFont val="Noto Sans CJK SC"/>
        <family val="2"/>
      </rPr>
      <t xml:space="preserve">海力士＋三星＋美光營收份額合計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</si>
  <si>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K6-hbm2029</t>
  </si>
  <si>
    <r>
      <rPr>
        <sz val="11"/>
        <color theme="1"/>
        <rFont val="Calibri"/>
        <family val="2"/>
        <charset val="1"/>
      </rPr>
      <t xml:space="preserve">HBM 2029 SK </t>
    </r>
    <r>
      <rPr>
        <sz val="11"/>
        <color theme="1"/>
        <rFont val="Noto Sans CJK SC"/>
        <family val="2"/>
      </rPr>
      <t xml:space="preserve">海力士＋三星＋美光營收份額合計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</si>
  <si>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K8-2026</t>
  </si>
  <si>
    <r>
      <rPr>
        <sz val="11"/>
        <color theme="1"/>
        <rFont val="Calibri"/>
        <family val="2"/>
        <charset val="1"/>
      </rPr>
      <t xml:space="preserve">2026 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 </t>
    </r>
    <r>
      <rPr>
        <sz val="11"/>
        <color theme="1"/>
        <rFont val="Noto Sans CJK SC"/>
        <family val="2"/>
      </rPr>
      <t xml:space="preserve">在泰瑞達長期區間內（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</si>
  <si>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驗證（量級；口徑不同，只列 </t>
    </r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）</t>
    </r>
  </si>
  <si>
    <t xml:space="preserve">K8-2027</t>
  </si>
  <si>
    <r>
      <rPr>
        <sz val="11"/>
        <color theme="1"/>
        <rFont val="Calibri"/>
        <family val="2"/>
        <charset val="1"/>
      </rPr>
      <t xml:space="preserve">2027 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 </t>
    </r>
    <r>
      <rPr>
        <sz val="11"/>
        <color theme="1"/>
        <rFont val="Noto Sans CJK SC"/>
        <family val="2"/>
      </rPr>
      <t xml:space="preserve">在泰瑞達長期區間內（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</t>
    </r>
  </si>
  <si>
    <t xml:space="preserve">K8-2028</t>
  </si>
  <si>
    <r>
      <rPr>
        <sz val="11"/>
        <color theme="1"/>
        <rFont val="Calibri"/>
        <family val="2"/>
        <charset val="1"/>
      </rPr>
      <t xml:space="preserve">2028 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 </t>
    </r>
    <r>
      <rPr>
        <sz val="11"/>
        <color theme="1"/>
        <rFont val="Noto Sans CJK SC"/>
        <family val="2"/>
      </rPr>
      <t xml:space="preserve">在泰瑞達長期區間內（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</t>
    </r>
  </si>
  <si>
    <t xml:space="preserve">K7</t>
  </si>
  <si>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頁：商用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 </t>
    </r>
    <r>
      <rPr>
        <sz val="11"/>
        <color theme="1"/>
        <rFont val="Calibri"/>
        <family val="2"/>
        <charset val="1"/>
      </rPr>
      <t xml:space="preserve">2026 ≤ 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（系統售價不應超過全部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資本支出）</t>
    </r>
  </si>
  <si>
    <t xml:space="preserve">驗證（量級）</t>
  </si>
  <si>
    <t xml:space="preserve">G1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</si>
  <si>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頁輸入列缺標記</t>
    </r>
  </si>
  <si>
    <t xml:space="preserve">治理</t>
  </si>
  <si>
    <t xml:space="preserve">G2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</si>
  <si>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頁輸入列缺來源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</si>
  <si>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起應為 </t>
    </r>
    <r>
      <rPr>
        <sz val="11"/>
        <color theme="1"/>
        <rFont val="Calibri"/>
        <family val="2"/>
        <charset val="1"/>
      </rPr>
      <t xml:space="preserve">0</t>
    </r>
  </si>
  <si>
    <t xml:space="preserve">G3</t>
  </si>
  <si>
    <r>
      <rPr>
        <sz val="11"/>
        <color theme="1"/>
        <rFont val="Noto Sans CJK SC"/>
        <family val="2"/>
      </rPr>
      <t xml:space="preserve">標記含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但未給低／高區間的輸入列（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規則：一律給區間）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</si>
  <si>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（建置時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列）</t>
    </r>
  </si>
  <si>
    <t xml:space="preserve">G4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</si>
  <si>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頁鍵重複（建置時檢查）</t>
    </r>
  </si>
  <si>
    <t xml:space="preserve">G5</t>
  </si>
  <si>
    <r>
      <rPr>
        <sz val="11"/>
        <color theme="1"/>
        <rFont val="Noto Sans CJK SC"/>
        <family val="2"/>
      </rPr>
      <t xml:space="preserve">衝突登錄中『待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』或『待併入』的項目數</t>
    </r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</si>
  <si>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＝仍有同一變數兩個值；各子產業併入本庫後歸零</t>
    </r>
  </si>
  <si>
    <t xml:space="preserve">SGOV_Errors</t>
  </si>
  <si>
    <t xml:space="preserve">SGOV_Warn</t>
  </si>
  <si>
    <r>
      <rPr>
        <sz val="11"/>
        <color theme="1"/>
        <rFont val="Calibri"/>
        <family val="2"/>
        <charset val="1"/>
      </rPr>
      <t xml:space="preserve">Decisions — </t>
    </r>
    <r>
      <rPr>
        <sz val="11"/>
        <color theme="1"/>
        <rFont val="Noto Sans CJK SC"/>
        <family val="2"/>
      </rPr>
      <t xml:space="preserve">決策登錄（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擁有）。判斷類由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決定；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依預設執行者標『預設、可撤回』</t>
    </r>
  </si>
  <si>
    <r>
      <rPr>
        <b val="true"/>
        <sz val="11"/>
        <rFont val="Noto Sans CJK SC"/>
        <family val="2"/>
      </rPr>
      <t xml:space="preserve">決策 </t>
    </r>
    <r>
      <rPr>
        <b val="true"/>
        <sz val="11"/>
        <rFont val="Cambria"/>
        <family val="0"/>
        <charset val="1"/>
      </rPr>
      <t xml:space="preserve">ID</t>
    </r>
  </si>
  <si>
    <t xml:space="preserve">類別</t>
  </si>
  <si>
    <t xml:space="preserve">決議</t>
  </si>
  <si>
    <t xml:space="preserve">日期</t>
  </si>
  <si>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原話／依據</t>
    </r>
  </si>
  <si>
    <t xml:space="preserve">S1</t>
  </si>
  <si>
    <t xml:space="preserve">範圍</t>
  </si>
  <si>
    <t xml:space="preserve">建立產業基準庫</t>
  </si>
  <si>
    <r>
      <rPr>
        <sz val="11"/>
        <color theme="1"/>
        <rFont val="Noto Sans CJK SC"/>
        <family val="2"/>
      </rPr>
      <t xml:space="preserve">本專案建立自己的產業事實庫 </t>
    </r>
    <r>
      <rPr>
        <sz val="11"/>
        <color theme="1"/>
        <rFont val="Calibri"/>
        <family val="2"/>
        <charset val="1"/>
      </rPr>
      <t xml:space="preserve">Excel</t>
    </r>
    <r>
      <rPr>
        <sz val="11"/>
        <color theme="1"/>
        <rFont val="Noto Sans CJK SC"/>
        <family val="2"/>
      </rPr>
      <t xml:space="preserve">，規格比照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唯一事實來源、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只產生公式頁、輸入由 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擁有、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具名範圍為下游唯一連結點、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、證據登錄、版本固定快照）；與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相關數據與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一致；為各公司模型的基準事實來源</t>
    </r>
  </si>
  <si>
    <r>
      <rPr>
        <sz val="11"/>
        <color theme="1"/>
        <rFont val="Calibri"/>
        <family val="2"/>
        <charset val="1"/>
      </rPr>
      <t xml:space="preserve">2026-10-25 13:26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2026-10-27 07:59</t>
    </r>
  </si>
  <si>
    <r>
      <rPr>
        <sz val="11"/>
        <color theme="1"/>
        <rFont val="Noto Sans CJK SC"/>
        <family val="2"/>
      </rPr>
      <t xml:space="preserve">請開始規畫並建置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半導體的次產業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唯一事實</t>
    </r>
    <r>
      <rPr>
        <sz val="11"/>
        <color theme="1"/>
        <rFont val="Calibri"/>
        <family val="2"/>
        <charset val="1"/>
      </rPr>
      <t xml:space="preserve">)excel(</t>
    </r>
    <r>
      <rPr>
        <sz val="11"/>
        <color theme="1"/>
        <rFont val="Noto Sans CJK SC"/>
        <family val="2"/>
      </rPr>
      <t xml:space="preserve">名稱另取較貼切的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，他的規格如同算力收支專案中的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，與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相關數據要與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一致，只是負責領域不同，是相關個股模型的基準事實來源。</t>
    </r>
  </si>
  <si>
    <t xml:space="preserve">生效</t>
  </si>
  <si>
    <t xml:space="preserve">S2</t>
  </si>
  <si>
    <t xml:space="preserve">命名</t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</si>
  <si>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（中文：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半導體產業基準庫），與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對稱：一個管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的經濟，一個管矽的經濟。檔名 </t>
    </r>
    <r>
      <rPr>
        <sz val="11"/>
        <color theme="1"/>
        <rFont val="Calibri"/>
        <family val="2"/>
        <charset val="1"/>
      </rPr>
      <t xml:space="preserve">YYYYMMDD_Siliconomics_vX.Y.xlsx</t>
    </r>
    <r>
      <rPr>
        <sz val="11"/>
        <color theme="1"/>
        <rFont val="Noto Sans CJK SC"/>
        <family val="2"/>
      </rPr>
      <t xml:space="preserve">；下游名稱前綴 </t>
    </r>
    <r>
      <rPr>
        <sz val="11"/>
        <color theme="1"/>
        <rFont val="Calibri"/>
        <family val="2"/>
        <charset val="1"/>
      </rPr>
      <t xml:space="preserve">SIF_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SGOV_</t>
    </r>
    <r>
      <rPr>
        <sz val="11"/>
        <color theme="1"/>
        <rFont val="Noto Sans CJK SC"/>
        <family val="2"/>
      </rPr>
      <t xml:space="preserve">（治理計數）；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鏡像為 </t>
    </r>
    <r>
      <rPr>
        <sz val="11"/>
        <color theme="1"/>
        <rFont val="Calibri"/>
        <family val="2"/>
        <charset val="1"/>
      </rPr>
      <t xml:space="preserve">TK_&lt;</t>
    </r>
    <r>
      <rPr>
        <sz val="11"/>
        <color theme="1"/>
        <rFont val="Noto Sans CJK SC"/>
        <family val="2"/>
      </rPr>
      <t xml:space="preserve">名稱</t>
    </r>
    <r>
      <rPr>
        <sz val="11"/>
        <color theme="1"/>
        <rFont val="Calibri"/>
        <family val="2"/>
        <charset val="1"/>
      </rPr>
      <t xml:space="preserve">&gt;_&lt;</t>
    </r>
    <r>
      <rPr>
        <sz val="11"/>
        <color theme="1"/>
        <rFont val="Noto Sans CJK SC"/>
        <family val="2"/>
      </rPr>
      <t xml:space="preserve">世代</t>
    </r>
    <r>
      <rPr>
        <sz val="11"/>
        <color theme="1"/>
        <rFont val="Calibri"/>
        <family val="2"/>
        <charset val="1"/>
      </rPr>
      <t xml:space="preserve">&gt;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SIF_TK_*</t>
    </r>
  </si>
  <si>
    <t xml:space="preserve">2026-10-27</t>
  </si>
  <si>
    <t xml:space="preserve">名稱另取較貼切的</t>
  </si>
  <si>
    <t xml:space="preserve">預設、可撤回</t>
  </si>
  <si>
    <t xml:space="preserve">S3</t>
  </si>
  <si>
    <t xml:space="preserve">工程</t>
  </si>
  <si>
    <t xml:space="preserve">位置</t>
  </si>
  <si>
    <r>
      <rPr>
        <sz val="11"/>
        <color theme="1"/>
        <rFont val="Calibri"/>
        <family val="2"/>
        <charset val="1"/>
      </rPr>
      <t xml:space="preserve">repo company-models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siliconomics/ </t>
    </r>
    <r>
      <rPr>
        <sz val="11"/>
        <color theme="1"/>
        <rFont val="Noto Sans CJK SC"/>
        <family val="2"/>
      </rPr>
      <t xml:space="preserve">資料夾（</t>
    </r>
    <r>
      <rPr>
        <sz val="11"/>
        <color theme="1"/>
        <rFont val="Calibri"/>
        <family val="2"/>
        <charset val="1"/>
      </rPr>
      <t xml:space="preserve">model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builder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tools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docs</t>
    </r>
    <r>
      <rPr>
        <sz val="11"/>
        <color theme="1"/>
        <rFont val="Noto Sans CJK SC"/>
        <family val="2"/>
      </rPr>
      <t xml:space="preserve">），不另開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：下游 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CJK SC"/>
        <family val="2"/>
      </rPr>
      <t xml:space="preserve">個建檔程式在同一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，可直接讀快照、</t>
    </r>
    <r>
      <rPr>
        <sz val="11"/>
        <color theme="1"/>
        <rFont val="Calibri"/>
        <family val="2"/>
        <charset val="1"/>
      </rPr>
      <t xml:space="preserve">CI </t>
    </r>
    <r>
      <rPr>
        <sz val="11"/>
        <color theme="1"/>
        <rFont val="Noto Sans CJK SC"/>
        <family val="2"/>
      </rPr>
      <t xml:space="preserve">同一條；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是另一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是因為服務跨專案</t>
    </r>
  </si>
  <si>
    <r>
      <rPr>
        <sz val="11"/>
        <color theme="1"/>
        <rFont val="Noto Sans CJK SC"/>
        <family val="2"/>
      </rPr>
      <t xml:space="preserve">（工程類，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決定）</t>
    </r>
  </si>
  <si>
    <t xml:space="preserve">S4</t>
  </si>
  <si>
    <t xml:space="preserve">行業變數與公司變數的界線</t>
  </si>
  <si>
    <r>
      <rPr>
        <sz val="11"/>
        <color theme="1"/>
        <rFont val="Noto Sans CJK SC"/>
        <family val="2"/>
      </rPr>
      <t xml:space="preserve">行業變數（本庫）＝跨公司共用或加總受限的量：加速器顆數與每顆內容、各市場規模與價格路徑、技術替代滲透率（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、銅轉光、液冷、混合鍵合）、同一市場各供應商份額表（合計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）、供需缺口、情境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定義。公司變數（各公司模型）＝會計年度錨點、毛利率與費用、資本支出、股數、估值參數、公司特有的份額相對值</t>
    </r>
  </si>
  <si>
    <r>
      <rPr>
        <sz val="11"/>
        <color theme="1"/>
        <rFont val="Noto Sans CJK SC"/>
        <family val="2"/>
      </rPr>
      <t xml:space="preserve">依據 </t>
    </r>
    <r>
      <rPr>
        <sz val="11"/>
        <color theme="1"/>
        <rFont val="Calibri"/>
        <family val="2"/>
        <charset val="1"/>
      </rPr>
      <t xml:space="preserve">Andy 2026-10-25 13:13</t>
    </r>
    <r>
      <rPr>
        <sz val="11"/>
        <color theme="1"/>
        <rFont val="Noto Sans CJK SC"/>
        <family val="2"/>
      </rPr>
      <t xml:space="preserve">：個股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一律讀同字母行業情境（技術替代屬行業變數）</t>
    </r>
  </si>
  <si>
    <t xml:space="preserve">S5</t>
  </si>
  <si>
    <t xml:space="preserve">下游改接方式</t>
  </si>
  <si>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改為只讀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快照（保留原 </t>
    </r>
    <r>
      <rPr>
        <sz val="11"/>
        <color theme="1"/>
        <rFont val="Calibri"/>
        <family val="2"/>
        <charset val="1"/>
      </rPr>
      <t xml:space="preserve">Python </t>
    </r>
    <r>
      <rPr>
        <sz val="11"/>
        <color theme="1"/>
        <rFont val="Noto Sans CJK SC"/>
        <family val="2"/>
      </rPr>
      <t xml:space="preserve">名稱），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CJK SC"/>
        <family val="2"/>
      </rPr>
      <t xml:space="preserve">個下游建檔程式不需修改；驗收＝全部 </t>
    </r>
    <r>
      <rPr>
        <sz val="11"/>
        <color theme="1"/>
        <rFont val="Calibri"/>
        <family val="2"/>
        <charset val="1"/>
      </rPr>
      <t xml:space="preserve">58 </t>
    </r>
    <r>
      <rPr>
        <sz val="11"/>
        <color theme="1"/>
        <rFont val="Noto Sans CJK SC"/>
        <family val="2"/>
      </rPr>
      <t xml:space="preserve">個 </t>
    </r>
    <r>
      <rPr>
        <sz val="11"/>
        <color theme="1"/>
        <rFont val="Calibri"/>
        <family val="2"/>
        <charset val="1"/>
      </rPr>
      <t xml:space="preserve">CI </t>
    </r>
    <r>
      <rPr>
        <sz val="11"/>
        <color theme="1"/>
        <rFont val="Noto Sans CJK SC"/>
        <family val="2"/>
      </rPr>
      <t xml:space="preserve">目標重建後與 </t>
    </r>
    <r>
      <rPr>
        <sz val="11"/>
        <color theme="1"/>
        <rFont val="Calibri"/>
        <family val="2"/>
        <charset val="1"/>
      </rPr>
      <t xml:space="preserve">dist </t>
    </r>
    <r>
      <rPr>
        <sz val="11"/>
        <color theme="1"/>
        <rFont val="Noto Sans CJK SC"/>
        <family val="2"/>
      </rPr>
      <t xml:space="preserve">逐格相同。其他市場層與公司模型依子產業分段改接</t>
    </r>
  </si>
  <si>
    <t xml:space="preserve">S6</t>
  </si>
  <si>
    <t xml:space="preserve">預測期間</t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</si>
  <si>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維持現有市場層的 </t>
    </r>
    <r>
      <rPr>
        <sz val="11"/>
        <color theme="1"/>
        <rFont val="Calibri"/>
        <family val="2"/>
        <charset val="1"/>
      </rPr>
      <t xml:space="preserve">2025–2029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的行業路徑不在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自訂（目前各公司以收斂法自推），待算力收支 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三情境部署路徑（</t>
    </r>
    <r>
      <rPr>
        <sz val="11"/>
        <color theme="1"/>
        <rFont val="Calibri"/>
        <family val="2"/>
        <charset val="1"/>
      </rPr>
      <t xml:space="preserve">CY2026–2030</t>
    </r>
    <r>
      <rPr>
        <sz val="11"/>
        <color theme="1"/>
        <rFont val="Noto Sans CJK SC"/>
        <family val="2"/>
      </rPr>
      <t xml:space="preserve">）上線後由部署路徑推導並延伸到 </t>
    </r>
    <r>
      <rPr>
        <sz val="11"/>
        <color theme="1"/>
        <rFont val="Calibri"/>
        <family val="2"/>
        <charset val="1"/>
      </rPr>
      <t xml:space="preserve">2032</t>
    </r>
  </si>
  <si>
    <r>
      <rPr>
        <sz val="11"/>
        <color theme="1"/>
        <rFont val="Noto Sans CJK SC"/>
        <family val="2"/>
      </rPr>
      <t xml:space="preserve">依據 </t>
    </r>
    <r>
      <rPr>
        <sz val="11"/>
        <color theme="1"/>
        <rFont val="Calibri"/>
        <family val="2"/>
        <charset val="1"/>
      </rPr>
      <t xml:space="preserve">Andy 2026-10-25</t>
    </r>
    <r>
      <rPr>
        <sz val="11"/>
        <color theme="1"/>
        <rFont val="Noto Sans CJK SC"/>
        <family val="2"/>
      </rPr>
      <t xml:space="preserve">：預估延長到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回執：預計 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後動工</t>
    </r>
  </si>
  <si>
    <t xml:space="preserve">S7</t>
  </si>
  <si>
    <t xml:space="preserve">衝突處理</t>
  </si>
  <si>
    <r>
      <rPr>
        <sz val="11"/>
        <color theme="1"/>
        <rFont val="Noto Sans CJK SC"/>
        <family val="2"/>
      </rPr>
      <t xml:space="preserve">跨模型同一變數不同值者登錄於 </t>
    </r>
    <r>
      <rPr>
        <sz val="11"/>
        <color theme="1"/>
        <rFont val="Calibri"/>
        <family val="2"/>
        <charset val="1"/>
      </rPr>
      <t xml:space="preserve">Conflicts </t>
    </r>
    <r>
      <rPr>
        <sz val="11"/>
        <color theme="1"/>
        <rFont val="Noto Sans CJK SC"/>
        <family val="2"/>
      </rPr>
      <t xml:space="preserve">頁；每項給建議單一值（判斷類標待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），在該子產業併入本庫的版本生效；生效前各公司模型維持現值，不另做局部修補</t>
    </r>
  </si>
  <si>
    <t xml:space="preserve">（工程類流程；個別建議值屬判斷類）</t>
  </si>
  <si>
    <t xml:space="preserve">S8</t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</si>
  <si>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</si>
  <si>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只做：</t>
    </r>
    <r>
      <rPr>
        <sz val="11"/>
        <color theme="1"/>
        <rFont val="Calibri"/>
        <family val="2"/>
        <charset val="1"/>
      </rPr>
      <t xml:space="preserve">(1)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列全部補區間、缺來源列補來源（區間為 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預設，標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情境季價區間 </t>
    </r>
    <r>
      <rPr>
        <sz val="11"/>
        <color theme="1"/>
        <rFont val="Calibri"/>
        <family val="2"/>
        <charset val="1"/>
      </rPr>
      <t xml:space="preserve">2027 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±10pt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2029 </t>
    </r>
    <r>
      <rPr>
        <sz val="11"/>
        <color theme="1"/>
        <rFont val="Noto Sans CJK SC"/>
        <family val="2"/>
      </rPr>
      <t xml:space="preserve">平台別顆數成長改為本庫單一來源（</t>
    </r>
    <r>
      <rPr>
        <sz val="11"/>
        <color theme="1"/>
        <rFont val="Calibri"/>
        <family val="2"/>
        <charset val="1"/>
      </rPr>
      <t xml:space="preserve">CF18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每顆規格、部署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）延到 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（運算層一起做），網通與橋接表順延為 </t>
    </r>
    <r>
      <rPr>
        <sz val="11"/>
        <color theme="1"/>
        <rFont val="Calibri"/>
        <family val="2"/>
        <charset val="1"/>
      </rPr>
      <t xml:space="preserve">v0.4</t>
    </r>
  </si>
  <si>
    <t xml:space="preserve">（工程類分段；區間值屬判斷類預設）</t>
  </si>
  <si>
    <t xml:space="preserve">S9</t>
  </si>
  <si>
    <r>
      <rPr>
        <sz val="11"/>
        <color theme="1"/>
        <rFont val="Calibri"/>
        <family val="2"/>
        <charset val="1"/>
      </rPr>
      <t xml:space="preserve">G2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G3 </t>
    </r>
    <r>
      <rPr>
        <sz val="11"/>
        <color theme="1"/>
        <rFont val="Noto Sans CJK SC"/>
        <family val="2"/>
      </rPr>
      <t xml:space="preserve">升為 </t>
    </r>
    <r>
      <rPr>
        <sz val="11"/>
        <color theme="1"/>
        <rFont val="Calibri"/>
        <family val="2"/>
        <charset val="1"/>
      </rPr>
      <t xml:space="preserve">ERROR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</si>
  <si>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頁缺來源、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缺區間計入 </t>
    </r>
    <r>
      <rPr>
        <sz val="11"/>
        <color theme="1"/>
        <rFont val="Calibri"/>
        <family val="2"/>
        <charset val="1"/>
      </rPr>
      <t xml:space="preserve">SGOV_Errors</t>
    </r>
    <r>
      <rPr>
        <sz val="11"/>
        <color theme="1"/>
        <rFont val="Noto Sans CJK SC"/>
        <family val="2"/>
      </rPr>
      <t xml:space="preserve">（比照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一律給區間）</t>
    </r>
  </si>
  <si>
    <t xml:space="preserve">（工程類）</t>
  </si>
  <si>
    <t xml:space="preserve">S10</t>
  </si>
  <si>
    <r>
      <rPr>
        <sz val="11"/>
        <color theme="1"/>
        <rFont val="Noto Sans CJK SC"/>
        <family val="2"/>
      </rPr>
      <t xml:space="preserve">記憶體公司模型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頁不加新節</t>
    </r>
  </si>
  <si>
    <r>
      <rPr>
        <sz val="11"/>
        <color theme="1"/>
        <rFont val="Calibri"/>
        <family val="2"/>
        <charset val="1"/>
      </rPr>
      <t xml:space="preserve">market.py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inputs() </t>
    </r>
    <r>
      <rPr>
        <sz val="11"/>
        <color theme="1"/>
        <rFont val="Noto Sans CJK SC"/>
        <family val="2"/>
      </rPr>
      <t xml:space="preserve">只重播 </t>
    </r>
    <r>
      <rPr>
        <sz val="11"/>
        <color theme="1"/>
        <rFont val="Calibri"/>
        <family val="2"/>
        <charset val="1"/>
      </rPr>
      <t xml:space="preserve">M1–M3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ref_inputs() </t>
    </r>
    <r>
      <rPr>
        <sz val="11"/>
        <color theme="1"/>
        <rFont val="Noto Sans CJK SC"/>
        <family val="2"/>
      </rPr>
      <t xml:space="preserve">只重播 </t>
    </r>
    <r>
      <rPr>
        <sz val="11"/>
        <color theme="1"/>
        <rFont val="Calibri"/>
        <family val="2"/>
        <charset val="1"/>
      </rPr>
      <t xml:space="preserve">M4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起的新節（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平台別成長）不寫進記憶體公司模型，由需要的模型經 </t>
    </r>
    <r>
      <rPr>
        <sz val="11"/>
        <color theme="1"/>
        <rFont val="Calibri"/>
        <family val="2"/>
        <charset val="1"/>
      </rPr>
      <t xml:space="preserve">market.G29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G_U29 </t>
    </r>
    <r>
      <rPr>
        <sz val="11"/>
        <color theme="1"/>
        <rFont val="Noto Sans CJK SC"/>
        <family val="2"/>
      </rPr>
      <t xml:space="preserve">取用，避免既有儲存格位移</t>
    </r>
  </si>
  <si>
    <t xml:space="preserve">S11</t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</si>
  <si>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</si>
  <si>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（運算層第一段）：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加速器每顆售價（</t>
    </r>
    <r>
      <rPr>
        <sz val="11"/>
        <color theme="1"/>
        <rFont val="Calibri"/>
        <family val="2"/>
        <charset val="1"/>
      </rPr>
      <t xml:space="preserve">nvidia pa_*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核心價與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代購比例（</t>
    </r>
    <r>
      <rPr>
        <sz val="11"/>
        <color theme="1"/>
        <rFont val="Calibri"/>
        <family val="2"/>
        <charset val="1"/>
      </rPr>
      <t xml:space="preserve">avgo core_*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f_hbm</t>
    </r>
    <r>
      <rPr>
        <sz val="11"/>
        <color theme="1"/>
        <rFont val="Noto Sans CJK SC"/>
        <family val="2"/>
      </rPr>
      <t xml:space="preserve">）移入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(2) ASIC </t>
    </r>
    <r>
      <rPr>
        <sz val="11"/>
        <color theme="1"/>
        <rFont val="Noto Sans CJK SC"/>
        <family val="2"/>
      </rPr>
      <t xml:space="preserve">設計服務份額（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、聯發科、世芯）移入 </t>
    </r>
    <r>
      <rPr>
        <sz val="11"/>
        <color theme="1"/>
        <rFont val="Calibri"/>
        <family val="2"/>
        <charset val="1"/>
      </rPr>
      <t xml:space="preserve">M7</t>
    </r>
    <r>
      <rPr>
        <sz val="11"/>
        <color theme="1"/>
        <rFont val="Noto Sans CJK SC"/>
        <family val="2"/>
      </rPr>
      <t xml:space="preserve">，新增 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頁與加總檢查 </t>
    </r>
    <r>
      <rPr>
        <sz val="11"/>
        <color theme="1"/>
        <rFont val="Calibri"/>
        <family val="2"/>
        <charset val="1"/>
      </rPr>
      <t xml:space="preserve">K6</t>
    </r>
    <r>
      <rPr>
        <sz val="11"/>
        <color theme="1"/>
        <rFont val="Noto Sans CJK SC"/>
        <family val="2"/>
      </rPr>
      <t xml:space="preserve">。原模型改讀本庫，數值與文字逐字搬入（下游應不變）。部署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單一路徑（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）依賴網通市場層，與網通一起在 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做</t>
    </r>
  </si>
  <si>
    <t xml:space="preserve">S12</t>
  </si>
  <si>
    <t xml:space="preserve">共用讀取模組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</si>
  <si>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siliconomics/reader.py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row8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row9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NAMES</t>
    </r>
    <r>
      <rPr>
        <sz val="11"/>
        <color theme="1"/>
        <rFont val="Noto Sans CJK SC"/>
        <family val="2"/>
      </rPr>
      <t xml:space="preserve">），各公司建檔程式以 </t>
    </r>
    <r>
      <rPr>
        <sz val="11"/>
        <color theme="1"/>
        <rFont val="Calibri"/>
        <family val="2"/>
        <charset val="1"/>
      </rPr>
      <t xml:space="preserve">inp(*SIL.row9(</t>
    </r>
    <r>
      <rPr>
        <sz val="11"/>
        <color theme="1"/>
        <rFont val="Noto Sans CJK SC"/>
        <family val="2"/>
      </rPr>
      <t xml:space="preserve">鍵</t>
    </r>
    <r>
      <rPr>
        <sz val="11"/>
        <color theme="1"/>
        <rFont val="Calibri"/>
        <family val="2"/>
        <charset val="1"/>
      </rPr>
      <t xml:space="preserve">)) </t>
    </r>
    <r>
      <rPr>
        <sz val="11"/>
        <color theme="1"/>
        <rFont val="Noto Sans CJK SC"/>
        <family val="2"/>
      </rPr>
      <t xml:space="preserve">讀本庫輸入；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欄「第二來源／說明」以容納公司模型的第二來源欄</t>
    </r>
  </si>
  <si>
    <t xml:space="preserve">S13</t>
  </si>
  <si>
    <t xml:space="preserve">數值</t>
  </si>
  <si>
    <r>
      <rPr>
        <sz val="11"/>
        <color theme="1"/>
        <rFont val="Calibri"/>
        <family val="2"/>
        <charset val="1"/>
      </rPr>
      <t xml:space="preserve">CF19 TPU </t>
    </r>
    <r>
      <rPr>
        <sz val="11"/>
        <color theme="1"/>
        <rFont val="Noto Sans CJK SC"/>
        <family val="2"/>
      </rPr>
      <t xml:space="preserve">設計服務份額</t>
    </r>
  </si>
  <si>
    <r>
      <rPr>
        <sz val="11"/>
        <color theme="1"/>
        <rFont val="Noto Sans CJK SC"/>
        <family val="2"/>
      </rPr>
      <t xml:space="preserve">維持模型路徑（</t>
    </r>
    <r>
      <rPr>
        <sz val="11"/>
        <color theme="1"/>
        <rFont val="Calibri"/>
        <family val="2"/>
        <charset val="1"/>
      </rPr>
      <t xml:space="preserve">Broadcom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、聯發科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2026–28</t>
    </r>
    <r>
      <rPr>
        <sz val="11"/>
        <color theme="1"/>
        <rFont val="Noto Sans CJK SC"/>
        <family val="2"/>
      </rPr>
      <t xml:space="preserve">）；賣方路徑列為聯發科高情境證據</t>
    </r>
  </si>
  <si>
    <t xml:space="preserve">2026-10-27 15:09</t>
  </si>
  <si>
    <t xml:space="preserve">先這樣，我也沒有更好的數字</t>
  </si>
  <si>
    <t xml:space="preserve">S14</t>
  </si>
  <si>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</si>
  <si>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(1) markets/network </t>
    </r>
    <r>
      <rPr>
        <sz val="11"/>
        <color theme="1"/>
        <rFont val="Noto Sans CJK SC"/>
        <family val="2"/>
      </rPr>
      <t xml:space="preserve">的每顆網通內容、每顆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、技術轉換、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三情境移入 </t>
    </r>
    <r>
      <rPr>
        <sz val="11"/>
        <color theme="1"/>
        <rFont val="Calibri"/>
        <family val="2"/>
        <charset val="1"/>
      </rPr>
      <t xml:space="preserve">M8–M10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公式）；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列補區間（每顆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光學占比、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×0.7–×1.4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vr26 </t>
    </r>
    <r>
      <rPr>
        <sz val="11"/>
        <color theme="1"/>
        <rFont val="Noto Sans CJK SC"/>
        <family val="2"/>
      </rPr>
      <t xml:space="preserve">移入 </t>
    </r>
    <r>
      <rPr>
        <sz val="11"/>
        <color theme="1"/>
        <rFont val="Calibri"/>
        <family val="2"/>
        <charset val="1"/>
      </rPr>
      <t xml:space="preserve">M11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(3) Deploy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資本支出、每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資本支出、部署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三情境；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Noto Sans CJK SC"/>
        <family val="2"/>
      </rPr>
      <t xml:space="preserve">橋接表改讀 </t>
    </r>
    <r>
      <rPr>
        <sz val="11"/>
        <color theme="1"/>
        <rFont val="Calibri"/>
        <family val="2"/>
        <charset val="1"/>
      </rPr>
      <t xml:space="preserve">TK v21.7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契約名稱（</t>
    </r>
    <r>
      <rPr>
        <sz val="11"/>
        <color theme="1"/>
        <rFont val="Calibri"/>
        <family val="2"/>
        <charset val="1"/>
      </rPr>
      <t xml:space="preserve">CF17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(5) Amkor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改用混合口徑（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CF21</t>
    </r>
    <r>
      <rPr>
        <sz val="11"/>
        <color theme="1"/>
        <rFont val="Noto Sans CJK SC"/>
        <family val="2"/>
      </rPr>
      <t xml:space="preserve">）延到 </t>
    </r>
    <r>
      <rPr>
        <sz val="11"/>
        <color theme="1"/>
        <rFont val="Calibri"/>
        <family val="2"/>
        <charset val="1"/>
      </rPr>
      <t xml:space="preserve">v0.4.1</t>
    </r>
  </si>
  <si>
    <t xml:space="preserve">S15</t>
  </si>
  <si>
    <r>
      <rPr>
        <sz val="11"/>
        <color theme="1"/>
        <rFont val="Calibri"/>
        <family val="2"/>
        <charset val="1"/>
      </rPr>
      <t xml:space="preserve">v0.4.1 CPO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</si>
  <si>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五家光學廠的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光學金額份額（</t>
    </r>
    <r>
      <rPr>
        <sz val="11"/>
        <color theme="1"/>
        <rFont val="Calibri"/>
        <family val="2"/>
        <charset val="1"/>
      </rPr>
      <t xml:space="preserve">cposh_*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）移入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M12</t>
    </r>
    <r>
      <rPr>
        <sz val="11"/>
        <color theme="1"/>
        <rFont val="Noto Sans CJK SC"/>
        <family val="2"/>
      </rPr>
      <t xml:space="preserve">，數值與文字逐字搬入；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份額表（四家模組與雷射廠加總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為代工、與模組廠重疊，列示不加總），</t>
    </r>
    <r>
      <rPr>
        <sz val="11"/>
        <color theme="1"/>
        <rFont val="Calibri"/>
        <family val="2"/>
        <charset val="1"/>
      </rPr>
      <t xml:space="preserve">Checks K6-cpo</t>
    </r>
    <r>
      <rPr>
        <sz val="11"/>
        <color theme="1"/>
        <rFont val="Noto Sans CJK SC"/>
        <family val="2"/>
      </rPr>
      <t xml:space="preserve">（合計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Interface SIF_CPOShareSum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交換器端份額不自訂，以餘額列示（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</t>
    </r>
  </si>
  <si>
    <t xml:space="preserve">（工程類分段；份額值沿用公司模型，未重估）</t>
  </si>
  <si>
    <t xml:space="preserve">S16</t>
  </si>
  <si>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範圍：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載板與 </t>
    </r>
    <r>
      <rPr>
        <sz val="11"/>
        <color theme="1"/>
        <rFont val="Calibri"/>
        <family val="2"/>
        <charset val="1"/>
      </rPr>
      <t xml:space="preserve">CoWoS</t>
    </r>
  </si>
  <si>
    <r>
      <rPr>
        <sz val="11"/>
        <color theme="1"/>
        <rFont val="Calibri"/>
        <family val="2"/>
        <charset val="1"/>
      </rPr>
      <t xml:space="preserve">(1) Ibiden 2026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相對值、非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權重、</t>
    </r>
    <r>
      <rPr>
        <sz val="11"/>
        <color theme="1"/>
        <rFont val="Calibri"/>
        <family val="2"/>
        <charset val="1"/>
      </rPr>
      <t xml:space="preserve">v_ot</t>
    </r>
    <r>
      <rPr>
        <sz val="11"/>
        <color theme="1"/>
        <rFont val="Noto Sans CJK SC"/>
        <family val="2"/>
      </rPr>
      <t xml:space="preserve">、每顆載板金額年增 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、價格溢價指數 </t>
    </r>
    <r>
      <rPr>
        <sz val="11"/>
        <color theme="1"/>
        <rFont val="Calibri"/>
        <family val="2"/>
        <charset val="1"/>
      </rPr>
      <t xml:space="preserve">pp_*</t>
    </r>
    <r>
      <rPr>
        <sz val="11"/>
        <color theme="1"/>
        <rFont val="Noto Sans CJK SC"/>
        <family val="2"/>
      </rPr>
      <t xml:space="preserve">、欣興／南電／景碩的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份額移入 </t>
    </r>
    <r>
      <rPr>
        <sz val="11"/>
        <color theme="1"/>
        <rFont val="Calibri"/>
        <family val="2"/>
        <charset val="1"/>
      </rPr>
      <t xml:space="preserve">M13</t>
    </r>
    <r>
      <rPr>
        <sz val="11"/>
        <color theme="1"/>
        <rFont val="Noto Sans CJK SC"/>
        <family val="2"/>
      </rPr>
      <t xml:space="preserve">，數值與文字逐字搬入；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新增兩張載板份額表與 </t>
    </r>
    <r>
      <rPr>
        <sz val="11"/>
        <color theme="1"/>
        <rFont val="Calibri"/>
        <family val="2"/>
        <charset val="1"/>
      </rPr>
      <t xml:space="preserve">K6-abf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新增單一外部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缺口路徑 </t>
    </r>
    <r>
      <rPr>
        <sz val="11"/>
        <color theme="1"/>
        <rFont val="Calibri"/>
        <family val="2"/>
        <charset val="1"/>
      </rPr>
      <t xml:space="preserve">abf_gap_26–28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CF03 </t>
    </r>
    <r>
      <rPr>
        <sz val="11"/>
        <color theme="1"/>
        <rFont val="Noto Sans CJK SC"/>
        <family val="2"/>
      </rPr>
      <t xml:space="preserve">部分）；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台積電模型的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每片封裝數、其他用途、年底月產能、委外補充、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需求移入 </t>
    </r>
    <r>
      <rPr>
        <sz val="11"/>
        <color theme="1"/>
        <rFont val="Calibri"/>
        <family val="2"/>
        <charset val="1"/>
      </rPr>
      <t xml:space="preserve">M14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列補區間。每顆載板金額 </t>
    </r>
    <r>
      <rPr>
        <sz val="11"/>
        <color theme="1"/>
        <rFont val="Calibri"/>
        <family val="2"/>
        <charset val="1"/>
      </rPr>
      <t xml:space="preserve">v26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公司營收 </t>
    </r>
    <r>
      <rPr>
        <sz val="11"/>
        <color theme="1"/>
        <rFont val="Calibri"/>
        <family val="2"/>
        <charset val="1"/>
      </rPr>
      <t xml:space="preserve">÷ 70% </t>
    </r>
    <r>
      <rPr>
        <sz val="11"/>
        <color theme="1"/>
        <rFont val="Noto Sans CJK SC"/>
        <family val="2"/>
      </rPr>
      <t xml:space="preserve">校準）與每顆台積電內容 </t>
    </r>
    <r>
      <rPr>
        <sz val="11"/>
        <color theme="1"/>
        <rFont val="Calibri"/>
        <family val="2"/>
        <charset val="1"/>
      </rPr>
      <t xml:space="preserve">ct_* </t>
    </r>
    <r>
      <rPr>
        <sz val="11"/>
        <color theme="1"/>
        <rFont val="Noto Sans CJK SC"/>
        <family val="2"/>
      </rPr>
      <t xml:space="preserve">屬公司營收變數，留在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</si>
  <si>
    <t xml:space="preserve">（工程類分段；新增區間屬判斷類預設，基準不變）</t>
  </si>
  <si>
    <t xml:space="preserve">S17</t>
  </si>
  <si>
    <t xml:space="preserve">判斷</t>
  </si>
  <si>
    <r>
      <rPr>
        <sz val="11"/>
        <color theme="1"/>
        <rFont val="Calibri"/>
        <family val="2"/>
        <charset val="1"/>
      </rPr>
      <t xml:space="preserve">CF20 </t>
    </r>
    <r>
      <rPr>
        <sz val="11"/>
        <color theme="1"/>
        <rFont val="Noto Sans CJK SC"/>
        <family val="2"/>
      </rPr>
      <t xml:space="preserve">景碩份額</t>
    </r>
  </si>
  <si>
    <r>
      <rPr>
        <sz val="11"/>
        <color theme="1"/>
        <rFont val="Noto Sans CJK SC"/>
        <family val="2"/>
      </rPr>
      <t xml:space="preserve">維持預設（各公司模型現值，景碩取剩餘）；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供需表（</t>
    </r>
    <r>
      <rPr>
        <sz val="11"/>
        <color theme="1"/>
        <rFont val="Calibri"/>
        <family val="2"/>
        <charset val="1"/>
      </rPr>
      <t xml:space="preserve">v0.5.1</t>
    </r>
    <r>
      <rPr>
        <sz val="11"/>
        <color theme="1"/>
        <rFont val="Noto Sans CJK SC"/>
        <family val="2"/>
      </rPr>
      <t xml:space="preserve">）建好後，依供給緊縮情形再確認各廠份額</t>
    </r>
  </si>
  <si>
    <r>
      <rPr>
        <sz val="11"/>
        <color theme="1"/>
        <rFont val="Calibri"/>
        <family val="2"/>
        <charset val="1"/>
      </rPr>
      <t xml:space="preserve">Andy 18:07</t>
    </r>
    <r>
      <rPr>
        <sz val="11"/>
        <color theme="1"/>
        <rFont val="Noto Sans CJK SC"/>
        <family val="2"/>
      </rPr>
      <t xml:space="preserve">「这边等到我们下一段把这个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供需表建起来之后，再来确认紧缩的份额。目前就用預設的方式做就可以了」</t>
    </r>
  </si>
  <si>
    <r>
      <rPr>
        <sz val="11"/>
        <color theme="1"/>
        <rFont val="Noto Sans CJK SC"/>
        <family val="2"/>
      </rPr>
      <t xml:space="preserve">定案（暫定，</t>
    </r>
    <r>
      <rPr>
        <sz val="11"/>
        <color theme="1"/>
        <rFont val="Calibri"/>
        <family val="2"/>
        <charset val="1"/>
      </rPr>
      <t xml:space="preserve">v0.5.1 </t>
    </r>
    <r>
      <rPr>
        <sz val="11"/>
        <color theme="1"/>
        <rFont val="Noto Sans CJK SC"/>
        <family val="2"/>
      </rPr>
      <t xml:space="preserve">後複核）</t>
    </r>
  </si>
  <si>
    <t xml:space="preserve">S18</t>
  </si>
  <si>
    <r>
      <rPr>
        <sz val="11"/>
        <color theme="1"/>
        <rFont val="Calibri"/>
        <family val="2"/>
        <charset val="1"/>
      </rPr>
      <t xml:space="preserve">v0.5.1 ABF </t>
    </r>
    <r>
      <rPr>
        <sz val="11"/>
        <color theme="1"/>
        <rFont val="Noto Sans CJK SC"/>
        <family val="2"/>
      </rPr>
      <t xml:space="preserve">供需表</t>
    </r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</si>
  <si>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M15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頁：需求＝加速器有效顆數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^t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0.5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，以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金額權重（加速器 </t>
    </r>
    <r>
      <rPr>
        <sz val="11"/>
        <color theme="1"/>
        <rFont val="Calibri"/>
        <family val="2"/>
        <charset val="1"/>
      </rPr>
      <t xml:space="preserve">28.8%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AI 16.2%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 55%</t>
    </r>
    <r>
      <rPr>
        <sz val="11"/>
        <color theme="1"/>
        <rFont val="Noto Sans CJK SC"/>
        <family val="2"/>
      </rPr>
      <t xml:space="preserve">）加總；供給＝五類載板廠產能指數 </t>
    </r>
    <r>
      <rPr>
        <sz val="11"/>
        <color theme="1"/>
        <rFont val="Calibri"/>
        <family val="2"/>
        <charset val="1"/>
      </rPr>
      <t xml:space="preserve">× 2026 </t>
    </r>
    <r>
      <rPr>
        <sz val="11"/>
        <color theme="1"/>
        <rFont val="Noto Sans CJK SC"/>
        <family val="2"/>
      </rPr>
      <t xml:space="preserve">營收權重，與味之素膜上限取小；缺口以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外部缺口 </t>
    </r>
    <r>
      <rPr>
        <sz val="11"/>
        <color theme="1"/>
        <rFont val="Calibri"/>
        <family val="2"/>
        <charset val="1"/>
      </rPr>
      <t xml:space="preserve">9% </t>
    </r>
    <r>
      <rPr>
        <sz val="11"/>
        <color theme="1"/>
        <rFont val="Noto Sans CJK SC"/>
        <family val="2"/>
      </rPr>
      <t xml:space="preserve">校準。欣興、南電、景碩產能指數與味之素膜上限移入本庫（數值不變）。各公司模型的滿足率暫不改讀本庫缺口（會改變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，屬判斷類，待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）</t>
    </r>
  </si>
  <si>
    <t xml:space="preserve">（工程類分段；新增輸入值屬判斷類預設，均附區間）</t>
  </si>
  <si>
    <t xml:space="preserve">S19</t>
  </si>
  <si>
    <r>
      <rPr>
        <sz val="11"/>
        <color theme="1"/>
        <rFont val="Calibri"/>
        <family val="2"/>
        <charset val="1"/>
      </rPr>
      <t xml:space="preserve">v0.5.2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CCL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滿足率試算</t>
    </r>
  </si>
  <si>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勝宏模型的每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元件金額與指數、台光電模型的每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元件金額與指數移入 </t>
    </r>
    <r>
      <rPr>
        <sz val="11"/>
        <color theme="1"/>
        <rFont val="Calibri"/>
        <family val="2"/>
        <charset val="1"/>
      </rPr>
      <t xml:space="preserve">M16</t>
    </r>
    <r>
      <rPr>
        <sz val="11"/>
        <color theme="1"/>
        <rFont val="Noto Sans CJK SC"/>
        <family val="2"/>
      </rPr>
      <t xml:space="preserve">，數值與文字逐字搬入；新增 </t>
    </r>
    <r>
      <rPr>
        <sz val="11"/>
        <color theme="1"/>
        <rFont val="Calibri"/>
        <family val="2"/>
        <charset val="1"/>
      </rPr>
      <t xml:space="preserve">PGW </t>
    </r>
    <r>
      <rPr>
        <sz val="11"/>
        <color theme="1"/>
        <rFont val="Noto Sans CJK SC"/>
        <family val="2"/>
      </rPr>
      <t xml:space="preserve">頁（每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合計、三情境市場、</t>
    </r>
    <r>
      <rPr>
        <sz val="11"/>
        <color theme="1"/>
        <rFont val="Calibri"/>
        <family val="2"/>
        <charset val="1"/>
      </rPr>
      <t xml:space="preserve">PCB ÷ CCL</t>
    </r>
    <r>
      <rPr>
        <sz val="11"/>
        <color theme="1"/>
        <rFont val="Noto Sans CJK SC"/>
        <family val="2"/>
      </rPr>
      <t xml:space="preserve">）。價格指數與公司份額留在公司模型。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「公司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滿足率改讀本庫缺口」只做試算（報告 </t>
    </r>
    <r>
      <rPr>
        <sz val="11"/>
        <color theme="1"/>
        <rFont val="Calibri"/>
        <family val="2"/>
        <charset val="1"/>
      </rPr>
      <t xml:space="preserve">20261027_v0.5.2</t>
    </r>
    <r>
      <rPr>
        <sz val="11"/>
        <color theme="1"/>
        <rFont val="Noto Sans CJK SC"/>
        <family val="2"/>
      </rPr>
      <t xml:space="preserve">），模型不改，待 </t>
    </r>
    <r>
      <rPr>
        <sz val="11"/>
        <color theme="1"/>
        <rFont val="Calibri"/>
        <family val="2"/>
        <charset val="1"/>
      </rPr>
      <t xml:space="preserve">Andy</t>
    </r>
  </si>
  <si>
    <r>
      <rPr>
        <sz val="11"/>
        <color theme="1"/>
        <rFont val="Calibri"/>
        <family val="2"/>
        <charset val="1"/>
      </rPr>
      <t xml:space="preserve">Andy 18:25</t>
    </r>
    <r>
      <rPr>
        <sz val="11"/>
        <color theme="1"/>
        <rFont val="Noto Sans CJK SC"/>
        <family val="2"/>
      </rPr>
      <t xml:space="preserve">「请继续。」</t>
    </r>
  </si>
  <si>
    <t xml:space="preserve">S20</t>
  </si>
  <si>
    <r>
      <rPr>
        <sz val="11"/>
        <color theme="1"/>
        <rFont val="Calibri"/>
        <family val="2"/>
        <charset val="1"/>
      </rPr>
      <t xml:space="preserve">v0.6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伺服器組裝、商用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</t>
    </r>
  </si>
  <si>
    <r>
      <rPr>
        <sz val="11"/>
        <color theme="1"/>
        <rFont val="Calibri"/>
        <family val="2"/>
        <charset val="1"/>
      </rPr>
      <t xml:space="preserve">(1) M17</t>
    </r>
    <r>
      <rPr>
        <sz val="11"/>
        <color theme="1"/>
        <rFont val="Noto Sans CJK SC"/>
        <family val="2"/>
      </rPr>
      <t xml:space="preserve">：台達電模型的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 </t>
    </r>
    <r>
      <rPr>
        <sz val="11"/>
        <color theme="1"/>
        <rFont val="Calibri"/>
        <family val="2"/>
        <charset val="1"/>
      </rPr>
      <t xml:space="preserve">pkw</t>
    </r>
    <r>
      <rPr>
        <sz val="11"/>
        <color theme="1"/>
        <rFont val="Noto Sans CJK SC"/>
        <family val="2"/>
      </rPr>
      <t xml:space="preserve">、台達電份額相對值、凱基與 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錨點，光寶模型的份額相對值、凱基錨點移入本庫，兩家改讀（數值與文字逐字搬入）；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有效份額為兩家模型校準值的快照（光寶建檔時核對台達電值）。新增 </t>
    </r>
    <r>
      <rPr>
        <sz val="11"/>
        <color theme="1"/>
        <rFont val="Calibri"/>
        <family val="2"/>
        <charset val="1"/>
      </rPr>
      <t xml:space="preserve">ShareTbl AI </t>
    </r>
    <r>
      <rPr>
        <sz val="11"/>
        <color theme="1"/>
        <rFont val="Noto Sans CJK SC"/>
        <family val="2"/>
      </rPr>
      <t xml:space="preserve">電源份額表與 </t>
    </r>
    <r>
      <rPr>
        <sz val="11"/>
        <color theme="1"/>
        <rFont val="Calibri"/>
        <family val="2"/>
        <charset val="1"/>
      </rPr>
      <t xml:space="preserve">K6-pwr</t>
    </r>
    <r>
      <rPr>
        <sz val="11"/>
        <color theme="1"/>
        <rFont val="Noto Sans CJK SC"/>
        <family val="2"/>
      </rPr>
      <t xml:space="preserve">（三情境合計 </t>
    </r>
    <r>
      <rPr>
        <sz val="11"/>
        <color theme="1"/>
        <rFont val="Calibri"/>
        <family val="2"/>
        <charset val="1"/>
      </rPr>
      <t xml:space="preserve">63–76%</t>
    </r>
    <r>
      <rPr>
        <sz val="11"/>
        <color theme="1"/>
        <rFont val="Noto Sans CJK SC"/>
        <family val="2"/>
      </rPr>
      <t xml:space="preserve">，全部 ≤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(2) M18</t>
    </r>
    <r>
      <rPr>
        <sz val="11"/>
        <color theme="1"/>
        <rFont val="Noto Sans CJK SC"/>
        <family val="2"/>
      </rPr>
      <t xml:space="preserve">：廣達模型的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每櫃價格移入，廣達改讀；</t>
    </r>
    <r>
      <rPr>
        <sz val="11"/>
        <color theme="1"/>
        <rFont val="Calibri"/>
        <family val="2"/>
        <charset val="1"/>
      </rPr>
      <t xml:space="preserve">CF09 </t>
    </r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占比以緯穎模型 </t>
    </r>
    <r>
      <rPr>
        <sz val="11"/>
        <color theme="1"/>
        <rFont val="Calibri"/>
        <family val="2"/>
        <charset val="1"/>
      </rPr>
      <t xml:space="preserve">48% </t>
    </r>
    <r>
      <rPr>
        <sz val="11"/>
        <color theme="1"/>
        <rFont val="Noto Sans CJK SC"/>
        <family val="2"/>
      </rPr>
      <t xml:space="preserve">為單一值，緯創由 </t>
    </r>
    <r>
      <rPr>
        <sz val="11"/>
        <color theme="1"/>
        <rFont val="Calibri"/>
        <family val="2"/>
        <charset val="1"/>
      </rPr>
      <t xml:space="preserve">55% </t>
    </r>
    <r>
      <rPr>
        <sz val="11"/>
        <color theme="1"/>
        <rFont val="Noto Sans CJK SC"/>
        <family val="2"/>
      </rPr>
      <t xml:space="preserve">改讀。</t>
    </r>
    <r>
      <rPr>
        <sz val="11"/>
        <color theme="1"/>
        <rFont val="Calibri"/>
        <family val="2"/>
        <charset val="1"/>
      </rPr>
      <t xml:space="preserve">(3) Rack </t>
    </r>
    <r>
      <rPr>
        <sz val="11"/>
        <color theme="1"/>
        <rFont val="Noto Sans CJK SC"/>
        <family val="2"/>
      </rPr>
      <t xml:space="preserve">頁：組裝市場、商用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CF10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依實際產品分世代）、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電源市場；戴爾改用同一分組。</t>
    </r>
    <r>
      <rPr>
        <sz val="11"/>
        <color theme="1"/>
        <rFont val="Calibri"/>
        <family val="2"/>
        <charset val="1"/>
      </rPr>
      <t xml:space="preserve">(4) CF11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Andy 19:11 </t>
    </r>
    <r>
      <rPr>
        <sz val="11"/>
        <color theme="1"/>
        <rFont val="Noto Sans CJK SC"/>
        <family val="2"/>
      </rPr>
      <t xml:space="preserve">指示先試算、不改值。液冷（</t>
    </r>
    <r>
      <rPr>
        <sz val="11"/>
        <color theme="1"/>
        <rFont val="Calibri"/>
        <family val="2"/>
        <charset val="1"/>
      </rPr>
      <t xml:space="preserve">CF04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CF12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lpen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lcadj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mani </t>
    </r>
    <r>
      <rPr>
        <sz val="11"/>
        <color theme="1"/>
        <rFont val="Noto Sans CJK SC"/>
        <family val="2"/>
      </rPr>
      <t xml:space="preserve">移到 </t>
    </r>
    <r>
      <rPr>
        <sz val="11"/>
        <color theme="1"/>
        <rFont val="Calibri"/>
        <family val="2"/>
        <charset val="1"/>
      </rPr>
      <t xml:space="preserve">v0.6.1</t>
    </r>
  </si>
  <si>
    <r>
      <rPr>
        <sz val="11"/>
        <color theme="1"/>
        <rFont val="Calibri"/>
        <family val="2"/>
        <charset val="1"/>
      </rPr>
      <t xml:space="preserve">Andy 19:11</t>
    </r>
    <r>
      <rPr>
        <sz val="11"/>
        <color theme="1"/>
        <rFont val="Noto Sans CJK SC"/>
        <family val="2"/>
      </rPr>
      <t xml:space="preserve">「照交接檔第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節繼續做 </t>
    </r>
    <r>
      <rPr>
        <sz val="11"/>
        <color theme="1"/>
        <rFont val="Calibri"/>
        <family val="2"/>
        <charset val="1"/>
      </rPr>
      <t xml:space="preserve">v0.6……CF11 </t>
    </r>
    <r>
      <rPr>
        <sz val="11"/>
        <color theme="1"/>
        <rFont val="Noto Sans CJK SC"/>
        <family val="2"/>
      </rPr>
      <t xml:space="preserve">台達電電源份額改值前，先試算台達電與光寶的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影響給我看。其餘照批次模式自動進行」</t>
    </r>
  </si>
  <si>
    <t xml:space="preserve">S21</t>
  </si>
  <si>
    <r>
      <rPr>
        <sz val="11"/>
        <color theme="1"/>
        <rFont val="Calibri"/>
        <family val="2"/>
        <charset val="1"/>
      </rPr>
      <t xml:space="preserve">v0.6.1</t>
    </r>
    <r>
      <rPr>
        <sz val="11"/>
        <color theme="1"/>
        <rFont val="Noto Sans CJK SC"/>
        <family val="2"/>
      </rPr>
      <t xml:space="preserve">：液冷</t>
    </r>
  </si>
  <si>
    <r>
      <rPr>
        <sz val="11"/>
        <color theme="1"/>
        <rFont val="Calibri"/>
        <family val="2"/>
        <charset val="1"/>
      </rPr>
      <t xml:space="preserve">(1) M19</t>
    </r>
    <r>
      <rPr>
        <sz val="11"/>
        <color theme="1"/>
        <rFont val="Noto Sans CJK SC"/>
        <family val="2"/>
      </rPr>
      <t xml:space="preserve">：機架內液冷每架內容（原在 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）、分歧管、內容調整、滲透率、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對照（原在 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）、奇鋐與雙鴻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份額快照、奇鋐份額相對值（雙鴻原本即讀同一組）、健策冷板元件份額（原在 </t>
    </r>
    <r>
      <rPr>
        <sz val="11"/>
        <color theme="1"/>
        <rFont val="Calibri"/>
        <family val="2"/>
        <charset val="1"/>
      </rPr>
      <t xml:space="preserve">jentech</t>
    </r>
    <r>
      <rPr>
        <sz val="11"/>
        <color theme="1"/>
        <rFont val="Noto Sans CJK SC"/>
        <family val="2"/>
      </rPr>
      <t xml:space="preserve">）移入本庫；橋接表、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jentech </t>
    </r>
    <r>
      <rPr>
        <sz val="11"/>
        <color theme="1"/>
        <rFont val="Noto Sans CJK SC"/>
        <family val="2"/>
      </rPr>
      <t xml:space="preserve">改讀，數值不變。</t>
    </r>
    <r>
      <rPr>
        <sz val="11"/>
        <color theme="1"/>
        <rFont val="Calibri"/>
        <family val="2"/>
        <charset val="1"/>
      </rPr>
      <t xml:space="preserve">(2) Rack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液冷市場三情境；</t>
    </r>
    <r>
      <rPr>
        <sz val="11"/>
        <color theme="1"/>
        <rFont val="Calibri"/>
        <family val="2"/>
        <charset val="1"/>
      </rPr>
      <t xml:space="preserve">ShareTbl AI </t>
    </r>
    <r>
      <rPr>
        <sz val="11"/>
        <color theme="1"/>
        <rFont val="Noto Sans CJK SC"/>
        <family val="2"/>
      </rPr>
      <t xml:space="preserve">液冷份額表與 </t>
    </r>
    <r>
      <rPr>
        <sz val="11"/>
        <color theme="1"/>
        <rFont val="Calibri"/>
        <family val="2"/>
        <charset val="1"/>
      </rPr>
      <t xml:space="preserve">K6-lc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CF04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(3) CF12</t>
    </r>
    <r>
      <rPr>
        <sz val="11"/>
        <color theme="1"/>
        <rFont val="Noto Sans CJK SC"/>
        <family val="2"/>
      </rPr>
      <t xml:space="preserve">：市場定義為機架內液冷＋分歧管，台達電液冷屬機架外，不入表；機架外冷卻（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L2A</t>
    </r>
    <r>
      <rPr>
        <sz val="11"/>
        <color theme="1"/>
        <rFont val="Noto Sans CJK SC"/>
        <family val="2"/>
      </rPr>
      <t xml:space="preserve">）市場未建，列為後續</t>
    </r>
  </si>
  <si>
    <r>
      <rPr>
        <sz val="11"/>
        <color theme="1"/>
        <rFont val="Calibri"/>
        <family val="2"/>
        <charset val="1"/>
      </rPr>
      <t xml:space="preserve">Andy 19:11</t>
    </r>
    <r>
      <rPr>
        <sz val="11"/>
        <color theme="1"/>
        <rFont val="Noto Sans CJK SC"/>
        <family val="2"/>
      </rPr>
      <t xml:space="preserve">「其餘照批次模式自動進行」</t>
    </r>
  </si>
  <si>
    <t xml:space="preserve">S22</t>
  </si>
  <si>
    <r>
      <rPr>
        <sz val="11"/>
        <color theme="1"/>
        <rFont val="Calibri"/>
        <family val="2"/>
        <charset val="1"/>
      </rPr>
      <t xml:space="preserve">v0.7</t>
    </r>
    <r>
      <rPr>
        <sz val="11"/>
        <color theme="1"/>
        <rFont val="Noto Sans CJK SC"/>
        <family val="2"/>
      </rPr>
      <t xml:space="preserve">：設備市場層行業輸入與測試設備</t>
    </r>
  </si>
  <si>
    <r>
      <rPr>
        <sz val="11"/>
        <color theme="1"/>
        <rFont val="Calibri"/>
        <family val="2"/>
        <charset val="1"/>
      </rPr>
      <t xml:space="preserve">(1) M20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的行業輸入（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年中預測、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外推、其他晶圓廠設備成長與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資本支出、設備情境係數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分類、券商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對照）移入本庫，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Noto Sans CJK SC"/>
        <family val="2"/>
      </rPr>
      <t xml:space="preserve">改讀；三大記憶體廠與台積電資本支出、設備占比屬公司變數，留在 </t>
    </r>
    <r>
      <rPr>
        <sz val="11"/>
        <color theme="1"/>
        <rFont val="Calibri"/>
        <family val="2"/>
        <charset val="1"/>
      </rPr>
      <t xml:space="preserve">equipment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(2) M21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的測試市場錨點、非 </t>
    </r>
    <r>
      <rPr>
        <sz val="11"/>
        <color theme="1"/>
        <rFont val="Calibri"/>
        <family val="2"/>
        <charset val="1"/>
      </rPr>
      <t xml:space="preserve">AI SoC</t>
    </r>
    <r>
      <rPr>
        <sz val="11"/>
        <color theme="1"/>
        <rFont val="Noto Sans CJK SC"/>
        <family val="2"/>
      </rPr>
      <t xml:space="preserve">、每顆測試時間係數、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權重與泰瑞達測試 </t>
    </r>
    <r>
      <rPr>
        <sz val="11"/>
        <color theme="1"/>
        <rFont val="Calibri"/>
        <family val="2"/>
        <charset val="1"/>
      </rPr>
      <t xml:space="preserve">÷ WFE </t>
    </r>
    <r>
      <rPr>
        <sz val="11"/>
        <color theme="1"/>
        <rFont val="Noto Sans CJK SC"/>
        <family val="2"/>
      </rPr>
      <t xml:space="preserve">區間移入本庫。</t>
    </r>
    <r>
      <rPr>
        <sz val="11"/>
        <color theme="1"/>
        <rFont val="Calibri"/>
        <family val="2"/>
        <charset val="1"/>
      </rPr>
      <t xml:space="preserve">(3) Equip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分項路徑、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測試機市場三情境、測試 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）；泰瑞達建檔時核對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成品的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市場與本庫一致</t>
    </r>
  </si>
  <si>
    <t xml:space="preserve">2026-10-28</t>
  </si>
  <si>
    <r>
      <rPr>
        <sz val="11"/>
        <color theme="1"/>
        <rFont val="Calibri"/>
        <family val="2"/>
        <charset val="1"/>
      </rPr>
      <t xml:space="preserve">Andy 2026-10-28 06:45</t>
    </r>
    <r>
      <rPr>
        <sz val="11"/>
        <color theme="1"/>
        <rFont val="Noto Sans CJK SC"/>
        <family val="2"/>
      </rPr>
      <t xml:space="preserve">「請繼續」</t>
    </r>
  </si>
  <si>
    <t xml:space="preserve">S23</t>
  </si>
  <si>
    <r>
      <rPr>
        <sz val="11"/>
        <color theme="1"/>
        <rFont val="Calibri"/>
        <family val="2"/>
        <charset val="1"/>
      </rPr>
      <t xml:space="preserve">v0.7.1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堆疊技術與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市場輸入</t>
    </r>
  </si>
  <si>
    <r>
      <rPr>
        <sz val="11"/>
        <color theme="1"/>
        <rFont val="Calibri"/>
        <family val="2"/>
        <charset val="1"/>
      </rPr>
      <t xml:space="preserve">(1) M22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模型的核心晶粒容量、堆疊層數、混合鍵合占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工序比例（</t>
    </r>
    <r>
      <rPr>
        <sz val="11"/>
        <color theme="1"/>
        <rFont val="Calibri"/>
        <family val="2"/>
        <charset val="1"/>
      </rPr>
      <t xml:space="preserve">2025–2030</t>
    </r>
    <r>
      <rPr>
        <sz val="11"/>
        <color theme="1"/>
        <rFont val="Noto Sans CJK SC"/>
        <family val="2"/>
      </rPr>
      <t xml:space="preserve">）移入本庫，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改讀，</t>
    </r>
    <r>
      <rPr>
        <sz val="11"/>
        <color theme="1"/>
        <rFont val="Calibri"/>
        <family val="2"/>
        <charset val="1"/>
      </rPr>
      <t xml:space="preserve">hanmi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由讀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成品改讀本庫；</t>
    </r>
    <r>
      <rPr>
        <sz val="11"/>
        <color theme="1"/>
        <rFont val="Calibri"/>
        <family val="2"/>
        <charset val="1"/>
      </rPr>
      <t xml:space="preserve">Equip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節列三情境混合鍵合比例。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hb_on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hb_eff</t>
    </r>
    <r>
      <rPr>
        <sz val="11"/>
        <color theme="1"/>
        <rFont val="Noto Sans CJK SC"/>
        <family val="2"/>
      </rPr>
      <t xml:space="preserve">（混合鍵合對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裝置支出的影響）、</t>
    </r>
    <r>
      <rPr>
        <sz val="11"/>
        <color theme="1"/>
        <rFont val="Calibri"/>
        <family val="2"/>
        <charset val="1"/>
      </rPr>
      <t xml:space="preserve">dlt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屬公司模型，留在原處。</t>
    </r>
    <r>
      <rPr>
        <sz val="11"/>
        <color theme="1"/>
        <rFont val="Calibri"/>
        <family val="2"/>
        <charset val="1"/>
      </rPr>
      <t xml:space="preserve">(2) M23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markets/nand </t>
    </r>
    <r>
      <rPr>
        <sz val="11"/>
        <color theme="1"/>
        <rFont val="Noto Sans CJK SC"/>
        <family val="2"/>
      </rPr>
      <t xml:space="preserve">的行業輸入（每顆加速器企業級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容量、位元基期與應用結構、各應用與供給位元年增、各廠季營收、份額年變動）移入本庫；前五大占比（公式）、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指引、合資群份額情境留在 </t>
    </r>
    <r>
      <rPr>
        <sz val="11"/>
        <color theme="1"/>
        <rFont val="Calibri"/>
        <family val="2"/>
        <charset val="1"/>
      </rPr>
      <t xml:space="preserve">markets/nand</t>
    </r>
  </si>
  <si>
    <t xml:space="preserve">S24</t>
  </si>
  <si>
    <r>
      <rPr>
        <sz val="11"/>
        <color theme="1"/>
        <rFont val="Calibri"/>
        <family val="2"/>
        <charset val="1"/>
      </rPr>
      <t xml:space="preserve">v0.8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營收份額表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</si>
  <si>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海力士、三星、美光三家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營收份額（</t>
    </r>
    <r>
      <rPr>
        <sz val="11"/>
        <color theme="1"/>
        <rFont val="Calibri"/>
        <family val="2"/>
        <charset val="1"/>
      </rPr>
      <t xml:space="preserve">2025–2029</t>
    </r>
    <r>
      <rPr>
        <sz val="11"/>
        <color theme="1"/>
        <rFont val="Noto Sans CJK SC"/>
        <family val="2"/>
      </rPr>
      <t xml:space="preserve">，基準與低／高）移入本庫 </t>
    </r>
    <r>
      <rPr>
        <sz val="11"/>
        <color theme="1"/>
        <rFont val="Calibri"/>
        <family val="2"/>
        <charset val="1"/>
      </rPr>
      <t xml:space="preserve">M24</t>
    </r>
    <r>
      <rPr>
        <sz val="11"/>
        <color theme="1"/>
        <rFont val="Noto Sans CJK SC"/>
        <family val="2"/>
      </rPr>
      <t xml:space="preserve">，三家 </t>
    </r>
    <r>
      <rPr>
        <sz val="11"/>
        <color theme="1"/>
        <rFont val="Calibri"/>
        <family val="2"/>
        <charset val="1"/>
      </rPr>
      <t xml:space="preserve">company.py </t>
    </r>
    <r>
      <rPr>
        <sz val="11"/>
        <color theme="1"/>
        <rFont val="Noto Sans CJK SC"/>
        <family val="2"/>
      </rPr>
      <t xml:space="preserve">改讀；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份額表與 </t>
    </r>
    <r>
      <rPr>
        <sz val="11"/>
        <color theme="1"/>
        <rFont val="Calibri"/>
        <family val="2"/>
        <charset val="1"/>
      </rPr>
      <t xml:space="preserve">Checks K6-hbm</t>
    </r>
    <r>
      <rPr>
        <sz val="11"/>
        <color theme="1"/>
        <rFont val="Noto Sans CJK SC"/>
        <family val="2"/>
      </rPr>
      <t xml:space="preserve">（合計 </t>
    </r>
    <r>
      <rPr>
        <sz val="11"/>
        <color theme="1"/>
        <rFont val="Calibri"/>
        <family val="2"/>
        <charset val="1"/>
      </rPr>
      <t xml:space="preserve">96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，餘額為長鑫等）；份額不隨情境（與現行相同）。台積電模型的『</t>
    </r>
    <r>
      <rPr>
        <sz val="11"/>
        <color theme="1"/>
        <rFont val="Calibri"/>
        <family val="2"/>
        <charset val="1"/>
      </rPr>
      <t xml:space="preserve">HBM 2027 </t>
    </r>
    <r>
      <rPr>
        <sz val="11"/>
        <color theme="1"/>
        <rFont val="Noto Sans CJK SC"/>
        <family val="2"/>
      </rPr>
      <t xml:space="preserve">需求缺口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供給』由手打 </t>
    </r>
    <r>
      <rPr>
        <sz val="11"/>
        <color theme="1"/>
        <rFont val="Calibri"/>
        <family val="2"/>
        <charset val="1"/>
      </rPr>
      <t xml:space="preserve">21% </t>
    </r>
    <r>
      <rPr>
        <sz val="11"/>
        <color theme="1"/>
        <rFont val="Noto Sans CJK SC"/>
        <family val="2"/>
      </rPr>
      <t xml:space="preserve">改讀本庫推導值（</t>
    </r>
    <r>
      <rPr>
        <sz val="11"/>
        <color theme="1"/>
        <rFont val="Calibri"/>
        <family val="2"/>
        <charset val="1"/>
      </rPr>
      <t xml:space="preserve">21.0%</t>
    </r>
    <r>
      <rPr>
        <sz val="11"/>
        <color theme="1"/>
        <rFont val="Noto Sans CJK SC"/>
        <family val="2"/>
      </rPr>
      <t xml:space="preserve">，只在對照列）。數值不變</t>
    </r>
  </si>
  <si>
    <r>
      <rPr>
        <sz val="11"/>
        <color theme="1"/>
        <rFont val="Calibri"/>
        <family val="2"/>
        <charset val="1"/>
      </rPr>
      <t xml:space="preserve">Andy 2026-10-28 14:33</t>
    </r>
    <r>
      <rPr>
        <sz val="11"/>
        <color theme="1"/>
        <rFont val="Noto Sans CJK SC"/>
        <family val="2"/>
      </rPr>
      <t xml:space="preserve">「請盤點一下</t>
    </r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的工作排程，並繼續做下去」</t>
    </r>
  </si>
  <si>
    <t xml:space="preserve">S25</t>
  </si>
  <si>
    <r>
      <rPr>
        <sz val="11"/>
        <color theme="1"/>
        <rFont val="Calibri"/>
        <family val="2"/>
        <charset val="1"/>
      </rPr>
      <t xml:space="preserve">v0.8.1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伺服器組裝份額表</t>
    </r>
  </si>
  <si>
    <r>
      <rPr>
        <sz val="11"/>
        <color theme="1"/>
        <rFont val="Noto Sans CJK SC"/>
        <family val="2"/>
      </rPr>
      <t xml:space="preserve">廣達、鴻海、緯創本體、緯穎的組裝份額相對值（</t>
    </r>
    <r>
      <rPr>
        <sz val="11"/>
        <color theme="1"/>
        <rFont val="Calibri"/>
        <family val="2"/>
        <charset val="1"/>
      </rPr>
      <t xml:space="preserve">2027–29</t>
    </r>
    <r>
      <rPr>
        <sz val="11"/>
        <color theme="1"/>
        <rFont val="Noto Sans CJK SC"/>
        <family val="2"/>
      </rPr>
      <t xml:space="preserve">）與緯穎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比重移入本庫 </t>
    </r>
    <r>
      <rPr>
        <sz val="11"/>
        <color theme="1"/>
        <rFont val="Calibri"/>
        <family val="2"/>
        <charset val="1"/>
      </rPr>
      <t xml:space="preserve">M25</t>
    </r>
    <r>
      <rPr>
        <sz val="11"/>
        <color theme="1"/>
        <rFont val="Noto Sans CJK SC"/>
        <family val="2"/>
      </rPr>
      <t xml:space="preserve">，四家改讀；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有效份額為公司模型校準快照（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新增組裝份額表（含緯穎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傾斜係數）與 </t>
    </r>
    <r>
      <rPr>
        <sz val="11"/>
        <color theme="1"/>
        <rFont val="Calibri"/>
        <family val="2"/>
        <charset val="1"/>
      </rPr>
      <t xml:space="preserve">Checks K6-asm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、美超微以整櫃售價計、分母不同，不入表。</t>
    </r>
    <r>
      <rPr>
        <sz val="11"/>
        <color theme="1"/>
        <rFont val="Calibri"/>
        <family val="2"/>
        <charset val="1"/>
      </rPr>
      <t xml:space="preserve">CF23</t>
    </r>
    <r>
      <rPr>
        <sz val="11"/>
        <color theme="1"/>
        <rFont val="Noto Sans CJK SC"/>
        <family val="2"/>
      </rPr>
      <t xml:space="preserve">（緯創模型的緯穎份額路徑與緯穎模型不同）登錄並試算，預設暫不改。數值不變</t>
    </r>
  </si>
  <si>
    <t xml:space="preserve">S26</t>
  </si>
  <si>
    <r>
      <rPr>
        <sz val="11"/>
        <color theme="1"/>
        <rFont val="Calibri"/>
        <family val="2"/>
        <charset val="1"/>
      </rPr>
      <t xml:space="preserve">v0.8.2</t>
    </r>
    <r>
      <rPr>
        <sz val="11"/>
        <color theme="1"/>
        <rFont val="Noto Sans CJK SC"/>
        <family val="2"/>
      </rPr>
      <t xml:space="preserve">：共用匯率</t>
    </r>
  </si>
  <si>
    <r>
      <rPr>
        <sz val="11"/>
        <color theme="1"/>
        <rFont val="Noto Sans CJK SC"/>
        <family val="2"/>
      </rPr>
      <t xml:space="preserve">新台幣 </t>
    </r>
    <r>
      <rPr>
        <sz val="11"/>
        <color theme="1"/>
        <rFont val="Calibri"/>
        <family val="2"/>
        <charset val="1"/>
      </rPr>
      <t xml:space="preserve">32.0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30.5–33.0</t>
    </r>
    <r>
      <rPr>
        <sz val="11"/>
        <color theme="1"/>
        <rFont val="Noto Sans CJK SC"/>
        <family val="2"/>
      </rPr>
      <t xml:space="preserve">）、人民幣 </t>
    </r>
    <r>
      <rPr>
        <sz val="11"/>
        <color theme="1"/>
        <rFont val="Calibri"/>
        <family val="2"/>
        <charset val="1"/>
      </rPr>
      <t xml:space="preserve">6.72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6.50–7.00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2026-10-16 </t>
    </r>
    <r>
      <rPr>
        <sz val="11"/>
        <color theme="1"/>
        <rFont val="Noto Sans CJK SC"/>
        <family val="2"/>
      </rPr>
      <t xml:space="preserve">中間價）、韓元 </t>
    </r>
    <r>
      <rPr>
        <sz val="11"/>
        <color theme="1"/>
        <rFont val="Calibri"/>
        <family val="2"/>
        <charset val="1"/>
      </rPr>
      <t xml:space="preserve">1,420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1,350–1,500</t>
    </r>
    <r>
      <rPr>
        <sz val="11"/>
        <color theme="1"/>
        <rFont val="Noto Sans CJK SC"/>
        <family val="2"/>
      </rPr>
      <t xml:space="preserve">）移入本庫 </t>
    </r>
    <r>
      <rPr>
        <sz val="11"/>
        <color theme="1"/>
        <rFont val="Calibri"/>
        <family val="2"/>
        <charset val="1"/>
      </rPr>
      <t xml:space="preserve">M26</t>
    </r>
    <r>
      <rPr>
        <sz val="11"/>
        <color theme="1"/>
        <rFont val="Noto Sans CJK SC"/>
        <family val="2"/>
      </rPr>
      <t xml:space="preserve">；台廠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個、陸廠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個、韓廠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個模型改讀（台積電、聯發科、創意、世芯、智邦只讀基準值，保留自己的區間）。欣興、南電、景碩 </t>
    </r>
    <r>
      <rPr>
        <sz val="11"/>
        <color theme="1"/>
        <rFont val="Calibri"/>
        <family val="2"/>
        <charset val="1"/>
      </rPr>
      <t xml:space="preserve">32.5 → 32.0</t>
    </r>
    <r>
      <rPr>
        <sz val="11"/>
        <color theme="1"/>
        <rFont val="Noto Sans CJK SC"/>
        <family val="2"/>
      </rPr>
      <t xml:space="preserve">，中際旭創、新易盛 </t>
    </r>
    <r>
      <rPr>
        <sz val="11"/>
        <color theme="1"/>
        <rFont val="Calibri"/>
        <family val="2"/>
        <charset val="1"/>
      </rPr>
      <t xml:space="preserve">7.1 → 6.72</t>
    </r>
    <r>
      <rPr>
        <sz val="11"/>
        <color theme="1"/>
        <rFont val="Noto Sans CJK SC"/>
        <family val="2"/>
      </rPr>
      <t xml:space="preserve">；試算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變動皆 ≤ </t>
    </r>
    <r>
      <rPr>
        <sz val="11"/>
        <color theme="1"/>
        <rFont val="Calibri"/>
        <family val="2"/>
        <charset val="1"/>
      </rPr>
      <t xml:space="preserve">0.1%</t>
    </r>
    <r>
      <rPr>
        <sz val="11"/>
        <color theme="1"/>
        <rFont val="Noto Sans CJK SC"/>
        <family val="2"/>
      </rPr>
      <t xml:space="preserve">、目標價 ≤ </t>
    </r>
    <r>
      <rPr>
        <sz val="11"/>
        <color theme="1"/>
        <rFont val="Calibri"/>
        <family val="2"/>
        <charset val="1"/>
      </rPr>
      <t xml:space="preserve">0.4%</t>
    </r>
    <r>
      <rPr>
        <sz val="11"/>
        <color theme="1"/>
        <rFont val="Noto Sans CJK SC"/>
        <family val="2"/>
      </rPr>
      <t xml:space="preserve">，投資建議不變。日圓不共用（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的匯率為公司財測前提，屬公司變數）</t>
    </r>
  </si>
  <si>
    <t xml:space="preserve">S27</t>
  </si>
  <si>
    <r>
      <rPr>
        <sz val="11"/>
        <color theme="1"/>
        <rFont val="Calibri"/>
        <family val="2"/>
        <charset val="1"/>
      </rPr>
      <t xml:space="preserve">v0.8.3</t>
    </r>
    <r>
      <rPr>
        <sz val="11"/>
        <color theme="1"/>
        <rFont val="Noto Sans CJK SC"/>
        <family val="2"/>
      </rPr>
      <t xml:space="preserve">：衝突登錄清理</t>
    </r>
  </si>
  <si>
    <r>
      <rPr>
        <sz val="11"/>
        <color theme="1"/>
        <rFont val="Noto Sans CJK SC"/>
        <family val="2"/>
      </rPr>
      <t xml:space="preserve">文件類衝突結案：</t>
    </r>
    <r>
      <rPr>
        <sz val="11"/>
        <color theme="1"/>
        <rFont val="Calibri"/>
        <family val="2"/>
        <charset val="1"/>
      </rPr>
      <t xml:space="preserve">CF02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對照改以欣興 </t>
    </r>
    <r>
      <rPr>
        <sz val="11"/>
        <color theme="1"/>
        <rFont val="Calibri"/>
        <family val="2"/>
        <charset val="1"/>
      </rPr>
      <t xml:space="preserve">537 </t>
    </r>
    <r>
      <rPr>
        <sz val="11"/>
        <color theme="1"/>
        <rFont val="Noto Sans CJK SC"/>
        <family val="2"/>
      </rPr>
      <t xml:space="preserve">億為準，只改來源文字）、</t>
    </r>
    <r>
      <rPr>
        <sz val="11"/>
        <color theme="1"/>
        <rFont val="Calibri"/>
        <family val="2"/>
        <charset val="1"/>
      </rPr>
      <t xml:space="preserve">CF05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README </t>
    </r>
    <r>
      <rPr>
        <sz val="11"/>
        <color theme="1"/>
        <rFont val="Noto Sans CJK SC"/>
        <family val="2"/>
      </rPr>
      <t xml:space="preserve">已一致）、</t>
    </r>
    <r>
      <rPr>
        <sz val="11"/>
        <color theme="1"/>
        <rFont val="Calibri"/>
        <family val="2"/>
        <charset val="1"/>
      </rPr>
      <t xml:space="preserve">CF06</t>
    </r>
    <r>
      <rPr>
        <sz val="11"/>
        <color theme="1"/>
        <rFont val="Noto Sans CJK SC"/>
        <family val="2"/>
      </rPr>
      <t xml:space="preserve">（韓美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標籤更正）、</t>
    </r>
    <r>
      <rPr>
        <sz val="11"/>
        <color theme="1"/>
        <rFont val="Calibri"/>
        <family val="2"/>
        <charset val="1"/>
      </rPr>
      <t xml:space="preserve">CF07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BESI README </t>
    </r>
    <r>
      <rPr>
        <sz val="11"/>
        <color theme="1"/>
        <rFont val="Noto Sans CJK SC"/>
        <family val="2"/>
      </rPr>
      <t xml:space="preserve">更正）、</t>
    </r>
    <r>
      <rPr>
        <sz val="11"/>
        <color theme="1"/>
        <rFont val="Calibri"/>
        <family val="2"/>
        <charset val="1"/>
      </rPr>
      <t xml:space="preserve">CF08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Lam README 25 </t>
    </r>
    <r>
      <rPr>
        <sz val="11"/>
        <color theme="1"/>
        <rFont val="Noto Sans CJK SC"/>
        <family val="2"/>
      </rPr>
      <t xml:space="preserve">倍）、</t>
    </r>
    <r>
      <rPr>
        <sz val="11"/>
        <color theme="1"/>
        <rFont val="Calibri"/>
        <family val="2"/>
        <charset val="1"/>
      </rPr>
      <t xml:space="preserve">CF16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 </t>
    </r>
    <r>
      <rPr>
        <sz val="11"/>
        <color theme="1"/>
        <rFont val="Noto Sans CJK SC"/>
        <family val="2"/>
      </rPr>
      <t xml:space="preserve">候選母體 </t>
    </r>
    <r>
      <rPr>
        <sz val="11"/>
        <color theme="1"/>
        <rFont val="Calibri"/>
        <family val="2"/>
        <charset val="1"/>
      </rPr>
      <t xml:space="preserve">v0.2.4 </t>
    </r>
    <r>
      <rPr>
        <sz val="11"/>
        <color theme="1"/>
        <rFont val="Noto Sans CJK SC"/>
        <family val="2"/>
      </rPr>
      <t xml:space="preserve">狀態欄）。</t>
    </r>
    <r>
      <rPr>
        <sz val="11"/>
        <color theme="1"/>
        <rFont val="Calibri"/>
        <family val="2"/>
        <charset val="1"/>
      </rPr>
      <t xml:space="preserve">CF01</t>
    </r>
    <r>
      <rPr>
        <sz val="11"/>
        <color theme="1"/>
        <rFont val="Noto Sans CJK SC"/>
        <family val="2"/>
      </rPr>
      <t xml:space="preserve">（南電新廠資本支出）屬公司變數，移到南電分部重建處理。</t>
    </r>
    <r>
      <rPr>
        <sz val="11"/>
        <color theme="1"/>
        <rFont val="Calibri"/>
        <family val="2"/>
        <charset val="1"/>
      </rPr>
      <t xml:space="preserve">G5 </t>
    </r>
    <r>
      <rPr>
        <sz val="11"/>
        <color theme="1"/>
        <rFont val="Noto Sans CJK SC"/>
        <family val="2"/>
      </rPr>
      <t xml:space="preserve">待處理項目 </t>
    </r>
    <r>
      <rPr>
        <sz val="11"/>
        <color theme="1"/>
        <rFont val="Calibri"/>
        <family val="2"/>
        <charset val="1"/>
      </rPr>
      <t xml:space="preserve">10 → 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CF03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CF23</t>
    </r>
    <r>
      <rPr>
        <sz val="11"/>
        <color theme="1"/>
        <rFont val="Noto Sans CJK SC"/>
        <family val="2"/>
      </rPr>
      <t xml:space="preserve">，皆待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CF03 </t>
    </r>
    <r>
      <rPr>
        <sz val="11"/>
        <color theme="1"/>
        <rFont val="Noto Sans CJK SC"/>
        <family val="2"/>
      </rPr>
      <t xml:space="preserve">狀態補上「待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」字首以便計數）</t>
    </r>
  </si>
  <si>
    <t xml:space="preserve">S28</t>
  </si>
  <si>
    <r>
      <rPr>
        <sz val="11"/>
        <color theme="1"/>
        <rFont val="Calibri"/>
        <family val="2"/>
        <charset val="1"/>
      </rPr>
      <t xml:space="preserve">v0.8.4</t>
    </r>
    <r>
      <rPr>
        <sz val="11"/>
        <color theme="1"/>
        <rFont val="Noto Sans CJK SC"/>
        <family val="2"/>
      </rPr>
      <t xml:space="preserve">：來源複核（</t>
    </r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）後的標記與來源文字修正</t>
    </r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</si>
  <si>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情境季價路徑 </t>
    </r>
    <r>
      <rPr>
        <sz val="11"/>
        <color theme="1"/>
        <rFont val="Calibri"/>
        <family val="2"/>
        <charset val="1"/>
      </rPr>
      <t xml:space="preserve">cqA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8–15 </t>
    </r>
    <r>
      <rPr>
        <sz val="11"/>
        <color theme="1"/>
        <rFont val="Noto Sans CJK SC"/>
        <family val="2"/>
      </rPr>
      <t xml:space="preserve">列（</t>
    </r>
    <r>
      <rPr>
        <sz val="11"/>
        <color theme="1"/>
        <rFont val="Calibri"/>
        <family val="2"/>
        <charset val="1"/>
      </rPr>
      <t xml:space="preserve">2027–28</t>
    </r>
    <r>
      <rPr>
        <sz val="11"/>
        <color theme="1"/>
        <rFont val="Noto Sans CJK SC"/>
        <family val="2"/>
      </rPr>
      <t xml:space="preserve">）由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改標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（標示來源只有年度或半年數字，逐季為本庫拆分）；第 </t>
    </r>
    <r>
      <rPr>
        <sz val="11"/>
        <color theme="1"/>
        <rFont val="Calibri"/>
        <family val="2"/>
        <charset val="1"/>
      </rPr>
      <t xml:space="preserve">16–19 </t>
    </r>
    <r>
      <rPr>
        <sz val="11"/>
        <color theme="1"/>
        <rFont val="Noto Sans CJK SC"/>
        <family val="2"/>
      </rPr>
      <t xml:space="preserve">列（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）改標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，區間取情境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同季值（標示來源只涵蓋到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ts_mk_soc26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ts_mk_mem26 </t>
    </r>
    <r>
      <rPr>
        <sz val="11"/>
        <color theme="1"/>
        <rFont val="Noto Sans CJK SC"/>
        <family val="2"/>
      </rPr>
      <t xml:space="preserve">來源改為 </t>
    </r>
    <r>
      <rPr>
        <sz val="11"/>
        <color theme="1"/>
        <rFont val="Calibri"/>
        <family val="2"/>
        <charset val="1"/>
      </rPr>
      <t xml:space="preserve">Advantest 2026-07-29 </t>
    </r>
    <r>
      <rPr>
        <sz val="11"/>
        <color theme="1"/>
        <rFont val="Noto Sans CJK SC"/>
        <family val="2"/>
      </rPr>
      <t xml:space="preserve">決算說明原文（</t>
    </r>
    <r>
      <rPr>
        <sz val="11"/>
        <color theme="1"/>
        <rFont val="Calibri"/>
        <family val="2"/>
        <charset val="1"/>
      </rPr>
      <t xml:space="preserve">105–115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25–30 </t>
    </r>
    <r>
      <rPr>
        <sz val="11"/>
        <color theme="1"/>
        <rFont val="Noto Sans CJK SC"/>
        <family val="2"/>
      </rPr>
      <t xml:space="preserve">億美元；原寫 </t>
    </r>
    <r>
      <rPr>
        <sz val="11"/>
        <color theme="1"/>
        <rFont val="Calibri"/>
        <family val="2"/>
        <charset val="1"/>
      </rPr>
      <t xml:space="preserve">4/27 </t>
    </r>
    <r>
      <rPr>
        <sz val="11"/>
        <color theme="1"/>
        <rFont val="Noto Sans CJK SC"/>
        <family val="2"/>
      </rPr>
      <t xml:space="preserve">簡報為誤植，</t>
    </r>
    <r>
      <rPr>
        <sz val="11"/>
        <color theme="1"/>
        <rFont val="Calibri"/>
        <family val="2"/>
        <charset val="1"/>
      </rPr>
      <t xml:space="preserve">4/27 </t>
    </r>
    <r>
      <rPr>
        <sz val="11"/>
        <color theme="1"/>
        <rFont val="Noto Sans CJK SC"/>
        <family val="2"/>
      </rPr>
      <t xml:space="preserve">實為 </t>
    </r>
    <r>
      <rPr>
        <sz val="11"/>
        <color theme="1"/>
        <rFont val="Calibri"/>
        <family val="2"/>
        <charset val="1"/>
      </rPr>
      <t xml:space="preserve">87–95 </t>
    </r>
    <r>
      <rPr>
        <sz val="11"/>
        <color theme="1"/>
        <rFont val="Noto Sans CJK SC"/>
        <family val="2"/>
      </rPr>
      <t xml:space="preserve">億）。輸入值全部不變</t>
    </r>
  </si>
  <si>
    <t xml:space="preserve">2026-10-29</t>
  </si>
  <si>
    <r>
      <rPr>
        <sz val="11"/>
        <color theme="1"/>
        <rFont val="Calibri"/>
        <family val="2"/>
        <charset val="1"/>
      </rPr>
      <t xml:space="preserve">Andy 2026-10-28 16:28</t>
    </r>
    <r>
      <rPr>
        <sz val="11"/>
        <color theme="1"/>
        <rFont val="Noto Sans CJK SC"/>
        <family val="2"/>
      </rPr>
      <t xml:space="preserve">「好」（核准來源複核）；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「請繼續」</t>
    </r>
  </si>
  <si>
    <t xml:space="preserve">S29</t>
  </si>
  <si>
    <t xml:space="preserve">輸入</t>
  </si>
  <si>
    <r>
      <rPr>
        <sz val="11"/>
        <color theme="1"/>
        <rFont val="Calibri"/>
        <family val="2"/>
        <charset val="1"/>
      </rPr>
      <t xml:space="preserve">v0.9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ts_mk_soc26 11.0 → 11.5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</si>
  <si>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Advantest 2026-10-28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測試機市場約 </t>
    </r>
    <r>
      <rPr>
        <sz val="11"/>
        <color theme="1"/>
        <rFont val="Calibri"/>
        <family val="2"/>
        <charset val="1"/>
      </rPr>
      <t xml:space="preserve">115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105–115 </t>
    </r>
    <r>
      <rPr>
        <sz val="11"/>
        <color theme="1"/>
        <rFont val="Noto Sans CJK SC"/>
        <family val="2"/>
      </rPr>
      <t xml:space="preserve">上緣）；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與泰瑞達 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營收（實績＋指引推估）合計約 </t>
    </r>
    <r>
      <rPr>
        <sz val="11"/>
        <color theme="1"/>
        <rFont val="Calibri"/>
        <family val="2"/>
        <charset val="1"/>
      </rPr>
      <t xml:space="preserve">113 </t>
    </r>
    <r>
      <rPr>
        <sz val="11"/>
        <color theme="1"/>
        <rFont val="Noto Sans CJK SC"/>
        <family val="2"/>
      </rPr>
      <t xml:space="preserve">億美元，已高於舊值 </t>
    </r>
    <r>
      <rPr>
        <sz val="11"/>
        <color theme="1"/>
        <rFont val="Calibri"/>
        <family val="2"/>
        <charset val="1"/>
      </rPr>
      <t xml:space="preserve">110 </t>
    </r>
    <r>
      <rPr>
        <sz val="11"/>
        <color theme="1"/>
        <rFont val="Noto Sans CJK SC"/>
        <family val="2"/>
      </rPr>
      <t xml:space="preserve">億，舊值不能同時容納兩家實績。改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11.0–12.0</t>
    </r>
    <r>
      <rPr>
        <sz val="11"/>
        <color theme="1"/>
        <rFont val="Noto Sans CJK SC"/>
        <family val="2"/>
      </rPr>
      <t xml:space="preserve">）。每加權顆測試支出由 </t>
    </r>
    <r>
      <rPr>
        <sz val="11"/>
        <color theme="1"/>
        <rFont val="Calibri"/>
        <family val="2"/>
        <charset val="1"/>
      </rPr>
      <t xml:space="preserve">450 </t>
    </r>
    <r>
      <rPr>
        <sz val="11"/>
        <color theme="1"/>
        <rFont val="Noto Sans CJK SC"/>
        <family val="2"/>
      </rPr>
      <t xml:space="preserve">升為 </t>
    </r>
    <r>
      <rPr>
        <sz val="11"/>
        <color theme="1"/>
        <rFont val="Calibri"/>
        <family val="2"/>
        <charset val="1"/>
      </rPr>
      <t xml:space="preserve">484 </t>
    </r>
    <r>
      <rPr>
        <sz val="11"/>
        <color theme="1"/>
        <rFont val="Noto Sans CJK SC"/>
        <family val="2"/>
      </rPr>
      <t xml:space="preserve">美元，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測試機市場同比例上升（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部分 </t>
    </r>
    <r>
      <rPr>
        <sz val="11"/>
        <color theme="1"/>
        <rFont val="Calibri"/>
        <family val="2"/>
        <charset val="1"/>
      </rPr>
      <t xml:space="preserve">+7.5%</t>
    </r>
    <r>
      <rPr>
        <sz val="11"/>
        <color theme="1"/>
        <rFont val="Noto Sans CJK SC"/>
        <family val="2"/>
      </rPr>
      <t xml:space="preserve">）。非 </t>
    </r>
    <r>
      <rPr>
        <sz val="11"/>
        <color theme="1"/>
        <rFont val="Calibri"/>
        <family val="2"/>
        <charset val="1"/>
      </rPr>
      <t xml:space="preserve">AI 4.3 </t>
    </r>
    <r>
      <rPr>
        <sz val="11"/>
        <color theme="1"/>
        <rFont val="Noto Sans CJK SC"/>
        <family val="2"/>
      </rPr>
      <t xml:space="preserve">未改（泰瑞達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稱車用工業 </t>
    </r>
    <r>
      <rPr>
        <sz val="11"/>
        <color theme="1"/>
        <rFont val="Calibri"/>
        <family val="2"/>
        <charset val="1"/>
      </rPr>
      <t xml:space="preserve">+90%</t>
    </r>
    <r>
      <rPr>
        <sz val="11"/>
        <color theme="1"/>
        <rFont val="Noto Sans CJK SC"/>
        <family val="2"/>
      </rPr>
      <t xml:space="preserve">、行動 </t>
    </r>
    <r>
      <rPr>
        <sz val="11"/>
        <color theme="1"/>
        <rFont val="Calibri"/>
        <family val="2"/>
        <charset val="1"/>
      </rPr>
      <t xml:space="preserve">+60%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可能偏高，列為下一步查核）。</t>
    </r>
  </si>
  <si>
    <t xml:space="preserve">2026-10-31</t>
  </si>
  <si>
    <r>
      <rPr>
        <sz val="11"/>
        <color theme="1"/>
        <rFont val="Calibri"/>
        <family val="2"/>
        <charset val="1"/>
      </rPr>
      <t xml:space="preserve">Andy 2026-10-31</t>
    </r>
    <r>
      <rPr>
        <sz val="11"/>
        <color theme="1"/>
        <rFont val="Noto Sans CJK SC"/>
        <family val="2"/>
      </rPr>
      <t xml:space="preserve">「如果后来发现是我们的模型，包括 </t>
    </r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有問題，那就要做相对应的修正」</t>
    </r>
  </si>
  <si>
    <t xml:space="preserve">S30</t>
  </si>
  <si>
    <r>
      <rPr>
        <sz val="11"/>
        <color theme="1"/>
        <rFont val="Calibri"/>
        <family val="2"/>
        <charset val="1"/>
      </rPr>
      <t xml:space="preserve">v0.10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季價 </t>
    </r>
    <r>
      <rPr>
        <sz val="11"/>
        <color theme="1"/>
        <rFont val="Calibri"/>
        <family val="2"/>
        <charset val="1"/>
      </rPr>
      <t xml:space="preserve">2026Q3 nq_6 0.15 → 0.25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2026Q4 nq_7 0.175 → +8.1%</t>
    </r>
    <r>
      <rPr>
        <sz val="11"/>
        <color theme="1"/>
        <rFont val="Noto Sans CJK SC"/>
        <family val="2"/>
      </rPr>
      <t xml:space="preserve">（兩季累計不變）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</si>
  <si>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第四季對帳：</t>
    </r>
    <r>
      <rPr>
        <sz val="11"/>
        <color theme="1"/>
        <rFont val="Calibri"/>
        <family val="2"/>
        <charset val="1"/>
      </rPr>
      <t xml:space="preserve">SanDisk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營收比公司指引高 </t>
    </r>
    <r>
      <rPr>
        <sz val="11"/>
        <color theme="1"/>
        <rFont val="Calibri"/>
        <family val="2"/>
        <charset val="1"/>
      </rPr>
      <t xml:space="preserve">9.6%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21.5%</t>
    </r>
    <r>
      <rPr>
        <sz val="11"/>
        <color theme="1"/>
        <rFont val="Noto Sans CJK SC"/>
        <family val="2"/>
      </rPr>
      <t xml:space="preserve">。拆解：市場層把 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合約價當成實現售價；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實現售價（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海力士皆 </t>
    </r>
    <r>
      <rPr>
        <sz val="11"/>
        <color theme="1"/>
        <rFont val="Calibri"/>
        <family val="2"/>
        <charset val="1"/>
      </rPr>
      <t xml:space="preserve">mid-20%</t>
    </r>
    <r>
      <rPr>
        <sz val="11"/>
        <color theme="1"/>
        <rFont val="Noto Sans CJK SC"/>
        <family val="2"/>
      </rPr>
      <t xml:space="preserve">）高於合約價輸入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，使兩家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份額被高估約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，第四季再乘合約價 </t>
    </r>
    <r>
      <rPr>
        <sz val="11"/>
        <color theme="1"/>
        <rFont val="Calibri"/>
        <family val="2"/>
        <charset val="1"/>
      </rPr>
      <t xml:space="preserve">+17.5%</t>
    </r>
    <r>
      <rPr>
        <sz val="11"/>
        <color theme="1"/>
        <rFont val="Noto Sans CJK SC"/>
        <family val="2"/>
      </rPr>
      <t xml:space="preserve">。修正：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改實現 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取兩季累計 </t>
    </r>
    <r>
      <rPr>
        <sz val="11"/>
        <color theme="1"/>
        <rFont val="Calibri"/>
        <family val="2"/>
        <charset val="1"/>
      </rPr>
      <t xml:space="preserve">1.15×1.175 </t>
    </r>
    <r>
      <rPr>
        <sz val="11"/>
        <color theme="1"/>
        <rFont val="Noto Sans CJK SC"/>
        <family val="2"/>
      </rPr>
      <t xml:space="preserve">不變的餘額 </t>
    </r>
    <r>
      <rPr>
        <sz val="11"/>
        <color theme="1"/>
        <rFont val="Calibri"/>
        <family val="2"/>
        <charset val="1"/>
      </rPr>
      <t xml:space="preserve">+8.1%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起價格水準不變。另在 </t>
    </r>
    <r>
      <rPr>
        <sz val="11"/>
        <color theme="1"/>
        <rFont val="Calibri"/>
        <family val="2"/>
        <charset val="1"/>
      </rPr>
      <t xml:space="preserve">markets/nand v0.3 </t>
    </r>
    <r>
      <rPr>
        <sz val="11"/>
        <color theme="1"/>
        <rFont val="Noto Sans CJK SC"/>
        <family val="2"/>
      </rPr>
      <t xml:space="preserve">把兩家 </t>
    </r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起的份額改為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指引的平均（平滑 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揭露的出貨季別移動）。結果：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差距 </t>
    </r>
    <r>
      <rPr>
        <sz val="11"/>
        <color theme="1"/>
        <rFont val="Calibri"/>
        <family val="2"/>
        <charset val="1"/>
      </rPr>
      <t xml:space="preserve">+9.6% → +0.4%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（日圓）</t>
    </r>
    <r>
      <rPr>
        <sz val="11"/>
        <color theme="1"/>
        <rFont val="Calibri"/>
        <family val="2"/>
        <charset val="1"/>
      </rPr>
      <t xml:space="preserve">+21.5% → +6.8%</t>
    </r>
    <r>
      <rPr>
        <sz val="11"/>
        <color theme="1"/>
        <rFont val="Noto Sans CJK SC"/>
        <family val="2"/>
      </rPr>
      <t xml:space="preserve">（餘差＝匯率假設 </t>
    </r>
    <r>
      <rPr>
        <sz val="11"/>
        <color theme="1"/>
        <rFont val="Calibri"/>
        <family val="2"/>
        <charset val="1"/>
      </rPr>
      <t xml:space="preserve">160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157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+1.9%</t>
    </r>
    <r>
      <rPr>
        <sz val="11"/>
        <color theme="1"/>
        <rFont val="Noto Sans CJK SC"/>
        <family val="2"/>
      </rPr>
      <t xml:space="preserve">，其餘為同一會計年度內的季別移動與產品組合）。區間：低＝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實現兩季累計（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起水準約 −</t>
    </r>
    <r>
      <rPr>
        <sz val="11"/>
        <color theme="1"/>
        <rFont val="Calibri"/>
        <family val="2"/>
        <charset val="1"/>
      </rPr>
      <t xml:space="preserve">4.5%</t>
    </r>
    <r>
      <rPr>
        <sz val="11"/>
        <color theme="1"/>
        <rFont val="Noto Sans CJK SC"/>
        <family val="2"/>
      </rPr>
      <t xml:space="preserve">）、高＝合約價 </t>
    </r>
    <r>
      <rPr>
        <sz val="11"/>
        <color theme="1"/>
        <rFont val="Calibri"/>
        <family val="2"/>
        <charset val="1"/>
      </rPr>
      <t xml:space="preserve">+17.5%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</si>
  <si>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Andy 2026-10-31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第四季差距查證……做法比照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測試機那次，先拆解原因，屬於模型或市場層的錯誤才修正」</t>
    </r>
  </si>
  <si>
    <r>
      <rPr>
        <sz val="11"/>
        <color theme="1"/>
        <rFont val="Calibri"/>
        <family val="2"/>
        <charset val="1"/>
      </rPr>
      <t xml:space="preserve">DB_Evidence — </t>
    </r>
    <r>
      <rPr>
        <sz val="11"/>
        <color theme="1"/>
        <rFont val="Noto Sans CJK SC"/>
        <family val="2"/>
      </rPr>
      <t xml:space="preserve">證據登錄（所有比對過的新資訊，含不採納者）；先與本庫現值比對，再判定採納／部分採納／不採納／待查</t>
    </r>
  </si>
  <si>
    <t xml:space="preserve">主張（摘要）</t>
  </si>
  <si>
    <t xml:space="preserve">對應鍵</t>
  </si>
  <si>
    <t xml:space="preserve">本庫當時值</t>
  </si>
  <si>
    <t xml:space="preserve">新資訊值</t>
  </si>
  <si>
    <t xml:space="preserve">判定</t>
  </si>
  <si>
    <t xml:space="preserve">處理版本</t>
  </si>
  <si>
    <t xml:space="preserve">立場</t>
  </si>
  <si>
    <t xml:space="preserve">備註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</si>
  <si>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尚無；跨模型衝突先登錄於 </t>
    </r>
    <r>
      <rPr>
        <sz val="11"/>
        <color theme="1"/>
        <rFont val="Calibri"/>
        <family val="2"/>
        <charset val="1"/>
      </rPr>
      <t xml:space="preserve">Conflicts </t>
    </r>
    <r>
      <rPr>
        <sz val="11"/>
        <color theme="1"/>
        <rFont val="Noto Sans CJK SC"/>
        <family val="2"/>
      </rPr>
      <t xml:space="preserve">頁，判定後再轉入本頁）</t>
    </r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</si>
</sst>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"/>
    <numFmt numFmtId="166" formatCode="0.0%"/>
    <numFmt numFmtId="167" formatCode="0%"/>
    <numFmt numFmtId="168" formatCode="0.000"/>
    <numFmt numFmtId="169" formatCode="0.0"/>
    <numFmt numFmtId="170" formatCode="@"/>
    <numFmt numFmtId="171" formatCode="#,##0"/>
    <numFmt numFmtId="172" formatCode="#,##0.00"/>
    <numFmt numFmtId="173" formatCode="#,##0.0"/>
    <numFmt numFmtId="174" formatCode="0.0000"/>
    <numFmt numFmtId="175" formatCode="0"/>
    <numFmt numFmtId="176" formatCode="General"/>
    <numFmt numFmtId="177" formatCode="#,##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3"/>
      <name val="Noto Sans CJK SC"/>
      <family val="2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20.1" hidden="false" customHeight="false" outlineLevel="0" collapsed="false">
      <c r="A1" s="1" t="s">
        <v>0</v>
      </c>
    </row>
    <row r="2" customFormat="false" ht="32.8" hidden="false" customHeight="false" outlineLevel="0" collapsed="false">
      <c r="A2" s="2" t="s">
        <v>1</v>
      </c>
    </row>
    <row r="3" customFormat="false" ht="48.5" hidden="false" customHeight="false" outlineLevel="0" collapsed="false">
      <c r="A3" s="2" t="s">
        <v>2</v>
      </c>
    </row>
    <row r="4" customFormat="false" ht="32.8" hidden="false" customHeight="false" outlineLevel="0" collapsed="false">
      <c r="A4" s="3" t="s">
        <v>3</v>
      </c>
    </row>
    <row r="5" customFormat="false" ht="32.8" hidden="false" customHeight="false" outlineLevel="0" collapsed="false">
      <c r="A5" s="3" t="s">
        <v>4</v>
      </c>
    </row>
    <row r="6" customFormat="false" ht="32.8" hidden="false" customHeight="false" outlineLevel="0" collapsed="false">
      <c r="A6" s="3" t="s">
        <v>5</v>
      </c>
    </row>
    <row r="7" customFormat="false" ht="32.8" hidden="false" customHeight="false" outlineLevel="0" collapsed="false">
      <c r="A7" s="3" t="s">
        <v>6</v>
      </c>
    </row>
    <row r="8" customFormat="false" ht="32.8" hidden="false" customHeight="false" outlineLevel="0" collapsed="false">
      <c r="A8" s="3" t="s">
        <v>7</v>
      </c>
    </row>
    <row r="9" customFormat="false" ht="32.8" hidden="false" customHeight="false" outlineLevel="0" collapsed="false">
      <c r="A9" s="3" t="s">
        <v>8</v>
      </c>
    </row>
    <row r="10" customFormat="false" ht="17.15" hidden="false" customHeight="false" outlineLevel="0" collapsed="false">
      <c r="A10" s="3" t="s">
        <v>9</v>
      </c>
    </row>
    <row r="11" customFormat="false" ht="17.15" hidden="false" customHeight="false" outlineLevel="0" collapsed="false">
      <c r="A11" s="3" t="s">
        <v>10</v>
      </c>
    </row>
    <row r="12" customFormat="false" ht="48.5" hidden="false" customHeight="false" outlineLevel="0" collapsed="false">
      <c r="A12" s="3" t="s">
        <v>11</v>
      </c>
    </row>
    <row r="13" customFormat="false" ht="32.8" hidden="false" customHeight="false" outlineLevel="0" collapsed="false">
      <c r="A13" s="3" t="s">
        <v>12</v>
      </c>
    </row>
    <row r="14" customFormat="false" ht="32.8" hidden="false" customHeight="false" outlineLevel="0" collapsed="false">
      <c r="A14" s="3" t="s">
        <v>13</v>
      </c>
    </row>
    <row r="15" customFormat="false" ht="48.5" hidden="false" customHeight="false" outlineLevel="0" collapsed="false">
      <c r="A15" s="3" t="s">
        <v>14</v>
      </c>
    </row>
    <row r="16" customFormat="false" ht="48.5" hidden="false" customHeight="false" outlineLevel="0" collapsed="false">
      <c r="A16" s="3" t="s">
        <v>15</v>
      </c>
    </row>
    <row r="17" customFormat="false" ht="48.5" hidden="false" customHeight="false" outlineLevel="0" collapsed="false">
      <c r="A17" s="3" t="s">
        <v>16</v>
      </c>
    </row>
    <row r="18" customFormat="false" ht="17.15" hidden="false" customHeight="false" outlineLevel="0" collapsed="false">
      <c r="A18" s="3" t="s">
        <v>17</v>
      </c>
    </row>
    <row r="19" customFormat="false" ht="32.8" hidden="false" customHeight="false" outlineLevel="0" collapsed="false">
      <c r="A19" s="3" t="s">
        <v>18</v>
      </c>
    </row>
    <row r="20" customFormat="false" ht="32.8" hidden="false" customHeight="false" outlineLevel="0" collapsed="false">
      <c r="A20" s="3" t="s">
        <v>19</v>
      </c>
    </row>
    <row r="21" customFormat="false" ht="32.8" hidden="false" customHeight="false" outlineLevel="0" collapsed="false">
      <c r="A21" s="3" t="s">
        <v>20</v>
      </c>
    </row>
    <row r="22" customFormat="false" ht="32.8" hidden="false" customHeight="false" outlineLevel="0" collapsed="false">
      <c r="A22" s="3" t="s">
        <v>21</v>
      </c>
    </row>
    <row r="23" customFormat="false" ht="17.15" hidden="false" customHeight="false" outlineLevel="0" collapsed="false">
      <c r="A23" s="2" t="s">
        <v>22</v>
      </c>
    </row>
    <row r="24" customFormat="false" ht="17.15" hidden="false" customHeight="false" outlineLevel="0" collapsed="false">
      <c r="A24" s="2" t="s">
        <v>23</v>
      </c>
    </row>
    <row r="25" customFormat="false" ht="17.15" hidden="false" customHeight="false" outlineLevel="0" collapsed="false">
      <c r="A25" s="2" t="s">
        <v>24</v>
      </c>
    </row>
    <row r="26" customFormat="false" ht="17.15" hidden="false" customHeight="false" outlineLevel="0" collapsed="false">
      <c r="A26" s="3" t="s">
        <v>25</v>
      </c>
    </row>
    <row r="27" customFormat="false" ht="17.15" hidden="false" customHeight="false" outlineLevel="0" collapsed="false">
      <c r="A27" s="2" t="s">
        <v>26</v>
      </c>
    </row>
    <row r="28" customFormat="false" ht="32.8" hidden="false" customHeight="false" outlineLevel="0" collapsed="false">
      <c r="A28" s="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60"/>
    <col collapsed="false" customWidth="true" hidden="false" outlineLevel="0" max="6" min="5" style="0" width="14"/>
    <col collapsed="false" customWidth="true" hidden="false" outlineLevel="0" max="7" min="7" style="0" width="50"/>
  </cols>
  <sheetData>
    <row r="1" customFormat="false" ht="17.15" hidden="false" customHeight="false" outlineLevel="0" collapsed="false">
      <c r="A1" s="0" t="s">
        <v>28</v>
      </c>
    </row>
    <row r="3" customFormat="false" ht="17.15" hidden="false" customHeight="false" outlineLevel="0" collapsed="false">
      <c r="A3" s="4" t="s">
        <v>29</v>
      </c>
      <c r="B3" s="4" t="s">
        <v>30</v>
      </c>
      <c r="C3" s="4" t="s">
        <v>31</v>
      </c>
      <c r="D3" s="4" t="s">
        <v>32</v>
      </c>
      <c r="E3" s="5" t="s">
        <v>33</v>
      </c>
      <c r="F3" s="5" t="s">
        <v>34</v>
      </c>
      <c r="G3" s="5" t="s">
        <v>35</v>
      </c>
    </row>
    <row r="4" customFormat="false" ht="17.15" hidden="false" customHeight="false" outlineLevel="0" collapsed="false">
      <c r="A4" s="0" t="s">
        <v>36</v>
      </c>
      <c r="B4" s="6" t="s">
        <v>37</v>
      </c>
      <c r="C4" s="6" t="s">
        <v>38</v>
      </c>
      <c r="D4" s="0" t="s">
        <v>39</v>
      </c>
      <c r="E4" s="7" t="n">
        <f aca="false">um28_A</f>
        <v>1</v>
      </c>
      <c r="F4" s="7" t="n">
        <f aca="false">um29_A</f>
        <v>1</v>
      </c>
      <c r="G4" s="8" t="s">
        <v>40</v>
      </c>
    </row>
    <row r="5" customFormat="false" ht="17.15" hidden="false" customHeight="false" outlineLevel="0" collapsed="false">
      <c r="A5" s="0" t="s">
        <v>41</v>
      </c>
      <c r="B5" s="6" t="s">
        <v>42</v>
      </c>
      <c r="C5" s="0" t="s">
        <v>43</v>
      </c>
      <c r="D5" s="0" t="s">
        <v>44</v>
      </c>
      <c r="E5" s="7" t="n">
        <f aca="false">um28_B</f>
        <v>0.8</v>
      </c>
      <c r="F5" s="7" t="n">
        <f aca="false">um29_B</f>
        <v>0.85</v>
      </c>
      <c r="G5" s="8" t="s">
        <v>40</v>
      </c>
    </row>
    <row r="6" customFormat="false" ht="17.15" hidden="false" customHeight="false" outlineLevel="0" collapsed="false">
      <c r="A6" s="0" t="s">
        <v>45</v>
      </c>
      <c r="B6" s="6" t="s">
        <v>46</v>
      </c>
      <c r="C6" s="6" t="s">
        <v>47</v>
      </c>
      <c r="D6" s="0" t="s">
        <v>48</v>
      </c>
      <c r="E6" s="7" t="n">
        <f aca="false">um28_C</f>
        <v>0.6</v>
      </c>
      <c r="F6" s="7" t="n">
        <f aca="false">um29_C</f>
        <v>0.6</v>
      </c>
      <c r="G6" s="8" t="s">
        <v>40</v>
      </c>
    </row>
    <row r="9" customFormat="false" ht="15" hidden="false" customHeight="false" outlineLevel="0" collapsed="false">
      <c r="A9" s="9" t="s">
        <v>49</v>
      </c>
    </row>
    <row r="10" customFormat="false" ht="17.15" hidden="false" customHeight="false" outlineLevel="0" collapsed="false">
      <c r="A10" s="6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70"/>
    <col collapsed="false" customWidth="true" hidden="false" outlineLevel="0" max="9" min="9" style="0" width="18"/>
    <col collapsed="false" customWidth="true" hidden="false" outlineLevel="0" max="10" min="10" style="0" width="50"/>
  </cols>
  <sheetData>
    <row r="1" customFormat="false" ht="17.15" hidden="false" customHeight="false" outlineLevel="0" collapsed="false">
      <c r="A1" s="0" t="s">
        <v>51</v>
      </c>
    </row>
    <row r="2" customFormat="false" ht="17.15" hidden="false" customHeight="false" outlineLevel="0" collapsed="false">
      <c r="A2" s="6" t="s">
        <v>52</v>
      </c>
    </row>
    <row r="4" customFormat="false" ht="17.15" hidden="false" customHeight="false" outlineLevel="0" collapsed="false">
      <c r="A4" s="4" t="s">
        <v>53</v>
      </c>
      <c r="B4" s="4" t="s">
        <v>54</v>
      </c>
      <c r="C4" s="4" t="s">
        <v>55</v>
      </c>
      <c r="D4" s="4" t="s">
        <v>56</v>
      </c>
      <c r="E4" s="4" t="s">
        <v>57</v>
      </c>
      <c r="F4" s="4" t="s">
        <v>58</v>
      </c>
      <c r="G4" s="4" t="s">
        <v>59</v>
      </c>
      <c r="H4" s="4" t="s">
        <v>60</v>
      </c>
      <c r="I4" s="5" t="s">
        <v>61</v>
      </c>
      <c r="J4" s="4" t="s">
        <v>62</v>
      </c>
    </row>
    <row r="5" customFormat="false" ht="17.15" hidden="false" customHeight="false" outlineLevel="0" collapsed="false">
      <c r="A5" s="10" t="s">
        <v>63</v>
      </c>
    </row>
    <row r="6" customFormat="false" ht="17.15" hidden="false" customHeight="false" outlineLevel="0" collapsed="false">
      <c r="A6" s="0" t="s">
        <v>64</v>
      </c>
      <c r="B6" s="6" t="s">
        <v>65</v>
      </c>
      <c r="C6" s="0" t="s">
        <v>66</v>
      </c>
      <c r="E6" s="11" t="n">
        <v>-0.025</v>
      </c>
      <c r="G6" s="12" t="s">
        <v>67</v>
      </c>
      <c r="H6" s="12" t="s">
        <v>68</v>
      </c>
      <c r="I6" s="12" t="s">
        <v>69</v>
      </c>
    </row>
    <row r="7" customFormat="false" ht="17.15" hidden="false" customHeight="false" outlineLevel="0" collapsed="false">
      <c r="A7" s="0" t="s">
        <v>70</v>
      </c>
      <c r="B7" s="6" t="s">
        <v>71</v>
      </c>
      <c r="C7" s="0" t="s">
        <v>66</v>
      </c>
      <c r="E7" s="11" t="n">
        <v>0.125</v>
      </c>
      <c r="G7" s="12" t="s">
        <v>67</v>
      </c>
      <c r="H7" s="6" t="s">
        <v>72</v>
      </c>
      <c r="I7" s="12" t="s">
        <v>73</v>
      </c>
    </row>
    <row r="8" customFormat="false" ht="17.15" hidden="false" customHeight="false" outlineLevel="0" collapsed="false">
      <c r="A8" s="0" t="s">
        <v>74</v>
      </c>
      <c r="B8" s="6" t="s">
        <v>75</v>
      </c>
      <c r="C8" s="0" t="s">
        <v>66</v>
      </c>
      <c r="E8" s="11" t="n">
        <v>0.475</v>
      </c>
      <c r="G8" s="12" t="s">
        <v>67</v>
      </c>
      <c r="H8" s="6" t="s">
        <v>72</v>
      </c>
      <c r="I8" s="12" t="s">
        <v>76</v>
      </c>
    </row>
    <row r="9" customFormat="false" ht="17.15" hidden="false" customHeight="false" outlineLevel="0" collapsed="false">
      <c r="A9" s="0" t="s">
        <v>77</v>
      </c>
      <c r="B9" s="6" t="s">
        <v>78</v>
      </c>
      <c r="C9" s="0" t="s">
        <v>66</v>
      </c>
      <c r="E9" s="11" t="n">
        <v>0.95</v>
      </c>
      <c r="G9" s="12" t="s">
        <v>67</v>
      </c>
      <c r="H9" s="6" t="s">
        <v>72</v>
      </c>
      <c r="I9" s="12" t="s">
        <v>79</v>
      </c>
    </row>
    <row r="10" customFormat="false" ht="17.15" hidden="false" customHeight="false" outlineLevel="0" collapsed="false">
      <c r="A10" s="0" t="s">
        <v>80</v>
      </c>
      <c r="B10" s="6" t="s">
        <v>81</v>
      </c>
      <c r="C10" s="0" t="s">
        <v>66</v>
      </c>
      <c r="E10" s="11" t="n">
        <v>0.605</v>
      </c>
      <c r="G10" s="12" t="s">
        <v>67</v>
      </c>
      <c r="H10" s="6" t="s">
        <v>72</v>
      </c>
      <c r="I10" s="12" t="s">
        <v>82</v>
      </c>
    </row>
    <row r="11" customFormat="false" ht="17.15" hidden="false" customHeight="false" outlineLevel="0" collapsed="false">
      <c r="A11" s="0" t="s">
        <v>83</v>
      </c>
      <c r="B11" s="6" t="s">
        <v>84</v>
      </c>
      <c r="C11" s="0" t="s">
        <v>66</v>
      </c>
      <c r="E11" s="11" t="n">
        <v>0.155</v>
      </c>
      <c r="G11" s="12" t="s">
        <v>67</v>
      </c>
      <c r="H11" s="6" t="s">
        <v>72</v>
      </c>
      <c r="I11" s="12" t="s">
        <v>85</v>
      </c>
    </row>
    <row r="12" customFormat="false" ht="17.15" hidden="false" customHeight="false" outlineLevel="0" collapsed="false">
      <c r="A12" s="0" t="s">
        <v>86</v>
      </c>
      <c r="B12" s="6" t="s">
        <v>87</v>
      </c>
      <c r="C12" s="0" t="s">
        <v>66</v>
      </c>
      <c r="E12" s="11" t="n">
        <v>0.125</v>
      </c>
      <c r="G12" s="12" t="s">
        <v>67</v>
      </c>
      <c r="H12" s="6" t="s">
        <v>72</v>
      </c>
      <c r="I12" s="12" t="s">
        <v>88</v>
      </c>
    </row>
    <row r="13" customFormat="false" ht="17.15" hidden="false" customHeight="false" outlineLevel="0" collapsed="false">
      <c r="A13" s="0" t="s">
        <v>89</v>
      </c>
      <c r="B13" s="6" t="s">
        <v>90</v>
      </c>
      <c r="C13" s="0" t="s">
        <v>66</v>
      </c>
      <c r="E13" s="11" t="n">
        <v>0.03</v>
      </c>
      <c r="G13" s="12" t="s">
        <v>91</v>
      </c>
      <c r="H13" s="6" t="s">
        <v>92</v>
      </c>
      <c r="I13" s="12" t="s">
        <v>93</v>
      </c>
    </row>
    <row r="14" customFormat="false" ht="17.15" hidden="false" customHeight="false" outlineLevel="0" collapsed="false">
      <c r="A14" s="0" t="s">
        <v>94</v>
      </c>
      <c r="B14" s="6" t="s">
        <v>95</v>
      </c>
      <c r="C14" s="0" t="s">
        <v>66</v>
      </c>
      <c r="E14" s="11" t="n">
        <v>0</v>
      </c>
      <c r="G14" s="12" t="s">
        <v>91</v>
      </c>
      <c r="H14" s="6" t="s">
        <v>72</v>
      </c>
      <c r="I14" s="12" t="s">
        <v>96</v>
      </c>
    </row>
    <row r="15" customFormat="false" ht="17.15" hidden="false" customHeight="false" outlineLevel="0" collapsed="false">
      <c r="A15" s="0" t="s">
        <v>97</v>
      </c>
      <c r="B15" s="6" t="s">
        <v>98</v>
      </c>
      <c r="C15" s="0" t="s">
        <v>66</v>
      </c>
      <c r="E15" s="11" t="n">
        <v>-0.02</v>
      </c>
      <c r="G15" s="12" t="s">
        <v>91</v>
      </c>
      <c r="H15" s="6" t="s">
        <v>72</v>
      </c>
      <c r="I15" s="12" t="s">
        <v>99</v>
      </c>
    </row>
    <row r="16" customFormat="false" ht="17.15" hidden="false" customHeight="false" outlineLevel="0" collapsed="false">
      <c r="A16" s="0" t="s">
        <v>100</v>
      </c>
      <c r="B16" s="6" t="s">
        <v>101</v>
      </c>
      <c r="C16" s="0" t="s">
        <v>66</v>
      </c>
      <c r="E16" s="11" t="n">
        <v>-0.03</v>
      </c>
      <c r="G16" s="12" t="s">
        <v>91</v>
      </c>
      <c r="H16" s="6" t="s">
        <v>72</v>
      </c>
      <c r="I16" s="12" t="s">
        <v>102</v>
      </c>
    </row>
    <row r="17" customFormat="false" ht="17.15" hidden="false" customHeight="false" outlineLevel="0" collapsed="false">
      <c r="A17" s="0" t="s">
        <v>103</v>
      </c>
      <c r="B17" s="6" t="s">
        <v>104</v>
      </c>
      <c r="C17" s="0" t="s">
        <v>66</v>
      </c>
      <c r="E17" s="11" t="n">
        <v>-0.03</v>
      </c>
      <c r="G17" s="12" t="s">
        <v>91</v>
      </c>
      <c r="H17" s="6" t="s">
        <v>72</v>
      </c>
      <c r="I17" s="12" t="s">
        <v>105</v>
      </c>
    </row>
    <row r="18" customFormat="false" ht="17.15" hidden="false" customHeight="false" outlineLevel="0" collapsed="false">
      <c r="A18" s="0" t="s">
        <v>106</v>
      </c>
      <c r="B18" s="6" t="s">
        <v>107</v>
      </c>
      <c r="C18" s="0" t="s">
        <v>66</v>
      </c>
      <c r="E18" s="11" t="n">
        <v>-0.03</v>
      </c>
      <c r="G18" s="12" t="s">
        <v>91</v>
      </c>
      <c r="H18" s="6" t="s">
        <v>72</v>
      </c>
      <c r="I18" s="12" t="s">
        <v>108</v>
      </c>
    </row>
    <row r="19" customFormat="false" ht="17.15" hidden="false" customHeight="false" outlineLevel="0" collapsed="false">
      <c r="A19" s="0" t="s">
        <v>109</v>
      </c>
      <c r="B19" s="6" t="s">
        <v>110</v>
      </c>
      <c r="C19" s="0" t="s">
        <v>66</v>
      </c>
      <c r="E19" s="11" t="n">
        <v>-0.02</v>
      </c>
      <c r="G19" s="12" t="s">
        <v>91</v>
      </c>
      <c r="H19" s="6" t="s">
        <v>72</v>
      </c>
      <c r="I19" s="12" t="s">
        <v>111</v>
      </c>
    </row>
    <row r="20" customFormat="false" ht="17.15" hidden="false" customHeight="false" outlineLevel="0" collapsed="false">
      <c r="A20" s="0" t="s">
        <v>112</v>
      </c>
      <c r="B20" s="6" t="s">
        <v>113</v>
      </c>
      <c r="C20" s="0" t="s">
        <v>66</v>
      </c>
      <c r="E20" s="11" t="n">
        <v>-0.02</v>
      </c>
      <c r="G20" s="12" t="s">
        <v>91</v>
      </c>
      <c r="H20" s="6" t="s">
        <v>72</v>
      </c>
      <c r="I20" s="12" t="s">
        <v>114</v>
      </c>
    </row>
    <row r="21" customFormat="false" ht="17.15" hidden="false" customHeight="false" outlineLevel="0" collapsed="false">
      <c r="A21" s="0" t="s">
        <v>115</v>
      </c>
      <c r="B21" s="6" t="s">
        <v>116</v>
      </c>
      <c r="C21" s="0" t="s">
        <v>66</v>
      </c>
      <c r="D21" s="11" t="n">
        <v>-0.03</v>
      </c>
      <c r="E21" s="11" t="n">
        <v>-0.03</v>
      </c>
      <c r="F21" s="11" t="n">
        <v>0.05</v>
      </c>
      <c r="G21" s="12" t="s">
        <v>117</v>
      </c>
      <c r="H21" s="12" t="s">
        <v>118</v>
      </c>
      <c r="I21" s="12" t="s">
        <v>119</v>
      </c>
    </row>
    <row r="22" customFormat="false" ht="17.15" hidden="false" customHeight="false" outlineLevel="0" collapsed="false">
      <c r="A22" s="0" t="s">
        <v>120</v>
      </c>
      <c r="B22" s="6" t="s">
        <v>121</v>
      </c>
      <c r="C22" s="0" t="s">
        <v>66</v>
      </c>
      <c r="D22" s="11" t="n">
        <v>-0.03</v>
      </c>
      <c r="E22" s="11" t="n">
        <v>-0.03</v>
      </c>
      <c r="F22" s="11" t="n">
        <v>0.05</v>
      </c>
      <c r="G22" s="12" t="s">
        <v>117</v>
      </c>
      <c r="H22" s="6" t="s">
        <v>72</v>
      </c>
      <c r="I22" s="12" t="s">
        <v>122</v>
      </c>
    </row>
    <row r="23" customFormat="false" ht="17.15" hidden="false" customHeight="false" outlineLevel="0" collapsed="false">
      <c r="A23" s="0" t="s">
        <v>123</v>
      </c>
      <c r="B23" s="6" t="s">
        <v>124</v>
      </c>
      <c r="C23" s="0" t="s">
        <v>66</v>
      </c>
      <c r="D23" s="11" t="n">
        <v>-0.02</v>
      </c>
      <c r="E23" s="11" t="n">
        <v>-0.02</v>
      </c>
      <c r="F23" s="11" t="n">
        <v>0.03</v>
      </c>
      <c r="G23" s="12" t="s">
        <v>117</v>
      </c>
      <c r="H23" s="6" t="s">
        <v>72</v>
      </c>
      <c r="I23" s="12" t="s">
        <v>125</v>
      </c>
    </row>
    <row r="24" customFormat="false" ht="17.15" hidden="false" customHeight="false" outlineLevel="0" collapsed="false">
      <c r="A24" s="0" t="s">
        <v>126</v>
      </c>
      <c r="B24" s="6" t="s">
        <v>127</v>
      </c>
      <c r="C24" s="0" t="s">
        <v>66</v>
      </c>
      <c r="D24" s="11" t="n">
        <v>-0.02</v>
      </c>
      <c r="E24" s="11" t="n">
        <v>-0.02</v>
      </c>
      <c r="F24" s="11" t="n">
        <v>0.03</v>
      </c>
      <c r="G24" s="12" t="s">
        <v>117</v>
      </c>
      <c r="H24" s="6" t="s">
        <v>72</v>
      </c>
      <c r="I24" s="12" t="s">
        <v>128</v>
      </c>
    </row>
    <row r="25" customFormat="false" ht="17.15" hidden="false" customHeight="false" outlineLevel="0" collapsed="false">
      <c r="A25" s="0" t="s">
        <v>129</v>
      </c>
      <c r="B25" s="6" t="s">
        <v>130</v>
      </c>
      <c r="C25" s="0" t="s">
        <v>66</v>
      </c>
      <c r="E25" s="11" t="n">
        <v>0.05</v>
      </c>
      <c r="G25" s="12" t="s">
        <v>91</v>
      </c>
      <c r="H25" s="6" t="s">
        <v>131</v>
      </c>
      <c r="I25" s="12" t="s">
        <v>132</v>
      </c>
    </row>
    <row r="26" customFormat="false" ht="17.15" hidden="false" customHeight="false" outlineLevel="0" collapsed="false">
      <c r="A26" s="0" t="s">
        <v>133</v>
      </c>
      <c r="B26" s="6" t="s">
        <v>134</v>
      </c>
      <c r="C26" s="0" t="s">
        <v>66</v>
      </c>
      <c r="E26" s="11" t="n">
        <v>0.02</v>
      </c>
      <c r="G26" s="12" t="s">
        <v>91</v>
      </c>
      <c r="H26" s="6" t="s">
        <v>72</v>
      </c>
      <c r="I26" s="12" t="s">
        <v>135</v>
      </c>
    </row>
    <row r="27" customFormat="false" ht="17.15" hidden="false" customHeight="false" outlineLevel="0" collapsed="false">
      <c r="A27" s="0" t="s">
        <v>136</v>
      </c>
      <c r="B27" s="6" t="s">
        <v>137</v>
      </c>
      <c r="C27" s="0" t="s">
        <v>66</v>
      </c>
      <c r="E27" s="11" t="n">
        <v>-0.08</v>
      </c>
      <c r="G27" s="12" t="s">
        <v>91</v>
      </c>
      <c r="H27" s="6" t="s">
        <v>72</v>
      </c>
      <c r="I27" s="12" t="s">
        <v>138</v>
      </c>
    </row>
    <row r="28" customFormat="false" ht="17.15" hidden="false" customHeight="false" outlineLevel="0" collapsed="false">
      <c r="A28" s="0" t="s">
        <v>139</v>
      </c>
      <c r="B28" s="6" t="s">
        <v>140</v>
      </c>
      <c r="C28" s="0" t="s">
        <v>66</v>
      </c>
      <c r="E28" s="11" t="n">
        <v>-0.15</v>
      </c>
      <c r="G28" s="12" t="s">
        <v>91</v>
      </c>
      <c r="H28" s="6" t="s">
        <v>72</v>
      </c>
      <c r="I28" s="12" t="s">
        <v>141</v>
      </c>
    </row>
    <row r="29" customFormat="false" ht="17.15" hidden="false" customHeight="false" outlineLevel="0" collapsed="false">
      <c r="A29" s="0" t="s">
        <v>142</v>
      </c>
      <c r="B29" s="6" t="s">
        <v>143</v>
      </c>
      <c r="C29" s="0" t="s">
        <v>66</v>
      </c>
      <c r="E29" s="11" t="n">
        <v>-0.25</v>
      </c>
      <c r="G29" s="12" t="s">
        <v>91</v>
      </c>
      <c r="H29" s="6" t="s">
        <v>72</v>
      </c>
      <c r="I29" s="12" t="s">
        <v>144</v>
      </c>
    </row>
    <row r="30" customFormat="false" ht="17.15" hidden="false" customHeight="false" outlineLevel="0" collapsed="false">
      <c r="A30" s="0" t="s">
        <v>145</v>
      </c>
      <c r="B30" s="6" t="s">
        <v>146</v>
      </c>
      <c r="C30" s="0" t="s">
        <v>66</v>
      </c>
      <c r="E30" s="11" t="n">
        <v>-0.15</v>
      </c>
      <c r="G30" s="12" t="s">
        <v>91</v>
      </c>
      <c r="H30" s="6" t="s">
        <v>72</v>
      </c>
      <c r="I30" s="12" t="s">
        <v>147</v>
      </c>
    </row>
    <row r="31" customFormat="false" ht="17.15" hidden="false" customHeight="false" outlineLevel="0" collapsed="false">
      <c r="A31" s="0" t="s">
        <v>148</v>
      </c>
      <c r="B31" s="6" t="s">
        <v>149</v>
      </c>
      <c r="C31" s="0" t="s">
        <v>66</v>
      </c>
      <c r="E31" s="11" t="n">
        <v>-0.1</v>
      </c>
      <c r="G31" s="12" t="s">
        <v>91</v>
      </c>
      <c r="H31" s="6" t="s">
        <v>72</v>
      </c>
      <c r="I31" s="12" t="s">
        <v>150</v>
      </c>
    </row>
    <row r="32" customFormat="false" ht="17.15" hidden="false" customHeight="false" outlineLevel="0" collapsed="false">
      <c r="A32" s="0" t="s">
        <v>151</v>
      </c>
      <c r="B32" s="6" t="s">
        <v>152</v>
      </c>
      <c r="C32" s="0" t="s">
        <v>66</v>
      </c>
      <c r="E32" s="11" t="n">
        <v>-0.05</v>
      </c>
      <c r="G32" s="12" t="s">
        <v>91</v>
      </c>
      <c r="H32" s="6" t="s">
        <v>72</v>
      </c>
      <c r="I32" s="12" t="s">
        <v>153</v>
      </c>
    </row>
    <row r="33" customFormat="false" ht="17.15" hidden="false" customHeight="false" outlineLevel="0" collapsed="false">
      <c r="A33" s="0" t="s">
        <v>154</v>
      </c>
      <c r="B33" s="6" t="s">
        <v>155</v>
      </c>
      <c r="C33" s="0" t="s">
        <v>66</v>
      </c>
      <c r="D33" s="11" t="n">
        <v>-0.03</v>
      </c>
      <c r="E33" s="11" t="n">
        <v>0.05</v>
      </c>
      <c r="F33" s="11" t="n">
        <v>0.05</v>
      </c>
      <c r="G33" s="12" t="s">
        <v>117</v>
      </c>
      <c r="H33" s="12" t="s">
        <v>118</v>
      </c>
      <c r="I33" s="12" t="s">
        <v>156</v>
      </c>
    </row>
    <row r="34" customFormat="false" ht="17.15" hidden="false" customHeight="false" outlineLevel="0" collapsed="false">
      <c r="A34" s="0" t="s">
        <v>157</v>
      </c>
      <c r="B34" s="6" t="s">
        <v>158</v>
      </c>
      <c r="C34" s="0" t="s">
        <v>66</v>
      </c>
      <c r="D34" s="11" t="n">
        <v>-0.03</v>
      </c>
      <c r="E34" s="11" t="n">
        <v>0.05</v>
      </c>
      <c r="F34" s="11" t="n">
        <v>0.05</v>
      </c>
      <c r="G34" s="12" t="s">
        <v>117</v>
      </c>
      <c r="H34" s="6" t="s">
        <v>72</v>
      </c>
      <c r="I34" s="12" t="s">
        <v>159</v>
      </c>
    </row>
    <row r="35" customFormat="false" ht="17.15" hidden="false" customHeight="false" outlineLevel="0" collapsed="false">
      <c r="A35" s="0" t="s">
        <v>160</v>
      </c>
      <c r="B35" s="6" t="s">
        <v>161</v>
      </c>
      <c r="C35" s="0" t="s">
        <v>66</v>
      </c>
      <c r="D35" s="11" t="n">
        <v>-0.02</v>
      </c>
      <c r="E35" s="11" t="n">
        <v>0.03</v>
      </c>
      <c r="F35" s="11" t="n">
        <v>0.03</v>
      </c>
      <c r="G35" s="12" t="s">
        <v>117</v>
      </c>
      <c r="H35" s="6" t="s">
        <v>72</v>
      </c>
      <c r="I35" s="12" t="s">
        <v>162</v>
      </c>
    </row>
    <row r="36" customFormat="false" ht="17.15" hidden="false" customHeight="false" outlineLevel="0" collapsed="false">
      <c r="A36" s="0" t="s">
        <v>163</v>
      </c>
      <c r="B36" s="6" t="s">
        <v>164</v>
      </c>
      <c r="C36" s="0" t="s">
        <v>66</v>
      </c>
      <c r="D36" s="11" t="n">
        <v>-0.02</v>
      </c>
      <c r="E36" s="11" t="n">
        <v>0.03</v>
      </c>
      <c r="F36" s="11" t="n">
        <v>0.03</v>
      </c>
      <c r="G36" s="12" t="s">
        <v>117</v>
      </c>
      <c r="H36" s="6" t="s">
        <v>72</v>
      </c>
      <c r="I36" s="12" t="s">
        <v>165</v>
      </c>
    </row>
    <row r="37" customFormat="false" ht="17.15" hidden="false" customHeight="false" outlineLevel="0" collapsed="false">
      <c r="A37" s="0" t="s">
        <v>166</v>
      </c>
      <c r="B37" s="6" t="s">
        <v>167</v>
      </c>
      <c r="C37" s="0" t="s">
        <v>66</v>
      </c>
      <c r="D37" s="11" t="n">
        <v>0</v>
      </c>
      <c r="E37" s="11" t="n">
        <v>0.05</v>
      </c>
      <c r="F37" s="11" t="n">
        <v>0.1</v>
      </c>
      <c r="G37" s="12" t="s">
        <v>117</v>
      </c>
      <c r="H37" s="12" t="s">
        <v>168</v>
      </c>
      <c r="I37" s="12" t="s">
        <v>169</v>
      </c>
    </row>
    <row r="38" customFormat="false" ht="17.15" hidden="false" customHeight="false" outlineLevel="0" collapsed="false">
      <c r="A38" s="0" t="s">
        <v>170</v>
      </c>
      <c r="B38" s="6" t="s">
        <v>171</v>
      </c>
      <c r="C38" s="0" t="s">
        <v>66</v>
      </c>
      <c r="D38" s="11" t="n">
        <v>-0.03</v>
      </c>
      <c r="E38" s="11" t="n">
        <v>0.02</v>
      </c>
      <c r="F38" s="11" t="n">
        <v>0.07</v>
      </c>
      <c r="G38" s="12" t="s">
        <v>117</v>
      </c>
      <c r="H38" s="6" t="s">
        <v>72</v>
      </c>
      <c r="I38" s="12" t="s">
        <v>172</v>
      </c>
    </row>
    <row r="39" customFormat="false" ht="17.15" hidden="false" customHeight="false" outlineLevel="0" collapsed="false">
      <c r="A39" s="0" t="s">
        <v>173</v>
      </c>
      <c r="B39" s="6" t="s">
        <v>174</v>
      </c>
      <c r="C39" s="0" t="s">
        <v>66</v>
      </c>
      <c r="D39" s="11" t="n">
        <v>-0.13</v>
      </c>
      <c r="E39" s="11" t="n">
        <v>-0.08</v>
      </c>
      <c r="F39" s="11" t="n">
        <v>-0.03</v>
      </c>
      <c r="G39" s="12" t="s">
        <v>117</v>
      </c>
      <c r="H39" s="6" t="s">
        <v>72</v>
      </c>
      <c r="I39" s="12" t="s">
        <v>175</v>
      </c>
    </row>
    <row r="40" customFormat="false" ht="17.15" hidden="false" customHeight="false" outlineLevel="0" collapsed="false">
      <c r="A40" s="0" t="s">
        <v>176</v>
      </c>
      <c r="B40" s="6" t="s">
        <v>177</v>
      </c>
      <c r="C40" s="0" t="s">
        <v>66</v>
      </c>
      <c r="D40" s="11" t="n">
        <v>-0.2</v>
      </c>
      <c r="E40" s="11" t="n">
        <v>-0.15</v>
      </c>
      <c r="F40" s="11" t="n">
        <v>-0.1</v>
      </c>
      <c r="G40" s="12" t="s">
        <v>117</v>
      </c>
      <c r="H40" s="6" t="s">
        <v>72</v>
      </c>
      <c r="I40" s="12" t="s">
        <v>178</v>
      </c>
    </row>
    <row r="41" customFormat="false" ht="17.15" hidden="false" customHeight="false" outlineLevel="0" collapsed="false">
      <c r="A41" s="0" t="s">
        <v>179</v>
      </c>
      <c r="B41" s="6" t="s">
        <v>180</v>
      </c>
      <c r="C41" s="0" t="s">
        <v>66</v>
      </c>
      <c r="D41" s="11" t="n">
        <v>-0.45</v>
      </c>
      <c r="E41" s="11" t="n">
        <v>-0.35</v>
      </c>
      <c r="F41" s="11" t="n">
        <v>-0.25</v>
      </c>
      <c r="G41" s="12" t="s">
        <v>117</v>
      </c>
      <c r="H41" s="6" t="s">
        <v>72</v>
      </c>
      <c r="I41" s="12" t="s">
        <v>181</v>
      </c>
    </row>
    <row r="42" customFormat="false" ht="17.15" hidden="false" customHeight="false" outlineLevel="0" collapsed="false">
      <c r="A42" s="0" t="s">
        <v>182</v>
      </c>
      <c r="B42" s="6" t="s">
        <v>183</v>
      </c>
      <c r="C42" s="0" t="s">
        <v>66</v>
      </c>
      <c r="D42" s="11" t="n">
        <v>-0.4</v>
      </c>
      <c r="E42" s="11" t="n">
        <v>-0.3</v>
      </c>
      <c r="F42" s="11" t="n">
        <v>-0.2</v>
      </c>
      <c r="G42" s="12" t="s">
        <v>117</v>
      </c>
      <c r="H42" s="6" t="s">
        <v>72</v>
      </c>
      <c r="I42" s="12" t="s">
        <v>184</v>
      </c>
    </row>
    <row r="43" customFormat="false" ht="17.15" hidden="false" customHeight="false" outlineLevel="0" collapsed="false">
      <c r="A43" s="0" t="s">
        <v>185</v>
      </c>
      <c r="B43" s="6" t="s">
        <v>186</v>
      </c>
      <c r="C43" s="0" t="s">
        <v>66</v>
      </c>
      <c r="D43" s="11" t="n">
        <v>-0.35</v>
      </c>
      <c r="E43" s="11" t="n">
        <v>-0.25</v>
      </c>
      <c r="F43" s="11" t="n">
        <v>-0.15</v>
      </c>
      <c r="G43" s="12" t="s">
        <v>117</v>
      </c>
      <c r="H43" s="6" t="s">
        <v>72</v>
      </c>
      <c r="I43" s="12" t="s">
        <v>187</v>
      </c>
    </row>
    <row r="44" customFormat="false" ht="17.15" hidden="false" customHeight="false" outlineLevel="0" collapsed="false">
      <c r="A44" s="0" t="s">
        <v>188</v>
      </c>
      <c r="B44" s="6" t="s">
        <v>189</v>
      </c>
      <c r="C44" s="0" t="s">
        <v>66</v>
      </c>
      <c r="D44" s="11" t="n">
        <v>-0.3</v>
      </c>
      <c r="E44" s="11" t="n">
        <v>-0.2</v>
      </c>
      <c r="F44" s="11" t="n">
        <v>-0.1</v>
      </c>
      <c r="G44" s="12" t="s">
        <v>117</v>
      </c>
      <c r="H44" s="6" t="s">
        <v>72</v>
      </c>
      <c r="I44" s="12" t="s">
        <v>190</v>
      </c>
    </row>
    <row r="45" customFormat="false" ht="17.15" hidden="false" customHeight="false" outlineLevel="0" collapsed="false">
      <c r="A45" s="0" t="s">
        <v>191</v>
      </c>
      <c r="B45" s="6" t="s">
        <v>192</v>
      </c>
      <c r="C45" s="0" t="s">
        <v>66</v>
      </c>
      <c r="D45" s="11" t="n">
        <v>-0.1</v>
      </c>
      <c r="E45" s="11" t="n">
        <v>0</v>
      </c>
      <c r="F45" s="11" t="n">
        <v>0.1</v>
      </c>
      <c r="G45" s="12" t="s">
        <v>117</v>
      </c>
      <c r="H45" s="6" t="s">
        <v>72</v>
      </c>
      <c r="I45" s="12" t="s">
        <v>193</v>
      </c>
    </row>
    <row r="46" customFormat="false" ht="17.15" hidden="false" customHeight="false" outlineLevel="0" collapsed="false">
      <c r="A46" s="0" t="s">
        <v>194</v>
      </c>
      <c r="B46" s="6" t="s">
        <v>195</v>
      </c>
      <c r="C46" s="0" t="s">
        <v>66</v>
      </c>
      <c r="D46" s="11" t="n">
        <v>-0.05</v>
      </c>
      <c r="E46" s="11" t="n">
        <v>0.05</v>
      </c>
      <c r="F46" s="11" t="n">
        <v>0.15</v>
      </c>
      <c r="G46" s="12" t="s">
        <v>117</v>
      </c>
      <c r="H46" s="6" t="s">
        <v>72</v>
      </c>
      <c r="I46" s="12" t="s">
        <v>196</v>
      </c>
    </row>
    <row r="47" customFormat="false" ht="17.15" hidden="false" customHeight="false" outlineLevel="0" collapsed="false">
      <c r="A47" s="0" t="s">
        <v>197</v>
      </c>
      <c r="B47" s="6" t="s">
        <v>198</v>
      </c>
      <c r="C47" s="0" t="s">
        <v>66</v>
      </c>
      <c r="D47" s="11" t="n">
        <v>-0.02</v>
      </c>
      <c r="E47" s="11" t="n">
        <v>0.08</v>
      </c>
      <c r="F47" s="11" t="n">
        <v>0.18</v>
      </c>
      <c r="G47" s="12" t="s">
        <v>117</v>
      </c>
      <c r="H47" s="6" t="s">
        <v>72</v>
      </c>
      <c r="I47" s="12" t="s">
        <v>199</v>
      </c>
    </row>
    <row r="48" customFormat="false" ht="17.15" hidden="false" customHeight="false" outlineLevel="0" collapsed="false">
      <c r="A48" s="0" t="s">
        <v>200</v>
      </c>
      <c r="B48" s="6" t="s">
        <v>201</v>
      </c>
      <c r="C48" s="0" t="s">
        <v>66</v>
      </c>
      <c r="D48" s="11" t="n">
        <v>0</v>
      </c>
      <c r="E48" s="11" t="n">
        <v>0.1</v>
      </c>
      <c r="F48" s="11" t="n">
        <v>0.2</v>
      </c>
      <c r="G48" s="12" t="s">
        <v>117</v>
      </c>
      <c r="H48" s="6" t="s">
        <v>72</v>
      </c>
      <c r="I48" s="12" t="s">
        <v>202</v>
      </c>
    </row>
    <row r="49" customFormat="false" ht="17.15" hidden="false" customHeight="false" outlineLevel="0" collapsed="false">
      <c r="A49" s="0" t="s">
        <v>203</v>
      </c>
      <c r="B49" s="0" t="s">
        <v>204</v>
      </c>
      <c r="C49" s="0" t="s">
        <v>66</v>
      </c>
      <c r="E49" s="11" t="n">
        <v>0</v>
      </c>
      <c r="G49" s="12" t="s">
        <v>67</v>
      </c>
      <c r="H49" s="12" t="s">
        <v>205</v>
      </c>
      <c r="I49" s="12" t="s">
        <v>206</v>
      </c>
    </row>
    <row r="50" customFormat="false" ht="17.15" hidden="false" customHeight="false" outlineLevel="0" collapsed="false">
      <c r="A50" s="0" t="s">
        <v>207</v>
      </c>
      <c r="B50" s="0" t="s">
        <v>208</v>
      </c>
      <c r="C50" s="0" t="s">
        <v>66</v>
      </c>
      <c r="E50" s="11" t="n">
        <v>0.05</v>
      </c>
      <c r="G50" s="12" t="s">
        <v>67</v>
      </c>
      <c r="H50" s="6" t="s">
        <v>72</v>
      </c>
      <c r="I50" s="12" t="s">
        <v>209</v>
      </c>
    </row>
    <row r="51" customFormat="false" ht="17.15" hidden="false" customHeight="false" outlineLevel="0" collapsed="false">
      <c r="A51" s="0" t="s">
        <v>210</v>
      </c>
      <c r="B51" s="0" t="s">
        <v>211</v>
      </c>
      <c r="C51" s="0" t="s">
        <v>66</v>
      </c>
      <c r="E51" s="11" t="n">
        <v>0.3</v>
      </c>
      <c r="G51" s="12" t="s">
        <v>67</v>
      </c>
      <c r="H51" s="6" t="s">
        <v>72</v>
      </c>
      <c r="I51" s="12" t="s">
        <v>212</v>
      </c>
    </row>
    <row r="52" customFormat="false" ht="17.15" hidden="false" customHeight="false" outlineLevel="0" collapsed="false">
      <c r="A52" s="0" t="s">
        <v>213</v>
      </c>
      <c r="B52" s="0" t="s">
        <v>214</v>
      </c>
      <c r="C52" s="0" t="s">
        <v>66</v>
      </c>
      <c r="E52" s="11" t="n">
        <v>0.875</v>
      </c>
      <c r="G52" s="12" t="s">
        <v>67</v>
      </c>
      <c r="H52" s="6" t="s">
        <v>72</v>
      </c>
      <c r="I52" s="12" t="s">
        <v>215</v>
      </c>
    </row>
    <row r="53" customFormat="false" ht="17.15" hidden="false" customHeight="false" outlineLevel="0" collapsed="false">
      <c r="A53" s="0" t="s">
        <v>216</v>
      </c>
      <c r="B53" s="0" t="s">
        <v>217</v>
      </c>
      <c r="C53" s="0" t="s">
        <v>66</v>
      </c>
      <c r="E53" s="11" t="n">
        <v>0.725</v>
      </c>
      <c r="G53" s="12" t="s">
        <v>67</v>
      </c>
      <c r="H53" s="6" t="s">
        <v>72</v>
      </c>
      <c r="I53" s="12" t="s">
        <v>218</v>
      </c>
    </row>
    <row r="54" customFormat="false" ht="17.15" hidden="false" customHeight="false" outlineLevel="0" collapsed="false">
      <c r="A54" s="0" t="s">
        <v>219</v>
      </c>
      <c r="B54" s="0" t="s">
        <v>220</v>
      </c>
      <c r="C54" s="0" t="s">
        <v>66</v>
      </c>
      <c r="E54" s="11" t="n">
        <v>0.25</v>
      </c>
      <c r="G54" s="12" t="s">
        <v>221</v>
      </c>
      <c r="H54" s="12" t="s">
        <v>222</v>
      </c>
      <c r="I54" s="12" t="s">
        <v>223</v>
      </c>
    </row>
    <row r="55" customFormat="false" ht="17.15" hidden="false" customHeight="false" outlineLevel="0" collapsed="false">
      <c r="A55" s="0" t="s">
        <v>224</v>
      </c>
      <c r="B55" s="0" t="s">
        <v>225</v>
      </c>
      <c r="C55" s="0" t="s">
        <v>66</v>
      </c>
      <c r="D55" s="11" t="n">
        <v>0.032</v>
      </c>
      <c r="E55" s="11" t="n">
        <f aca="false">(1+0.15)*(1+0.175)/(1+0.25)-1</f>
        <v>0.081</v>
      </c>
      <c r="F55" s="11" t="n">
        <v>0.175</v>
      </c>
      <c r="G55" s="12" t="s">
        <v>91</v>
      </c>
      <c r="H55" s="6" t="s">
        <v>226</v>
      </c>
      <c r="I55" s="12" t="s">
        <v>227</v>
      </c>
    </row>
    <row r="56" customFormat="false" ht="17.15" hidden="false" customHeight="false" outlineLevel="0" collapsed="false">
      <c r="A56" s="0" t="s">
        <v>228</v>
      </c>
      <c r="B56" s="0" t="s">
        <v>229</v>
      </c>
      <c r="C56" s="0" t="s">
        <v>66</v>
      </c>
      <c r="E56" s="11" t="n">
        <v>0.03</v>
      </c>
      <c r="G56" s="12" t="s">
        <v>91</v>
      </c>
      <c r="H56" s="6" t="s">
        <v>230</v>
      </c>
      <c r="I56" s="12" t="s">
        <v>231</v>
      </c>
    </row>
    <row r="57" customFormat="false" ht="17.15" hidden="false" customHeight="false" outlineLevel="0" collapsed="false">
      <c r="A57" s="0" t="s">
        <v>232</v>
      </c>
      <c r="B57" s="0" t="s">
        <v>233</v>
      </c>
      <c r="C57" s="0" t="s">
        <v>66</v>
      </c>
      <c r="E57" s="11" t="n">
        <v>0</v>
      </c>
      <c r="G57" s="12" t="s">
        <v>91</v>
      </c>
      <c r="H57" s="6" t="s">
        <v>72</v>
      </c>
      <c r="I57" s="12" t="s">
        <v>234</v>
      </c>
    </row>
    <row r="58" customFormat="false" ht="17.15" hidden="false" customHeight="false" outlineLevel="0" collapsed="false">
      <c r="A58" s="0" t="s">
        <v>235</v>
      </c>
      <c r="B58" s="0" t="s">
        <v>236</v>
      </c>
      <c r="C58" s="0" t="s">
        <v>66</v>
      </c>
      <c r="E58" s="11" t="n">
        <v>-0.05</v>
      </c>
      <c r="G58" s="12" t="s">
        <v>91</v>
      </c>
      <c r="H58" s="6" t="s">
        <v>72</v>
      </c>
      <c r="I58" s="12" t="s">
        <v>237</v>
      </c>
    </row>
    <row r="59" customFormat="false" ht="17.15" hidden="false" customHeight="false" outlineLevel="0" collapsed="false">
      <c r="A59" s="0" t="s">
        <v>238</v>
      </c>
      <c r="B59" s="0" t="s">
        <v>239</v>
      </c>
      <c r="C59" s="0" t="s">
        <v>66</v>
      </c>
      <c r="E59" s="11" t="n">
        <v>-0.07</v>
      </c>
      <c r="G59" s="12" t="s">
        <v>91</v>
      </c>
      <c r="H59" s="6" t="s">
        <v>72</v>
      </c>
      <c r="I59" s="12" t="s">
        <v>240</v>
      </c>
    </row>
    <row r="60" customFormat="false" ht="17.15" hidden="false" customHeight="false" outlineLevel="0" collapsed="false">
      <c r="A60" s="0" t="s">
        <v>241</v>
      </c>
      <c r="B60" s="0" t="s">
        <v>242</v>
      </c>
      <c r="C60" s="0" t="s">
        <v>66</v>
      </c>
      <c r="E60" s="11" t="n">
        <v>-0.05</v>
      </c>
      <c r="G60" s="12" t="s">
        <v>91</v>
      </c>
      <c r="H60" s="6" t="s">
        <v>72</v>
      </c>
      <c r="I60" s="12" t="s">
        <v>243</v>
      </c>
    </row>
    <row r="61" customFormat="false" ht="17.15" hidden="false" customHeight="false" outlineLevel="0" collapsed="false">
      <c r="A61" s="0" t="s">
        <v>244</v>
      </c>
      <c r="B61" s="0" t="s">
        <v>245</v>
      </c>
      <c r="C61" s="0" t="s">
        <v>66</v>
      </c>
      <c r="E61" s="11" t="n">
        <v>-0.05</v>
      </c>
      <c r="G61" s="12" t="s">
        <v>91</v>
      </c>
      <c r="H61" s="6" t="s">
        <v>72</v>
      </c>
      <c r="I61" s="12" t="s">
        <v>246</v>
      </c>
    </row>
    <row r="62" customFormat="false" ht="17.15" hidden="false" customHeight="false" outlineLevel="0" collapsed="false">
      <c r="A62" s="0" t="s">
        <v>247</v>
      </c>
      <c r="B62" s="0" t="s">
        <v>248</v>
      </c>
      <c r="C62" s="0" t="s">
        <v>66</v>
      </c>
      <c r="E62" s="11" t="n">
        <v>-0.05</v>
      </c>
      <c r="G62" s="12" t="s">
        <v>91</v>
      </c>
      <c r="H62" s="6" t="s">
        <v>72</v>
      </c>
      <c r="I62" s="12" t="s">
        <v>249</v>
      </c>
    </row>
    <row r="63" customFormat="false" ht="17.15" hidden="false" customHeight="false" outlineLevel="0" collapsed="false">
      <c r="A63" s="0" t="s">
        <v>250</v>
      </c>
      <c r="B63" s="0" t="s">
        <v>251</v>
      </c>
      <c r="C63" s="0" t="s">
        <v>66</v>
      </c>
      <c r="E63" s="11" t="n">
        <v>-0.05</v>
      </c>
      <c r="G63" s="12" t="s">
        <v>91</v>
      </c>
      <c r="H63" s="6" t="s">
        <v>72</v>
      </c>
      <c r="I63" s="12" t="s">
        <v>252</v>
      </c>
    </row>
    <row r="64" customFormat="false" ht="17.15" hidden="false" customHeight="false" outlineLevel="0" collapsed="false">
      <c r="A64" s="0" t="s">
        <v>253</v>
      </c>
      <c r="B64" s="0" t="s">
        <v>254</v>
      </c>
      <c r="C64" s="0" t="s">
        <v>66</v>
      </c>
      <c r="D64" s="11" t="n">
        <v>-0.03</v>
      </c>
      <c r="E64" s="11" t="n">
        <v>-0.03</v>
      </c>
      <c r="F64" s="11" t="n">
        <v>0.05</v>
      </c>
      <c r="G64" s="12" t="s">
        <v>117</v>
      </c>
      <c r="H64" s="12" t="s">
        <v>118</v>
      </c>
      <c r="I64" s="12" t="s">
        <v>255</v>
      </c>
    </row>
    <row r="65" customFormat="false" ht="17.15" hidden="false" customHeight="false" outlineLevel="0" collapsed="false">
      <c r="A65" s="0" t="s">
        <v>256</v>
      </c>
      <c r="B65" s="0" t="s">
        <v>257</v>
      </c>
      <c r="C65" s="0" t="s">
        <v>66</v>
      </c>
      <c r="D65" s="11" t="n">
        <v>-0.03</v>
      </c>
      <c r="E65" s="11" t="n">
        <v>-0.03</v>
      </c>
      <c r="F65" s="11" t="n">
        <v>0.05</v>
      </c>
      <c r="G65" s="12" t="s">
        <v>117</v>
      </c>
      <c r="H65" s="6" t="s">
        <v>72</v>
      </c>
      <c r="I65" s="12" t="s">
        <v>258</v>
      </c>
    </row>
    <row r="66" customFormat="false" ht="17.15" hidden="false" customHeight="false" outlineLevel="0" collapsed="false">
      <c r="A66" s="0" t="s">
        <v>259</v>
      </c>
      <c r="B66" s="0" t="s">
        <v>260</v>
      </c>
      <c r="C66" s="0" t="s">
        <v>66</v>
      </c>
      <c r="D66" s="11" t="n">
        <v>-0.03</v>
      </c>
      <c r="E66" s="11" t="n">
        <v>-0.03</v>
      </c>
      <c r="F66" s="11" t="n">
        <v>0.03</v>
      </c>
      <c r="G66" s="12" t="s">
        <v>117</v>
      </c>
      <c r="H66" s="6" t="s">
        <v>72</v>
      </c>
      <c r="I66" s="12" t="s">
        <v>261</v>
      </c>
    </row>
    <row r="67" customFormat="false" ht="17.15" hidden="false" customHeight="false" outlineLevel="0" collapsed="false">
      <c r="A67" s="0" t="s">
        <v>262</v>
      </c>
      <c r="B67" s="0" t="s">
        <v>263</v>
      </c>
      <c r="C67" s="0" t="s">
        <v>66</v>
      </c>
      <c r="D67" s="11" t="n">
        <v>-0.03</v>
      </c>
      <c r="E67" s="11" t="n">
        <v>-0.03</v>
      </c>
      <c r="F67" s="11" t="n">
        <v>0.03</v>
      </c>
      <c r="G67" s="12" t="s">
        <v>117</v>
      </c>
      <c r="H67" s="6" t="s">
        <v>72</v>
      </c>
      <c r="I67" s="12" t="s">
        <v>264</v>
      </c>
    </row>
    <row r="68" customFormat="false" ht="17.15" hidden="false" customHeight="false" outlineLevel="0" collapsed="false">
      <c r="A68" s="0" t="s">
        <v>265</v>
      </c>
      <c r="B68" s="0" t="s">
        <v>266</v>
      </c>
      <c r="C68" s="0" t="s">
        <v>66</v>
      </c>
      <c r="E68" s="11" t="n">
        <v>0.05</v>
      </c>
      <c r="G68" s="12" t="s">
        <v>91</v>
      </c>
      <c r="H68" s="6" t="s">
        <v>267</v>
      </c>
      <c r="I68" s="12" t="s">
        <v>268</v>
      </c>
    </row>
    <row r="69" customFormat="false" ht="17.15" hidden="false" customHeight="false" outlineLevel="0" collapsed="false">
      <c r="A69" s="0" t="s">
        <v>269</v>
      </c>
      <c r="B69" s="0" t="s">
        <v>270</v>
      </c>
      <c r="C69" s="0" t="s">
        <v>66</v>
      </c>
      <c r="E69" s="11" t="n">
        <v>0.02</v>
      </c>
      <c r="G69" s="12" t="s">
        <v>91</v>
      </c>
      <c r="H69" s="6" t="s">
        <v>72</v>
      </c>
      <c r="I69" s="12" t="s">
        <v>271</v>
      </c>
    </row>
    <row r="70" customFormat="false" ht="17.15" hidden="false" customHeight="false" outlineLevel="0" collapsed="false">
      <c r="A70" s="0" t="s">
        <v>272</v>
      </c>
      <c r="B70" s="0" t="s">
        <v>273</v>
      </c>
      <c r="C70" s="0" t="s">
        <v>66</v>
      </c>
      <c r="E70" s="11" t="n">
        <v>-0.1</v>
      </c>
      <c r="G70" s="12" t="s">
        <v>91</v>
      </c>
      <c r="H70" s="6" t="s">
        <v>72</v>
      </c>
      <c r="I70" s="12" t="s">
        <v>274</v>
      </c>
    </row>
    <row r="71" customFormat="false" ht="17.15" hidden="false" customHeight="false" outlineLevel="0" collapsed="false">
      <c r="A71" s="0" t="s">
        <v>275</v>
      </c>
      <c r="B71" s="0" t="s">
        <v>276</v>
      </c>
      <c r="C71" s="0" t="s">
        <v>66</v>
      </c>
      <c r="E71" s="11" t="n">
        <v>-0.2</v>
      </c>
      <c r="G71" s="12" t="s">
        <v>91</v>
      </c>
      <c r="H71" s="6" t="s">
        <v>72</v>
      </c>
      <c r="I71" s="12" t="s">
        <v>277</v>
      </c>
    </row>
    <row r="72" customFormat="false" ht="17.15" hidden="false" customHeight="false" outlineLevel="0" collapsed="false">
      <c r="A72" s="0" t="s">
        <v>278</v>
      </c>
      <c r="B72" s="0" t="s">
        <v>279</v>
      </c>
      <c r="C72" s="0" t="s">
        <v>66</v>
      </c>
      <c r="E72" s="11" t="n">
        <v>-0.3</v>
      </c>
      <c r="G72" s="12" t="s">
        <v>91</v>
      </c>
      <c r="H72" s="6" t="s">
        <v>72</v>
      </c>
      <c r="I72" s="12" t="s">
        <v>280</v>
      </c>
    </row>
    <row r="73" customFormat="false" ht="17.15" hidden="false" customHeight="false" outlineLevel="0" collapsed="false">
      <c r="A73" s="0" t="s">
        <v>281</v>
      </c>
      <c r="B73" s="0" t="s">
        <v>282</v>
      </c>
      <c r="C73" s="0" t="s">
        <v>66</v>
      </c>
      <c r="E73" s="11" t="n">
        <v>-0.25</v>
      </c>
      <c r="G73" s="12" t="s">
        <v>91</v>
      </c>
      <c r="H73" s="6" t="s">
        <v>72</v>
      </c>
      <c r="I73" s="12" t="s">
        <v>283</v>
      </c>
    </row>
    <row r="74" customFormat="false" ht="17.15" hidden="false" customHeight="false" outlineLevel="0" collapsed="false">
      <c r="A74" s="0" t="s">
        <v>284</v>
      </c>
      <c r="B74" s="0" t="s">
        <v>285</v>
      </c>
      <c r="C74" s="0" t="s">
        <v>66</v>
      </c>
      <c r="E74" s="11" t="n">
        <v>-0.2</v>
      </c>
      <c r="G74" s="12" t="s">
        <v>91</v>
      </c>
      <c r="H74" s="6" t="s">
        <v>72</v>
      </c>
      <c r="I74" s="12" t="s">
        <v>286</v>
      </c>
    </row>
    <row r="75" customFormat="false" ht="17.15" hidden="false" customHeight="false" outlineLevel="0" collapsed="false">
      <c r="A75" s="0" t="s">
        <v>287</v>
      </c>
      <c r="B75" s="0" t="s">
        <v>288</v>
      </c>
      <c r="C75" s="0" t="s">
        <v>66</v>
      </c>
      <c r="E75" s="11" t="n">
        <v>-0.1</v>
      </c>
      <c r="G75" s="12" t="s">
        <v>91</v>
      </c>
      <c r="H75" s="6" t="s">
        <v>72</v>
      </c>
      <c r="I75" s="12" t="s">
        <v>289</v>
      </c>
    </row>
    <row r="76" customFormat="false" ht="17.15" hidden="false" customHeight="false" outlineLevel="0" collapsed="false">
      <c r="A76" s="0" t="s">
        <v>290</v>
      </c>
      <c r="B76" s="0" t="s">
        <v>291</v>
      </c>
      <c r="C76" s="0" t="s">
        <v>66</v>
      </c>
      <c r="D76" s="11" t="n">
        <v>-0.03</v>
      </c>
      <c r="E76" s="11" t="n">
        <v>0.05</v>
      </c>
      <c r="F76" s="11" t="n">
        <v>0.05</v>
      </c>
      <c r="G76" s="12" t="s">
        <v>117</v>
      </c>
      <c r="H76" s="12" t="s">
        <v>118</v>
      </c>
      <c r="I76" s="12" t="s">
        <v>292</v>
      </c>
    </row>
    <row r="77" customFormat="false" ht="17.15" hidden="false" customHeight="false" outlineLevel="0" collapsed="false">
      <c r="A77" s="0" t="s">
        <v>293</v>
      </c>
      <c r="B77" s="0" t="s">
        <v>294</v>
      </c>
      <c r="C77" s="0" t="s">
        <v>66</v>
      </c>
      <c r="D77" s="11" t="n">
        <v>-0.03</v>
      </c>
      <c r="E77" s="11" t="n">
        <v>0.05</v>
      </c>
      <c r="F77" s="11" t="n">
        <v>0.05</v>
      </c>
      <c r="G77" s="12" t="s">
        <v>117</v>
      </c>
      <c r="H77" s="6" t="s">
        <v>72</v>
      </c>
      <c r="I77" s="12" t="s">
        <v>295</v>
      </c>
    </row>
    <row r="78" customFormat="false" ht="17.15" hidden="false" customHeight="false" outlineLevel="0" collapsed="false">
      <c r="A78" s="0" t="s">
        <v>296</v>
      </c>
      <c r="B78" s="0" t="s">
        <v>297</v>
      </c>
      <c r="C78" s="0" t="s">
        <v>66</v>
      </c>
      <c r="D78" s="11" t="n">
        <v>-0.03</v>
      </c>
      <c r="E78" s="11" t="n">
        <v>0.03</v>
      </c>
      <c r="F78" s="11" t="n">
        <v>0.03</v>
      </c>
      <c r="G78" s="12" t="s">
        <v>117</v>
      </c>
      <c r="H78" s="6" t="s">
        <v>72</v>
      </c>
      <c r="I78" s="12" t="s">
        <v>298</v>
      </c>
    </row>
    <row r="79" customFormat="false" ht="17.15" hidden="false" customHeight="false" outlineLevel="0" collapsed="false">
      <c r="A79" s="0" t="s">
        <v>299</v>
      </c>
      <c r="B79" s="0" t="s">
        <v>300</v>
      </c>
      <c r="C79" s="0" t="s">
        <v>66</v>
      </c>
      <c r="D79" s="11" t="n">
        <v>-0.03</v>
      </c>
      <c r="E79" s="11" t="n">
        <v>0.03</v>
      </c>
      <c r="F79" s="11" t="n">
        <v>0.03</v>
      </c>
      <c r="G79" s="12" t="s">
        <v>117</v>
      </c>
      <c r="H79" s="6" t="s">
        <v>72</v>
      </c>
      <c r="I79" s="12" t="s">
        <v>301</v>
      </c>
    </row>
    <row r="80" customFormat="false" ht="17.15" hidden="false" customHeight="false" outlineLevel="0" collapsed="false">
      <c r="A80" s="0" t="s">
        <v>302</v>
      </c>
      <c r="B80" s="0" t="s">
        <v>303</v>
      </c>
      <c r="C80" s="0" t="s">
        <v>66</v>
      </c>
      <c r="D80" s="11" t="n">
        <v>0</v>
      </c>
      <c r="E80" s="11" t="n">
        <v>0.05</v>
      </c>
      <c r="F80" s="11" t="n">
        <v>0.1</v>
      </c>
      <c r="G80" s="12" t="s">
        <v>117</v>
      </c>
      <c r="H80" s="12" t="s">
        <v>304</v>
      </c>
      <c r="I80" s="12" t="s">
        <v>305</v>
      </c>
    </row>
    <row r="81" customFormat="false" ht="17.15" hidden="false" customHeight="false" outlineLevel="0" collapsed="false">
      <c r="A81" s="0" t="s">
        <v>306</v>
      </c>
      <c r="B81" s="0" t="s">
        <v>307</v>
      </c>
      <c r="C81" s="0" t="s">
        <v>66</v>
      </c>
      <c r="D81" s="11" t="n">
        <v>-0.03</v>
      </c>
      <c r="E81" s="11" t="n">
        <v>0.02</v>
      </c>
      <c r="F81" s="11" t="n">
        <v>0.07</v>
      </c>
      <c r="G81" s="12" t="s">
        <v>117</v>
      </c>
      <c r="H81" s="6" t="s">
        <v>72</v>
      </c>
      <c r="I81" s="12" t="s">
        <v>308</v>
      </c>
    </row>
    <row r="82" customFormat="false" ht="17.15" hidden="false" customHeight="false" outlineLevel="0" collapsed="false">
      <c r="A82" s="0" t="s">
        <v>309</v>
      </c>
      <c r="B82" s="0" t="s">
        <v>310</v>
      </c>
      <c r="C82" s="0" t="s">
        <v>66</v>
      </c>
      <c r="D82" s="11" t="n">
        <v>-0.15</v>
      </c>
      <c r="E82" s="11" t="n">
        <v>-0.1</v>
      </c>
      <c r="F82" s="11" t="n">
        <v>-0.05</v>
      </c>
      <c r="G82" s="12" t="s">
        <v>117</v>
      </c>
      <c r="H82" s="6" t="s">
        <v>72</v>
      </c>
      <c r="I82" s="12" t="s">
        <v>311</v>
      </c>
    </row>
    <row r="83" customFormat="false" ht="17.15" hidden="false" customHeight="false" outlineLevel="0" collapsed="false">
      <c r="A83" s="0" t="s">
        <v>312</v>
      </c>
      <c r="B83" s="0" t="s">
        <v>313</v>
      </c>
      <c r="C83" s="0" t="s">
        <v>66</v>
      </c>
      <c r="D83" s="11" t="n">
        <v>-0.25</v>
      </c>
      <c r="E83" s="11" t="n">
        <v>-0.2</v>
      </c>
      <c r="F83" s="11" t="n">
        <v>-0.15</v>
      </c>
      <c r="G83" s="12" t="s">
        <v>117</v>
      </c>
      <c r="H83" s="6" t="s">
        <v>72</v>
      </c>
      <c r="I83" s="12" t="s">
        <v>314</v>
      </c>
    </row>
    <row r="84" customFormat="false" ht="17.15" hidden="false" customHeight="false" outlineLevel="0" collapsed="false">
      <c r="A84" s="0" t="s">
        <v>315</v>
      </c>
      <c r="B84" s="0" t="s">
        <v>316</v>
      </c>
      <c r="C84" s="0" t="s">
        <v>66</v>
      </c>
      <c r="D84" s="11" t="n">
        <v>-0.45</v>
      </c>
      <c r="E84" s="11" t="n">
        <v>-0.35</v>
      </c>
      <c r="F84" s="11" t="n">
        <v>-0.25</v>
      </c>
      <c r="G84" s="12" t="s">
        <v>117</v>
      </c>
      <c r="H84" s="6" t="s">
        <v>72</v>
      </c>
      <c r="I84" s="12" t="s">
        <v>317</v>
      </c>
    </row>
    <row r="85" customFormat="false" ht="17.15" hidden="false" customHeight="false" outlineLevel="0" collapsed="false">
      <c r="A85" s="0" t="s">
        <v>318</v>
      </c>
      <c r="B85" s="0" t="s">
        <v>319</v>
      </c>
      <c r="C85" s="0" t="s">
        <v>66</v>
      </c>
      <c r="D85" s="11" t="n">
        <v>-0.45</v>
      </c>
      <c r="E85" s="11" t="n">
        <v>-0.35</v>
      </c>
      <c r="F85" s="11" t="n">
        <v>-0.25</v>
      </c>
      <c r="G85" s="12" t="s">
        <v>117</v>
      </c>
      <c r="H85" s="6" t="s">
        <v>72</v>
      </c>
      <c r="I85" s="12" t="s">
        <v>320</v>
      </c>
    </row>
    <row r="86" customFormat="false" ht="17.15" hidden="false" customHeight="false" outlineLevel="0" collapsed="false">
      <c r="A86" s="0" t="s">
        <v>321</v>
      </c>
      <c r="B86" s="0" t="s">
        <v>322</v>
      </c>
      <c r="C86" s="0" t="s">
        <v>66</v>
      </c>
      <c r="D86" s="11" t="n">
        <v>-0.35</v>
      </c>
      <c r="E86" s="11" t="n">
        <v>-0.25</v>
      </c>
      <c r="F86" s="11" t="n">
        <v>-0.15</v>
      </c>
      <c r="G86" s="12" t="s">
        <v>117</v>
      </c>
      <c r="H86" s="6" t="s">
        <v>72</v>
      </c>
      <c r="I86" s="12" t="s">
        <v>323</v>
      </c>
    </row>
    <row r="87" customFormat="false" ht="17.15" hidden="false" customHeight="false" outlineLevel="0" collapsed="false">
      <c r="A87" s="0" t="s">
        <v>324</v>
      </c>
      <c r="B87" s="0" t="s">
        <v>325</v>
      </c>
      <c r="C87" s="0" t="s">
        <v>66</v>
      </c>
      <c r="D87" s="11" t="n">
        <v>-0.3</v>
      </c>
      <c r="E87" s="11" t="n">
        <v>-0.2</v>
      </c>
      <c r="F87" s="11" t="n">
        <v>-0.1</v>
      </c>
      <c r="G87" s="12" t="s">
        <v>117</v>
      </c>
      <c r="H87" s="6" t="s">
        <v>72</v>
      </c>
      <c r="I87" s="12" t="s">
        <v>326</v>
      </c>
    </row>
    <row r="88" customFormat="false" ht="17.15" hidden="false" customHeight="false" outlineLevel="0" collapsed="false">
      <c r="A88" s="0" t="s">
        <v>327</v>
      </c>
      <c r="B88" s="0" t="s">
        <v>328</v>
      </c>
      <c r="C88" s="0" t="s">
        <v>66</v>
      </c>
      <c r="D88" s="11" t="n">
        <v>-0.1</v>
      </c>
      <c r="E88" s="11" t="n">
        <v>0</v>
      </c>
      <c r="F88" s="11" t="n">
        <v>0.1</v>
      </c>
      <c r="G88" s="12" t="s">
        <v>117</v>
      </c>
      <c r="H88" s="6" t="s">
        <v>72</v>
      </c>
      <c r="I88" s="12" t="s">
        <v>329</v>
      </c>
    </row>
    <row r="89" customFormat="false" ht="17.15" hidden="false" customHeight="false" outlineLevel="0" collapsed="false">
      <c r="A89" s="0" t="s">
        <v>330</v>
      </c>
      <c r="B89" s="0" t="s">
        <v>331</v>
      </c>
      <c r="C89" s="0" t="s">
        <v>66</v>
      </c>
      <c r="D89" s="11" t="n">
        <v>-0.05</v>
      </c>
      <c r="E89" s="11" t="n">
        <v>0.05</v>
      </c>
      <c r="F89" s="11" t="n">
        <v>0.15</v>
      </c>
      <c r="G89" s="12" t="s">
        <v>117</v>
      </c>
      <c r="H89" s="6" t="s">
        <v>72</v>
      </c>
      <c r="I89" s="12" t="s">
        <v>332</v>
      </c>
    </row>
    <row r="90" customFormat="false" ht="17.15" hidden="false" customHeight="false" outlineLevel="0" collapsed="false">
      <c r="A90" s="0" t="s">
        <v>333</v>
      </c>
      <c r="B90" s="0" t="s">
        <v>334</v>
      </c>
      <c r="C90" s="0" t="s">
        <v>66</v>
      </c>
      <c r="D90" s="11" t="n">
        <v>-0.02</v>
      </c>
      <c r="E90" s="11" t="n">
        <v>0.08</v>
      </c>
      <c r="F90" s="11" t="n">
        <v>0.18</v>
      </c>
      <c r="G90" s="12" t="s">
        <v>117</v>
      </c>
      <c r="H90" s="6" t="s">
        <v>72</v>
      </c>
      <c r="I90" s="12" t="s">
        <v>335</v>
      </c>
    </row>
    <row r="91" customFormat="false" ht="17.15" hidden="false" customHeight="false" outlineLevel="0" collapsed="false">
      <c r="A91" s="0" t="s">
        <v>336</v>
      </c>
      <c r="B91" s="0" t="s">
        <v>337</v>
      </c>
      <c r="C91" s="0" t="s">
        <v>66</v>
      </c>
      <c r="D91" s="11" t="n">
        <v>0</v>
      </c>
      <c r="E91" s="11" t="n">
        <v>0.1</v>
      </c>
      <c r="F91" s="11" t="n">
        <v>0.2</v>
      </c>
      <c r="G91" s="12" t="s">
        <v>117</v>
      </c>
      <c r="H91" s="6" t="s">
        <v>72</v>
      </c>
      <c r="I91" s="12" t="s">
        <v>338</v>
      </c>
    </row>
    <row r="92" customFormat="false" ht="17.15" hidden="false" customHeight="false" outlineLevel="0" collapsed="false">
      <c r="A92" s="10" t="s">
        <v>339</v>
      </c>
    </row>
    <row r="93" customFormat="false" ht="17.15" hidden="false" customHeight="false" outlineLevel="0" collapsed="false">
      <c r="A93" s="0" t="s">
        <v>340</v>
      </c>
      <c r="B93" s="0" t="s">
        <v>341</v>
      </c>
      <c r="C93" s="6" t="s">
        <v>342</v>
      </c>
      <c r="E93" s="13" t="n">
        <v>5.4</v>
      </c>
      <c r="G93" s="12" t="s">
        <v>67</v>
      </c>
      <c r="H93" s="6" t="s">
        <v>343</v>
      </c>
      <c r="I93" s="12" t="s">
        <v>344</v>
      </c>
    </row>
    <row r="94" customFormat="false" ht="17.15" hidden="false" customHeight="false" outlineLevel="0" collapsed="false">
      <c r="A94" s="0" t="s">
        <v>345</v>
      </c>
      <c r="B94" s="0" t="s">
        <v>346</v>
      </c>
      <c r="C94" s="6" t="s">
        <v>342</v>
      </c>
      <c r="E94" s="13" t="n">
        <v>2.4</v>
      </c>
      <c r="G94" s="12" t="s">
        <v>67</v>
      </c>
      <c r="H94" s="6" t="s">
        <v>72</v>
      </c>
      <c r="I94" s="12" t="s">
        <v>347</v>
      </c>
    </row>
    <row r="95" customFormat="false" ht="17.15" hidden="false" customHeight="false" outlineLevel="0" collapsed="false">
      <c r="A95" s="0" t="s">
        <v>348</v>
      </c>
      <c r="B95" s="0" t="s">
        <v>349</v>
      </c>
      <c r="C95" s="6" t="s">
        <v>342</v>
      </c>
      <c r="E95" s="13" t="n">
        <v>0.5</v>
      </c>
      <c r="G95" s="12" t="s">
        <v>67</v>
      </c>
      <c r="H95" s="6" t="s">
        <v>72</v>
      </c>
      <c r="I95" s="12" t="s">
        <v>350</v>
      </c>
    </row>
    <row r="96" customFormat="false" ht="17.15" hidden="false" customHeight="false" outlineLevel="0" collapsed="false">
      <c r="A96" s="0" t="s">
        <v>351</v>
      </c>
      <c r="B96" s="0" t="s">
        <v>352</v>
      </c>
      <c r="C96" s="0" t="s">
        <v>353</v>
      </c>
      <c r="E96" s="13" t="n">
        <v>260</v>
      </c>
      <c r="G96" s="12" t="s">
        <v>67</v>
      </c>
      <c r="H96" s="6" t="s">
        <v>72</v>
      </c>
      <c r="I96" s="12" t="s">
        <v>354</v>
      </c>
    </row>
    <row r="97" customFormat="false" ht="17.15" hidden="false" customHeight="false" outlineLevel="0" collapsed="false">
      <c r="A97" s="0" t="s">
        <v>355</v>
      </c>
      <c r="B97" s="0" t="s">
        <v>356</v>
      </c>
      <c r="C97" s="0" t="s">
        <v>353</v>
      </c>
      <c r="E97" s="13" t="n">
        <v>280</v>
      </c>
      <c r="G97" s="12" t="s">
        <v>67</v>
      </c>
      <c r="H97" s="6" t="s">
        <v>72</v>
      </c>
      <c r="I97" s="12" t="s">
        <v>357</v>
      </c>
    </row>
    <row r="98" customFormat="false" ht="17.15" hidden="false" customHeight="false" outlineLevel="0" collapsed="false">
      <c r="A98" s="0" t="s">
        <v>358</v>
      </c>
      <c r="B98" s="0" t="s">
        <v>359</v>
      </c>
      <c r="C98" s="0" t="s">
        <v>353</v>
      </c>
      <c r="E98" s="13" t="n">
        <v>288</v>
      </c>
      <c r="G98" s="12" t="s">
        <v>67</v>
      </c>
      <c r="H98" s="6" t="s">
        <v>72</v>
      </c>
      <c r="I98" s="12" t="s">
        <v>360</v>
      </c>
    </row>
    <row r="99" customFormat="false" ht="17.15" hidden="false" customHeight="false" outlineLevel="0" collapsed="false">
      <c r="A99" s="0" t="s">
        <v>361</v>
      </c>
      <c r="B99" s="0" t="s">
        <v>362</v>
      </c>
      <c r="C99" s="6" t="s">
        <v>342</v>
      </c>
      <c r="E99" s="13" t="n">
        <v>1.7</v>
      </c>
      <c r="G99" s="12" t="s">
        <v>67</v>
      </c>
      <c r="H99" s="12" t="s">
        <v>363</v>
      </c>
      <c r="I99" s="12" t="s">
        <v>364</v>
      </c>
    </row>
    <row r="100" customFormat="false" ht="17.15" hidden="false" customHeight="false" outlineLevel="0" collapsed="false">
      <c r="A100" s="0" t="s">
        <v>365</v>
      </c>
      <c r="B100" s="0" t="s">
        <v>366</v>
      </c>
      <c r="C100" s="6" t="s">
        <v>342</v>
      </c>
      <c r="E100" s="13" t="n">
        <v>7</v>
      </c>
      <c r="G100" s="12" t="s">
        <v>67</v>
      </c>
      <c r="H100" s="6" t="s">
        <v>72</v>
      </c>
      <c r="I100" s="12" t="s">
        <v>367</v>
      </c>
    </row>
    <row r="101" customFormat="false" ht="17.15" hidden="false" customHeight="false" outlineLevel="0" collapsed="false">
      <c r="A101" s="0" t="s">
        <v>368</v>
      </c>
      <c r="B101" s="0" t="s">
        <v>369</v>
      </c>
      <c r="C101" s="6" t="s">
        <v>342</v>
      </c>
      <c r="E101" s="13" t="n">
        <v>7</v>
      </c>
      <c r="G101" s="12" t="s">
        <v>67</v>
      </c>
      <c r="H101" s="6" t="s">
        <v>72</v>
      </c>
      <c r="I101" s="12" t="s">
        <v>370</v>
      </c>
    </row>
    <row r="102" customFormat="false" ht="17.15" hidden="false" customHeight="false" outlineLevel="0" collapsed="false">
      <c r="A102" s="0" t="s">
        <v>371</v>
      </c>
      <c r="B102" s="0" t="s">
        <v>372</v>
      </c>
      <c r="C102" s="0" t="s">
        <v>353</v>
      </c>
      <c r="E102" s="13" t="n">
        <v>288</v>
      </c>
      <c r="G102" s="12" t="s">
        <v>67</v>
      </c>
      <c r="H102" s="6" t="s">
        <v>72</v>
      </c>
      <c r="I102" s="12" t="s">
        <v>373</v>
      </c>
    </row>
    <row r="103" customFormat="false" ht="17.15" hidden="false" customHeight="false" outlineLevel="0" collapsed="false">
      <c r="A103" s="0" t="s">
        <v>374</v>
      </c>
      <c r="B103" s="0" t="s">
        <v>375</v>
      </c>
      <c r="C103" s="0" t="s">
        <v>353</v>
      </c>
      <c r="E103" s="13" t="n">
        <v>288</v>
      </c>
      <c r="G103" s="12" t="s">
        <v>67</v>
      </c>
      <c r="H103" s="6" t="s">
        <v>72</v>
      </c>
      <c r="I103" s="12" t="s">
        <v>376</v>
      </c>
    </row>
    <row r="104" customFormat="false" ht="17.15" hidden="false" customHeight="false" outlineLevel="0" collapsed="false">
      <c r="A104" s="0" t="s">
        <v>377</v>
      </c>
      <c r="B104" s="0" t="s">
        <v>378</v>
      </c>
      <c r="C104" s="0" t="s">
        <v>353</v>
      </c>
      <c r="E104" s="13" t="n">
        <v>288</v>
      </c>
      <c r="G104" s="12" t="s">
        <v>67</v>
      </c>
      <c r="H104" s="6" t="s">
        <v>72</v>
      </c>
      <c r="I104" s="12" t="s">
        <v>379</v>
      </c>
    </row>
    <row r="105" customFormat="false" ht="17.15" hidden="false" customHeight="false" outlineLevel="0" collapsed="false">
      <c r="A105" s="0" t="s">
        <v>380</v>
      </c>
      <c r="B105" s="0" t="s">
        <v>381</v>
      </c>
      <c r="C105" s="6" t="s">
        <v>342</v>
      </c>
      <c r="D105" s="13" t="n">
        <v>0</v>
      </c>
      <c r="E105" s="13" t="n">
        <v>0</v>
      </c>
      <c r="F105" s="13" t="n">
        <v>0</v>
      </c>
      <c r="G105" s="12" t="s">
        <v>117</v>
      </c>
      <c r="H105" s="6" t="s">
        <v>382</v>
      </c>
      <c r="I105" s="12" t="s">
        <v>383</v>
      </c>
    </row>
    <row r="106" customFormat="false" ht="17.15" hidden="false" customHeight="false" outlineLevel="0" collapsed="false">
      <c r="A106" s="0" t="s">
        <v>384</v>
      </c>
      <c r="B106" s="0" t="s">
        <v>385</v>
      </c>
      <c r="C106" s="6" t="s">
        <v>342</v>
      </c>
      <c r="D106" s="13" t="n">
        <v>0</v>
      </c>
      <c r="E106" s="13" t="n">
        <v>0.3</v>
      </c>
      <c r="F106" s="13" t="n">
        <v>0.6</v>
      </c>
      <c r="G106" s="12" t="s">
        <v>117</v>
      </c>
      <c r="H106" s="6" t="s">
        <v>72</v>
      </c>
      <c r="I106" s="12" t="s">
        <v>386</v>
      </c>
    </row>
    <row r="107" customFormat="false" ht="17.15" hidden="false" customHeight="false" outlineLevel="0" collapsed="false">
      <c r="A107" s="0" t="s">
        <v>387</v>
      </c>
      <c r="B107" s="0" t="s">
        <v>388</v>
      </c>
      <c r="C107" s="6" t="s">
        <v>342</v>
      </c>
      <c r="D107" s="13" t="n">
        <v>1</v>
      </c>
      <c r="E107" s="13" t="n">
        <v>2</v>
      </c>
      <c r="F107" s="13" t="n">
        <v>3</v>
      </c>
      <c r="G107" s="12" t="s">
        <v>117</v>
      </c>
      <c r="H107" s="6" t="s">
        <v>72</v>
      </c>
      <c r="I107" s="12" t="s">
        <v>389</v>
      </c>
    </row>
    <row r="108" customFormat="false" ht="17.15" hidden="false" customHeight="false" outlineLevel="0" collapsed="false">
      <c r="A108" s="0" t="s">
        <v>390</v>
      </c>
      <c r="B108" s="0" t="s">
        <v>391</v>
      </c>
      <c r="C108" s="0" t="s">
        <v>353</v>
      </c>
      <c r="E108" s="13" t="n">
        <v>1024</v>
      </c>
      <c r="G108" s="12" t="s">
        <v>67</v>
      </c>
      <c r="H108" s="12" t="s">
        <v>392</v>
      </c>
      <c r="I108" s="12" t="s">
        <v>393</v>
      </c>
    </row>
    <row r="109" customFormat="false" ht="17.15" hidden="false" customHeight="false" outlineLevel="0" collapsed="false">
      <c r="A109" s="0" t="s">
        <v>394</v>
      </c>
      <c r="B109" s="0" t="s">
        <v>395</v>
      </c>
      <c r="C109" s="0" t="s">
        <v>353</v>
      </c>
      <c r="E109" s="13" t="n">
        <v>1024</v>
      </c>
      <c r="G109" s="12" t="s">
        <v>67</v>
      </c>
      <c r="H109" s="6" t="s">
        <v>72</v>
      </c>
      <c r="I109" s="12" t="s">
        <v>396</v>
      </c>
    </row>
    <row r="110" customFormat="false" ht="17.15" hidden="false" customHeight="false" outlineLevel="0" collapsed="false">
      <c r="A110" s="0" t="s">
        <v>397</v>
      </c>
      <c r="B110" s="0" t="s">
        <v>398</v>
      </c>
      <c r="C110" s="0" t="s">
        <v>353</v>
      </c>
      <c r="E110" s="13" t="n">
        <v>1024</v>
      </c>
      <c r="G110" s="12" t="s">
        <v>67</v>
      </c>
      <c r="H110" s="6" t="s">
        <v>72</v>
      </c>
      <c r="I110" s="12" t="s">
        <v>399</v>
      </c>
    </row>
    <row r="111" customFormat="false" ht="17.15" hidden="false" customHeight="false" outlineLevel="0" collapsed="false">
      <c r="A111" s="0" t="s">
        <v>400</v>
      </c>
      <c r="B111" s="0" t="s">
        <v>401</v>
      </c>
      <c r="C111" s="6" t="s">
        <v>342</v>
      </c>
      <c r="E111" s="13" t="n">
        <v>0.5</v>
      </c>
      <c r="G111" s="12" t="s">
        <v>67</v>
      </c>
      <c r="H111" s="12" t="s">
        <v>402</v>
      </c>
      <c r="I111" s="12" t="s">
        <v>403</v>
      </c>
    </row>
    <row r="112" customFormat="false" ht="17.15" hidden="false" customHeight="false" outlineLevel="0" collapsed="false">
      <c r="A112" s="0" t="s">
        <v>404</v>
      </c>
      <c r="B112" s="0" t="s">
        <v>405</v>
      </c>
      <c r="C112" s="6" t="s">
        <v>342</v>
      </c>
      <c r="E112" s="13" t="n">
        <v>0</v>
      </c>
      <c r="G112" s="12" t="s">
        <v>67</v>
      </c>
      <c r="H112" s="6" t="s">
        <v>72</v>
      </c>
      <c r="I112" s="12" t="s">
        <v>406</v>
      </c>
    </row>
    <row r="113" customFormat="false" ht="17.15" hidden="false" customHeight="false" outlineLevel="0" collapsed="false">
      <c r="A113" s="0" t="s">
        <v>407</v>
      </c>
      <c r="B113" s="0" t="s">
        <v>408</v>
      </c>
      <c r="C113" s="6" t="s">
        <v>342</v>
      </c>
      <c r="E113" s="13" t="n">
        <v>0</v>
      </c>
      <c r="G113" s="12" t="s">
        <v>67</v>
      </c>
      <c r="H113" s="6" t="s">
        <v>72</v>
      </c>
      <c r="I113" s="12" t="s">
        <v>409</v>
      </c>
    </row>
    <row r="114" customFormat="false" ht="17.15" hidden="false" customHeight="false" outlineLevel="0" collapsed="false">
      <c r="A114" s="0" t="s">
        <v>410</v>
      </c>
      <c r="B114" s="0" t="s">
        <v>411</v>
      </c>
      <c r="C114" s="0" t="s">
        <v>353</v>
      </c>
      <c r="E114" s="13" t="n">
        <v>141</v>
      </c>
      <c r="G114" s="12" t="s">
        <v>67</v>
      </c>
      <c r="H114" s="6" t="s">
        <v>72</v>
      </c>
      <c r="I114" s="12" t="s">
        <v>412</v>
      </c>
    </row>
    <row r="115" customFormat="false" ht="17.15" hidden="false" customHeight="false" outlineLevel="0" collapsed="false">
      <c r="A115" s="0" t="s">
        <v>413</v>
      </c>
      <c r="B115" s="0" t="s">
        <v>414</v>
      </c>
      <c r="C115" s="0" t="s">
        <v>353</v>
      </c>
      <c r="E115" s="13" t="n">
        <v>141</v>
      </c>
      <c r="G115" s="12" t="s">
        <v>67</v>
      </c>
      <c r="H115" s="6" t="s">
        <v>72</v>
      </c>
      <c r="I115" s="12" t="s">
        <v>415</v>
      </c>
    </row>
    <row r="116" customFormat="false" ht="17.15" hidden="false" customHeight="false" outlineLevel="0" collapsed="false">
      <c r="A116" s="0" t="s">
        <v>416</v>
      </c>
      <c r="B116" s="0" t="s">
        <v>417</v>
      </c>
      <c r="C116" s="0" t="s">
        <v>353</v>
      </c>
      <c r="E116" s="13" t="n">
        <v>141</v>
      </c>
      <c r="G116" s="12" t="s">
        <v>67</v>
      </c>
      <c r="H116" s="6" t="s">
        <v>72</v>
      </c>
      <c r="I116" s="12" t="s">
        <v>418</v>
      </c>
    </row>
    <row r="117" customFormat="false" ht="17.15" hidden="false" customHeight="false" outlineLevel="0" collapsed="false">
      <c r="A117" s="0" t="s">
        <v>419</v>
      </c>
      <c r="B117" s="0" t="s">
        <v>420</v>
      </c>
      <c r="C117" s="6" t="s">
        <v>342</v>
      </c>
      <c r="D117" s="13" t="n">
        <v>0.6</v>
      </c>
      <c r="E117" s="13" t="n">
        <v>0.75</v>
      </c>
      <c r="F117" s="13" t="n">
        <v>0.9</v>
      </c>
      <c r="G117" s="12" t="s">
        <v>421</v>
      </c>
      <c r="H117" s="12" t="s">
        <v>422</v>
      </c>
      <c r="I117" s="12" t="s">
        <v>423</v>
      </c>
    </row>
    <row r="118" customFormat="false" ht="17.15" hidden="false" customHeight="false" outlineLevel="0" collapsed="false">
      <c r="A118" s="0" t="s">
        <v>424</v>
      </c>
      <c r="B118" s="0" t="s">
        <v>425</v>
      </c>
      <c r="C118" s="6" t="s">
        <v>342</v>
      </c>
      <c r="D118" s="13" t="n">
        <v>1.2</v>
      </c>
      <c r="E118" s="13" t="n">
        <v>1.5</v>
      </c>
      <c r="F118" s="13" t="n">
        <v>1.8</v>
      </c>
      <c r="G118" s="12" t="s">
        <v>421</v>
      </c>
      <c r="H118" s="6" t="s">
        <v>72</v>
      </c>
      <c r="I118" s="12" t="s">
        <v>426</v>
      </c>
    </row>
    <row r="119" customFormat="false" ht="17.15" hidden="false" customHeight="false" outlineLevel="0" collapsed="false">
      <c r="A119" s="0" t="s">
        <v>427</v>
      </c>
      <c r="B119" s="0" t="s">
        <v>428</v>
      </c>
      <c r="C119" s="6" t="s">
        <v>342</v>
      </c>
      <c r="D119" s="13" t="n">
        <v>1.5</v>
      </c>
      <c r="E119" s="13" t="n">
        <v>2</v>
      </c>
      <c r="F119" s="13" t="n">
        <v>2.5</v>
      </c>
      <c r="G119" s="12" t="s">
        <v>421</v>
      </c>
      <c r="H119" s="6" t="s">
        <v>72</v>
      </c>
      <c r="I119" s="12" t="s">
        <v>429</v>
      </c>
    </row>
    <row r="120" customFormat="false" ht="17.15" hidden="false" customHeight="false" outlineLevel="0" collapsed="false">
      <c r="A120" s="0" t="s">
        <v>430</v>
      </c>
      <c r="B120" s="0" t="s">
        <v>431</v>
      </c>
      <c r="C120" s="0" t="s">
        <v>353</v>
      </c>
      <c r="D120" s="13" t="n">
        <v>288</v>
      </c>
      <c r="E120" s="13" t="n">
        <v>288</v>
      </c>
      <c r="F120" s="13" t="n">
        <v>288</v>
      </c>
      <c r="G120" s="12" t="s">
        <v>421</v>
      </c>
      <c r="H120" s="6" t="s">
        <v>72</v>
      </c>
      <c r="I120" s="12" t="s">
        <v>432</v>
      </c>
    </row>
    <row r="121" customFormat="false" ht="17.15" hidden="false" customHeight="false" outlineLevel="0" collapsed="false">
      <c r="A121" s="0" t="s">
        <v>433</v>
      </c>
      <c r="B121" s="0" t="s">
        <v>434</v>
      </c>
      <c r="C121" s="0" t="s">
        <v>353</v>
      </c>
      <c r="D121" s="13" t="n">
        <v>288</v>
      </c>
      <c r="E121" s="13" t="n">
        <v>360</v>
      </c>
      <c r="F121" s="13" t="n">
        <v>432</v>
      </c>
      <c r="G121" s="12" t="s">
        <v>421</v>
      </c>
      <c r="H121" s="6" t="s">
        <v>72</v>
      </c>
      <c r="I121" s="12" t="s">
        <v>435</v>
      </c>
    </row>
    <row r="122" customFormat="false" ht="17.15" hidden="false" customHeight="false" outlineLevel="0" collapsed="false">
      <c r="A122" s="0" t="s">
        <v>436</v>
      </c>
      <c r="B122" s="0" t="s">
        <v>437</v>
      </c>
      <c r="C122" s="0" t="s">
        <v>353</v>
      </c>
      <c r="D122" s="13" t="n">
        <v>432</v>
      </c>
      <c r="E122" s="13" t="n">
        <v>432</v>
      </c>
      <c r="F122" s="13" t="n">
        <v>432</v>
      </c>
      <c r="G122" s="12" t="s">
        <v>421</v>
      </c>
      <c r="H122" s="6" t="s">
        <v>72</v>
      </c>
      <c r="I122" s="12" t="s">
        <v>438</v>
      </c>
    </row>
    <row r="123" customFormat="false" ht="17.15" hidden="false" customHeight="false" outlineLevel="0" collapsed="false">
      <c r="A123" s="0" t="s">
        <v>439</v>
      </c>
      <c r="B123" s="0" t="s">
        <v>440</v>
      </c>
      <c r="C123" s="6" t="s">
        <v>342</v>
      </c>
      <c r="E123" s="13" t="n">
        <v>3.85</v>
      </c>
      <c r="G123" s="12" t="s">
        <v>67</v>
      </c>
      <c r="H123" s="12" t="s">
        <v>441</v>
      </c>
      <c r="I123" s="12" t="s">
        <v>442</v>
      </c>
    </row>
    <row r="124" customFormat="false" ht="17.15" hidden="false" customHeight="false" outlineLevel="0" collapsed="false">
      <c r="A124" s="0" t="s">
        <v>443</v>
      </c>
      <c r="B124" s="0" t="s">
        <v>444</v>
      </c>
      <c r="C124" s="6" t="s">
        <v>342</v>
      </c>
      <c r="E124" s="13" t="n">
        <v>5.5</v>
      </c>
      <c r="G124" s="12" t="s">
        <v>67</v>
      </c>
      <c r="H124" s="6" t="s">
        <v>72</v>
      </c>
      <c r="I124" s="12" t="s">
        <v>445</v>
      </c>
    </row>
    <row r="125" customFormat="false" ht="17.15" hidden="false" customHeight="false" outlineLevel="0" collapsed="false">
      <c r="A125" s="0" t="s">
        <v>446</v>
      </c>
      <c r="B125" s="0" t="s">
        <v>447</v>
      </c>
      <c r="C125" s="6" t="s">
        <v>342</v>
      </c>
      <c r="E125" s="13" t="n">
        <v>7</v>
      </c>
      <c r="G125" s="12" t="s">
        <v>67</v>
      </c>
      <c r="H125" s="6" t="s">
        <v>72</v>
      </c>
      <c r="I125" s="12" t="s">
        <v>448</v>
      </c>
    </row>
    <row r="126" customFormat="false" ht="17.15" hidden="false" customHeight="false" outlineLevel="0" collapsed="false">
      <c r="A126" s="0" t="s">
        <v>449</v>
      </c>
      <c r="B126" s="0" t="s">
        <v>450</v>
      </c>
      <c r="C126" s="0" t="s">
        <v>353</v>
      </c>
      <c r="E126" s="13" t="n">
        <v>192</v>
      </c>
      <c r="G126" s="12" t="s">
        <v>67</v>
      </c>
      <c r="H126" s="6" t="s">
        <v>72</v>
      </c>
      <c r="I126" s="12" t="s">
        <v>451</v>
      </c>
    </row>
    <row r="127" customFormat="false" ht="17.15" hidden="false" customHeight="false" outlineLevel="0" collapsed="false">
      <c r="A127" s="0" t="s">
        <v>452</v>
      </c>
      <c r="B127" s="0" t="s">
        <v>453</v>
      </c>
      <c r="C127" s="0" t="s">
        <v>353</v>
      </c>
      <c r="E127" s="13" t="n">
        <v>250</v>
      </c>
      <c r="G127" s="12" t="s">
        <v>67</v>
      </c>
      <c r="H127" s="6" t="s">
        <v>72</v>
      </c>
      <c r="I127" s="12" t="s">
        <v>454</v>
      </c>
    </row>
    <row r="128" customFormat="false" ht="17.15" hidden="false" customHeight="false" outlineLevel="0" collapsed="false">
      <c r="A128" s="0" t="s">
        <v>455</v>
      </c>
      <c r="B128" s="0" t="s">
        <v>456</v>
      </c>
      <c r="C128" s="0" t="s">
        <v>353</v>
      </c>
      <c r="E128" s="13" t="n">
        <v>288</v>
      </c>
      <c r="G128" s="12" t="s">
        <v>67</v>
      </c>
      <c r="H128" s="6" t="s">
        <v>72</v>
      </c>
      <c r="I128" s="12" t="s">
        <v>457</v>
      </c>
    </row>
    <row r="129" customFormat="false" ht="17.15" hidden="false" customHeight="false" outlineLevel="0" collapsed="false">
      <c r="A129" s="0" t="s">
        <v>458</v>
      </c>
      <c r="B129" s="0" t="s">
        <v>459</v>
      </c>
      <c r="C129" s="6" t="s">
        <v>342</v>
      </c>
      <c r="D129" s="13" t="n">
        <v>1.5</v>
      </c>
      <c r="E129" s="13" t="n">
        <v>2</v>
      </c>
      <c r="F129" s="13" t="n">
        <v>2.5</v>
      </c>
      <c r="G129" s="12" t="s">
        <v>117</v>
      </c>
      <c r="H129" s="6" t="s">
        <v>460</v>
      </c>
      <c r="I129" s="12" t="s">
        <v>461</v>
      </c>
    </row>
    <row r="130" customFormat="false" ht="17.15" hidden="false" customHeight="false" outlineLevel="0" collapsed="false">
      <c r="A130" s="0" t="s">
        <v>462</v>
      </c>
      <c r="B130" s="0" t="s">
        <v>463</v>
      </c>
      <c r="C130" s="6" t="s">
        <v>342</v>
      </c>
      <c r="D130" s="13" t="n">
        <v>2</v>
      </c>
      <c r="E130" s="13" t="n">
        <v>2.5</v>
      </c>
      <c r="F130" s="13" t="n">
        <v>3.5</v>
      </c>
      <c r="G130" s="12" t="s">
        <v>117</v>
      </c>
      <c r="H130" s="6" t="s">
        <v>72</v>
      </c>
      <c r="I130" s="12" t="s">
        <v>464</v>
      </c>
    </row>
    <row r="131" customFormat="false" ht="17.15" hidden="false" customHeight="false" outlineLevel="0" collapsed="false">
      <c r="A131" s="0" t="s">
        <v>465</v>
      </c>
      <c r="B131" s="0" t="s">
        <v>466</v>
      </c>
      <c r="C131" s="6" t="s">
        <v>342</v>
      </c>
      <c r="D131" s="13" t="n">
        <v>2</v>
      </c>
      <c r="E131" s="13" t="n">
        <v>3</v>
      </c>
      <c r="F131" s="13" t="n">
        <v>4</v>
      </c>
      <c r="G131" s="12" t="s">
        <v>117</v>
      </c>
      <c r="H131" s="6" t="s">
        <v>72</v>
      </c>
      <c r="I131" s="12" t="s">
        <v>467</v>
      </c>
    </row>
    <row r="132" customFormat="false" ht="17.15" hidden="false" customHeight="false" outlineLevel="0" collapsed="false">
      <c r="A132" s="0" t="s">
        <v>468</v>
      </c>
      <c r="B132" s="0" t="s">
        <v>469</v>
      </c>
      <c r="C132" s="0" t="s">
        <v>353</v>
      </c>
      <c r="D132" s="13" t="n">
        <v>96</v>
      </c>
      <c r="E132" s="13" t="n">
        <v>110</v>
      </c>
      <c r="F132" s="13" t="n">
        <v>144</v>
      </c>
      <c r="G132" s="12" t="s">
        <v>117</v>
      </c>
      <c r="H132" s="6" t="s">
        <v>72</v>
      </c>
      <c r="I132" s="12" t="s">
        <v>470</v>
      </c>
    </row>
    <row r="133" customFormat="false" ht="17.15" hidden="false" customHeight="false" outlineLevel="0" collapsed="false">
      <c r="A133" s="0" t="s">
        <v>471</v>
      </c>
      <c r="B133" s="0" t="s">
        <v>472</v>
      </c>
      <c r="C133" s="0" t="s">
        <v>353</v>
      </c>
      <c r="D133" s="13" t="n">
        <v>120</v>
      </c>
      <c r="E133" s="13" t="n">
        <v>144</v>
      </c>
      <c r="F133" s="13" t="n">
        <v>144</v>
      </c>
      <c r="G133" s="12" t="s">
        <v>117</v>
      </c>
      <c r="H133" s="6" t="s">
        <v>72</v>
      </c>
      <c r="I133" s="12" t="s">
        <v>473</v>
      </c>
    </row>
    <row r="134" customFormat="false" ht="17.15" hidden="false" customHeight="false" outlineLevel="0" collapsed="false">
      <c r="A134" s="0" t="s">
        <v>474</v>
      </c>
      <c r="B134" s="0" t="s">
        <v>475</v>
      </c>
      <c r="C134" s="0" t="s">
        <v>353</v>
      </c>
      <c r="D134" s="13" t="n">
        <v>144</v>
      </c>
      <c r="E134" s="13" t="n">
        <v>200</v>
      </c>
      <c r="F134" s="13" t="n">
        <v>256</v>
      </c>
      <c r="G134" s="12" t="s">
        <v>117</v>
      </c>
      <c r="H134" s="6" t="s">
        <v>72</v>
      </c>
      <c r="I134" s="12" t="s">
        <v>476</v>
      </c>
    </row>
    <row r="135" customFormat="false" ht="17.15" hidden="false" customHeight="false" outlineLevel="0" collapsed="false">
      <c r="A135" s="0" t="s">
        <v>477</v>
      </c>
      <c r="B135" s="6" t="s">
        <v>478</v>
      </c>
      <c r="C135" s="6" t="s">
        <v>342</v>
      </c>
      <c r="D135" s="13" t="n">
        <v>0.5</v>
      </c>
      <c r="E135" s="13" t="n">
        <v>1</v>
      </c>
      <c r="F135" s="13" t="n">
        <v>1.5</v>
      </c>
      <c r="G135" s="12" t="s">
        <v>479</v>
      </c>
      <c r="H135" s="12" t="s">
        <v>480</v>
      </c>
      <c r="I135" s="12" t="s">
        <v>481</v>
      </c>
    </row>
    <row r="136" customFormat="false" ht="17.15" hidden="false" customHeight="false" outlineLevel="0" collapsed="false">
      <c r="A136" s="0" t="s">
        <v>482</v>
      </c>
      <c r="B136" s="6" t="s">
        <v>483</v>
      </c>
      <c r="C136" s="6" t="s">
        <v>342</v>
      </c>
      <c r="D136" s="13" t="n">
        <v>3</v>
      </c>
      <c r="E136" s="13" t="n">
        <v>4.5</v>
      </c>
      <c r="F136" s="13" t="n">
        <v>6</v>
      </c>
      <c r="G136" s="12" t="s">
        <v>479</v>
      </c>
      <c r="H136" s="6" t="s">
        <v>72</v>
      </c>
      <c r="I136" s="12" t="s">
        <v>484</v>
      </c>
    </row>
    <row r="137" customFormat="false" ht="17.15" hidden="false" customHeight="false" outlineLevel="0" collapsed="false">
      <c r="A137" s="0" t="s">
        <v>485</v>
      </c>
      <c r="B137" s="6" t="s">
        <v>486</v>
      </c>
      <c r="C137" s="6" t="s">
        <v>342</v>
      </c>
      <c r="D137" s="13" t="n">
        <v>3.5</v>
      </c>
      <c r="E137" s="13" t="n">
        <v>5</v>
      </c>
      <c r="F137" s="13" t="n">
        <v>7</v>
      </c>
      <c r="G137" s="12" t="s">
        <v>479</v>
      </c>
      <c r="H137" s="6" t="s">
        <v>72</v>
      </c>
      <c r="I137" s="12" t="s">
        <v>487</v>
      </c>
    </row>
    <row r="138" customFormat="false" ht="17.15" hidden="false" customHeight="false" outlineLevel="0" collapsed="false">
      <c r="A138" s="0" t="s">
        <v>488</v>
      </c>
      <c r="B138" s="6" t="s">
        <v>489</v>
      </c>
      <c r="C138" s="0" t="s">
        <v>353</v>
      </c>
      <c r="D138" s="13" t="n">
        <v>100</v>
      </c>
      <c r="E138" s="13" t="n">
        <v>150</v>
      </c>
      <c r="F138" s="13" t="n">
        <v>200</v>
      </c>
      <c r="G138" s="12" t="s">
        <v>479</v>
      </c>
      <c r="H138" s="6" t="s">
        <v>72</v>
      </c>
      <c r="I138" s="12" t="s">
        <v>490</v>
      </c>
    </row>
    <row r="139" customFormat="false" ht="17.15" hidden="false" customHeight="false" outlineLevel="0" collapsed="false">
      <c r="A139" s="0" t="s">
        <v>491</v>
      </c>
      <c r="B139" s="6" t="s">
        <v>492</v>
      </c>
      <c r="C139" s="0" t="s">
        <v>353</v>
      </c>
      <c r="D139" s="13" t="n">
        <v>150</v>
      </c>
      <c r="E139" s="13" t="n">
        <v>200</v>
      </c>
      <c r="F139" s="13" t="n">
        <v>250</v>
      </c>
      <c r="G139" s="12" t="s">
        <v>479</v>
      </c>
      <c r="H139" s="6" t="s">
        <v>72</v>
      </c>
      <c r="I139" s="12" t="s">
        <v>493</v>
      </c>
    </row>
    <row r="140" customFormat="false" ht="17.15" hidden="false" customHeight="false" outlineLevel="0" collapsed="false">
      <c r="A140" s="0" t="s">
        <v>494</v>
      </c>
      <c r="B140" s="6" t="s">
        <v>495</v>
      </c>
      <c r="C140" s="0" t="s">
        <v>353</v>
      </c>
      <c r="D140" s="13" t="n">
        <v>200</v>
      </c>
      <c r="E140" s="13" t="n">
        <v>250</v>
      </c>
      <c r="F140" s="13" t="n">
        <v>300</v>
      </c>
      <c r="G140" s="12" t="s">
        <v>479</v>
      </c>
      <c r="H140" s="6" t="s">
        <v>72</v>
      </c>
      <c r="I140" s="12" t="s">
        <v>496</v>
      </c>
    </row>
    <row r="141" customFormat="false" ht="17.15" hidden="false" customHeight="false" outlineLevel="0" collapsed="false">
      <c r="A141" s="10" t="s">
        <v>497</v>
      </c>
    </row>
    <row r="142" customFormat="false" ht="17.15" hidden="false" customHeight="false" outlineLevel="0" collapsed="false">
      <c r="A142" s="0" t="s">
        <v>498</v>
      </c>
      <c r="B142" s="6" t="s">
        <v>499</v>
      </c>
      <c r="C142" s="0" t="s">
        <v>500</v>
      </c>
      <c r="E142" s="13" t="n">
        <v>1</v>
      </c>
      <c r="G142" s="12" t="s">
        <v>91</v>
      </c>
      <c r="H142" s="12" t="s">
        <v>501</v>
      </c>
      <c r="I142" s="12" t="s">
        <v>502</v>
      </c>
    </row>
    <row r="143" customFormat="false" ht="17.15" hidden="false" customHeight="false" outlineLevel="0" collapsed="false">
      <c r="A143" s="0" t="s">
        <v>503</v>
      </c>
      <c r="B143" s="6" t="s">
        <v>504</v>
      </c>
      <c r="C143" s="0" t="s">
        <v>500</v>
      </c>
      <c r="E143" s="13" t="n">
        <v>1</v>
      </c>
      <c r="G143" s="12" t="s">
        <v>91</v>
      </c>
      <c r="H143" s="6" t="s">
        <v>72</v>
      </c>
      <c r="I143" s="12" t="s">
        <v>505</v>
      </c>
    </row>
    <row r="144" customFormat="false" ht="17.15" hidden="false" customHeight="false" outlineLevel="0" collapsed="false">
      <c r="A144" s="0" t="s">
        <v>506</v>
      </c>
      <c r="B144" s="6" t="s">
        <v>507</v>
      </c>
      <c r="C144" s="0" t="s">
        <v>500</v>
      </c>
      <c r="D144" s="13" t="n">
        <v>0.7</v>
      </c>
      <c r="E144" s="13" t="n">
        <v>0.8</v>
      </c>
      <c r="F144" s="13" t="n">
        <v>0.9</v>
      </c>
      <c r="G144" s="12" t="s">
        <v>117</v>
      </c>
      <c r="H144" s="6" t="s">
        <v>72</v>
      </c>
      <c r="I144" s="12" t="s">
        <v>508</v>
      </c>
    </row>
    <row r="145" customFormat="false" ht="17.15" hidden="false" customHeight="false" outlineLevel="0" collapsed="false">
      <c r="A145" s="0" t="s">
        <v>509</v>
      </c>
      <c r="B145" s="6" t="s">
        <v>510</v>
      </c>
      <c r="C145" s="0" t="s">
        <v>500</v>
      </c>
      <c r="D145" s="13" t="n">
        <v>0.75</v>
      </c>
      <c r="E145" s="13" t="n">
        <v>0.85</v>
      </c>
      <c r="F145" s="13" t="n">
        <v>0.95</v>
      </c>
      <c r="G145" s="12" t="s">
        <v>117</v>
      </c>
      <c r="H145" s="6" t="s">
        <v>72</v>
      </c>
      <c r="I145" s="12" t="s">
        <v>511</v>
      </c>
    </row>
    <row r="146" customFormat="false" ht="17.15" hidden="false" customHeight="false" outlineLevel="0" collapsed="false">
      <c r="A146" s="0" t="s">
        <v>512</v>
      </c>
      <c r="B146" s="6" t="s">
        <v>513</v>
      </c>
      <c r="C146" s="0" t="s">
        <v>500</v>
      </c>
      <c r="D146" s="13" t="n">
        <v>0.5</v>
      </c>
      <c r="E146" s="13" t="n">
        <v>0.6</v>
      </c>
      <c r="F146" s="13" t="n">
        <v>0.7</v>
      </c>
      <c r="G146" s="12" t="s">
        <v>117</v>
      </c>
      <c r="H146" s="6" t="s">
        <v>72</v>
      </c>
      <c r="I146" s="12" t="s">
        <v>514</v>
      </c>
    </row>
    <row r="147" customFormat="false" ht="17.15" hidden="false" customHeight="false" outlineLevel="0" collapsed="false">
      <c r="A147" s="0" t="s">
        <v>515</v>
      </c>
      <c r="B147" s="6" t="s">
        <v>516</v>
      </c>
      <c r="C147" s="0" t="s">
        <v>500</v>
      </c>
      <c r="D147" s="13" t="n">
        <v>0.5</v>
      </c>
      <c r="E147" s="13" t="n">
        <v>0.6</v>
      </c>
      <c r="F147" s="13" t="n">
        <v>0.7</v>
      </c>
      <c r="G147" s="12" t="s">
        <v>117</v>
      </c>
      <c r="H147" s="6" t="s">
        <v>72</v>
      </c>
      <c r="I147" s="12" t="s">
        <v>517</v>
      </c>
    </row>
    <row r="148" customFormat="false" ht="17.15" hidden="false" customHeight="false" outlineLevel="0" collapsed="false">
      <c r="A148" s="10" t="s">
        <v>518</v>
      </c>
    </row>
    <row r="149" customFormat="false" ht="17.15" hidden="false" customHeight="false" outlineLevel="0" collapsed="false">
      <c r="A149" s="0" t="s">
        <v>519</v>
      </c>
      <c r="B149" s="0" t="s">
        <v>520</v>
      </c>
      <c r="C149" s="0" t="s">
        <v>521</v>
      </c>
      <c r="D149" s="13" t="n">
        <v>34</v>
      </c>
      <c r="E149" s="13" t="n">
        <v>35</v>
      </c>
      <c r="F149" s="13" t="n">
        <v>35</v>
      </c>
      <c r="G149" s="12" t="s">
        <v>221</v>
      </c>
      <c r="H149" s="12" t="s">
        <v>522</v>
      </c>
      <c r="I149" s="12" t="s">
        <v>523</v>
      </c>
    </row>
    <row r="150" customFormat="false" ht="17.15" hidden="false" customHeight="false" outlineLevel="0" collapsed="false">
      <c r="A150" s="0" t="s">
        <v>524</v>
      </c>
      <c r="B150" s="0" t="s">
        <v>525</v>
      </c>
      <c r="C150" s="0" t="s">
        <v>66</v>
      </c>
      <c r="D150" s="11" t="n">
        <v>0.6</v>
      </c>
      <c r="E150" s="11" t="n">
        <v>0.7</v>
      </c>
      <c r="F150" s="11" t="n">
        <v>0.8</v>
      </c>
      <c r="G150" s="12" t="s">
        <v>67</v>
      </c>
      <c r="H150" s="12" t="s">
        <v>526</v>
      </c>
      <c r="I150" s="12" t="s">
        <v>527</v>
      </c>
    </row>
    <row r="151" customFormat="false" ht="17.15" hidden="false" customHeight="false" outlineLevel="0" collapsed="false">
      <c r="A151" s="0" t="s">
        <v>528</v>
      </c>
      <c r="B151" s="6" t="s">
        <v>529</v>
      </c>
      <c r="C151" s="0" t="s">
        <v>500</v>
      </c>
      <c r="D151" s="13" t="n">
        <v>1</v>
      </c>
      <c r="E151" s="13" t="n">
        <v>1.15</v>
      </c>
      <c r="F151" s="13" t="n">
        <v>1.3</v>
      </c>
      <c r="G151" s="12" t="s">
        <v>117</v>
      </c>
      <c r="H151" s="6" t="s">
        <v>530</v>
      </c>
      <c r="I151" s="12" t="s">
        <v>531</v>
      </c>
    </row>
    <row r="152" customFormat="false" ht="17.15" hidden="false" customHeight="false" outlineLevel="0" collapsed="false">
      <c r="A152" s="0" t="s">
        <v>532</v>
      </c>
      <c r="B152" s="0" t="s">
        <v>533</v>
      </c>
      <c r="C152" s="0" t="s">
        <v>66</v>
      </c>
      <c r="D152" s="11" t="n">
        <v>0.5</v>
      </c>
      <c r="E152" s="11" t="n">
        <v>0.55</v>
      </c>
      <c r="F152" s="11" t="n">
        <v>0.63</v>
      </c>
      <c r="G152" s="12" t="s">
        <v>67</v>
      </c>
      <c r="H152" s="12" t="s">
        <v>534</v>
      </c>
      <c r="I152" s="12" t="s">
        <v>535</v>
      </c>
    </row>
    <row r="153" customFormat="false" ht="17.15" hidden="false" customHeight="false" outlineLevel="0" collapsed="false">
      <c r="A153" s="0" t="s">
        <v>536</v>
      </c>
      <c r="B153" s="0" t="s">
        <v>537</v>
      </c>
      <c r="C153" s="0" t="s">
        <v>66</v>
      </c>
      <c r="D153" s="11" t="n">
        <v>0.3</v>
      </c>
      <c r="E153" s="11" t="n">
        <v>0.45</v>
      </c>
      <c r="F153" s="11" t="n">
        <v>0.63</v>
      </c>
      <c r="G153" s="12" t="s">
        <v>117</v>
      </c>
      <c r="H153" s="6" t="s">
        <v>538</v>
      </c>
      <c r="I153" s="12" t="s">
        <v>539</v>
      </c>
    </row>
    <row r="154" customFormat="false" ht="17.15" hidden="false" customHeight="false" outlineLevel="0" collapsed="false">
      <c r="A154" s="0" t="s">
        <v>540</v>
      </c>
      <c r="B154" s="0" t="s">
        <v>541</v>
      </c>
      <c r="C154" s="0" t="s">
        <v>542</v>
      </c>
      <c r="D154" s="13" t="n">
        <v>12.5</v>
      </c>
      <c r="E154" s="13" t="n">
        <v>14.6</v>
      </c>
      <c r="F154" s="13" t="n">
        <v>16</v>
      </c>
      <c r="G154" s="12" t="s">
        <v>67</v>
      </c>
      <c r="H154" s="12" t="s">
        <v>543</v>
      </c>
      <c r="I154" s="12" t="s">
        <v>544</v>
      </c>
    </row>
    <row r="155" customFormat="false" ht="17.15" hidden="false" customHeight="false" outlineLevel="0" collapsed="false">
      <c r="A155" s="0" t="s">
        <v>545</v>
      </c>
      <c r="B155" s="0" t="s">
        <v>546</v>
      </c>
      <c r="C155" s="0" t="s">
        <v>66</v>
      </c>
      <c r="D155" s="11" t="n">
        <v>0.38</v>
      </c>
      <c r="E155" s="11" t="n">
        <v>0.8</v>
      </c>
      <c r="F155" s="11" t="n">
        <v>1.21</v>
      </c>
      <c r="G155" s="12" t="s">
        <v>67</v>
      </c>
      <c r="H155" s="12" t="s">
        <v>547</v>
      </c>
      <c r="I155" s="12" t="s">
        <v>548</v>
      </c>
    </row>
    <row r="156" customFormat="false" ht="17.15" hidden="false" customHeight="false" outlineLevel="0" collapsed="false">
      <c r="A156" s="0" t="s">
        <v>549</v>
      </c>
      <c r="B156" s="0" t="s">
        <v>550</v>
      </c>
      <c r="C156" s="0" t="s">
        <v>66</v>
      </c>
      <c r="D156" s="11" t="n">
        <v>0</v>
      </c>
      <c r="E156" s="11" t="n">
        <v>0.1</v>
      </c>
      <c r="F156" s="11" t="n">
        <v>0.25</v>
      </c>
      <c r="G156" s="12" t="s">
        <v>67</v>
      </c>
      <c r="H156" s="12" t="s">
        <v>551</v>
      </c>
      <c r="I156" s="12" t="s">
        <v>552</v>
      </c>
    </row>
    <row r="157" customFormat="false" ht="17.15" hidden="false" customHeight="false" outlineLevel="0" collapsed="false">
      <c r="A157" s="0" t="s">
        <v>553</v>
      </c>
      <c r="B157" s="0" t="s">
        <v>554</v>
      </c>
      <c r="C157" s="0" t="s">
        <v>66</v>
      </c>
      <c r="D157" s="11" t="n">
        <v>-0.4</v>
      </c>
      <c r="E157" s="11" t="n">
        <v>-0.25</v>
      </c>
      <c r="F157" s="11" t="n">
        <v>-0.1</v>
      </c>
      <c r="G157" s="12" t="s">
        <v>117</v>
      </c>
      <c r="H157" s="6" t="s">
        <v>555</v>
      </c>
      <c r="I157" s="12" t="s">
        <v>556</v>
      </c>
    </row>
    <row r="158" customFormat="false" ht="17.15" hidden="false" customHeight="false" outlineLevel="0" collapsed="false">
      <c r="A158" s="0" t="s">
        <v>557</v>
      </c>
      <c r="B158" s="0" t="s">
        <v>558</v>
      </c>
      <c r="C158" s="0" t="s">
        <v>66</v>
      </c>
      <c r="D158" s="11" t="n">
        <v>-0.55</v>
      </c>
      <c r="E158" s="11" t="n">
        <v>-0.4</v>
      </c>
      <c r="F158" s="11" t="n">
        <v>-0.25</v>
      </c>
      <c r="G158" s="12" t="s">
        <v>117</v>
      </c>
      <c r="H158" s="6" t="s">
        <v>559</v>
      </c>
      <c r="I158" s="12" t="s">
        <v>560</v>
      </c>
    </row>
    <row r="159" customFormat="false" ht="17.15" hidden="false" customHeight="false" outlineLevel="0" collapsed="false">
      <c r="A159" s="0" t="s">
        <v>561</v>
      </c>
      <c r="B159" s="0" t="s">
        <v>562</v>
      </c>
      <c r="C159" s="0" t="s">
        <v>66</v>
      </c>
      <c r="D159" s="11" t="n">
        <v>0.2</v>
      </c>
      <c r="E159" s="11" t="n">
        <v>0.3</v>
      </c>
      <c r="F159" s="11" t="n">
        <v>0.45</v>
      </c>
      <c r="G159" s="12" t="s">
        <v>117</v>
      </c>
      <c r="H159" s="12" t="s">
        <v>563</v>
      </c>
      <c r="I159" s="12" t="s">
        <v>564</v>
      </c>
    </row>
    <row r="160" customFormat="false" ht="17.15" hidden="false" customHeight="false" outlineLevel="0" collapsed="false">
      <c r="A160" s="0" t="s">
        <v>565</v>
      </c>
      <c r="B160" s="0" t="s">
        <v>566</v>
      </c>
      <c r="C160" s="0" t="s">
        <v>66</v>
      </c>
      <c r="D160" s="11" t="n">
        <v>0.25</v>
      </c>
      <c r="E160" s="11" t="n">
        <v>0.35</v>
      </c>
      <c r="F160" s="11" t="n">
        <v>0.5</v>
      </c>
      <c r="G160" s="12" t="s">
        <v>117</v>
      </c>
      <c r="H160" s="12" t="s">
        <v>567</v>
      </c>
      <c r="I160" s="12" t="s">
        <v>568</v>
      </c>
    </row>
    <row r="161" customFormat="false" ht="17.15" hidden="false" customHeight="false" outlineLevel="0" collapsed="false">
      <c r="A161" s="0" t="s">
        <v>569</v>
      </c>
      <c r="B161" s="0" t="s">
        <v>570</v>
      </c>
      <c r="C161" s="0" t="s">
        <v>66</v>
      </c>
      <c r="D161" s="11" t="n">
        <v>-0.15</v>
      </c>
      <c r="E161" s="11" t="n">
        <v>-0.05</v>
      </c>
      <c r="F161" s="11" t="n">
        <v>0.05</v>
      </c>
      <c r="G161" s="12" t="s">
        <v>117</v>
      </c>
      <c r="H161" s="12" t="s">
        <v>571</v>
      </c>
      <c r="I161" s="12" t="s">
        <v>572</v>
      </c>
    </row>
    <row r="162" customFormat="false" ht="17.15" hidden="false" customHeight="false" outlineLevel="0" collapsed="false">
      <c r="A162" s="0" t="s">
        <v>573</v>
      </c>
      <c r="B162" s="0" t="s">
        <v>574</v>
      </c>
      <c r="C162" s="0" t="s">
        <v>66</v>
      </c>
      <c r="D162" s="11" t="n">
        <v>-0.1</v>
      </c>
      <c r="E162" s="11" t="n">
        <v>0</v>
      </c>
      <c r="F162" s="11" t="n">
        <v>0.1</v>
      </c>
      <c r="G162" s="12" t="s">
        <v>117</v>
      </c>
      <c r="H162" s="12" t="s">
        <v>575</v>
      </c>
      <c r="I162" s="12" t="s">
        <v>576</v>
      </c>
    </row>
    <row r="163" customFormat="false" ht="17.15" hidden="false" customHeight="false" outlineLevel="0" collapsed="false">
      <c r="A163" s="0" t="s">
        <v>577</v>
      </c>
      <c r="B163" s="0" t="s">
        <v>578</v>
      </c>
      <c r="C163" s="0" t="s">
        <v>66</v>
      </c>
      <c r="D163" s="11" t="n">
        <v>-0.1</v>
      </c>
      <c r="E163" s="11" t="n">
        <v>0.05</v>
      </c>
      <c r="F163" s="11" t="n">
        <v>0.15</v>
      </c>
      <c r="G163" s="12" t="s">
        <v>117</v>
      </c>
      <c r="H163" s="6" t="s">
        <v>579</v>
      </c>
      <c r="I163" s="12" t="s">
        <v>580</v>
      </c>
    </row>
    <row r="164" customFormat="false" ht="17.15" hidden="false" customHeight="false" outlineLevel="0" collapsed="false">
      <c r="A164" s="10" t="s">
        <v>581</v>
      </c>
    </row>
    <row r="165" customFormat="false" ht="17.15" hidden="false" customHeight="false" outlineLevel="0" collapsed="false">
      <c r="A165" s="0" t="s">
        <v>582</v>
      </c>
      <c r="B165" s="0" t="s">
        <v>583</v>
      </c>
      <c r="C165" s="0" t="s">
        <v>521</v>
      </c>
      <c r="D165" s="13" t="n">
        <v>340</v>
      </c>
      <c r="E165" s="13" t="n">
        <v>374</v>
      </c>
      <c r="F165" s="13" t="n">
        <v>400</v>
      </c>
      <c r="G165" s="12" t="s">
        <v>584</v>
      </c>
      <c r="H165" s="12" t="s">
        <v>585</v>
      </c>
      <c r="I165" s="12" t="s">
        <v>586</v>
      </c>
    </row>
    <row r="166" customFormat="false" ht="17.15" hidden="false" customHeight="false" outlineLevel="0" collapsed="false">
      <c r="A166" s="0" t="s">
        <v>587</v>
      </c>
      <c r="B166" s="6" t="s">
        <v>588</v>
      </c>
      <c r="C166" s="0" t="s">
        <v>589</v>
      </c>
      <c r="D166" s="13" t="n">
        <v>38</v>
      </c>
      <c r="E166" s="13" t="n">
        <v>42.8</v>
      </c>
      <c r="F166" s="13" t="n">
        <v>48</v>
      </c>
      <c r="G166" s="12" t="s">
        <v>91</v>
      </c>
      <c r="H166" s="12" t="s">
        <v>590</v>
      </c>
      <c r="I166" s="12" t="s">
        <v>591</v>
      </c>
    </row>
    <row r="167" customFormat="false" ht="17.15" hidden="false" customHeight="false" outlineLevel="0" collapsed="false">
      <c r="A167" s="0" t="s">
        <v>592</v>
      </c>
      <c r="B167" s="6" t="s">
        <v>593</v>
      </c>
      <c r="C167" s="0" t="s">
        <v>589</v>
      </c>
      <c r="D167" s="13" t="n">
        <v>3.5</v>
      </c>
      <c r="E167" s="13" t="n">
        <v>4.46</v>
      </c>
      <c r="F167" s="13" t="n">
        <v>4.9</v>
      </c>
      <c r="G167" s="12" t="s">
        <v>91</v>
      </c>
      <c r="H167" s="12" t="s">
        <v>594</v>
      </c>
      <c r="I167" s="12" t="s">
        <v>595</v>
      </c>
    </row>
    <row r="168" customFormat="false" ht="17.15" hidden="false" customHeight="false" outlineLevel="0" collapsed="false">
      <c r="A168" s="0" t="s">
        <v>596</v>
      </c>
      <c r="B168" s="6" t="s">
        <v>597</v>
      </c>
      <c r="C168" s="0" t="s">
        <v>521</v>
      </c>
      <c r="E168" s="13" t="n">
        <v>54.6</v>
      </c>
      <c r="G168" s="12" t="s">
        <v>67</v>
      </c>
      <c r="H168" s="12" t="s">
        <v>598</v>
      </c>
      <c r="I168" s="12" t="s">
        <v>599</v>
      </c>
    </row>
    <row r="169" customFormat="false" ht="17.15" hidden="false" customHeight="false" outlineLevel="0" collapsed="false">
      <c r="A169" s="0" t="s">
        <v>600</v>
      </c>
      <c r="B169" s="6" t="s">
        <v>601</v>
      </c>
      <c r="C169" s="0" t="s">
        <v>521</v>
      </c>
      <c r="E169" s="13" t="n">
        <v>77.4</v>
      </c>
      <c r="G169" s="12" t="s">
        <v>67</v>
      </c>
      <c r="H169" s="12" t="s">
        <v>602</v>
      </c>
      <c r="I169" s="12" t="s">
        <v>603</v>
      </c>
    </row>
    <row r="170" customFormat="false" ht="17.15" hidden="false" customHeight="false" outlineLevel="0" collapsed="false">
      <c r="A170" s="0" t="s">
        <v>604</v>
      </c>
      <c r="B170" s="6" t="s">
        <v>605</v>
      </c>
      <c r="C170" s="0" t="s">
        <v>521</v>
      </c>
      <c r="E170" s="13" t="n">
        <v>152.8</v>
      </c>
      <c r="G170" s="12" t="s">
        <v>67</v>
      </c>
      <c r="H170" s="12" t="s">
        <v>606</v>
      </c>
      <c r="I170" s="12" t="s">
        <v>607</v>
      </c>
    </row>
    <row r="171" customFormat="false" ht="17.15" hidden="false" customHeight="false" outlineLevel="0" collapsed="false">
      <c r="A171" s="10" t="s">
        <v>608</v>
      </c>
    </row>
    <row r="172" customFormat="false" ht="17.15" hidden="false" customHeight="false" outlineLevel="0" collapsed="false">
      <c r="A172" s="0" t="s">
        <v>609</v>
      </c>
      <c r="B172" s="0" t="s">
        <v>610</v>
      </c>
      <c r="C172" s="0" t="s">
        <v>66</v>
      </c>
      <c r="D172" s="11" t="n">
        <v>-0.7</v>
      </c>
      <c r="E172" s="11" t="n">
        <v>-0.5</v>
      </c>
      <c r="F172" s="11" t="n">
        <v>-0.3</v>
      </c>
      <c r="G172" s="12" t="s">
        <v>117</v>
      </c>
      <c r="H172" s="12" t="s">
        <v>611</v>
      </c>
      <c r="I172" s="12" t="s">
        <v>612</v>
      </c>
    </row>
    <row r="173" customFormat="false" ht="17.15" hidden="false" customHeight="false" outlineLevel="0" collapsed="false">
      <c r="A173" s="0" t="s">
        <v>613</v>
      </c>
      <c r="B173" s="0" t="s">
        <v>614</v>
      </c>
      <c r="C173" s="0" t="s">
        <v>66</v>
      </c>
      <c r="D173" s="11" t="n">
        <v>0.05</v>
      </c>
      <c r="E173" s="11" t="n">
        <v>0.15</v>
      </c>
      <c r="F173" s="11" t="n">
        <v>0.25</v>
      </c>
      <c r="G173" s="12" t="s">
        <v>117</v>
      </c>
      <c r="H173" s="6" t="s">
        <v>72</v>
      </c>
      <c r="I173" s="12" t="s">
        <v>615</v>
      </c>
    </row>
    <row r="174" customFormat="false" ht="17.15" hidden="false" customHeight="false" outlineLevel="0" collapsed="false">
      <c r="A174" s="0" t="s">
        <v>616</v>
      </c>
      <c r="B174" s="0" t="s">
        <v>617</v>
      </c>
      <c r="C174" s="0" t="s">
        <v>66</v>
      </c>
      <c r="D174" s="11" t="n">
        <v>0.05</v>
      </c>
      <c r="E174" s="11" t="n">
        <v>0.15</v>
      </c>
      <c r="F174" s="11" t="n">
        <v>0.25</v>
      </c>
      <c r="G174" s="12" t="s">
        <v>117</v>
      </c>
      <c r="H174" s="6" t="s">
        <v>72</v>
      </c>
      <c r="I174" s="12" t="s">
        <v>618</v>
      </c>
    </row>
    <row r="175" customFormat="false" ht="17.15" hidden="false" customHeight="false" outlineLevel="0" collapsed="false">
      <c r="A175" s="0" t="s">
        <v>619</v>
      </c>
      <c r="B175" s="0" t="s">
        <v>620</v>
      </c>
      <c r="C175" s="0" t="s">
        <v>66</v>
      </c>
      <c r="D175" s="11" t="n">
        <v>0</v>
      </c>
      <c r="E175" s="11" t="n">
        <v>0</v>
      </c>
      <c r="F175" s="11" t="n">
        <v>0</v>
      </c>
      <c r="G175" s="12" t="s">
        <v>117</v>
      </c>
      <c r="H175" s="6" t="s">
        <v>72</v>
      </c>
      <c r="I175" s="12" t="s">
        <v>621</v>
      </c>
    </row>
    <row r="176" customFormat="false" ht="17.15" hidden="false" customHeight="false" outlineLevel="0" collapsed="false">
      <c r="A176" s="0" t="s">
        <v>622</v>
      </c>
      <c r="B176" s="0" t="s">
        <v>623</v>
      </c>
      <c r="C176" s="0" t="s">
        <v>66</v>
      </c>
      <c r="D176" s="11" t="n">
        <v>0.05</v>
      </c>
      <c r="E176" s="11" t="n">
        <v>0.15</v>
      </c>
      <c r="F176" s="11" t="n">
        <v>0.25</v>
      </c>
      <c r="G176" s="12" t="s">
        <v>117</v>
      </c>
      <c r="H176" s="6" t="s">
        <v>72</v>
      </c>
      <c r="I176" s="12" t="s">
        <v>624</v>
      </c>
    </row>
    <row r="177" customFormat="false" ht="17.15" hidden="false" customHeight="false" outlineLevel="0" collapsed="false">
      <c r="A177" s="0" t="s">
        <v>625</v>
      </c>
      <c r="B177" s="0" t="s">
        <v>626</v>
      </c>
      <c r="C177" s="0" t="s">
        <v>66</v>
      </c>
      <c r="D177" s="11" t="n">
        <v>0.05</v>
      </c>
      <c r="E177" s="11" t="n">
        <v>0.15</v>
      </c>
      <c r="F177" s="11" t="n">
        <v>0.25</v>
      </c>
      <c r="G177" s="12" t="s">
        <v>117</v>
      </c>
      <c r="H177" s="6" t="s">
        <v>72</v>
      </c>
      <c r="I177" s="12" t="s">
        <v>627</v>
      </c>
    </row>
    <row r="178" customFormat="false" ht="17.15" hidden="false" customHeight="false" outlineLevel="0" collapsed="false">
      <c r="A178" s="0" t="s">
        <v>628</v>
      </c>
      <c r="B178" s="0" t="s">
        <v>629</v>
      </c>
      <c r="C178" s="0" t="s">
        <v>66</v>
      </c>
      <c r="D178" s="11" t="n">
        <v>0.05</v>
      </c>
      <c r="E178" s="11" t="n">
        <v>0.15</v>
      </c>
      <c r="F178" s="11" t="n">
        <v>0.25</v>
      </c>
      <c r="G178" s="12" t="s">
        <v>117</v>
      </c>
      <c r="H178" s="6" t="s">
        <v>72</v>
      </c>
      <c r="I178" s="12" t="s">
        <v>630</v>
      </c>
    </row>
    <row r="179" customFormat="false" ht="17.15" hidden="false" customHeight="false" outlineLevel="0" collapsed="false">
      <c r="A179" s="0" t="s">
        <v>631</v>
      </c>
      <c r="B179" s="6" t="s">
        <v>632</v>
      </c>
      <c r="C179" s="0" t="s">
        <v>66</v>
      </c>
      <c r="D179" s="11" t="n">
        <v>0.05</v>
      </c>
      <c r="E179" s="11" t="n">
        <v>0.15</v>
      </c>
      <c r="F179" s="11" t="n">
        <v>0.25</v>
      </c>
      <c r="G179" s="12" t="s">
        <v>117</v>
      </c>
      <c r="H179" s="6" t="s">
        <v>72</v>
      </c>
      <c r="I179" s="12" t="s">
        <v>633</v>
      </c>
    </row>
    <row r="180" customFormat="false" ht="17.15" hidden="false" customHeight="false" outlineLevel="0" collapsed="false">
      <c r="A180" s="10" t="s">
        <v>634</v>
      </c>
    </row>
    <row r="181" customFormat="false" ht="17.15" hidden="false" customHeight="false" outlineLevel="0" collapsed="false">
      <c r="A181" s="0" t="s">
        <v>635</v>
      </c>
      <c r="B181" s="0" t="s">
        <v>636</v>
      </c>
      <c r="C181" s="0" t="s">
        <v>637</v>
      </c>
      <c r="D181" s="13" t="n">
        <v>20</v>
      </c>
      <c r="E181" s="13" t="n">
        <v>30</v>
      </c>
      <c r="F181" s="13" t="n">
        <v>45</v>
      </c>
      <c r="G181" s="12" t="s">
        <v>67</v>
      </c>
      <c r="H181" s="12" t="s">
        <v>638</v>
      </c>
      <c r="I181" s="12" t="s">
        <v>639</v>
      </c>
      <c r="J181" s="6" t="s">
        <v>640</v>
      </c>
    </row>
    <row r="182" customFormat="false" ht="17.15" hidden="false" customHeight="false" outlineLevel="0" collapsed="false">
      <c r="A182" s="0" t="s">
        <v>641</v>
      </c>
      <c r="B182" s="0" t="s">
        <v>642</v>
      </c>
      <c r="C182" s="0" t="s">
        <v>637</v>
      </c>
      <c r="D182" s="13" t="n">
        <v>8</v>
      </c>
      <c r="E182" s="13" t="n">
        <v>12</v>
      </c>
      <c r="F182" s="13" t="n">
        <v>18</v>
      </c>
      <c r="G182" s="12" t="s">
        <v>117</v>
      </c>
      <c r="H182" s="6" t="s">
        <v>643</v>
      </c>
      <c r="I182" s="12" t="s">
        <v>644</v>
      </c>
      <c r="J182" s="6" t="s">
        <v>645</v>
      </c>
    </row>
    <row r="183" customFormat="false" ht="17.15" hidden="false" customHeight="false" outlineLevel="0" collapsed="false">
      <c r="A183" s="0" t="s">
        <v>646</v>
      </c>
      <c r="B183" s="0" t="s">
        <v>647</v>
      </c>
      <c r="C183" s="0" t="s">
        <v>637</v>
      </c>
      <c r="D183" s="13" t="n">
        <v>5</v>
      </c>
      <c r="E183" s="13" t="n">
        <v>8</v>
      </c>
      <c r="F183" s="13" t="n">
        <v>12</v>
      </c>
      <c r="G183" s="12" t="s">
        <v>117</v>
      </c>
      <c r="H183" s="6" t="s">
        <v>648</v>
      </c>
      <c r="I183" s="12" t="s">
        <v>649</v>
      </c>
      <c r="J183" s="12" t="s">
        <v>650</v>
      </c>
    </row>
    <row r="184" customFormat="false" ht="17.15" hidden="false" customHeight="false" outlineLevel="0" collapsed="false">
      <c r="A184" s="0" t="s">
        <v>651</v>
      </c>
      <c r="B184" s="6" t="s">
        <v>652</v>
      </c>
      <c r="C184" s="0" t="s">
        <v>637</v>
      </c>
      <c r="D184" s="13" t="n">
        <v>5</v>
      </c>
      <c r="E184" s="13" t="n">
        <v>8</v>
      </c>
      <c r="F184" s="13" t="n">
        <v>12</v>
      </c>
      <c r="G184" s="12" t="s">
        <v>117</v>
      </c>
      <c r="H184" s="6" t="s">
        <v>653</v>
      </c>
      <c r="I184" s="12" t="s">
        <v>654</v>
      </c>
      <c r="J184" s="6" t="s">
        <v>72</v>
      </c>
    </row>
    <row r="185" customFormat="false" ht="17.15" hidden="false" customHeight="false" outlineLevel="0" collapsed="false">
      <c r="A185" s="0" t="s">
        <v>655</v>
      </c>
      <c r="B185" s="0" t="s">
        <v>656</v>
      </c>
      <c r="C185" s="0" t="s">
        <v>637</v>
      </c>
      <c r="D185" s="13" t="n">
        <v>6</v>
      </c>
      <c r="E185" s="13" t="n">
        <v>8</v>
      </c>
      <c r="F185" s="13" t="n">
        <v>11</v>
      </c>
      <c r="G185" s="12" t="s">
        <v>117</v>
      </c>
      <c r="H185" s="6" t="s">
        <v>657</v>
      </c>
      <c r="I185" s="12" t="s">
        <v>658</v>
      </c>
      <c r="J185" s="12" t="s">
        <v>659</v>
      </c>
    </row>
    <row r="186" customFormat="false" ht="17.15" hidden="false" customHeight="false" outlineLevel="0" collapsed="false">
      <c r="A186" s="0" t="s">
        <v>660</v>
      </c>
      <c r="B186" s="6" t="s">
        <v>661</v>
      </c>
      <c r="C186" s="0" t="s">
        <v>637</v>
      </c>
      <c r="D186" s="13" t="n">
        <v>4</v>
      </c>
      <c r="E186" s="13" t="n">
        <v>6</v>
      </c>
      <c r="F186" s="13" t="n">
        <v>9</v>
      </c>
      <c r="G186" s="12" t="s">
        <v>117</v>
      </c>
      <c r="H186" s="6" t="s">
        <v>662</v>
      </c>
      <c r="I186" s="12" t="s">
        <v>663</v>
      </c>
      <c r="J186" s="12" t="s">
        <v>664</v>
      </c>
    </row>
    <row r="187" customFormat="false" ht="17.15" hidden="false" customHeight="false" outlineLevel="0" collapsed="false">
      <c r="A187" s="0" t="s">
        <v>665</v>
      </c>
      <c r="B187" s="0" t="s">
        <v>666</v>
      </c>
      <c r="C187" s="0" t="s">
        <v>500</v>
      </c>
      <c r="D187" s="13" t="n">
        <v>0.3</v>
      </c>
      <c r="E187" s="13" t="n">
        <v>0.6</v>
      </c>
      <c r="F187" s="13" t="n">
        <v>1</v>
      </c>
      <c r="G187" s="12" t="s">
        <v>117</v>
      </c>
      <c r="H187" s="6" t="s">
        <v>667</v>
      </c>
      <c r="I187" s="12" t="s">
        <v>668</v>
      </c>
      <c r="J187" s="6" t="s">
        <v>669</v>
      </c>
    </row>
    <row r="188" customFormat="false" ht="17.15" hidden="false" customHeight="false" outlineLevel="0" collapsed="false">
      <c r="A188" s="10" t="s">
        <v>670</v>
      </c>
    </row>
    <row r="189" customFormat="false" ht="17.15" hidden="false" customHeight="false" outlineLevel="0" collapsed="false">
      <c r="A189" s="0" t="s">
        <v>671</v>
      </c>
      <c r="B189" s="0" t="s">
        <v>672</v>
      </c>
      <c r="C189" s="0" t="s">
        <v>66</v>
      </c>
      <c r="D189" s="11" t="n">
        <v>0.8</v>
      </c>
      <c r="E189" s="11" t="n">
        <v>0.9</v>
      </c>
      <c r="F189" s="11" t="n">
        <v>1</v>
      </c>
      <c r="G189" s="12" t="s">
        <v>117</v>
      </c>
      <c r="H189" s="12" t="s">
        <v>673</v>
      </c>
      <c r="I189" s="12" t="s">
        <v>674</v>
      </c>
      <c r="J189" s="6" t="s">
        <v>675</v>
      </c>
    </row>
    <row r="190" customFormat="false" ht="17.15" hidden="false" customHeight="false" outlineLevel="0" collapsed="false">
      <c r="A190" s="0" t="s">
        <v>676</v>
      </c>
      <c r="B190" s="0" t="s">
        <v>677</v>
      </c>
      <c r="C190" s="0" t="s">
        <v>66</v>
      </c>
      <c r="D190" s="11" t="n">
        <v>0.6</v>
      </c>
      <c r="E190" s="11" t="n">
        <v>0.8</v>
      </c>
      <c r="F190" s="11" t="n">
        <v>0.9</v>
      </c>
      <c r="G190" s="12" t="s">
        <v>117</v>
      </c>
      <c r="H190" s="6" t="s">
        <v>678</v>
      </c>
      <c r="I190" s="12" t="s">
        <v>679</v>
      </c>
      <c r="J190" s="12" t="s">
        <v>680</v>
      </c>
    </row>
    <row r="191" customFormat="false" ht="17.15" hidden="false" customHeight="false" outlineLevel="0" collapsed="false">
      <c r="A191" s="0" t="s">
        <v>681</v>
      </c>
      <c r="B191" s="0" t="s">
        <v>682</v>
      </c>
      <c r="C191" s="0" t="s">
        <v>66</v>
      </c>
      <c r="D191" s="11" t="n">
        <v>0.5</v>
      </c>
      <c r="E191" s="11" t="n">
        <v>0.75</v>
      </c>
      <c r="F191" s="11" t="n">
        <v>0.9</v>
      </c>
      <c r="G191" s="12" t="s">
        <v>117</v>
      </c>
      <c r="H191" s="6" t="s">
        <v>72</v>
      </c>
      <c r="I191" s="12" t="s">
        <v>683</v>
      </c>
      <c r="J191" s="12" t="s">
        <v>684</v>
      </c>
    </row>
    <row r="192" customFormat="false" ht="17.15" hidden="false" customHeight="false" outlineLevel="0" collapsed="false">
      <c r="A192" s="0" t="s">
        <v>685</v>
      </c>
      <c r="B192" s="0" t="s">
        <v>686</v>
      </c>
      <c r="C192" s="0" t="s">
        <v>66</v>
      </c>
      <c r="D192" s="11" t="n">
        <v>0.2</v>
      </c>
      <c r="E192" s="11" t="n">
        <v>0.35</v>
      </c>
      <c r="F192" s="11" t="n">
        <v>0.5</v>
      </c>
      <c r="G192" s="12" t="s">
        <v>117</v>
      </c>
      <c r="H192" s="6" t="s">
        <v>687</v>
      </c>
      <c r="I192" s="12" t="s">
        <v>688</v>
      </c>
      <c r="J192" s="12" t="s">
        <v>689</v>
      </c>
    </row>
    <row r="193" customFormat="false" ht="17.15" hidden="false" customHeight="false" outlineLevel="0" collapsed="false">
      <c r="A193" s="0" t="s">
        <v>690</v>
      </c>
      <c r="B193" s="0" t="s">
        <v>691</v>
      </c>
      <c r="C193" s="0" t="s">
        <v>66</v>
      </c>
      <c r="D193" s="11" t="n">
        <v>0.4</v>
      </c>
      <c r="E193" s="11" t="n">
        <v>0.55</v>
      </c>
      <c r="F193" s="11" t="n">
        <v>0.7</v>
      </c>
      <c r="G193" s="12" t="s">
        <v>117</v>
      </c>
      <c r="H193" s="12" t="s">
        <v>692</v>
      </c>
      <c r="I193" s="12" t="s">
        <v>693</v>
      </c>
      <c r="J193" s="12" t="s">
        <v>684</v>
      </c>
    </row>
    <row r="194" customFormat="false" ht="17.15" hidden="false" customHeight="false" outlineLevel="0" collapsed="false">
      <c r="A194" s="0" t="s">
        <v>694</v>
      </c>
      <c r="B194" s="0" t="s">
        <v>695</v>
      </c>
      <c r="C194" s="0" t="s">
        <v>66</v>
      </c>
      <c r="D194" s="11" t="n">
        <v>0.4</v>
      </c>
      <c r="E194" s="11" t="n">
        <v>0.55</v>
      </c>
      <c r="F194" s="11" t="n">
        <v>0.7</v>
      </c>
      <c r="G194" s="12" t="s">
        <v>117</v>
      </c>
      <c r="H194" s="12" t="s">
        <v>696</v>
      </c>
      <c r="I194" s="12" t="s">
        <v>697</v>
      </c>
      <c r="J194" s="12" t="s">
        <v>684</v>
      </c>
    </row>
    <row r="195" customFormat="false" ht="17.15" hidden="false" customHeight="false" outlineLevel="0" collapsed="false">
      <c r="A195" s="0" t="s">
        <v>698</v>
      </c>
      <c r="B195" s="0" t="s">
        <v>699</v>
      </c>
      <c r="C195" s="0" t="s">
        <v>66</v>
      </c>
      <c r="D195" s="11" t="n">
        <v>0.05</v>
      </c>
      <c r="E195" s="11" t="n">
        <v>0.1</v>
      </c>
      <c r="F195" s="11" t="n">
        <v>0.2</v>
      </c>
      <c r="G195" s="12" t="s">
        <v>117</v>
      </c>
      <c r="H195" s="12" t="s">
        <v>700</v>
      </c>
      <c r="I195" s="12" t="s">
        <v>701</v>
      </c>
      <c r="J195" s="6" t="s">
        <v>702</v>
      </c>
    </row>
    <row r="196" customFormat="false" ht="17.15" hidden="false" customHeight="false" outlineLevel="0" collapsed="false">
      <c r="A196" s="0" t="s">
        <v>703</v>
      </c>
      <c r="B196" s="0" t="s">
        <v>704</v>
      </c>
      <c r="C196" s="0" t="s">
        <v>66</v>
      </c>
      <c r="D196" s="11" t="n">
        <v>0.05</v>
      </c>
      <c r="E196" s="11" t="n">
        <v>0.1</v>
      </c>
      <c r="F196" s="11" t="n">
        <v>0.2</v>
      </c>
      <c r="G196" s="12" t="s">
        <v>117</v>
      </c>
      <c r="H196" s="6" t="s">
        <v>72</v>
      </c>
      <c r="I196" s="12" t="s">
        <v>705</v>
      </c>
      <c r="J196" s="12" t="s">
        <v>684</v>
      </c>
    </row>
    <row r="197" customFormat="false" ht="17.15" hidden="false" customHeight="false" outlineLevel="0" collapsed="false">
      <c r="A197" s="0" t="s">
        <v>706</v>
      </c>
      <c r="B197" s="0" t="s">
        <v>707</v>
      </c>
      <c r="C197" s="0" t="s">
        <v>66</v>
      </c>
      <c r="D197" s="11" t="n">
        <v>0</v>
      </c>
      <c r="E197" s="11" t="n">
        <v>0.08</v>
      </c>
      <c r="F197" s="11" t="n">
        <v>0.2</v>
      </c>
      <c r="G197" s="12" t="s">
        <v>117</v>
      </c>
      <c r="H197" s="6" t="s">
        <v>72</v>
      </c>
      <c r="I197" s="12" t="s">
        <v>708</v>
      </c>
      <c r="J197" s="12" t="s">
        <v>684</v>
      </c>
    </row>
    <row r="198" customFormat="false" ht="17.15" hidden="false" customHeight="false" outlineLevel="0" collapsed="false">
      <c r="A198" s="0" t="s">
        <v>709</v>
      </c>
      <c r="B198" s="0" t="s">
        <v>710</v>
      </c>
      <c r="C198" s="0" t="s">
        <v>66</v>
      </c>
      <c r="D198" s="11" t="n">
        <v>0.02</v>
      </c>
      <c r="E198" s="11" t="n">
        <v>0.05</v>
      </c>
      <c r="F198" s="11" t="n">
        <v>0.1</v>
      </c>
      <c r="G198" s="12" t="s">
        <v>117</v>
      </c>
      <c r="H198" s="12" t="s">
        <v>711</v>
      </c>
      <c r="I198" s="12" t="s">
        <v>712</v>
      </c>
      <c r="J198" s="6" t="s">
        <v>713</v>
      </c>
    </row>
    <row r="199" customFormat="false" ht="17.15" hidden="false" customHeight="false" outlineLevel="0" collapsed="false">
      <c r="A199" s="0" t="s">
        <v>714</v>
      </c>
      <c r="B199" s="0" t="s">
        <v>715</v>
      </c>
      <c r="C199" s="0" t="s">
        <v>66</v>
      </c>
      <c r="D199" s="11" t="n">
        <v>0.03</v>
      </c>
      <c r="E199" s="11" t="n">
        <v>0.06</v>
      </c>
      <c r="F199" s="11" t="n">
        <v>0.12</v>
      </c>
      <c r="G199" s="12" t="s">
        <v>117</v>
      </c>
      <c r="H199" s="6" t="s">
        <v>72</v>
      </c>
      <c r="I199" s="12" t="s">
        <v>716</v>
      </c>
      <c r="J199" s="12" t="s">
        <v>684</v>
      </c>
    </row>
    <row r="200" customFormat="false" ht="17.15" hidden="false" customHeight="false" outlineLevel="0" collapsed="false">
      <c r="A200" s="0" t="s">
        <v>717</v>
      </c>
      <c r="B200" s="0" t="s">
        <v>718</v>
      </c>
      <c r="C200" s="0" t="s">
        <v>66</v>
      </c>
      <c r="D200" s="11" t="n">
        <v>0.08</v>
      </c>
      <c r="E200" s="11" t="n">
        <v>0.15</v>
      </c>
      <c r="F200" s="11" t="n">
        <v>0.25</v>
      </c>
      <c r="G200" s="12" t="s">
        <v>117</v>
      </c>
      <c r="H200" s="6" t="s">
        <v>72</v>
      </c>
      <c r="I200" s="12" t="s">
        <v>719</v>
      </c>
      <c r="J200" s="12" t="s">
        <v>684</v>
      </c>
    </row>
    <row r="201" customFormat="false" ht="17.15" hidden="false" customHeight="false" outlineLevel="0" collapsed="false">
      <c r="A201" s="0" t="s">
        <v>720</v>
      </c>
      <c r="B201" s="0" t="s">
        <v>721</v>
      </c>
      <c r="C201" s="0" t="s">
        <v>66</v>
      </c>
      <c r="D201" s="11" t="n">
        <v>0</v>
      </c>
      <c r="E201" s="11" t="n">
        <v>0</v>
      </c>
      <c r="F201" s="11" t="n">
        <v>0.02</v>
      </c>
      <c r="G201" s="12" t="s">
        <v>117</v>
      </c>
      <c r="H201" s="12" t="s">
        <v>722</v>
      </c>
      <c r="I201" s="12" t="s">
        <v>723</v>
      </c>
      <c r="J201" s="12" t="s">
        <v>724</v>
      </c>
    </row>
    <row r="202" customFormat="false" ht="17.15" hidden="false" customHeight="false" outlineLevel="0" collapsed="false">
      <c r="A202" s="0" t="s">
        <v>725</v>
      </c>
      <c r="B202" s="0" t="s">
        <v>726</v>
      </c>
      <c r="C202" s="0" t="s">
        <v>66</v>
      </c>
      <c r="D202" s="11" t="n">
        <v>0</v>
      </c>
      <c r="E202" s="11" t="n">
        <v>0</v>
      </c>
      <c r="F202" s="11" t="n">
        <v>0.05</v>
      </c>
      <c r="G202" s="12" t="s">
        <v>117</v>
      </c>
      <c r="H202" s="6" t="s">
        <v>72</v>
      </c>
      <c r="I202" s="12" t="s">
        <v>727</v>
      </c>
      <c r="J202" s="12" t="s">
        <v>684</v>
      </c>
    </row>
    <row r="203" customFormat="false" ht="17.15" hidden="false" customHeight="false" outlineLevel="0" collapsed="false">
      <c r="A203" s="0" t="s">
        <v>728</v>
      </c>
      <c r="B203" s="0" t="s">
        <v>729</v>
      </c>
      <c r="C203" s="0" t="s">
        <v>66</v>
      </c>
      <c r="D203" s="11" t="n">
        <v>0</v>
      </c>
      <c r="E203" s="11" t="n">
        <v>0.05</v>
      </c>
      <c r="F203" s="11" t="n">
        <v>0.15</v>
      </c>
      <c r="G203" s="12" t="s">
        <v>117</v>
      </c>
      <c r="H203" s="6" t="s">
        <v>72</v>
      </c>
      <c r="I203" s="12" t="s">
        <v>730</v>
      </c>
      <c r="J203" s="12" t="s">
        <v>684</v>
      </c>
    </row>
    <row r="204" customFormat="false" ht="17.15" hidden="false" customHeight="false" outlineLevel="0" collapsed="false">
      <c r="A204" s="0" t="s">
        <v>731</v>
      </c>
      <c r="B204" s="6" t="s">
        <v>732</v>
      </c>
      <c r="C204" s="0" t="s">
        <v>66</v>
      </c>
      <c r="D204" s="11" t="n">
        <v>0.03</v>
      </c>
      <c r="E204" s="11" t="n">
        <v>0.05</v>
      </c>
      <c r="F204" s="11" t="n">
        <v>0.1</v>
      </c>
      <c r="G204" s="12" t="s">
        <v>117</v>
      </c>
      <c r="H204" s="6" t="s">
        <v>733</v>
      </c>
      <c r="I204" s="12" t="s">
        <v>734</v>
      </c>
      <c r="J204" s="6" t="s">
        <v>735</v>
      </c>
    </row>
    <row r="205" customFormat="false" ht="17.15" hidden="false" customHeight="false" outlineLevel="0" collapsed="false">
      <c r="A205" s="0" t="s">
        <v>736</v>
      </c>
      <c r="B205" s="6" t="s">
        <v>737</v>
      </c>
      <c r="C205" s="0" t="s">
        <v>66</v>
      </c>
      <c r="D205" s="11" t="n">
        <v>0.08</v>
      </c>
      <c r="E205" s="11" t="n">
        <v>0.15</v>
      </c>
      <c r="F205" s="11" t="n">
        <v>0.2</v>
      </c>
      <c r="G205" s="12" t="s">
        <v>117</v>
      </c>
      <c r="H205" s="6" t="s">
        <v>72</v>
      </c>
      <c r="I205" s="12" t="s">
        <v>738</v>
      </c>
      <c r="J205" s="12" t="s">
        <v>684</v>
      </c>
    </row>
    <row r="206" customFormat="false" ht="17.15" hidden="false" customHeight="false" outlineLevel="0" collapsed="false">
      <c r="A206" s="0" t="s">
        <v>739</v>
      </c>
      <c r="B206" s="6" t="s">
        <v>740</v>
      </c>
      <c r="C206" s="0" t="s">
        <v>66</v>
      </c>
      <c r="D206" s="11" t="n">
        <v>0.1</v>
      </c>
      <c r="E206" s="11" t="n">
        <v>0.18</v>
      </c>
      <c r="F206" s="11" t="n">
        <v>0.2</v>
      </c>
      <c r="G206" s="12" t="s">
        <v>117</v>
      </c>
      <c r="H206" s="6" t="s">
        <v>72</v>
      </c>
      <c r="I206" s="12" t="s">
        <v>741</v>
      </c>
      <c r="J206" s="12" t="s">
        <v>684</v>
      </c>
    </row>
    <row r="207" customFormat="false" ht="17.15" hidden="false" customHeight="false" outlineLevel="0" collapsed="false">
      <c r="A207" s="0" t="s">
        <v>742</v>
      </c>
      <c r="B207" s="6" t="s">
        <v>743</v>
      </c>
      <c r="C207" s="0" t="s">
        <v>66</v>
      </c>
      <c r="D207" s="11" t="n">
        <v>0</v>
      </c>
      <c r="E207" s="11" t="n">
        <v>0</v>
      </c>
      <c r="F207" s="11" t="n">
        <v>0.02</v>
      </c>
      <c r="G207" s="12" t="s">
        <v>117</v>
      </c>
      <c r="H207" s="6" t="s">
        <v>744</v>
      </c>
      <c r="I207" s="12" t="s">
        <v>745</v>
      </c>
      <c r="J207" s="6" t="s">
        <v>746</v>
      </c>
    </row>
    <row r="208" customFormat="false" ht="17.15" hidden="false" customHeight="false" outlineLevel="0" collapsed="false">
      <c r="A208" s="0" t="s">
        <v>747</v>
      </c>
      <c r="B208" s="6" t="s">
        <v>748</v>
      </c>
      <c r="C208" s="0" t="s">
        <v>66</v>
      </c>
      <c r="D208" s="11" t="n">
        <v>0</v>
      </c>
      <c r="E208" s="11" t="n">
        <v>0</v>
      </c>
      <c r="F208" s="11" t="n">
        <v>0.03</v>
      </c>
      <c r="G208" s="12" t="s">
        <v>117</v>
      </c>
      <c r="H208" s="6" t="s">
        <v>72</v>
      </c>
      <c r="I208" s="12" t="s">
        <v>749</v>
      </c>
      <c r="J208" s="12" t="s">
        <v>684</v>
      </c>
    </row>
    <row r="209" customFormat="false" ht="17.15" hidden="false" customHeight="false" outlineLevel="0" collapsed="false">
      <c r="A209" s="0" t="s">
        <v>750</v>
      </c>
      <c r="B209" s="6" t="s">
        <v>751</v>
      </c>
      <c r="C209" s="0" t="s">
        <v>66</v>
      </c>
      <c r="D209" s="11" t="n">
        <v>0</v>
      </c>
      <c r="E209" s="11" t="n">
        <v>0</v>
      </c>
      <c r="F209" s="11" t="n">
        <v>0.05</v>
      </c>
      <c r="G209" s="12" t="s">
        <v>117</v>
      </c>
      <c r="H209" s="6" t="s">
        <v>72</v>
      </c>
      <c r="I209" s="12" t="s">
        <v>752</v>
      </c>
      <c r="J209" s="12" t="s">
        <v>684</v>
      </c>
    </row>
    <row r="210" customFormat="false" ht="17.15" hidden="false" customHeight="false" outlineLevel="0" collapsed="false">
      <c r="A210" s="0" t="s">
        <v>753</v>
      </c>
      <c r="B210" s="6" t="s">
        <v>754</v>
      </c>
      <c r="C210" s="0" t="s">
        <v>66</v>
      </c>
      <c r="D210" s="11" t="n">
        <v>0.2</v>
      </c>
      <c r="E210" s="11" t="n">
        <v>0.3</v>
      </c>
      <c r="F210" s="11" t="n">
        <v>0.4</v>
      </c>
      <c r="G210" s="12" t="s">
        <v>117</v>
      </c>
      <c r="H210" s="6" t="s">
        <v>755</v>
      </c>
      <c r="I210" s="12" t="s">
        <v>756</v>
      </c>
      <c r="J210" s="12" t="s">
        <v>757</v>
      </c>
    </row>
    <row r="211" customFormat="false" ht="17.15" hidden="false" customHeight="false" outlineLevel="0" collapsed="false">
      <c r="A211" s="0" t="s">
        <v>758</v>
      </c>
      <c r="B211" s="6" t="s">
        <v>759</v>
      </c>
      <c r="C211" s="0" t="s">
        <v>66</v>
      </c>
      <c r="D211" s="11" t="n">
        <v>0.4</v>
      </c>
      <c r="E211" s="11" t="n">
        <v>0.55</v>
      </c>
      <c r="F211" s="11" t="n">
        <v>0.75</v>
      </c>
      <c r="G211" s="12" t="s">
        <v>117</v>
      </c>
      <c r="H211" s="6" t="s">
        <v>72</v>
      </c>
      <c r="I211" s="12" t="s">
        <v>760</v>
      </c>
      <c r="J211" s="12" t="s">
        <v>757</v>
      </c>
    </row>
    <row r="212" customFormat="false" ht="17.15" hidden="false" customHeight="false" outlineLevel="0" collapsed="false">
      <c r="A212" s="0" t="s">
        <v>761</v>
      </c>
      <c r="B212" s="6" t="s">
        <v>762</v>
      </c>
      <c r="C212" s="0" t="s">
        <v>66</v>
      </c>
      <c r="D212" s="11" t="n">
        <v>0.4</v>
      </c>
      <c r="E212" s="11" t="n">
        <v>0.5</v>
      </c>
      <c r="F212" s="11" t="n">
        <v>0.75</v>
      </c>
      <c r="G212" s="12" t="s">
        <v>117</v>
      </c>
      <c r="H212" s="6" t="s">
        <v>72</v>
      </c>
      <c r="I212" s="12" t="s">
        <v>763</v>
      </c>
      <c r="J212" s="12" t="s">
        <v>684</v>
      </c>
    </row>
    <row r="213" customFormat="false" ht="17.15" hidden="false" customHeight="false" outlineLevel="0" collapsed="false">
      <c r="A213" s="0" t="s">
        <v>764</v>
      </c>
      <c r="B213" s="6" t="s">
        <v>765</v>
      </c>
      <c r="C213" s="0" t="s">
        <v>66</v>
      </c>
      <c r="D213" s="11" t="n">
        <v>0.3</v>
      </c>
      <c r="E213" s="11" t="n">
        <v>0.4</v>
      </c>
      <c r="F213" s="11" t="n">
        <v>0.75</v>
      </c>
      <c r="G213" s="12" t="s">
        <v>117</v>
      </c>
      <c r="H213" s="6" t="s">
        <v>72</v>
      </c>
      <c r="I213" s="12" t="s">
        <v>766</v>
      </c>
      <c r="J213" s="12" t="s">
        <v>684</v>
      </c>
    </row>
    <row r="214" customFormat="false" ht="17.15" hidden="false" customHeight="false" outlineLevel="0" collapsed="false">
      <c r="A214" s="0" t="s">
        <v>767</v>
      </c>
      <c r="B214" s="6" t="s">
        <v>768</v>
      </c>
      <c r="C214" s="0" t="s">
        <v>66</v>
      </c>
      <c r="D214" s="11" t="n">
        <v>0.35</v>
      </c>
      <c r="E214" s="11" t="n">
        <v>0.55</v>
      </c>
      <c r="F214" s="11" t="n">
        <v>0.85</v>
      </c>
      <c r="G214" s="12" t="s">
        <v>117</v>
      </c>
      <c r="H214" s="6" t="s">
        <v>72</v>
      </c>
      <c r="I214" s="12" t="s">
        <v>769</v>
      </c>
      <c r="J214" s="12" t="s">
        <v>757</v>
      </c>
    </row>
    <row r="215" customFormat="false" ht="17.15" hidden="false" customHeight="false" outlineLevel="0" collapsed="false">
      <c r="A215" s="0" t="s">
        <v>770</v>
      </c>
      <c r="B215" s="6" t="s">
        <v>771</v>
      </c>
      <c r="C215" s="0" t="s">
        <v>66</v>
      </c>
      <c r="D215" s="11" t="n">
        <v>0.3</v>
      </c>
      <c r="E215" s="11" t="n">
        <v>0.45</v>
      </c>
      <c r="F215" s="11" t="n">
        <v>0.85</v>
      </c>
      <c r="G215" s="12" t="s">
        <v>117</v>
      </c>
      <c r="H215" s="6" t="s">
        <v>72</v>
      </c>
      <c r="I215" s="12" t="s">
        <v>772</v>
      </c>
      <c r="J215" s="12" t="s">
        <v>773</v>
      </c>
    </row>
    <row r="216" customFormat="false" ht="17.15" hidden="false" customHeight="false" outlineLevel="0" collapsed="false">
      <c r="A216" s="0" t="s">
        <v>774</v>
      </c>
      <c r="B216" s="6" t="s">
        <v>775</v>
      </c>
      <c r="C216" s="0" t="s">
        <v>66</v>
      </c>
      <c r="D216" s="11" t="n">
        <v>0.2</v>
      </c>
      <c r="E216" s="11" t="n">
        <v>0.35</v>
      </c>
      <c r="F216" s="11" t="n">
        <v>0.85</v>
      </c>
      <c r="G216" s="12" t="s">
        <v>117</v>
      </c>
      <c r="H216" s="6" t="s">
        <v>72</v>
      </c>
      <c r="I216" s="12" t="s">
        <v>776</v>
      </c>
      <c r="J216" s="12" t="s">
        <v>773</v>
      </c>
    </row>
    <row r="217" customFormat="false" ht="17.15" hidden="false" customHeight="false" outlineLevel="0" collapsed="false">
      <c r="A217" s="10" t="s">
        <v>777</v>
      </c>
    </row>
    <row r="218" customFormat="false" ht="17.15" hidden="false" customHeight="false" outlineLevel="0" collapsed="false">
      <c r="A218" s="0" t="s">
        <v>778</v>
      </c>
      <c r="B218" s="0" t="s">
        <v>779</v>
      </c>
      <c r="C218" s="0" t="s">
        <v>780</v>
      </c>
      <c r="D218" s="13" t="n">
        <v>1194</v>
      </c>
      <c r="E218" s="13" t="n">
        <v>1493</v>
      </c>
      <c r="F218" s="13" t="n">
        <v>1792</v>
      </c>
      <c r="G218" s="12" t="s">
        <v>91</v>
      </c>
      <c r="H218" s="6" t="s">
        <v>781</v>
      </c>
      <c r="I218" s="12" t="s">
        <v>782</v>
      </c>
    </row>
    <row r="219" customFormat="false" ht="17.15" hidden="false" customHeight="false" outlineLevel="0" collapsed="false">
      <c r="A219" s="0" t="s">
        <v>783</v>
      </c>
      <c r="B219" s="0" t="s">
        <v>784</v>
      </c>
      <c r="C219" s="0" t="s">
        <v>780</v>
      </c>
      <c r="D219" s="13" t="n">
        <v>1194</v>
      </c>
      <c r="E219" s="13" t="n">
        <v>1493</v>
      </c>
      <c r="F219" s="13" t="n">
        <v>1792</v>
      </c>
      <c r="G219" s="12" t="s">
        <v>91</v>
      </c>
      <c r="H219" s="6" t="s">
        <v>72</v>
      </c>
      <c r="I219" s="12" t="s">
        <v>785</v>
      </c>
    </row>
    <row r="220" customFormat="false" ht="17.15" hidden="false" customHeight="false" outlineLevel="0" collapsed="false">
      <c r="A220" s="0" t="s">
        <v>786</v>
      </c>
      <c r="B220" s="0" t="s">
        <v>787</v>
      </c>
      <c r="C220" s="0" t="s">
        <v>780</v>
      </c>
      <c r="D220" s="13" t="n">
        <v>2150</v>
      </c>
      <c r="E220" s="13" t="n">
        <v>2688</v>
      </c>
      <c r="F220" s="13" t="n">
        <v>3226</v>
      </c>
      <c r="G220" s="12" t="s">
        <v>91</v>
      </c>
      <c r="H220" s="6" t="s">
        <v>72</v>
      </c>
      <c r="I220" s="12" t="s">
        <v>788</v>
      </c>
    </row>
    <row r="221" customFormat="false" ht="17.15" hidden="false" customHeight="false" outlineLevel="0" collapsed="false">
      <c r="A221" s="0" t="s">
        <v>789</v>
      </c>
      <c r="B221" s="0" t="s">
        <v>790</v>
      </c>
      <c r="C221" s="0" t="s">
        <v>780</v>
      </c>
      <c r="D221" s="13" t="n">
        <v>1672</v>
      </c>
      <c r="E221" s="13" t="n">
        <v>2090</v>
      </c>
      <c r="F221" s="13" t="n">
        <v>2508</v>
      </c>
      <c r="G221" s="12" t="s">
        <v>91</v>
      </c>
      <c r="H221" s="6" t="s">
        <v>72</v>
      </c>
      <c r="I221" s="12" t="s">
        <v>791</v>
      </c>
    </row>
    <row r="222" customFormat="false" ht="17.15" hidden="false" customHeight="false" outlineLevel="0" collapsed="false">
      <c r="A222" s="0" t="s">
        <v>792</v>
      </c>
      <c r="B222" s="0" t="s">
        <v>793</v>
      </c>
      <c r="C222" s="0" t="s">
        <v>780</v>
      </c>
      <c r="D222" s="13" t="n">
        <v>956</v>
      </c>
      <c r="E222" s="13" t="n">
        <v>1195</v>
      </c>
      <c r="F222" s="13" t="n">
        <v>1434</v>
      </c>
      <c r="G222" s="12" t="s">
        <v>91</v>
      </c>
      <c r="H222" s="6" t="s">
        <v>72</v>
      </c>
      <c r="I222" s="12" t="s">
        <v>794</v>
      </c>
    </row>
    <row r="223" customFormat="false" ht="17.15" hidden="false" customHeight="false" outlineLevel="0" collapsed="false">
      <c r="A223" s="0" t="s">
        <v>795</v>
      </c>
      <c r="B223" s="0" t="s">
        <v>796</v>
      </c>
      <c r="C223" s="0" t="s">
        <v>780</v>
      </c>
      <c r="D223" s="13" t="n">
        <v>2099</v>
      </c>
      <c r="E223" s="13" t="n">
        <v>2624</v>
      </c>
      <c r="F223" s="13" t="n">
        <v>3149</v>
      </c>
      <c r="G223" s="12" t="s">
        <v>91</v>
      </c>
      <c r="H223" s="6" t="s">
        <v>72</v>
      </c>
      <c r="I223" s="12" t="s">
        <v>797</v>
      </c>
    </row>
    <row r="224" customFormat="false" ht="17.15" hidden="false" customHeight="false" outlineLevel="0" collapsed="false">
      <c r="A224" s="0" t="s">
        <v>798</v>
      </c>
      <c r="B224" s="0" t="s">
        <v>799</v>
      </c>
      <c r="C224" s="0" t="s">
        <v>780</v>
      </c>
      <c r="D224" s="13" t="n">
        <v>2334</v>
      </c>
      <c r="E224" s="13" t="n">
        <v>2917</v>
      </c>
      <c r="F224" s="13" t="n">
        <v>3500</v>
      </c>
      <c r="G224" s="12" t="s">
        <v>91</v>
      </c>
      <c r="H224" s="6" t="s">
        <v>800</v>
      </c>
      <c r="I224" s="12" t="s">
        <v>801</v>
      </c>
    </row>
    <row r="225" customFormat="false" ht="17.15" hidden="false" customHeight="false" outlineLevel="0" collapsed="false">
      <c r="A225" s="0" t="s">
        <v>802</v>
      </c>
      <c r="B225" s="0" t="s">
        <v>803</v>
      </c>
      <c r="C225" s="0" t="s">
        <v>780</v>
      </c>
      <c r="D225" s="13" t="n">
        <v>2334</v>
      </c>
      <c r="E225" s="13" t="n">
        <v>2917</v>
      </c>
      <c r="F225" s="13" t="n">
        <v>3500</v>
      </c>
      <c r="G225" s="12" t="s">
        <v>91</v>
      </c>
      <c r="H225" s="6" t="s">
        <v>72</v>
      </c>
      <c r="I225" s="12" t="s">
        <v>804</v>
      </c>
    </row>
    <row r="226" customFormat="false" ht="17.15" hidden="false" customHeight="false" outlineLevel="0" collapsed="false">
      <c r="A226" s="0" t="s">
        <v>805</v>
      </c>
      <c r="B226" s="0" t="s">
        <v>806</v>
      </c>
      <c r="C226" s="0" t="s">
        <v>780</v>
      </c>
      <c r="D226" s="13" t="n">
        <v>4201</v>
      </c>
      <c r="E226" s="13" t="n">
        <v>5251</v>
      </c>
      <c r="F226" s="13" t="n">
        <v>6301</v>
      </c>
      <c r="G226" s="12" t="s">
        <v>91</v>
      </c>
      <c r="H226" s="6" t="s">
        <v>72</v>
      </c>
      <c r="I226" s="12" t="s">
        <v>807</v>
      </c>
    </row>
    <row r="227" customFormat="false" ht="17.15" hidden="false" customHeight="false" outlineLevel="0" collapsed="false">
      <c r="A227" s="0" t="s">
        <v>808</v>
      </c>
      <c r="B227" s="0" t="s">
        <v>809</v>
      </c>
      <c r="C227" s="0" t="s">
        <v>780</v>
      </c>
      <c r="D227" s="13" t="n">
        <v>3267</v>
      </c>
      <c r="E227" s="13" t="n">
        <v>4084</v>
      </c>
      <c r="F227" s="13" t="n">
        <v>4901</v>
      </c>
      <c r="G227" s="12" t="s">
        <v>91</v>
      </c>
      <c r="H227" s="6" t="s">
        <v>72</v>
      </c>
      <c r="I227" s="12" t="s">
        <v>810</v>
      </c>
    </row>
    <row r="228" customFormat="false" ht="17.15" hidden="false" customHeight="false" outlineLevel="0" collapsed="false">
      <c r="A228" s="0" t="s">
        <v>811</v>
      </c>
      <c r="B228" s="0" t="s">
        <v>812</v>
      </c>
      <c r="C228" s="0" t="s">
        <v>780</v>
      </c>
      <c r="D228" s="13" t="n">
        <v>1867</v>
      </c>
      <c r="E228" s="13" t="n">
        <v>2334</v>
      </c>
      <c r="F228" s="13" t="n">
        <v>2801</v>
      </c>
      <c r="G228" s="12" t="s">
        <v>91</v>
      </c>
      <c r="H228" s="6" t="s">
        <v>72</v>
      </c>
      <c r="I228" s="12" t="s">
        <v>813</v>
      </c>
    </row>
    <row r="229" customFormat="false" ht="17.15" hidden="false" customHeight="false" outlineLevel="0" collapsed="false">
      <c r="A229" s="0" t="s">
        <v>814</v>
      </c>
      <c r="B229" s="0" t="s">
        <v>815</v>
      </c>
      <c r="C229" s="0" t="s">
        <v>780</v>
      </c>
      <c r="D229" s="13" t="n">
        <v>5600</v>
      </c>
      <c r="E229" s="13" t="n">
        <v>7000</v>
      </c>
      <c r="F229" s="13" t="n">
        <v>8400</v>
      </c>
      <c r="G229" s="12" t="s">
        <v>91</v>
      </c>
      <c r="H229" s="6" t="s">
        <v>72</v>
      </c>
      <c r="I229" s="12" t="s">
        <v>816</v>
      </c>
    </row>
    <row r="230" customFormat="false" ht="17.15" hidden="false" customHeight="false" outlineLevel="0" collapsed="false">
      <c r="A230" s="0" t="s">
        <v>817</v>
      </c>
      <c r="B230" s="0" t="s">
        <v>818</v>
      </c>
      <c r="C230" s="0" t="s">
        <v>780</v>
      </c>
      <c r="D230" s="13" t="n">
        <v>3500</v>
      </c>
      <c r="E230" s="13" t="n">
        <v>4375</v>
      </c>
      <c r="F230" s="13" t="n">
        <v>5250</v>
      </c>
      <c r="G230" s="12" t="s">
        <v>117</v>
      </c>
      <c r="H230" s="12" t="s">
        <v>819</v>
      </c>
      <c r="I230" s="12" t="s">
        <v>820</v>
      </c>
    </row>
    <row r="231" customFormat="false" ht="17.15" hidden="false" customHeight="false" outlineLevel="0" collapsed="false">
      <c r="A231" s="0" t="s">
        <v>821</v>
      </c>
      <c r="B231" s="0" t="s">
        <v>822</v>
      </c>
      <c r="C231" s="0" t="s">
        <v>780</v>
      </c>
      <c r="D231" s="13" t="n">
        <v>3500</v>
      </c>
      <c r="E231" s="13" t="n">
        <v>4375</v>
      </c>
      <c r="F231" s="13" t="n">
        <v>5250</v>
      </c>
      <c r="G231" s="12" t="s">
        <v>117</v>
      </c>
      <c r="H231" s="6" t="s">
        <v>72</v>
      </c>
      <c r="I231" s="12" t="s">
        <v>823</v>
      </c>
    </row>
    <row r="232" customFormat="false" ht="17.15" hidden="false" customHeight="false" outlineLevel="0" collapsed="false">
      <c r="A232" s="0" t="s">
        <v>824</v>
      </c>
      <c r="B232" s="0" t="s">
        <v>825</v>
      </c>
      <c r="C232" s="0" t="s">
        <v>780</v>
      </c>
      <c r="D232" s="13" t="n">
        <v>4201</v>
      </c>
      <c r="E232" s="13" t="n">
        <v>5251</v>
      </c>
      <c r="F232" s="13" t="n">
        <v>6301</v>
      </c>
      <c r="G232" s="12" t="s">
        <v>117</v>
      </c>
      <c r="H232" s="6" t="s">
        <v>72</v>
      </c>
      <c r="I232" s="12" t="s">
        <v>826</v>
      </c>
    </row>
    <row r="233" customFormat="false" ht="17.15" hidden="false" customHeight="false" outlineLevel="0" collapsed="false">
      <c r="A233" s="0" t="s">
        <v>827</v>
      </c>
      <c r="B233" s="0" t="s">
        <v>828</v>
      </c>
      <c r="C233" s="0" t="s">
        <v>780</v>
      </c>
      <c r="D233" s="13" t="n">
        <v>3267</v>
      </c>
      <c r="E233" s="13" t="n">
        <v>4084</v>
      </c>
      <c r="F233" s="13" t="n">
        <v>4901</v>
      </c>
      <c r="G233" s="12" t="s">
        <v>117</v>
      </c>
      <c r="H233" s="6" t="s">
        <v>72</v>
      </c>
      <c r="I233" s="12" t="s">
        <v>829</v>
      </c>
    </row>
    <row r="234" customFormat="false" ht="17.15" hidden="false" customHeight="false" outlineLevel="0" collapsed="false">
      <c r="A234" s="0" t="s">
        <v>830</v>
      </c>
      <c r="B234" s="0" t="s">
        <v>831</v>
      </c>
      <c r="C234" s="0" t="s">
        <v>780</v>
      </c>
      <c r="D234" s="13" t="n">
        <v>1867</v>
      </c>
      <c r="E234" s="13" t="n">
        <v>2334</v>
      </c>
      <c r="F234" s="13" t="n">
        <v>2801</v>
      </c>
      <c r="G234" s="12" t="s">
        <v>117</v>
      </c>
      <c r="H234" s="6" t="s">
        <v>72</v>
      </c>
      <c r="I234" s="12" t="s">
        <v>832</v>
      </c>
    </row>
    <row r="235" customFormat="false" ht="17.15" hidden="false" customHeight="false" outlineLevel="0" collapsed="false">
      <c r="A235" s="0" t="s">
        <v>833</v>
      </c>
      <c r="B235" s="0" t="s">
        <v>834</v>
      </c>
      <c r="C235" s="0" t="s">
        <v>780</v>
      </c>
      <c r="D235" s="13" t="n">
        <v>5600</v>
      </c>
      <c r="E235" s="13" t="n">
        <v>7000</v>
      </c>
      <c r="F235" s="13" t="n">
        <v>8400</v>
      </c>
      <c r="G235" s="12" t="s">
        <v>117</v>
      </c>
      <c r="H235" s="6" t="s">
        <v>72</v>
      </c>
      <c r="I235" s="12" t="s">
        <v>835</v>
      </c>
    </row>
    <row r="236" customFormat="false" ht="17.15" hidden="false" customHeight="false" outlineLevel="0" collapsed="false">
      <c r="A236" s="0" t="s">
        <v>836</v>
      </c>
      <c r="B236" s="0" t="s">
        <v>837</v>
      </c>
      <c r="C236" s="0" t="s">
        <v>780</v>
      </c>
      <c r="D236" s="13" t="n">
        <v>240</v>
      </c>
      <c r="E236" s="13" t="n">
        <v>300</v>
      </c>
      <c r="F236" s="13" t="n">
        <v>360</v>
      </c>
      <c r="G236" s="12" t="s">
        <v>117</v>
      </c>
      <c r="H236" s="12" t="s">
        <v>838</v>
      </c>
      <c r="I236" s="12" t="s">
        <v>839</v>
      </c>
    </row>
    <row r="237" customFormat="false" ht="17.15" hidden="false" customHeight="false" outlineLevel="0" collapsed="false">
      <c r="A237" s="0" t="s">
        <v>840</v>
      </c>
      <c r="B237" s="0" t="s">
        <v>841</v>
      </c>
      <c r="C237" s="0" t="s">
        <v>780</v>
      </c>
      <c r="D237" s="13" t="n">
        <v>80</v>
      </c>
      <c r="E237" s="13" t="n">
        <v>100</v>
      </c>
      <c r="F237" s="13" t="n">
        <v>120</v>
      </c>
      <c r="G237" s="12" t="s">
        <v>117</v>
      </c>
      <c r="H237" s="6" t="s">
        <v>72</v>
      </c>
      <c r="I237" s="12" t="s">
        <v>842</v>
      </c>
    </row>
    <row r="238" customFormat="false" ht="17.15" hidden="false" customHeight="false" outlineLevel="0" collapsed="false">
      <c r="A238" s="0" t="s">
        <v>843</v>
      </c>
      <c r="B238" s="0" t="s">
        <v>844</v>
      </c>
      <c r="C238" s="0" t="s">
        <v>780</v>
      </c>
      <c r="D238" s="13" t="n">
        <v>2016</v>
      </c>
      <c r="E238" s="13" t="n">
        <v>2520</v>
      </c>
      <c r="F238" s="13" t="n">
        <v>3024</v>
      </c>
      <c r="G238" s="12" t="s">
        <v>117</v>
      </c>
      <c r="H238" s="6" t="s">
        <v>72</v>
      </c>
      <c r="I238" s="12" t="s">
        <v>845</v>
      </c>
    </row>
    <row r="239" customFormat="false" ht="17.15" hidden="false" customHeight="false" outlineLevel="0" collapsed="false">
      <c r="A239" s="0" t="s">
        <v>846</v>
      </c>
      <c r="B239" s="0" t="s">
        <v>847</v>
      </c>
      <c r="C239" s="0" t="s">
        <v>780</v>
      </c>
      <c r="D239" s="13" t="n">
        <v>1568</v>
      </c>
      <c r="E239" s="13" t="n">
        <v>1960</v>
      </c>
      <c r="F239" s="13" t="n">
        <v>2352</v>
      </c>
      <c r="G239" s="12" t="s">
        <v>117</v>
      </c>
      <c r="H239" s="6" t="s">
        <v>72</v>
      </c>
      <c r="I239" s="12" t="s">
        <v>848</v>
      </c>
    </row>
    <row r="240" customFormat="false" ht="17.15" hidden="false" customHeight="false" outlineLevel="0" collapsed="false">
      <c r="A240" s="0" t="s">
        <v>849</v>
      </c>
      <c r="B240" s="0" t="s">
        <v>850</v>
      </c>
      <c r="C240" s="0" t="s">
        <v>780</v>
      </c>
      <c r="D240" s="13" t="n">
        <v>896</v>
      </c>
      <c r="E240" s="13" t="n">
        <v>1120</v>
      </c>
      <c r="F240" s="13" t="n">
        <v>1344</v>
      </c>
      <c r="G240" s="12" t="s">
        <v>117</v>
      </c>
      <c r="H240" s="6" t="s">
        <v>72</v>
      </c>
      <c r="I240" s="12" t="s">
        <v>851</v>
      </c>
    </row>
    <row r="241" customFormat="false" ht="17.15" hidden="false" customHeight="false" outlineLevel="0" collapsed="false">
      <c r="A241" s="0" t="s">
        <v>852</v>
      </c>
      <c r="B241" s="0" t="s">
        <v>853</v>
      </c>
      <c r="C241" s="0" t="s">
        <v>780</v>
      </c>
      <c r="D241" s="13" t="n">
        <v>1600</v>
      </c>
      <c r="E241" s="13" t="n">
        <v>2000</v>
      </c>
      <c r="F241" s="13" t="n">
        <v>2400</v>
      </c>
      <c r="G241" s="12" t="s">
        <v>117</v>
      </c>
      <c r="H241" s="6" t="s">
        <v>72</v>
      </c>
      <c r="I241" s="12" t="s">
        <v>854</v>
      </c>
    </row>
    <row r="242" customFormat="false" ht="17.15" hidden="false" customHeight="false" outlineLevel="0" collapsed="false">
      <c r="A242" s="0" t="s">
        <v>855</v>
      </c>
      <c r="B242" s="0" t="s">
        <v>856</v>
      </c>
      <c r="C242" s="0" t="s">
        <v>780</v>
      </c>
      <c r="D242" s="13" t="n">
        <v>240</v>
      </c>
      <c r="E242" s="13" t="n">
        <v>300</v>
      </c>
      <c r="F242" s="13" t="n">
        <v>360</v>
      </c>
      <c r="G242" s="12" t="s">
        <v>857</v>
      </c>
      <c r="H242" s="6" t="s">
        <v>858</v>
      </c>
      <c r="I242" s="12" t="s">
        <v>859</v>
      </c>
    </row>
    <row r="243" customFormat="false" ht="17.15" hidden="false" customHeight="false" outlineLevel="0" collapsed="false">
      <c r="A243" s="0" t="s">
        <v>860</v>
      </c>
      <c r="B243" s="0" t="s">
        <v>861</v>
      </c>
      <c r="C243" s="0" t="s">
        <v>780</v>
      </c>
      <c r="D243" s="13" t="n">
        <v>80</v>
      </c>
      <c r="E243" s="13" t="n">
        <v>100</v>
      </c>
      <c r="F243" s="13" t="n">
        <v>120</v>
      </c>
      <c r="G243" s="12" t="s">
        <v>857</v>
      </c>
      <c r="H243" s="6" t="s">
        <v>72</v>
      </c>
      <c r="I243" s="12" t="s">
        <v>862</v>
      </c>
    </row>
    <row r="244" customFormat="false" ht="17.15" hidden="false" customHeight="false" outlineLevel="0" collapsed="false">
      <c r="A244" s="0" t="s">
        <v>863</v>
      </c>
      <c r="B244" s="0" t="s">
        <v>864</v>
      </c>
      <c r="C244" s="0" t="s">
        <v>780</v>
      </c>
      <c r="D244" s="13" t="n">
        <v>2016</v>
      </c>
      <c r="E244" s="13" t="n">
        <v>2520</v>
      </c>
      <c r="F244" s="13" t="n">
        <v>3024</v>
      </c>
      <c r="G244" s="12" t="s">
        <v>857</v>
      </c>
      <c r="H244" s="6" t="s">
        <v>72</v>
      </c>
      <c r="I244" s="12" t="s">
        <v>865</v>
      </c>
    </row>
    <row r="245" customFormat="false" ht="17.15" hidden="false" customHeight="false" outlineLevel="0" collapsed="false">
      <c r="A245" s="0" t="s">
        <v>866</v>
      </c>
      <c r="B245" s="0" t="s">
        <v>867</v>
      </c>
      <c r="C245" s="0" t="s">
        <v>780</v>
      </c>
      <c r="D245" s="13" t="n">
        <v>1568</v>
      </c>
      <c r="E245" s="13" t="n">
        <v>1960</v>
      </c>
      <c r="F245" s="13" t="n">
        <v>2352</v>
      </c>
      <c r="G245" s="12" t="s">
        <v>857</v>
      </c>
      <c r="H245" s="6" t="s">
        <v>72</v>
      </c>
      <c r="I245" s="12" t="s">
        <v>868</v>
      </c>
    </row>
    <row r="246" customFormat="false" ht="17.15" hidden="false" customHeight="false" outlineLevel="0" collapsed="false">
      <c r="A246" s="0" t="s">
        <v>869</v>
      </c>
      <c r="B246" s="0" t="s">
        <v>870</v>
      </c>
      <c r="C246" s="0" t="s">
        <v>780</v>
      </c>
      <c r="D246" s="13" t="n">
        <v>896</v>
      </c>
      <c r="E246" s="13" t="n">
        <v>1120</v>
      </c>
      <c r="F246" s="13" t="n">
        <v>1344</v>
      </c>
      <c r="G246" s="12" t="s">
        <v>857</v>
      </c>
      <c r="H246" s="6" t="s">
        <v>72</v>
      </c>
      <c r="I246" s="12" t="s">
        <v>871</v>
      </c>
    </row>
    <row r="247" customFormat="false" ht="17.15" hidden="false" customHeight="false" outlineLevel="0" collapsed="false">
      <c r="A247" s="0" t="s">
        <v>872</v>
      </c>
      <c r="B247" s="0" t="s">
        <v>873</v>
      </c>
      <c r="C247" s="0" t="s">
        <v>780</v>
      </c>
      <c r="D247" s="13" t="n">
        <v>1600</v>
      </c>
      <c r="E247" s="13" t="n">
        <v>2000</v>
      </c>
      <c r="F247" s="13" t="n">
        <v>2400</v>
      </c>
      <c r="G247" s="12" t="s">
        <v>857</v>
      </c>
      <c r="H247" s="6" t="s">
        <v>72</v>
      </c>
      <c r="I247" s="12" t="s">
        <v>874</v>
      </c>
    </row>
    <row r="248" customFormat="false" ht="17.15" hidden="false" customHeight="false" outlineLevel="0" collapsed="false">
      <c r="A248" s="0" t="s">
        <v>875</v>
      </c>
      <c r="B248" s="0" t="s">
        <v>876</v>
      </c>
      <c r="C248" s="0" t="s">
        <v>780</v>
      </c>
      <c r="D248" s="13" t="n">
        <v>1867</v>
      </c>
      <c r="E248" s="13" t="n">
        <v>2334</v>
      </c>
      <c r="F248" s="13" t="n">
        <v>2801</v>
      </c>
      <c r="G248" s="12" t="s">
        <v>857</v>
      </c>
      <c r="H248" s="12" t="s">
        <v>877</v>
      </c>
      <c r="I248" s="12" t="s">
        <v>878</v>
      </c>
    </row>
    <row r="249" customFormat="false" ht="17.15" hidden="false" customHeight="false" outlineLevel="0" collapsed="false">
      <c r="A249" s="0" t="s">
        <v>879</v>
      </c>
      <c r="B249" s="0" t="s">
        <v>880</v>
      </c>
      <c r="C249" s="0" t="s">
        <v>780</v>
      </c>
      <c r="D249" s="13" t="n">
        <v>1867</v>
      </c>
      <c r="E249" s="13" t="n">
        <v>2334</v>
      </c>
      <c r="F249" s="13" t="n">
        <v>2801</v>
      </c>
      <c r="G249" s="12" t="s">
        <v>857</v>
      </c>
      <c r="H249" s="6" t="s">
        <v>72</v>
      </c>
      <c r="I249" s="12" t="s">
        <v>881</v>
      </c>
    </row>
    <row r="250" customFormat="false" ht="17.15" hidden="false" customHeight="false" outlineLevel="0" collapsed="false">
      <c r="A250" s="0" t="s">
        <v>882</v>
      </c>
      <c r="B250" s="0" t="s">
        <v>883</v>
      </c>
      <c r="C250" s="0" t="s">
        <v>780</v>
      </c>
      <c r="D250" s="13" t="n">
        <v>3361</v>
      </c>
      <c r="E250" s="13" t="n">
        <v>4201</v>
      </c>
      <c r="F250" s="13" t="n">
        <v>5041</v>
      </c>
      <c r="G250" s="12" t="s">
        <v>857</v>
      </c>
      <c r="H250" s="6" t="s">
        <v>72</v>
      </c>
      <c r="I250" s="12" t="s">
        <v>884</v>
      </c>
    </row>
    <row r="251" customFormat="false" ht="17.15" hidden="false" customHeight="false" outlineLevel="0" collapsed="false">
      <c r="A251" s="0" t="s">
        <v>885</v>
      </c>
      <c r="B251" s="0" t="s">
        <v>886</v>
      </c>
      <c r="C251" s="0" t="s">
        <v>780</v>
      </c>
      <c r="D251" s="13" t="n">
        <v>2614</v>
      </c>
      <c r="E251" s="13" t="n">
        <v>3267</v>
      </c>
      <c r="F251" s="13" t="n">
        <v>3920</v>
      </c>
      <c r="G251" s="12" t="s">
        <v>857</v>
      </c>
      <c r="H251" s="6" t="s">
        <v>72</v>
      </c>
      <c r="I251" s="12" t="s">
        <v>887</v>
      </c>
    </row>
    <row r="252" customFormat="false" ht="17.15" hidden="false" customHeight="false" outlineLevel="0" collapsed="false">
      <c r="A252" s="0" t="s">
        <v>888</v>
      </c>
      <c r="B252" s="0" t="s">
        <v>889</v>
      </c>
      <c r="C252" s="0" t="s">
        <v>780</v>
      </c>
      <c r="D252" s="13" t="n">
        <v>1494</v>
      </c>
      <c r="E252" s="13" t="n">
        <v>1867</v>
      </c>
      <c r="F252" s="13" t="n">
        <v>2240</v>
      </c>
      <c r="G252" s="12" t="s">
        <v>857</v>
      </c>
      <c r="H252" s="6" t="s">
        <v>72</v>
      </c>
      <c r="I252" s="12" t="s">
        <v>890</v>
      </c>
    </row>
    <row r="253" customFormat="false" ht="17.15" hidden="false" customHeight="false" outlineLevel="0" collapsed="false">
      <c r="A253" s="0" t="s">
        <v>891</v>
      </c>
      <c r="B253" s="0" t="s">
        <v>892</v>
      </c>
      <c r="C253" s="0" t="s">
        <v>780</v>
      </c>
      <c r="D253" s="13" t="n">
        <v>4480</v>
      </c>
      <c r="E253" s="13" t="n">
        <v>5600</v>
      </c>
      <c r="F253" s="13" t="n">
        <v>6720</v>
      </c>
      <c r="G253" s="12" t="s">
        <v>857</v>
      </c>
      <c r="H253" s="6" t="s">
        <v>72</v>
      </c>
      <c r="I253" s="12" t="s">
        <v>893</v>
      </c>
    </row>
    <row r="254" customFormat="false" ht="17.15" hidden="false" customHeight="false" outlineLevel="0" collapsed="false">
      <c r="A254" s="0" t="s">
        <v>894</v>
      </c>
      <c r="B254" s="0" t="s">
        <v>895</v>
      </c>
      <c r="C254" s="0" t="s">
        <v>780</v>
      </c>
      <c r="D254" s="13" t="n">
        <v>640</v>
      </c>
      <c r="E254" s="13" t="n">
        <v>800</v>
      </c>
      <c r="F254" s="13" t="n">
        <v>960</v>
      </c>
      <c r="G254" s="12" t="s">
        <v>117</v>
      </c>
      <c r="H254" s="12" t="s">
        <v>896</v>
      </c>
      <c r="I254" s="12" t="s">
        <v>897</v>
      </c>
    </row>
    <row r="255" customFormat="false" ht="17.15" hidden="false" customHeight="false" outlineLevel="0" collapsed="false">
      <c r="A255" s="0" t="s">
        <v>898</v>
      </c>
      <c r="B255" s="0" t="s">
        <v>899</v>
      </c>
      <c r="C255" s="0" t="s">
        <v>780</v>
      </c>
      <c r="D255" s="13" t="n">
        <v>960</v>
      </c>
      <c r="E255" s="13" t="n">
        <v>1200</v>
      </c>
      <c r="F255" s="13" t="n">
        <v>1440</v>
      </c>
      <c r="G255" s="12" t="s">
        <v>117</v>
      </c>
      <c r="H255" s="6" t="s">
        <v>72</v>
      </c>
      <c r="I255" s="12" t="s">
        <v>900</v>
      </c>
    </row>
    <row r="256" customFormat="false" ht="17.15" hidden="false" customHeight="false" outlineLevel="0" collapsed="false">
      <c r="A256" s="0" t="s">
        <v>901</v>
      </c>
      <c r="B256" s="0" t="s">
        <v>902</v>
      </c>
      <c r="C256" s="0" t="s">
        <v>780</v>
      </c>
      <c r="D256" s="13" t="n">
        <v>640</v>
      </c>
      <c r="E256" s="13" t="n">
        <v>800</v>
      </c>
      <c r="F256" s="13" t="n">
        <v>960</v>
      </c>
      <c r="G256" s="12" t="s">
        <v>117</v>
      </c>
      <c r="H256" s="6" t="s">
        <v>72</v>
      </c>
      <c r="I256" s="12" t="s">
        <v>903</v>
      </c>
    </row>
    <row r="257" customFormat="false" ht="17.15" hidden="false" customHeight="false" outlineLevel="0" collapsed="false">
      <c r="A257" s="0" t="s">
        <v>904</v>
      </c>
      <c r="B257" s="0" t="s">
        <v>905</v>
      </c>
      <c r="C257" s="0" t="s">
        <v>780</v>
      </c>
      <c r="D257" s="13" t="n">
        <v>1200</v>
      </c>
      <c r="E257" s="13" t="n">
        <v>1500</v>
      </c>
      <c r="F257" s="13" t="n">
        <v>1800</v>
      </c>
      <c r="G257" s="12" t="s">
        <v>117</v>
      </c>
      <c r="H257" s="6" t="s">
        <v>72</v>
      </c>
      <c r="I257" s="12" t="s">
        <v>906</v>
      </c>
    </row>
    <row r="258" customFormat="false" ht="17.15" hidden="false" customHeight="false" outlineLevel="0" collapsed="false">
      <c r="A258" s="0" t="s">
        <v>907</v>
      </c>
      <c r="B258" s="0" t="s">
        <v>908</v>
      </c>
      <c r="C258" s="0" t="s">
        <v>780</v>
      </c>
      <c r="D258" s="13" t="n">
        <v>240</v>
      </c>
      <c r="E258" s="13" t="n">
        <v>300</v>
      </c>
      <c r="F258" s="13" t="n">
        <v>360</v>
      </c>
      <c r="G258" s="12" t="s">
        <v>117</v>
      </c>
      <c r="H258" s="6" t="s">
        <v>72</v>
      </c>
      <c r="I258" s="12" t="s">
        <v>909</v>
      </c>
    </row>
    <row r="259" customFormat="false" ht="17.15" hidden="false" customHeight="false" outlineLevel="0" collapsed="false">
      <c r="A259" s="0" t="s">
        <v>910</v>
      </c>
      <c r="B259" s="0" t="s">
        <v>911</v>
      </c>
      <c r="C259" s="0" t="s">
        <v>780</v>
      </c>
      <c r="D259" s="13" t="n">
        <v>320</v>
      </c>
      <c r="E259" s="13" t="n">
        <v>400</v>
      </c>
      <c r="F259" s="13" t="n">
        <v>480</v>
      </c>
      <c r="G259" s="12" t="s">
        <v>117</v>
      </c>
      <c r="H259" s="6" t="s">
        <v>72</v>
      </c>
      <c r="I259" s="12" t="s">
        <v>912</v>
      </c>
    </row>
    <row r="260" customFormat="false" ht="17.15" hidden="false" customHeight="false" outlineLevel="0" collapsed="false">
      <c r="A260" s="0" t="s">
        <v>913</v>
      </c>
      <c r="B260" s="0" t="s">
        <v>914</v>
      </c>
      <c r="C260" s="0" t="s">
        <v>780</v>
      </c>
      <c r="D260" s="13" t="n">
        <v>480</v>
      </c>
      <c r="E260" s="13" t="n">
        <v>600</v>
      </c>
      <c r="F260" s="13" t="n">
        <v>720</v>
      </c>
      <c r="G260" s="12" t="s">
        <v>117</v>
      </c>
      <c r="H260" s="12" t="s">
        <v>915</v>
      </c>
      <c r="I260" s="12" t="s">
        <v>916</v>
      </c>
    </row>
    <row r="261" customFormat="false" ht="17.15" hidden="false" customHeight="false" outlineLevel="0" collapsed="false">
      <c r="A261" s="0" t="s">
        <v>917</v>
      </c>
      <c r="B261" s="0" t="s">
        <v>918</v>
      </c>
      <c r="C261" s="0" t="s">
        <v>780</v>
      </c>
      <c r="D261" s="13" t="n">
        <v>640</v>
      </c>
      <c r="E261" s="13" t="n">
        <v>800</v>
      </c>
      <c r="F261" s="13" t="n">
        <v>960</v>
      </c>
      <c r="G261" s="12" t="s">
        <v>117</v>
      </c>
      <c r="H261" s="6" t="s">
        <v>72</v>
      </c>
      <c r="I261" s="12" t="s">
        <v>919</v>
      </c>
    </row>
    <row r="262" customFormat="false" ht="17.15" hidden="false" customHeight="false" outlineLevel="0" collapsed="false">
      <c r="A262" s="0" t="s">
        <v>920</v>
      </c>
      <c r="B262" s="0" t="s">
        <v>921</v>
      </c>
      <c r="C262" s="0" t="s">
        <v>780</v>
      </c>
      <c r="D262" s="13" t="n">
        <v>640</v>
      </c>
      <c r="E262" s="13" t="n">
        <v>800</v>
      </c>
      <c r="F262" s="13" t="n">
        <v>960</v>
      </c>
      <c r="G262" s="12" t="s">
        <v>117</v>
      </c>
      <c r="H262" s="6" t="s">
        <v>72</v>
      </c>
      <c r="I262" s="12" t="s">
        <v>922</v>
      </c>
    </row>
    <row r="263" customFormat="false" ht="17.15" hidden="false" customHeight="false" outlineLevel="0" collapsed="false">
      <c r="A263" s="0" t="s">
        <v>923</v>
      </c>
      <c r="B263" s="0" t="s">
        <v>924</v>
      </c>
      <c r="C263" s="0" t="s">
        <v>780</v>
      </c>
      <c r="D263" s="13" t="n">
        <v>960</v>
      </c>
      <c r="E263" s="13" t="n">
        <v>1200</v>
      </c>
      <c r="F263" s="13" t="n">
        <v>1440</v>
      </c>
      <c r="G263" s="12" t="s">
        <v>117</v>
      </c>
      <c r="H263" s="6" t="s">
        <v>72</v>
      </c>
      <c r="I263" s="12" t="s">
        <v>925</v>
      </c>
    </row>
    <row r="264" customFormat="false" ht="17.15" hidden="false" customHeight="false" outlineLevel="0" collapsed="false">
      <c r="A264" s="0" t="s">
        <v>926</v>
      </c>
      <c r="B264" s="0" t="s">
        <v>927</v>
      </c>
      <c r="C264" s="0" t="s">
        <v>780</v>
      </c>
      <c r="D264" s="13" t="n">
        <v>240</v>
      </c>
      <c r="E264" s="13" t="n">
        <v>300</v>
      </c>
      <c r="F264" s="13" t="n">
        <v>360</v>
      </c>
      <c r="G264" s="12" t="s">
        <v>117</v>
      </c>
      <c r="H264" s="6" t="s">
        <v>72</v>
      </c>
      <c r="I264" s="12" t="s">
        <v>928</v>
      </c>
    </row>
    <row r="265" customFormat="false" ht="17.15" hidden="false" customHeight="false" outlineLevel="0" collapsed="false">
      <c r="A265" s="0" t="s">
        <v>929</v>
      </c>
      <c r="B265" s="0" t="s">
        <v>930</v>
      </c>
      <c r="C265" s="0" t="s">
        <v>780</v>
      </c>
      <c r="D265" s="13" t="n">
        <v>240</v>
      </c>
      <c r="E265" s="13" t="n">
        <v>300</v>
      </c>
      <c r="F265" s="13" t="n">
        <v>360</v>
      </c>
      <c r="G265" s="12" t="s">
        <v>117</v>
      </c>
      <c r="H265" s="6" t="s">
        <v>72</v>
      </c>
      <c r="I265" s="12" t="s">
        <v>931</v>
      </c>
    </row>
    <row r="266" customFormat="false" ht="17.15" hidden="false" customHeight="false" outlineLevel="0" collapsed="false">
      <c r="A266" s="0" t="s">
        <v>932</v>
      </c>
      <c r="B266" s="6" t="s">
        <v>933</v>
      </c>
      <c r="C266" s="0" t="s">
        <v>780</v>
      </c>
      <c r="D266" s="13" t="n">
        <v>480</v>
      </c>
      <c r="E266" s="13" t="n">
        <v>600</v>
      </c>
      <c r="F266" s="13" t="n">
        <v>720</v>
      </c>
      <c r="G266" s="12" t="s">
        <v>117</v>
      </c>
      <c r="H266" s="6" t="s">
        <v>934</v>
      </c>
      <c r="I266" s="12" t="s">
        <v>935</v>
      </c>
    </row>
    <row r="267" customFormat="false" ht="17.15" hidden="false" customHeight="false" outlineLevel="0" collapsed="false">
      <c r="A267" s="0" t="s">
        <v>936</v>
      </c>
      <c r="B267" s="6" t="s">
        <v>937</v>
      </c>
      <c r="C267" s="0" t="s">
        <v>780</v>
      </c>
      <c r="D267" s="13" t="n">
        <v>640</v>
      </c>
      <c r="E267" s="13" t="n">
        <v>800</v>
      </c>
      <c r="F267" s="13" t="n">
        <v>960</v>
      </c>
      <c r="G267" s="12" t="s">
        <v>117</v>
      </c>
      <c r="H267" s="6" t="s">
        <v>72</v>
      </c>
      <c r="I267" s="12" t="s">
        <v>938</v>
      </c>
    </row>
    <row r="268" customFormat="false" ht="17.15" hidden="false" customHeight="false" outlineLevel="0" collapsed="false">
      <c r="A268" s="0" t="s">
        <v>939</v>
      </c>
      <c r="B268" s="6" t="s">
        <v>940</v>
      </c>
      <c r="C268" s="0" t="s">
        <v>780</v>
      </c>
      <c r="D268" s="13" t="n">
        <v>640</v>
      </c>
      <c r="E268" s="13" t="n">
        <v>800</v>
      </c>
      <c r="F268" s="13" t="n">
        <v>960</v>
      </c>
      <c r="G268" s="12" t="s">
        <v>117</v>
      </c>
      <c r="H268" s="6" t="s">
        <v>72</v>
      </c>
      <c r="I268" s="12" t="s">
        <v>941</v>
      </c>
    </row>
    <row r="269" customFormat="false" ht="17.15" hidden="false" customHeight="false" outlineLevel="0" collapsed="false">
      <c r="A269" s="0" t="s">
        <v>942</v>
      </c>
      <c r="B269" s="6" t="s">
        <v>943</v>
      </c>
      <c r="C269" s="0" t="s">
        <v>780</v>
      </c>
      <c r="D269" s="13" t="n">
        <v>960</v>
      </c>
      <c r="E269" s="13" t="n">
        <v>1200</v>
      </c>
      <c r="F269" s="13" t="n">
        <v>1440</v>
      </c>
      <c r="G269" s="12" t="s">
        <v>117</v>
      </c>
      <c r="H269" s="6" t="s">
        <v>72</v>
      </c>
      <c r="I269" s="12" t="s">
        <v>944</v>
      </c>
    </row>
    <row r="270" customFormat="false" ht="17.15" hidden="false" customHeight="false" outlineLevel="0" collapsed="false">
      <c r="A270" s="0" t="s">
        <v>945</v>
      </c>
      <c r="B270" s="6" t="s">
        <v>946</v>
      </c>
      <c r="C270" s="0" t="s">
        <v>780</v>
      </c>
      <c r="D270" s="13" t="n">
        <v>240</v>
      </c>
      <c r="E270" s="13" t="n">
        <v>300</v>
      </c>
      <c r="F270" s="13" t="n">
        <v>360</v>
      </c>
      <c r="G270" s="12" t="s">
        <v>117</v>
      </c>
      <c r="H270" s="6" t="s">
        <v>72</v>
      </c>
      <c r="I270" s="12" t="s">
        <v>947</v>
      </c>
    </row>
    <row r="271" customFormat="false" ht="17.15" hidden="false" customHeight="false" outlineLevel="0" collapsed="false">
      <c r="A271" s="0" t="s">
        <v>948</v>
      </c>
      <c r="B271" s="6" t="s">
        <v>949</v>
      </c>
      <c r="C271" s="0" t="s">
        <v>780</v>
      </c>
      <c r="D271" s="13" t="n">
        <v>240</v>
      </c>
      <c r="E271" s="13" t="n">
        <v>300</v>
      </c>
      <c r="F271" s="13" t="n">
        <v>360</v>
      </c>
      <c r="G271" s="12" t="s">
        <v>117</v>
      </c>
      <c r="H271" s="6" t="s">
        <v>72</v>
      </c>
      <c r="I271" s="12" t="s">
        <v>950</v>
      </c>
    </row>
    <row r="272" customFormat="false" ht="17.15" hidden="false" customHeight="false" outlineLevel="0" collapsed="false">
      <c r="A272" s="10" t="s">
        <v>951</v>
      </c>
    </row>
    <row r="273" customFormat="false" ht="17.15" hidden="false" customHeight="false" outlineLevel="0" collapsed="false">
      <c r="A273" s="0" t="s">
        <v>952</v>
      </c>
      <c r="B273" s="0" t="s">
        <v>953</v>
      </c>
      <c r="C273" s="0" t="s">
        <v>954</v>
      </c>
      <c r="E273" s="13" t="n">
        <f aca="false">TK_CapexIT_GB300/TK_GPUsPerGW_GB300*1000000</f>
        <v>66.1944444444444</v>
      </c>
      <c r="G273" s="12" t="s">
        <v>91</v>
      </c>
      <c r="H273" s="12" t="s">
        <v>955</v>
      </c>
      <c r="I273" s="12" t="s">
        <v>956</v>
      </c>
    </row>
    <row r="274" customFormat="false" ht="17.15" hidden="false" customHeight="false" outlineLevel="0" collapsed="false">
      <c r="A274" s="0" t="s">
        <v>957</v>
      </c>
      <c r="B274" s="0" t="s">
        <v>958</v>
      </c>
      <c r="C274" s="0" t="s">
        <v>954</v>
      </c>
      <c r="E274" s="13" t="n">
        <f aca="false">TK_CapexIT_VR200/TK_GPUsPerGW_VR200*1000000</f>
        <v>128.833333333333</v>
      </c>
      <c r="G274" s="12" t="s">
        <v>91</v>
      </c>
      <c r="H274" s="12" t="s">
        <v>959</v>
      </c>
      <c r="I274" s="12" t="s">
        <v>960</v>
      </c>
    </row>
    <row r="275" customFormat="false" ht="17.15" hidden="false" customHeight="false" outlineLevel="0" collapsed="false">
      <c r="A275" s="0" t="s">
        <v>961</v>
      </c>
      <c r="B275" s="0" t="s">
        <v>962</v>
      </c>
      <c r="C275" s="0" t="s">
        <v>954</v>
      </c>
      <c r="E275" s="13" t="n">
        <f aca="false">TK_CapexIT_RU/TK_GPUsPerGW_RU*1000000</f>
        <v>257.166666666667</v>
      </c>
      <c r="G275" s="12" t="s">
        <v>91</v>
      </c>
      <c r="H275" s="12" t="s">
        <v>963</v>
      </c>
      <c r="I275" s="12" t="s">
        <v>964</v>
      </c>
    </row>
    <row r="276" customFormat="false" ht="17.15" hidden="false" customHeight="false" outlineLevel="0" collapsed="false">
      <c r="A276" s="0" t="s">
        <v>965</v>
      </c>
      <c r="B276" s="0" t="s">
        <v>966</v>
      </c>
      <c r="C276" s="0" t="s">
        <v>954</v>
      </c>
      <c r="E276" s="13" t="n">
        <f aca="false">TK_CapexIT_H100/TK_GPUsPerGW_H100*1000000</f>
        <v>38.3125</v>
      </c>
      <c r="G276" s="12" t="s">
        <v>91</v>
      </c>
      <c r="H276" s="12" t="s">
        <v>967</v>
      </c>
      <c r="I276" s="12" t="s">
        <v>968</v>
      </c>
    </row>
    <row r="277" customFormat="false" ht="17.15" hidden="false" customHeight="false" outlineLevel="0" collapsed="false">
      <c r="A277" s="0" t="s">
        <v>969</v>
      </c>
      <c r="B277" s="0" t="s">
        <v>970</v>
      </c>
      <c r="C277" s="0" t="s">
        <v>954</v>
      </c>
      <c r="D277" s="13" t="n">
        <v>30</v>
      </c>
      <c r="E277" s="13" t="n">
        <v>40</v>
      </c>
      <c r="F277" s="13" t="n">
        <v>50</v>
      </c>
      <c r="G277" s="12" t="s">
        <v>117</v>
      </c>
      <c r="H277" s="12" t="s">
        <v>971</v>
      </c>
      <c r="I277" s="12" t="s">
        <v>972</v>
      </c>
    </row>
    <row r="278" customFormat="false" ht="17.15" hidden="false" customHeight="false" outlineLevel="0" collapsed="false">
      <c r="A278" s="0" t="s">
        <v>973</v>
      </c>
      <c r="B278" s="0" t="s">
        <v>974</v>
      </c>
      <c r="C278" s="0" t="s">
        <v>954</v>
      </c>
      <c r="D278" s="13" t="n">
        <v>80</v>
      </c>
      <c r="E278" s="13" t="n">
        <v>100</v>
      </c>
      <c r="F278" s="13" t="n">
        <v>120</v>
      </c>
      <c r="G278" s="12" t="s">
        <v>117</v>
      </c>
      <c r="H278" s="12" t="s">
        <v>975</v>
      </c>
      <c r="I278" s="12" t="s">
        <v>976</v>
      </c>
    </row>
    <row r="279" customFormat="false" ht="17.15" hidden="false" customHeight="false" outlineLevel="0" collapsed="false">
      <c r="A279" s="0" t="s">
        <v>977</v>
      </c>
      <c r="B279" s="0" t="s">
        <v>978</v>
      </c>
      <c r="C279" s="0" t="s">
        <v>954</v>
      </c>
      <c r="D279" s="13" t="n">
        <v>15</v>
      </c>
      <c r="E279" s="13" t="n">
        <v>25</v>
      </c>
      <c r="F279" s="13" t="n">
        <v>35</v>
      </c>
      <c r="G279" s="12" t="s">
        <v>117</v>
      </c>
      <c r="H279" s="12" t="s">
        <v>979</v>
      </c>
      <c r="I279" s="12" t="s">
        <v>980</v>
      </c>
    </row>
    <row r="280" customFormat="false" ht="17.15" hidden="false" customHeight="false" outlineLevel="0" collapsed="false">
      <c r="A280" s="0" t="s">
        <v>981</v>
      </c>
      <c r="B280" s="0" t="s">
        <v>982</v>
      </c>
      <c r="C280" s="0" t="s">
        <v>954</v>
      </c>
      <c r="D280" s="13" t="n">
        <v>12</v>
      </c>
      <c r="E280" s="13" t="n">
        <v>20</v>
      </c>
      <c r="F280" s="13" t="n">
        <v>30</v>
      </c>
      <c r="G280" s="12" t="s">
        <v>117</v>
      </c>
      <c r="H280" s="6" t="s">
        <v>72</v>
      </c>
      <c r="I280" s="12" t="s">
        <v>983</v>
      </c>
    </row>
    <row r="281" customFormat="false" ht="17.15" hidden="false" customHeight="false" outlineLevel="0" collapsed="false">
      <c r="A281" s="0" t="s">
        <v>984</v>
      </c>
      <c r="B281" s="6" t="s">
        <v>985</v>
      </c>
      <c r="C281" s="0" t="s">
        <v>954</v>
      </c>
      <c r="D281" s="13" t="n">
        <v>12</v>
      </c>
      <c r="E281" s="13" t="n">
        <v>20</v>
      </c>
      <c r="F281" s="13" t="n">
        <v>30</v>
      </c>
      <c r="G281" s="12" t="s">
        <v>117</v>
      </c>
      <c r="H281" s="6" t="s">
        <v>72</v>
      </c>
      <c r="I281" s="12" t="s">
        <v>986</v>
      </c>
    </row>
    <row r="282" customFormat="false" ht="17.15" hidden="false" customHeight="false" outlineLevel="0" collapsed="false">
      <c r="A282" s="10" t="s">
        <v>987</v>
      </c>
    </row>
    <row r="283" customFormat="false" ht="17.15" hidden="false" customHeight="false" outlineLevel="0" collapsed="false">
      <c r="A283" s="0" t="s">
        <v>988</v>
      </c>
      <c r="B283" s="0" t="s">
        <v>989</v>
      </c>
      <c r="C283" s="0" t="s">
        <v>66</v>
      </c>
      <c r="D283" s="11" t="n">
        <v>0</v>
      </c>
      <c r="E283" s="11" t="n">
        <v>0</v>
      </c>
      <c r="F283" s="11" t="n">
        <v>0</v>
      </c>
      <c r="G283" s="12" t="s">
        <v>421</v>
      </c>
      <c r="H283" s="12" t="s">
        <v>990</v>
      </c>
      <c r="I283" s="12" t="s">
        <v>991</v>
      </c>
    </row>
    <row r="284" customFormat="false" ht="17.15" hidden="false" customHeight="false" outlineLevel="0" collapsed="false">
      <c r="A284" s="0" t="s">
        <v>992</v>
      </c>
      <c r="B284" s="0" t="s">
        <v>993</v>
      </c>
      <c r="C284" s="0" t="s">
        <v>66</v>
      </c>
      <c r="D284" s="11" t="n">
        <v>0</v>
      </c>
      <c r="E284" s="11" t="n">
        <v>0</v>
      </c>
      <c r="F284" s="11" t="n">
        <v>0</v>
      </c>
      <c r="G284" s="12" t="s">
        <v>421</v>
      </c>
      <c r="H284" s="6" t="s">
        <v>72</v>
      </c>
      <c r="I284" s="12" t="s">
        <v>994</v>
      </c>
    </row>
    <row r="285" customFormat="false" ht="17.15" hidden="false" customHeight="false" outlineLevel="0" collapsed="false">
      <c r="A285" s="0" t="s">
        <v>995</v>
      </c>
      <c r="B285" s="0" t="s">
        <v>996</v>
      </c>
      <c r="C285" s="0" t="s">
        <v>66</v>
      </c>
      <c r="D285" s="11" t="n">
        <v>0</v>
      </c>
      <c r="E285" s="11" t="n">
        <v>0</v>
      </c>
      <c r="F285" s="11" t="n">
        <v>0.05</v>
      </c>
      <c r="G285" s="12" t="s">
        <v>421</v>
      </c>
      <c r="H285" s="6" t="s">
        <v>72</v>
      </c>
      <c r="I285" s="12" t="s">
        <v>997</v>
      </c>
    </row>
    <row r="286" customFormat="false" ht="17.15" hidden="false" customHeight="false" outlineLevel="0" collapsed="false">
      <c r="A286" s="0" t="s">
        <v>998</v>
      </c>
      <c r="B286" s="0" t="s">
        <v>999</v>
      </c>
      <c r="C286" s="0" t="s">
        <v>66</v>
      </c>
      <c r="D286" s="11" t="n">
        <v>0.1</v>
      </c>
      <c r="E286" s="11" t="n">
        <v>0.2</v>
      </c>
      <c r="F286" s="11" t="n">
        <v>0.3</v>
      </c>
      <c r="G286" s="12" t="s">
        <v>421</v>
      </c>
      <c r="H286" s="6" t="s">
        <v>72</v>
      </c>
      <c r="I286" s="12" t="s">
        <v>1000</v>
      </c>
    </row>
    <row r="287" customFormat="false" ht="17.15" hidden="false" customHeight="false" outlineLevel="0" collapsed="false">
      <c r="A287" s="0" t="s">
        <v>1001</v>
      </c>
      <c r="B287" s="0" t="s">
        <v>1002</v>
      </c>
      <c r="C287" s="0" t="s">
        <v>66</v>
      </c>
      <c r="D287" s="11" t="n">
        <v>0.4</v>
      </c>
      <c r="E287" s="11" t="n">
        <v>0.6</v>
      </c>
      <c r="F287" s="11" t="n">
        <v>0.8</v>
      </c>
      <c r="G287" s="12" t="s">
        <v>117</v>
      </c>
      <c r="H287" s="6" t="s">
        <v>1003</v>
      </c>
      <c r="I287" s="12" t="s">
        <v>1004</v>
      </c>
    </row>
    <row r="288" customFormat="false" ht="17.15" hidden="false" customHeight="false" outlineLevel="0" collapsed="false">
      <c r="A288" s="0" t="s">
        <v>1005</v>
      </c>
      <c r="B288" s="6" t="s">
        <v>1006</v>
      </c>
      <c r="C288" s="0" t="s">
        <v>66</v>
      </c>
      <c r="D288" s="11" t="n">
        <v>0.007</v>
      </c>
      <c r="E288" s="11" t="n">
        <v>0.01</v>
      </c>
      <c r="F288" s="11" t="n">
        <v>0.014</v>
      </c>
      <c r="G288" s="12" t="s">
        <v>1007</v>
      </c>
      <c r="H288" s="6" t="s">
        <v>1008</v>
      </c>
      <c r="I288" s="12" t="s">
        <v>1009</v>
      </c>
    </row>
    <row r="289" customFormat="false" ht="17.15" hidden="false" customHeight="false" outlineLevel="0" collapsed="false">
      <c r="A289" s="0" t="s">
        <v>1010</v>
      </c>
      <c r="B289" s="6" t="s">
        <v>1011</v>
      </c>
      <c r="C289" s="0" t="s">
        <v>66</v>
      </c>
      <c r="D289" s="11" t="n">
        <v>0.035</v>
      </c>
      <c r="E289" s="11" t="n">
        <v>0.05</v>
      </c>
      <c r="F289" s="11" t="n">
        <v>0.07</v>
      </c>
      <c r="G289" s="12" t="s">
        <v>1007</v>
      </c>
      <c r="H289" s="6" t="s">
        <v>72</v>
      </c>
      <c r="I289" s="12" t="s">
        <v>1012</v>
      </c>
    </row>
    <row r="290" customFormat="false" ht="17.15" hidden="false" customHeight="false" outlineLevel="0" collapsed="false">
      <c r="A290" s="0" t="s">
        <v>1013</v>
      </c>
      <c r="B290" s="6" t="s">
        <v>1014</v>
      </c>
      <c r="C290" s="0" t="s">
        <v>66</v>
      </c>
      <c r="D290" s="11" t="n">
        <v>0.07</v>
      </c>
      <c r="E290" s="11" t="n">
        <v>0.1</v>
      </c>
      <c r="F290" s="11" t="n">
        <v>0.14</v>
      </c>
      <c r="G290" s="12" t="s">
        <v>1007</v>
      </c>
      <c r="H290" s="6" t="s">
        <v>72</v>
      </c>
      <c r="I290" s="12" t="s">
        <v>1015</v>
      </c>
    </row>
    <row r="291" customFormat="false" ht="17.15" hidden="false" customHeight="false" outlineLevel="0" collapsed="false">
      <c r="A291" s="0" t="s">
        <v>1016</v>
      </c>
      <c r="B291" s="6" t="s">
        <v>1017</v>
      </c>
      <c r="C291" s="0" t="s">
        <v>66</v>
      </c>
      <c r="D291" s="11" t="n">
        <v>0.112</v>
      </c>
      <c r="E291" s="11" t="n">
        <v>0.16</v>
      </c>
      <c r="F291" s="11" t="n">
        <v>0.224</v>
      </c>
      <c r="G291" s="12" t="s">
        <v>1007</v>
      </c>
      <c r="H291" s="6" t="s">
        <v>72</v>
      </c>
      <c r="I291" s="12" t="s">
        <v>1018</v>
      </c>
    </row>
    <row r="292" customFormat="false" ht="17.15" hidden="false" customHeight="false" outlineLevel="0" collapsed="false">
      <c r="A292" s="0" t="s">
        <v>1019</v>
      </c>
      <c r="B292" s="6" t="s">
        <v>1020</v>
      </c>
      <c r="C292" s="0" t="s">
        <v>66</v>
      </c>
      <c r="D292" s="11" t="n">
        <v>0.007</v>
      </c>
      <c r="E292" s="11" t="n">
        <v>0.01</v>
      </c>
      <c r="F292" s="11" t="n">
        <v>0.014</v>
      </c>
      <c r="G292" s="12" t="s">
        <v>1007</v>
      </c>
      <c r="H292" s="6" t="s">
        <v>1021</v>
      </c>
      <c r="I292" s="12" t="s">
        <v>1022</v>
      </c>
    </row>
    <row r="293" customFormat="false" ht="17.15" hidden="false" customHeight="false" outlineLevel="0" collapsed="false">
      <c r="A293" s="0" t="s">
        <v>1023</v>
      </c>
      <c r="B293" s="6" t="s">
        <v>1024</v>
      </c>
      <c r="C293" s="0" t="s">
        <v>66</v>
      </c>
      <c r="D293" s="11" t="n">
        <v>0.021</v>
      </c>
      <c r="E293" s="11" t="n">
        <v>0.03</v>
      </c>
      <c r="F293" s="11" t="n">
        <v>0.042</v>
      </c>
      <c r="G293" s="12" t="s">
        <v>1007</v>
      </c>
      <c r="H293" s="6" t="s">
        <v>72</v>
      </c>
      <c r="I293" s="12" t="s">
        <v>1025</v>
      </c>
    </row>
    <row r="294" customFormat="false" ht="17.15" hidden="false" customHeight="false" outlineLevel="0" collapsed="false">
      <c r="A294" s="0" t="s">
        <v>1026</v>
      </c>
      <c r="B294" s="6" t="s">
        <v>1027</v>
      </c>
      <c r="C294" s="0" t="s">
        <v>66</v>
      </c>
      <c r="D294" s="11" t="n">
        <v>0.035</v>
      </c>
      <c r="E294" s="11" t="n">
        <v>0.05</v>
      </c>
      <c r="F294" s="11" t="n">
        <v>0.07</v>
      </c>
      <c r="G294" s="12" t="s">
        <v>1007</v>
      </c>
      <c r="H294" s="6" t="s">
        <v>72</v>
      </c>
      <c r="I294" s="12" t="s">
        <v>1028</v>
      </c>
    </row>
    <row r="295" customFormat="false" ht="17.15" hidden="false" customHeight="false" outlineLevel="0" collapsed="false">
      <c r="A295" s="0" t="s">
        <v>1029</v>
      </c>
      <c r="B295" s="6" t="s">
        <v>1030</v>
      </c>
      <c r="C295" s="0" t="s">
        <v>66</v>
      </c>
      <c r="D295" s="11" t="n">
        <v>0.056</v>
      </c>
      <c r="E295" s="11" t="n">
        <v>0.08</v>
      </c>
      <c r="F295" s="11" t="n">
        <v>0.112</v>
      </c>
      <c r="G295" s="12" t="s">
        <v>1007</v>
      </c>
      <c r="H295" s="6" t="s">
        <v>72</v>
      </c>
      <c r="I295" s="12" t="s">
        <v>1031</v>
      </c>
    </row>
    <row r="296" customFormat="false" ht="17.15" hidden="false" customHeight="false" outlineLevel="0" collapsed="false">
      <c r="A296" s="0" t="s">
        <v>1032</v>
      </c>
      <c r="B296" s="6" t="s">
        <v>1033</v>
      </c>
      <c r="C296" s="0" t="s">
        <v>66</v>
      </c>
      <c r="D296" s="11" t="n">
        <v>0.007</v>
      </c>
      <c r="E296" s="11" t="n">
        <v>0.01</v>
      </c>
      <c r="F296" s="11" t="n">
        <v>0.014</v>
      </c>
      <c r="G296" s="12" t="s">
        <v>117</v>
      </c>
      <c r="H296" s="6" t="s">
        <v>1034</v>
      </c>
      <c r="I296" s="12" t="s">
        <v>1035</v>
      </c>
    </row>
    <row r="297" customFormat="false" ht="17.15" hidden="false" customHeight="false" outlineLevel="0" collapsed="false">
      <c r="A297" s="0" t="s">
        <v>1036</v>
      </c>
      <c r="B297" s="6" t="s">
        <v>1037</v>
      </c>
      <c r="C297" s="0" t="s">
        <v>66</v>
      </c>
      <c r="D297" s="11" t="n">
        <v>0.014</v>
      </c>
      <c r="E297" s="11" t="n">
        <v>0.02</v>
      </c>
      <c r="F297" s="11" t="n">
        <v>0.028</v>
      </c>
      <c r="G297" s="12" t="s">
        <v>117</v>
      </c>
      <c r="H297" s="6" t="s">
        <v>72</v>
      </c>
      <c r="I297" s="12" t="s">
        <v>1038</v>
      </c>
    </row>
    <row r="298" customFormat="false" ht="17.15" hidden="false" customHeight="false" outlineLevel="0" collapsed="false">
      <c r="A298" s="0" t="s">
        <v>1039</v>
      </c>
      <c r="B298" s="6" t="s">
        <v>1040</v>
      </c>
      <c r="C298" s="0" t="s">
        <v>66</v>
      </c>
      <c r="D298" s="11" t="n">
        <v>0.021</v>
      </c>
      <c r="E298" s="11" t="n">
        <v>0.03</v>
      </c>
      <c r="F298" s="11" t="n">
        <v>0.042</v>
      </c>
      <c r="G298" s="12" t="s">
        <v>117</v>
      </c>
      <c r="H298" s="6" t="s">
        <v>72</v>
      </c>
      <c r="I298" s="12" t="s">
        <v>1041</v>
      </c>
    </row>
    <row r="299" customFormat="false" ht="17.15" hidden="false" customHeight="false" outlineLevel="0" collapsed="false">
      <c r="A299" s="0" t="s">
        <v>1042</v>
      </c>
      <c r="B299" s="6" t="s">
        <v>1043</v>
      </c>
      <c r="C299" s="0" t="s">
        <v>66</v>
      </c>
      <c r="D299" s="11" t="n">
        <v>0.035</v>
      </c>
      <c r="E299" s="11" t="n">
        <v>0.05</v>
      </c>
      <c r="F299" s="11" t="n">
        <v>0.07</v>
      </c>
      <c r="G299" s="12" t="s">
        <v>117</v>
      </c>
      <c r="H299" s="6" t="s">
        <v>72</v>
      </c>
      <c r="I299" s="12" t="s">
        <v>1044</v>
      </c>
    </row>
    <row r="300" customFormat="false" ht="17.15" hidden="false" customHeight="false" outlineLevel="0" collapsed="false">
      <c r="A300" s="10" t="s">
        <v>1045</v>
      </c>
    </row>
    <row r="301" customFormat="false" ht="17.15" hidden="false" customHeight="false" outlineLevel="0" collapsed="false">
      <c r="A301" s="0" t="s">
        <v>1046</v>
      </c>
      <c r="B301" s="0" t="s">
        <v>1047</v>
      </c>
      <c r="C301" s="0" t="s">
        <v>66</v>
      </c>
      <c r="D301" s="11" t="n">
        <v>0.15</v>
      </c>
      <c r="E301" s="11" t="n">
        <v>0.22</v>
      </c>
      <c r="F301" s="11" t="n">
        <v>0.3</v>
      </c>
      <c r="G301" s="12" t="s">
        <v>67</v>
      </c>
      <c r="H301" s="12" t="s">
        <v>1048</v>
      </c>
      <c r="I301" s="12" t="s">
        <v>1049</v>
      </c>
      <c r="J301" s="12" t="s">
        <v>1050</v>
      </c>
    </row>
    <row r="302" customFormat="false" ht="17.15" hidden="false" customHeight="false" outlineLevel="0" collapsed="false">
      <c r="A302" s="10" t="s">
        <v>1051</v>
      </c>
    </row>
    <row r="303" customFormat="false" ht="17.15" hidden="false" customHeight="false" outlineLevel="0" collapsed="false">
      <c r="A303" s="0" t="s">
        <v>1052</v>
      </c>
      <c r="B303" s="0" t="s">
        <v>1053</v>
      </c>
      <c r="C303" s="0" t="s">
        <v>66</v>
      </c>
      <c r="D303" s="11" t="n">
        <v>0.1</v>
      </c>
      <c r="E303" s="11" t="n">
        <v>0.25</v>
      </c>
      <c r="F303" s="11" t="n">
        <v>0.35</v>
      </c>
      <c r="G303" s="12" t="s">
        <v>117</v>
      </c>
      <c r="H303" s="12" t="s">
        <v>1054</v>
      </c>
      <c r="I303" s="12" t="s">
        <v>1055</v>
      </c>
      <c r="J303" s="12" t="s">
        <v>1056</v>
      </c>
    </row>
    <row r="304" customFormat="false" ht="17.15" hidden="false" customHeight="false" outlineLevel="0" collapsed="false">
      <c r="A304" s="0" t="s">
        <v>1057</v>
      </c>
      <c r="B304" s="0" t="s">
        <v>1058</v>
      </c>
      <c r="C304" s="0" t="s">
        <v>66</v>
      </c>
      <c r="D304" s="11" t="n">
        <v>0.1</v>
      </c>
      <c r="E304" s="11" t="n">
        <v>0.25</v>
      </c>
      <c r="F304" s="11" t="n">
        <v>0.35</v>
      </c>
      <c r="G304" s="12" t="s">
        <v>117</v>
      </c>
      <c r="H304" s="12" t="s">
        <v>1059</v>
      </c>
      <c r="I304" s="12" t="s">
        <v>1060</v>
      </c>
      <c r="J304" s="6" t="s">
        <v>1061</v>
      </c>
    </row>
    <row r="305" customFormat="false" ht="17.15" hidden="false" customHeight="false" outlineLevel="0" collapsed="false">
      <c r="A305" s="0" t="s">
        <v>1062</v>
      </c>
      <c r="B305" s="0" t="s">
        <v>1063</v>
      </c>
      <c r="C305" s="0" t="s">
        <v>66</v>
      </c>
      <c r="D305" s="11" t="n">
        <v>0.1</v>
      </c>
      <c r="E305" s="11" t="n">
        <v>0.2</v>
      </c>
      <c r="F305" s="11" t="n">
        <v>0.3</v>
      </c>
      <c r="G305" s="12" t="s">
        <v>117</v>
      </c>
      <c r="H305" s="6" t="s">
        <v>72</v>
      </c>
      <c r="I305" s="12" t="s">
        <v>1064</v>
      </c>
      <c r="J305" s="12" t="s">
        <v>684</v>
      </c>
    </row>
    <row r="306" customFormat="false" ht="17.15" hidden="false" customHeight="false" outlineLevel="0" collapsed="false">
      <c r="A306" s="0" t="s">
        <v>1065</v>
      </c>
      <c r="B306" s="0" t="s">
        <v>1066</v>
      </c>
      <c r="C306" s="0" t="s">
        <v>66</v>
      </c>
      <c r="D306" s="11" t="n">
        <v>0</v>
      </c>
      <c r="E306" s="11" t="n">
        <v>0.1</v>
      </c>
      <c r="F306" s="11" t="n">
        <v>0.25</v>
      </c>
      <c r="G306" s="12" t="s">
        <v>117</v>
      </c>
      <c r="H306" s="12" t="s">
        <v>1067</v>
      </c>
      <c r="I306" s="12" t="s">
        <v>1068</v>
      </c>
      <c r="J306" s="12" t="s">
        <v>1069</v>
      </c>
    </row>
    <row r="307" customFormat="false" ht="17.15" hidden="false" customHeight="false" outlineLevel="0" collapsed="false">
      <c r="A307" s="0" t="s">
        <v>1070</v>
      </c>
      <c r="B307" s="0" t="s">
        <v>1071</v>
      </c>
      <c r="C307" s="0" t="s">
        <v>66</v>
      </c>
      <c r="D307" s="11" t="n">
        <v>0</v>
      </c>
      <c r="E307" s="11" t="n">
        <v>0.15</v>
      </c>
      <c r="F307" s="11" t="n">
        <v>0.3</v>
      </c>
      <c r="G307" s="12" t="s">
        <v>117</v>
      </c>
      <c r="H307" s="6" t="s">
        <v>72</v>
      </c>
      <c r="I307" s="12" t="s">
        <v>1072</v>
      </c>
      <c r="J307" s="12" t="s">
        <v>684</v>
      </c>
    </row>
    <row r="308" customFormat="false" ht="17.15" hidden="false" customHeight="false" outlineLevel="0" collapsed="false">
      <c r="A308" s="0" t="s">
        <v>1073</v>
      </c>
      <c r="B308" s="0" t="s">
        <v>1074</v>
      </c>
      <c r="C308" s="0" t="s">
        <v>66</v>
      </c>
      <c r="D308" s="11" t="n">
        <v>0</v>
      </c>
      <c r="E308" s="11" t="n">
        <v>0.2</v>
      </c>
      <c r="F308" s="11" t="n">
        <v>0.35</v>
      </c>
      <c r="G308" s="12" t="s">
        <v>117</v>
      </c>
      <c r="H308" s="6" t="s">
        <v>72</v>
      </c>
      <c r="I308" s="12" t="s">
        <v>1075</v>
      </c>
      <c r="J308" s="12" t="s">
        <v>684</v>
      </c>
    </row>
    <row r="309" customFormat="false" ht="17.15" hidden="false" customHeight="false" outlineLevel="0" collapsed="false">
      <c r="A309" s="0" t="s">
        <v>1076</v>
      </c>
      <c r="B309" s="6" t="s">
        <v>1077</v>
      </c>
      <c r="C309" s="0" t="s">
        <v>66</v>
      </c>
      <c r="D309" s="11" t="n">
        <v>0</v>
      </c>
      <c r="E309" s="11" t="n">
        <v>0.1</v>
      </c>
      <c r="F309" s="11" t="n">
        <v>0.3</v>
      </c>
      <c r="G309" s="12" t="s">
        <v>117</v>
      </c>
      <c r="H309" s="6" t="s">
        <v>1078</v>
      </c>
      <c r="I309" s="12" t="s">
        <v>1079</v>
      </c>
      <c r="J309" s="12" t="s">
        <v>1080</v>
      </c>
    </row>
    <row r="310" customFormat="false" ht="17.15" hidden="false" customHeight="false" outlineLevel="0" collapsed="false">
      <c r="A310" s="0" t="s">
        <v>1081</v>
      </c>
      <c r="B310" s="6" t="s">
        <v>1082</v>
      </c>
      <c r="C310" s="0" t="s">
        <v>66</v>
      </c>
      <c r="D310" s="11" t="n">
        <v>0</v>
      </c>
      <c r="E310" s="11" t="n">
        <v>0.15</v>
      </c>
      <c r="F310" s="11" t="n">
        <v>0.35</v>
      </c>
      <c r="G310" s="12" t="s">
        <v>117</v>
      </c>
      <c r="H310" s="6" t="s">
        <v>72</v>
      </c>
      <c r="I310" s="12" t="s">
        <v>1083</v>
      </c>
      <c r="J310" s="12" t="s">
        <v>684</v>
      </c>
    </row>
    <row r="311" customFormat="false" ht="17.15" hidden="false" customHeight="false" outlineLevel="0" collapsed="false">
      <c r="A311" s="0" t="s">
        <v>1084</v>
      </c>
      <c r="B311" s="6" t="s">
        <v>1085</v>
      </c>
      <c r="C311" s="0" t="s">
        <v>66</v>
      </c>
      <c r="D311" s="11" t="n">
        <v>0</v>
      </c>
      <c r="E311" s="11" t="n">
        <v>0.2</v>
      </c>
      <c r="F311" s="11" t="n">
        <v>0.4</v>
      </c>
      <c r="G311" s="12" t="s">
        <v>117</v>
      </c>
      <c r="H311" s="6" t="s">
        <v>72</v>
      </c>
      <c r="I311" s="12" t="s">
        <v>1086</v>
      </c>
      <c r="J311" s="12" t="s">
        <v>684</v>
      </c>
    </row>
    <row r="312" customFormat="false" ht="17.15" hidden="false" customHeight="false" outlineLevel="0" collapsed="false">
      <c r="A312" s="0" t="s">
        <v>1087</v>
      </c>
      <c r="B312" s="6" t="s">
        <v>1088</v>
      </c>
      <c r="C312" s="0" t="s">
        <v>66</v>
      </c>
      <c r="D312" s="11" t="n">
        <v>0</v>
      </c>
      <c r="E312" s="11" t="n">
        <v>0.05</v>
      </c>
      <c r="F312" s="11" t="n">
        <v>0.2</v>
      </c>
      <c r="G312" s="12" t="s">
        <v>117</v>
      </c>
      <c r="H312" s="12" t="s">
        <v>1089</v>
      </c>
      <c r="I312" s="12" t="s">
        <v>1090</v>
      </c>
      <c r="J312" s="6" t="s">
        <v>1091</v>
      </c>
    </row>
    <row r="313" customFormat="false" ht="17.15" hidden="false" customHeight="false" outlineLevel="0" collapsed="false">
      <c r="A313" s="0" t="s">
        <v>1092</v>
      </c>
      <c r="B313" s="6" t="s">
        <v>1093</v>
      </c>
      <c r="C313" s="0" t="s">
        <v>66</v>
      </c>
      <c r="D313" s="11" t="n">
        <v>0</v>
      </c>
      <c r="E313" s="11" t="n">
        <v>0.1</v>
      </c>
      <c r="F313" s="11" t="n">
        <v>0.25</v>
      </c>
      <c r="G313" s="12" t="s">
        <v>117</v>
      </c>
      <c r="H313" s="6" t="s">
        <v>72</v>
      </c>
      <c r="I313" s="12" t="s">
        <v>1094</v>
      </c>
      <c r="J313" s="12" t="s">
        <v>684</v>
      </c>
    </row>
    <row r="314" customFormat="false" ht="17.15" hidden="false" customHeight="false" outlineLevel="0" collapsed="false">
      <c r="A314" s="0" t="s">
        <v>1095</v>
      </c>
      <c r="B314" s="6" t="s">
        <v>1096</v>
      </c>
      <c r="C314" s="0" t="s">
        <v>66</v>
      </c>
      <c r="D314" s="11" t="n">
        <v>0</v>
      </c>
      <c r="E314" s="11" t="n">
        <v>0.15</v>
      </c>
      <c r="F314" s="11" t="n">
        <v>0.3</v>
      </c>
      <c r="G314" s="12" t="s">
        <v>117</v>
      </c>
      <c r="H314" s="6" t="s">
        <v>72</v>
      </c>
      <c r="I314" s="12" t="s">
        <v>1097</v>
      </c>
      <c r="J314" s="12" t="s">
        <v>684</v>
      </c>
    </row>
    <row r="315" customFormat="false" ht="17.15" hidden="false" customHeight="false" outlineLevel="0" collapsed="false">
      <c r="A315" s="0" t="s">
        <v>1098</v>
      </c>
      <c r="B315" s="0" t="s">
        <v>1099</v>
      </c>
      <c r="C315" s="0" t="s">
        <v>66</v>
      </c>
      <c r="D315" s="11" t="n">
        <v>0</v>
      </c>
      <c r="E315" s="11" t="n">
        <v>0.05</v>
      </c>
      <c r="F315" s="11" t="n">
        <v>0.15</v>
      </c>
      <c r="G315" s="12" t="s">
        <v>117</v>
      </c>
      <c r="H315" s="12" t="s">
        <v>1100</v>
      </c>
      <c r="I315" s="12" t="s">
        <v>1101</v>
      </c>
      <c r="J315" s="12" t="s">
        <v>1102</v>
      </c>
    </row>
    <row r="316" customFormat="false" ht="17.15" hidden="false" customHeight="false" outlineLevel="0" collapsed="false">
      <c r="A316" s="0" t="s">
        <v>1103</v>
      </c>
      <c r="B316" s="0" t="s">
        <v>1104</v>
      </c>
      <c r="C316" s="0" t="s">
        <v>66</v>
      </c>
      <c r="D316" s="11" t="n">
        <v>0.02</v>
      </c>
      <c r="E316" s="11" t="n">
        <v>0.1</v>
      </c>
      <c r="F316" s="11" t="n">
        <v>0.2</v>
      </c>
      <c r="G316" s="12" t="s">
        <v>117</v>
      </c>
      <c r="H316" s="6" t="s">
        <v>72</v>
      </c>
      <c r="I316" s="12" t="s">
        <v>1105</v>
      </c>
      <c r="J316" s="6" t="s">
        <v>1106</v>
      </c>
    </row>
    <row r="317" customFormat="false" ht="17.15" hidden="false" customHeight="false" outlineLevel="0" collapsed="false">
      <c r="A317" s="0" t="s">
        <v>1107</v>
      </c>
      <c r="B317" s="0" t="s">
        <v>1108</v>
      </c>
      <c r="C317" s="0" t="s">
        <v>66</v>
      </c>
      <c r="D317" s="11" t="n">
        <v>0.05</v>
      </c>
      <c r="E317" s="11" t="n">
        <v>0.15</v>
      </c>
      <c r="F317" s="11" t="n">
        <v>0.25</v>
      </c>
      <c r="G317" s="12" t="s">
        <v>117</v>
      </c>
      <c r="H317" s="6" t="s">
        <v>72</v>
      </c>
      <c r="I317" s="12" t="s">
        <v>1109</v>
      </c>
      <c r="J317" s="12" t="s">
        <v>684</v>
      </c>
    </row>
    <row r="318" customFormat="false" ht="17.15" hidden="false" customHeight="false" outlineLevel="0" collapsed="false">
      <c r="A318" s="10" t="s">
        <v>1110</v>
      </c>
    </row>
    <row r="319" customFormat="false" ht="17.15" hidden="false" customHeight="false" outlineLevel="0" collapsed="false">
      <c r="A319" s="0" t="s">
        <v>1111</v>
      </c>
      <c r="B319" s="0" t="s">
        <v>1112</v>
      </c>
      <c r="C319" s="0" t="s">
        <v>66</v>
      </c>
      <c r="D319" s="11" t="n">
        <v>0.7</v>
      </c>
      <c r="E319" s="11" t="n">
        <v>0.7</v>
      </c>
      <c r="F319" s="11" t="n">
        <v>0.8</v>
      </c>
      <c r="G319" s="12" t="s">
        <v>67</v>
      </c>
      <c r="H319" s="12" t="s">
        <v>1113</v>
      </c>
      <c r="I319" s="12" t="s">
        <v>1114</v>
      </c>
      <c r="J319" s="12" t="s">
        <v>1115</v>
      </c>
    </row>
    <row r="320" customFormat="false" ht="17.15" hidden="false" customHeight="false" outlineLevel="0" collapsed="false">
      <c r="A320" s="0" t="s">
        <v>1116</v>
      </c>
      <c r="B320" s="0" t="s">
        <v>1117</v>
      </c>
      <c r="C320" s="0" t="s">
        <v>500</v>
      </c>
      <c r="D320" s="13" t="n">
        <v>0.85</v>
      </c>
      <c r="E320" s="13" t="n">
        <v>0.95</v>
      </c>
      <c r="F320" s="13" t="n">
        <v>1</v>
      </c>
      <c r="G320" s="12" t="s">
        <v>117</v>
      </c>
      <c r="H320" s="6" t="s">
        <v>1118</v>
      </c>
      <c r="I320" s="12" t="s">
        <v>1119</v>
      </c>
      <c r="J320" s="6" t="s">
        <v>1120</v>
      </c>
    </row>
    <row r="321" customFormat="false" ht="17.15" hidden="false" customHeight="false" outlineLevel="0" collapsed="false">
      <c r="A321" s="0" t="s">
        <v>1121</v>
      </c>
      <c r="B321" s="0" t="s">
        <v>1122</v>
      </c>
      <c r="C321" s="0" t="s">
        <v>500</v>
      </c>
      <c r="D321" s="13" t="n">
        <v>0.75</v>
      </c>
      <c r="E321" s="13" t="n">
        <v>0.88</v>
      </c>
      <c r="F321" s="13" t="n">
        <v>1</v>
      </c>
      <c r="G321" s="12" t="s">
        <v>117</v>
      </c>
      <c r="H321" s="6" t="s">
        <v>1123</v>
      </c>
      <c r="I321" s="12" t="s">
        <v>1124</v>
      </c>
      <c r="J321" s="12" t="s">
        <v>684</v>
      </c>
    </row>
    <row r="322" customFormat="false" ht="17.15" hidden="false" customHeight="false" outlineLevel="0" collapsed="false">
      <c r="A322" s="0" t="s">
        <v>1125</v>
      </c>
      <c r="B322" s="0" t="s">
        <v>1126</v>
      </c>
      <c r="C322" s="0" t="s">
        <v>500</v>
      </c>
      <c r="D322" s="13" t="n">
        <v>0.7</v>
      </c>
      <c r="E322" s="13" t="n">
        <v>0.85</v>
      </c>
      <c r="F322" s="13" t="n">
        <v>1</v>
      </c>
      <c r="G322" s="12" t="s">
        <v>117</v>
      </c>
      <c r="H322" s="6" t="s">
        <v>72</v>
      </c>
      <c r="I322" s="12" t="s">
        <v>1127</v>
      </c>
      <c r="J322" s="12" t="s">
        <v>684</v>
      </c>
    </row>
    <row r="323" customFormat="false" ht="17.15" hidden="false" customHeight="false" outlineLevel="0" collapsed="false">
      <c r="A323" s="0" t="s">
        <v>1128</v>
      </c>
      <c r="B323" s="6" t="s">
        <v>1129</v>
      </c>
      <c r="C323" s="0" t="s">
        <v>500</v>
      </c>
      <c r="D323" s="13" t="n">
        <v>0.2</v>
      </c>
      <c r="E323" s="13" t="n">
        <v>0.4</v>
      </c>
      <c r="F323" s="13" t="n">
        <v>0.6</v>
      </c>
      <c r="G323" s="12" t="s">
        <v>117</v>
      </c>
      <c r="H323" s="6" t="s">
        <v>1130</v>
      </c>
      <c r="I323" s="12" t="s">
        <v>1131</v>
      </c>
      <c r="J323" s="12" t="s">
        <v>1132</v>
      </c>
    </row>
    <row r="324" customFormat="false" ht="17.15" hidden="false" customHeight="false" outlineLevel="0" collapsed="false">
      <c r="A324" s="0" t="s">
        <v>1133</v>
      </c>
      <c r="B324" s="6" t="s">
        <v>1134</v>
      </c>
      <c r="C324" s="0" t="s">
        <v>500</v>
      </c>
      <c r="D324" s="13" t="n">
        <v>0.6</v>
      </c>
      <c r="E324" s="13" t="n">
        <v>0.8</v>
      </c>
      <c r="F324" s="13" t="n">
        <v>1</v>
      </c>
      <c r="G324" s="12" t="s">
        <v>117</v>
      </c>
      <c r="H324" s="12" t="s">
        <v>1135</v>
      </c>
      <c r="I324" s="12" t="s">
        <v>1136</v>
      </c>
      <c r="J324" s="12" t="s">
        <v>1137</v>
      </c>
    </row>
    <row r="325" customFormat="false" ht="17.15" hidden="false" customHeight="false" outlineLevel="0" collapsed="false">
      <c r="A325" s="0" t="s">
        <v>1138</v>
      </c>
      <c r="B325" s="6" t="s">
        <v>1139</v>
      </c>
      <c r="C325" s="0" t="s">
        <v>66</v>
      </c>
      <c r="D325" s="11" t="n">
        <v>0.1</v>
      </c>
      <c r="E325" s="11" t="n">
        <v>0.18</v>
      </c>
      <c r="F325" s="11" t="n">
        <v>0.22</v>
      </c>
      <c r="G325" s="12" t="s">
        <v>857</v>
      </c>
      <c r="H325" s="12" t="s">
        <v>1140</v>
      </c>
      <c r="I325" s="12" t="s">
        <v>1141</v>
      </c>
      <c r="J325" s="12" t="s">
        <v>1142</v>
      </c>
    </row>
    <row r="326" customFormat="false" ht="17.15" hidden="false" customHeight="false" outlineLevel="0" collapsed="false">
      <c r="A326" s="0" t="s">
        <v>1143</v>
      </c>
      <c r="B326" s="6" t="s">
        <v>1144</v>
      </c>
      <c r="C326" s="0" t="s">
        <v>500</v>
      </c>
      <c r="D326" s="13" t="n">
        <v>0.95</v>
      </c>
      <c r="E326" s="13" t="n">
        <v>1</v>
      </c>
      <c r="F326" s="13" t="n">
        <v>1.05</v>
      </c>
      <c r="G326" s="12" t="s">
        <v>117</v>
      </c>
      <c r="H326" s="12" t="s">
        <v>1145</v>
      </c>
      <c r="I326" s="12" t="s">
        <v>1146</v>
      </c>
      <c r="J326" s="12" t="s">
        <v>1147</v>
      </c>
    </row>
    <row r="327" customFormat="false" ht="17.15" hidden="false" customHeight="false" outlineLevel="0" collapsed="false">
      <c r="A327" s="0" t="s">
        <v>1148</v>
      </c>
      <c r="B327" s="6" t="s">
        <v>1149</v>
      </c>
      <c r="C327" s="0" t="s">
        <v>500</v>
      </c>
      <c r="D327" s="13" t="n">
        <v>0.85</v>
      </c>
      <c r="E327" s="13" t="n">
        <v>0.95</v>
      </c>
      <c r="F327" s="13" t="n">
        <v>1.05</v>
      </c>
      <c r="G327" s="12" t="s">
        <v>117</v>
      </c>
      <c r="H327" s="12" t="s">
        <v>1150</v>
      </c>
      <c r="I327" s="12" t="s">
        <v>1151</v>
      </c>
      <c r="J327" s="6" t="s">
        <v>1152</v>
      </c>
    </row>
    <row r="328" customFormat="false" ht="17.15" hidden="false" customHeight="false" outlineLevel="0" collapsed="false">
      <c r="A328" s="0" t="s">
        <v>1153</v>
      </c>
      <c r="B328" s="6" t="s">
        <v>1154</v>
      </c>
      <c r="C328" s="0" t="s">
        <v>500</v>
      </c>
      <c r="D328" s="13" t="n">
        <v>0.75</v>
      </c>
      <c r="E328" s="13" t="n">
        <v>0.9</v>
      </c>
      <c r="F328" s="13" t="n">
        <v>1</v>
      </c>
      <c r="G328" s="12" t="s">
        <v>117</v>
      </c>
      <c r="H328" s="6" t="s">
        <v>1155</v>
      </c>
      <c r="I328" s="12" t="s">
        <v>1156</v>
      </c>
      <c r="J328" s="12" t="s">
        <v>684</v>
      </c>
    </row>
    <row r="329" customFormat="false" ht="17.15" hidden="false" customHeight="false" outlineLevel="0" collapsed="false">
      <c r="A329" s="0" t="s">
        <v>1157</v>
      </c>
      <c r="B329" s="6" t="s">
        <v>1158</v>
      </c>
      <c r="C329" s="0" t="s">
        <v>66</v>
      </c>
      <c r="D329" s="11" t="n">
        <v>0.2</v>
      </c>
      <c r="E329" s="11" t="n">
        <v>0.25</v>
      </c>
      <c r="F329" s="11" t="n">
        <v>0.3</v>
      </c>
      <c r="G329" s="12" t="s">
        <v>117</v>
      </c>
      <c r="H329" s="6" t="s">
        <v>1159</v>
      </c>
      <c r="I329" s="12" t="s">
        <v>1160</v>
      </c>
      <c r="J329" s="12" t="s">
        <v>1161</v>
      </c>
    </row>
    <row r="330" customFormat="false" ht="17.15" hidden="false" customHeight="false" outlineLevel="0" collapsed="false">
      <c r="A330" s="0" t="s">
        <v>1162</v>
      </c>
      <c r="B330" s="6" t="s">
        <v>1163</v>
      </c>
      <c r="C330" s="0" t="s">
        <v>66</v>
      </c>
      <c r="D330" s="11" t="n">
        <v>0.22</v>
      </c>
      <c r="E330" s="11" t="n">
        <v>0.27</v>
      </c>
      <c r="F330" s="11" t="n">
        <v>0.32</v>
      </c>
      <c r="G330" s="12" t="s">
        <v>117</v>
      </c>
      <c r="H330" s="12" t="s">
        <v>1164</v>
      </c>
      <c r="I330" s="12" t="s">
        <v>1165</v>
      </c>
      <c r="J330" s="6" t="s">
        <v>1166</v>
      </c>
    </row>
    <row r="331" customFormat="false" ht="17.15" hidden="false" customHeight="false" outlineLevel="0" collapsed="false">
      <c r="A331" s="0" t="s">
        <v>1167</v>
      </c>
      <c r="B331" s="6" t="s">
        <v>1168</v>
      </c>
      <c r="C331" s="0" t="s">
        <v>66</v>
      </c>
      <c r="D331" s="11" t="n">
        <v>0.22</v>
      </c>
      <c r="E331" s="11" t="n">
        <v>0.29</v>
      </c>
      <c r="F331" s="11" t="n">
        <v>0.35</v>
      </c>
      <c r="G331" s="12" t="s">
        <v>117</v>
      </c>
      <c r="H331" s="12" t="s">
        <v>1164</v>
      </c>
      <c r="I331" s="12" t="s">
        <v>1169</v>
      </c>
      <c r="J331" s="6" t="s">
        <v>1166</v>
      </c>
    </row>
    <row r="332" customFormat="false" ht="17.15" hidden="false" customHeight="false" outlineLevel="0" collapsed="false">
      <c r="A332" s="0" t="s">
        <v>1170</v>
      </c>
      <c r="B332" s="6" t="s">
        <v>1171</v>
      </c>
      <c r="C332" s="0" t="s">
        <v>66</v>
      </c>
      <c r="D332" s="11" t="n">
        <v>0.22</v>
      </c>
      <c r="E332" s="11" t="n">
        <v>0.3</v>
      </c>
      <c r="F332" s="11" t="n">
        <v>0.36</v>
      </c>
      <c r="G332" s="12" t="s">
        <v>117</v>
      </c>
      <c r="H332" s="12" t="s">
        <v>1164</v>
      </c>
      <c r="I332" s="12" t="s">
        <v>1172</v>
      </c>
      <c r="J332" s="6" t="s">
        <v>1166</v>
      </c>
    </row>
    <row r="333" customFormat="false" ht="17.15" hidden="false" customHeight="false" outlineLevel="0" collapsed="false">
      <c r="A333" s="0" t="s">
        <v>1173</v>
      </c>
      <c r="B333" s="6" t="s">
        <v>1174</v>
      </c>
      <c r="C333" s="0" t="s">
        <v>66</v>
      </c>
      <c r="D333" s="11" t="n">
        <v>0.22</v>
      </c>
      <c r="E333" s="11" t="n">
        <v>0.3</v>
      </c>
      <c r="F333" s="11" t="n">
        <v>0.4</v>
      </c>
      <c r="G333" s="12" t="s">
        <v>117</v>
      </c>
      <c r="H333" s="6" t="s">
        <v>1175</v>
      </c>
      <c r="I333" s="12" t="s">
        <v>1176</v>
      </c>
      <c r="J333" s="6" t="s">
        <v>1177</v>
      </c>
    </row>
    <row r="334" customFormat="false" ht="17.15" hidden="false" customHeight="false" outlineLevel="0" collapsed="false">
      <c r="A334" s="0" t="s">
        <v>1178</v>
      </c>
      <c r="B334" s="6" t="s">
        <v>1179</v>
      </c>
      <c r="C334" s="0" t="s">
        <v>66</v>
      </c>
      <c r="D334" s="11" t="n">
        <v>0.22</v>
      </c>
      <c r="E334" s="11" t="n">
        <v>0.31</v>
      </c>
      <c r="F334" s="11" t="n">
        <v>0.4</v>
      </c>
      <c r="G334" s="12" t="s">
        <v>117</v>
      </c>
      <c r="H334" s="6" t="s">
        <v>72</v>
      </c>
      <c r="I334" s="12" t="s">
        <v>1180</v>
      </c>
      <c r="J334" s="12" t="s">
        <v>684</v>
      </c>
    </row>
    <row r="335" customFormat="false" ht="17.15" hidden="false" customHeight="false" outlineLevel="0" collapsed="false">
      <c r="A335" s="0" t="s">
        <v>1181</v>
      </c>
      <c r="B335" s="6" t="s">
        <v>1182</v>
      </c>
      <c r="C335" s="0" t="s">
        <v>66</v>
      </c>
      <c r="D335" s="11" t="n">
        <v>0.22</v>
      </c>
      <c r="E335" s="11" t="n">
        <v>0.32</v>
      </c>
      <c r="F335" s="11" t="n">
        <v>0.4</v>
      </c>
      <c r="G335" s="12" t="s">
        <v>117</v>
      </c>
      <c r="H335" s="6" t="s">
        <v>72</v>
      </c>
      <c r="I335" s="12" t="s">
        <v>1183</v>
      </c>
      <c r="J335" s="12" t="s">
        <v>684</v>
      </c>
    </row>
    <row r="336" customFormat="false" ht="17.15" hidden="false" customHeight="false" outlineLevel="0" collapsed="false">
      <c r="A336" s="0" t="s">
        <v>1184</v>
      </c>
      <c r="B336" s="6" t="s">
        <v>1185</v>
      </c>
      <c r="C336" s="0" t="s">
        <v>66</v>
      </c>
      <c r="D336" s="11" t="n">
        <v>0.22</v>
      </c>
      <c r="E336" s="11" t="n">
        <v>0.33</v>
      </c>
      <c r="F336" s="11" t="n">
        <v>0.4</v>
      </c>
      <c r="G336" s="12" t="s">
        <v>117</v>
      </c>
      <c r="H336" s="6" t="s">
        <v>72</v>
      </c>
      <c r="I336" s="12" t="s">
        <v>1186</v>
      </c>
      <c r="J336" s="12" t="s">
        <v>684</v>
      </c>
    </row>
    <row r="337" customFormat="false" ht="17.15" hidden="false" customHeight="false" outlineLevel="0" collapsed="false">
      <c r="A337" s="0" t="s">
        <v>1187</v>
      </c>
      <c r="B337" s="6" t="s">
        <v>1188</v>
      </c>
      <c r="C337" s="0" t="s">
        <v>66</v>
      </c>
      <c r="D337" s="11" t="n">
        <v>0.01</v>
      </c>
      <c r="E337" s="11" t="n">
        <v>0.02</v>
      </c>
      <c r="F337" s="11" t="n">
        <v>0.03</v>
      </c>
      <c r="G337" s="12" t="s">
        <v>117</v>
      </c>
      <c r="H337" s="6" t="s">
        <v>1189</v>
      </c>
      <c r="I337" s="12" t="s">
        <v>1190</v>
      </c>
      <c r="J337" s="6" t="s">
        <v>1191</v>
      </c>
    </row>
    <row r="338" customFormat="false" ht="17.15" hidden="false" customHeight="false" outlineLevel="0" collapsed="false">
      <c r="A338" s="0" t="s">
        <v>1192</v>
      </c>
      <c r="B338" s="6" t="s">
        <v>1193</v>
      </c>
      <c r="C338" s="0" t="s">
        <v>66</v>
      </c>
      <c r="D338" s="11" t="n">
        <v>0.01</v>
      </c>
      <c r="E338" s="11" t="n">
        <v>0.03</v>
      </c>
      <c r="F338" s="11" t="n">
        <v>0.05</v>
      </c>
      <c r="G338" s="12" t="s">
        <v>117</v>
      </c>
      <c r="H338" s="12" t="s">
        <v>1194</v>
      </c>
      <c r="I338" s="12" t="s">
        <v>1195</v>
      </c>
      <c r="J338" s="12" t="s">
        <v>684</v>
      </c>
    </row>
    <row r="339" customFormat="false" ht="17.15" hidden="false" customHeight="false" outlineLevel="0" collapsed="false">
      <c r="A339" s="0" t="s">
        <v>1196</v>
      </c>
      <c r="B339" s="6" t="s">
        <v>1197</v>
      </c>
      <c r="C339" s="0" t="s">
        <v>66</v>
      </c>
      <c r="D339" s="11" t="n">
        <v>0.01</v>
      </c>
      <c r="E339" s="11" t="n">
        <v>0.04</v>
      </c>
      <c r="F339" s="11" t="n">
        <v>0.06</v>
      </c>
      <c r="G339" s="12" t="s">
        <v>117</v>
      </c>
      <c r="H339" s="12" t="s">
        <v>1194</v>
      </c>
      <c r="I339" s="12" t="s">
        <v>1198</v>
      </c>
      <c r="J339" s="12" t="s">
        <v>684</v>
      </c>
    </row>
    <row r="340" customFormat="false" ht="17.15" hidden="false" customHeight="false" outlineLevel="0" collapsed="false">
      <c r="A340" s="0" t="s">
        <v>1199</v>
      </c>
      <c r="B340" s="6" t="s">
        <v>1200</v>
      </c>
      <c r="C340" s="0" t="s">
        <v>66</v>
      </c>
      <c r="D340" s="11" t="n">
        <v>0.01</v>
      </c>
      <c r="E340" s="11" t="n">
        <v>0.04</v>
      </c>
      <c r="F340" s="11" t="n">
        <v>0.06</v>
      </c>
      <c r="G340" s="12" t="s">
        <v>117</v>
      </c>
      <c r="H340" s="12" t="s">
        <v>1194</v>
      </c>
      <c r="I340" s="12" t="s">
        <v>1201</v>
      </c>
      <c r="J340" s="12" t="s">
        <v>684</v>
      </c>
    </row>
    <row r="341" customFormat="false" ht="17.15" hidden="false" customHeight="false" outlineLevel="0" collapsed="false">
      <c r="A341" s="0" t="s">
        <v>1202</v>
      </c>
      <c r="B341" s="6" t="s">
        <v>1203</v>
      </c>
      <c r="C341" s="0" t="s">
        <v>66</v>
      </c>
      <c r="D341" s="11" t="n">
        <v>0.03</v>
      </c>
      <c r="E341" s="11" t="n">
        <v>0.05</v>
      </c>
      <c r="F341" s="11" t="n">
        <v>0.08</v>
      </c>
      <c r="G341" s="12" t="s">
        <v>117</v>
      </c>
      <c r="H341" s="12" t="s">
        <v>1204</v>
      </c>
      <c r="I341" s="12" t="s">
        <v>1205</v>
      </c>
      <c r="J341" s="6" t="s">
        <v>1206</v>
      </c>
    </row>
    <row r="342" customFormat="false" ht="17.15" hidden="false" customHeight="false" outlineLevel="0" collapsed="false">
      <c r="A342" s="0" t="s">
        <v>1207</v>
      </c>
      <c r="B342" s="6" t="s">
        <v>1208</v>
      </c>
      <c r="C342" s="0" t="s">
        <v>66</v>
      </c>
      <c r="D342" s="11" t="n">
        <v>0.03</v>
      </c>
      <c r="E342" s="11" t="n">
        <v>0.06</v>
      </c>
      <c r="F342" s="11" t="n">
        <v>0.09</v>
      </c>
      <c r="G342" s="12" t="s">
        <v>117</v>
      </c>
      <c r="H342" s="6" t="s">
        <v>72</v>
      </c>
      <c r="I342" s="12" t="s">
        <v>1209</v>
      </c>
      <c r="J342" s="12" t="s">
        <v>684</v>
      </c>
    </row>
    <row r="343" customFormat="false" ht="17.15" hidden="false" customHeight="false" outlineLevel="0" collapsed="false">
      <c r="A343" s="0" t="s">
        <v>1210</v>
      </c>
      <c r="B343" s="6" t="s">
        <v>1211</v>
      </c>
      <c r="C343" s="0" t="s">
        <v>66</v>
      </c>
      <c r="D343" s="11" t="n">
        <v>0.03</v>
      </c>
      <c r="E343" s="11" t="n">
        <v>0.07</v>
      </c>
      <c r="F343" s="11" t="n">
        <v>0.1</v>
      </c>
      <c r="G343" s="12" t="s">
        <v>117</v>
      </c>
      <c r="H343" s="6" t="s">
        <v>72</v>
      </c>
      <c r="I343" s="12" t="s">
        <v>1212</v>
      </c>
      <c r="J343" s="12" t="s">
        <v>684</v>
      </c>
    </row>
    <row r="344" customFormat="false" ht="17.15" hidden="false" customHeight="false" outlineLevel="0" collapsed="false">
      <c r="A344" s="0" t="s">
        <v>1213</v>
      </c>
      <c r="B344" s="6" t="s">
        <v>1214</v>
      </c>
      <c r="C344" s="0" t="s">
        <v>66</v>
      </c>
      <c r="D344" s="11" t="n">
        <v>0.03</v>
      </c>
      <c r="E344" s="11" t="n">
        <v>0.07</v>
      </c>
      <c r="F344" s="11" t="n">
        <v>0.1</v>
      </c>
      <c r="G344" s="12" t="s">
        <v>117</v>
      </c>
      <c r="H344" s="6" t="s">
        <v>72</v>
      </c>
      <c r="I344" s="12" t="s">
        <v>1215</v>
      </c>
      <c r="J344" s="12" t="s">
        <v>684</v>
      </c>
    </row>
    <row r="345" customFormat="false" ht="17.15" hidden="false" customHeight="false" outlineLevel="0" collapsed="false">
      <c r="A345" s="0" t="s">
        <v>1216</v>
      </c>
      <c r="B345" s="6" t="s">
        <v>1217</v>
      </c>
      <c r="C345" s="0" t="s">
        <v>66</v>
      </c>
      <c r="D345" s="11" t="n">
        <v>0.01</v>
      </c>
      <c r="E345" s="11" t="n">
        <v>0.02</v>
      </c>
      <c r="F345" s="11" t="n">
        <v>0.05</v>
      </c>
      <c r="G345" s="12" t="s">
        <v>117</v>
      </c>
      <c r="H345" s="12" t="s">
        <v>1218</v>
      </c>
      <c r="I345" s="12" t="s">
        <v>1219</v>
      </c>
      <c r="J345" s="12" t="s">
        <v>1220</v>
      </c>
    </row>
    <row r="346" customFormat="false" ht="17.15" hidden="false" customHeight="false" outlineLevel="0" collapsed="false">
      <c r="A346" s="0" t="s">
        <v>1221</v>
      </c>
      <c r="B346" s="6" t="s">
        <v>1222</v>
      </c>
      <c r="C346" s="0" t="s">
        <v>66</v>
      </c>
      <c r="D346" s="11" t="n">
        <v>0.01</v>
      </c>
      <c r="E346" s="11" t="n">
        <v>0.03</v>
      </c>
      <c r="F346" s="11" t="n">
        <v>0.1</v>
      </c>
      <c r="G346" s="12" t="s">
        <v>117</v>
      </c>
      <c r="H346" s="6" t="s">
        <v>1223</v>
      </c>
      <c r="I346" s="12" t="s">
        <v>1224</v>
      </c>
      <c r="J346" s="12" t="s">
        <v>684</v>
      </c>
    </row>
    <row r="347" customFormat="false" ht="17.15" hidden="false" customHeight="false" outlineLevel="0" collapsed="false">
      <c r="A347" s="0" t="s">
        <v>1225</v>
      </c>
      <c r="B347" s="6" t="s">
        <v>1226</v>
      </c>
      <c r="C347" s="0" t="s">
        <v>66</v>
      </c>
      <c r="D347" s="11" t="n">
        <v>0.02</v>
      </c>
      <c r="E347" s="11" t="n">
        <v>0.05</v>
      </c>
      <c r="F347" s="11" t="n">
        <v>0.15</v>
      </c>
      <c r="G347" s="12" t="s">
        <v>117</v>
      </c>
      <c r="H347" s="6" t="s">
        <v>1223</v>
      </c>
      <c r="I347" s="12" t="s">
        <v>1227</v>
      </c>
      <c r="J347" s="12" t="s">
        <v>684</v>
      </c>
    </row>
    <row r="348" customFormat="false" ht="17.15" hidden="false" customHeight="false" outlineLevel="0" collapsed="false">
      <c r="A348" s="0" t="s">
        <v>1228</v>
      </c>
      <c r="B348" s="6" t="s">
        <v>1229</v>
      </c>
      <c r="C348" s="0" t="s">
        <v>66</v>
      </c>
      <c r="D348" s="11" t="n">
        <v>0.02</v>
      </c>
      <c r="E348" s="11" t="n">
        <v>0.06</v>
      </c>
      <c r="F348" s="11" t="n">
        <v>0.15</v>
      </c>
      <c r="G348" s="12" t="s">
        <v>117</v>
      </c>
      <c r="H348" s="6" t="s">
        <v>1223</v>
      </c>
      <c r="I348" s="12" t="s">
        <v>1230</v>
      </c>
      <c r="J348" s="12" t="s">
        <v>684</v>
      </c>
    </row>
    <row r="349" customFormat="false" ht="17.15" hidden="false" customHeight="false" outlineLevel="0" collapsed="false">
      <c r="A349" s="0" t="s">
        <v>1231</v>
      </c>
      <c r="B349" s="6" t="s">
        <v>1232</v>
      </c>
      <c r="C349" s="0" t="s">
        <v>66</v>
      </c>
      <c r="D349" s="11" t="n">
        <v>0.02</v>
      </c>
      <c r="E349" s="11" t="n">
        <v>0.03</v>
      </c>
      <c r="F349" s="11" t="n">
        <v>0.05</v>
      </c>
      <c r="G349" s="12" t="s">
        <v>117</v>
      </c>
      <c r="H349" s="12" t="s">
        <v>1233</v>
      </c>
      <c r="I349" s="12" t="s">
        <v>1234</v>
      </c>
      <c r="J349" s="6" t="s">
        <v>1206</v>
      </c>
    </row>
    <row r="350" customFormat="false" ht="17.15" hidden="false" customHeight="false" outlineLevel="0" collapsed="false">
      <c r="A350" s="0" t="s">
        <v>1235</v>
      </c>
      <c r="B350" s="6" t="s">
        <v>1236</v>
      </c>
      <c r="C350" s="0" t="s">
        <v>66</v>
      </c>
      <c r="D350" s="11" t="n">
        <v>0.02</v>
      </c>
      <c r="E350" s="11" t="n">
        <v>0.05</v>
      </c>
      <c r="F350" s="11" t="n">
        <v>0.08</v>
      </c>
      <c r="G350" s="12" t="s">
        <v>117</v>
      </c>
      <c r="H350" s="6" t="s">
        <v>72</v>
      </c>
      <c r="I350" s="12" t="s">
        <v>1237</v>
      </c>
      <c r="J350" s="12" t="s">
        <v>684</v>
      </c>
    </row>
    <row r="351" customFormat="false" ht="17.15" hidden="false" customHeight="false" outlineLevel="0" collapsed="false">
      <c r="A351" s="0" t="s">
        <v>1238</v>
      </c>
      <c r="B351" s="6" t="s">
        <v>1239</v>
      </c>
      <c r="C351" s="0" t="s">
        <v>66</v>
      </c>
      <c r="D351" s="11" t="n">
        <v>0.03</v>
      </c>
      <c r="E351" s="11" t="n">
        <v>0.06</v>
      </c>
      <c r="F351" s="11" t="n">
        <v>0.1</v>
      </c>
      <c r="G351" s="12" t="s">
        <v>117</v>
      </c>
      <c r="H351" s="6" t="s">
        <v>72</v>
      </c>
      <c r="I351" s="12" t="s">
        <v>1240</v>
      </c>
      <c r="J351" s="12" t="s">
        <v>684</v>
      </c>
    </row>
    <row r="352" customFormat="false" ht="17.15" hidden="false" customHeight="false" outlineLevel="0" collapsed="false">
      <c r="A352" s="0" t="s">
        <v>1241</v>
      </c>
      <c r="B352" s="6" t="s">
        <v>1242</v>
      </c>
      <c r="C352" s="0" t="s">
        <v>66</v>
      </c>
      <c r="D352" s="11" t="n">
        <v>0.03</v>
      </c>
      <c r="E352" s="11" t="n">
        <v>0.06</v>
      </c>
      <c r="F352" s="11" t="n">
        <v>0.1</v>
      </c>
      <c r="G352" s="12" t="s">
        <v>117</v>
      </c>
      <c r="H352" s="6" t="s">
        <v>72</v>
      </c>
      <c r="I352" s="12" t="s">
        <v>1243</v>
      </c>
      <c r="J352" s="12" t="s">
        <v>684</v>
      </c>
    </row>
    <row r="353" customFormat="false" ht="17.15" hidden="false" customHeight="false" outlineLevel="0" collapsed="false">
      <c r="A353" s="0" t="s">
        <v>1244</v>
      </c>
      <c r="B353" s="0" t="s">
        <v>1245</v>
      </c>
      <c r="C353" s="0" t="s">
        <v>66</v>
      </c>
      <c r="D353" s="11" t="n">
        <v>0.08</v>
      </c>
      <c r="E353" s="11" t="n">
        <v>0.09</v>
      </c>
      <c r="F353" s="11" t="n">
        <v>0.1</v>
      </c>
      <c r="G353" s="12" t="s">
        <v>91</v>
      </c>
      <c r="H353" s="6" t="s">
        <v>1246</v>
      </c>
      <c r="I353" s="12" t="s">
        <v>1247</v>
      </c>
      <c r="J353" s="6" t="s">
        <v>1248</v>
      </c>
    </row>
    <row r="354" customFormat="false" ht="17.15" hidden="false" customHeight="false" outlineLevel="0" collapsed="false">
      <c r="A354" s="0" t="s">
        <v>1249</v>
      </c>
      <c r="B354" s="0" t="s">
        <v>1250</v>
      </c>
      <c r="C354" s="0" t="s">
        <v>66</v>
      </c>
      <c r="D354" s="11" t="n">
        <v>0.21</v>
      </c>
      <c r="E354" s="11" t="n">
        <v>0.24</v>
      </c>
      <c r="F354" s="11" t="n">
        <v>0.27</v>
      </c>
      <c r="G354" s="12" t="s">
        <v>91</v>
      </c>
      <c r="H354" s="6" t="s">
        <v>1251</v>
      </c>
      <c r="I354" s="12" t="s">
        <v>1252</v>
      </c>
      <c r="J354" s="6" t="s">
        <v>1253</v>
      </c>
    </row>
    <row r="355" customFormat="false" ht="17.15" hidden="false" customHeight="false" outlineLevel="0" collapsed="false">
      <c r="A355" s="0" t="s">
        <v>1254</v>
      </c>
      <c r="B355" s="0" t="s">
        <v>1255</v>
      </c>
      <c r="C355" s="0" t="s">
        <v>66</v>
      </c>
      <c r="D355" s="11" t="n">
        <v>0.29</v>
      </c>
      <c r="E355" s="11" t="n">
        <v>0.37</v>
      </c>
      <c r="F355" s="11" t="n">
        <v>0.42</v>
      </c>
      <c r="G355" s="12" t="s">
        <v>91</v>
      </c>
      <c r="H355" s="6" t="s">
        <v>1256</v>
      </c>
      <c r="I355" s="12" t="s">
        <v>1257</v>
      </c>
      <c r="J355" s="6" t="s">
        <v>1258</v>
      </c>
    </row>
    <row r="356" customFormat="false" ht="17.15" hidden="false" customHeight="false" outlineLevel="0" collapsed="false">
      <c r="A356" s="10" t="s">
        <v>1259</v>
      </c>
    </row>
    <row r="357" customFormat="false" ht="17.15" hidden="false" customHeight="false" outlineLevel="0" collapsed="false">
      <c r="A357" s="0" t="s">
        <v>1260</v>
      </c>
      <c r="B357" s="0" t="s">
        <v>1261</v>
      </c>
      <c r="C357" s="6" t="s">
        <v>1262</v>
      </c>
      <c r="D357" s="13" t="n">
        <v>11.2</v>
      </c>
      <c r="E357" s="13" t="n">
        <v>14</v>
      </c>
      <c r="F357" s="13" t="n">
        <v>16.8</v>
      </c>
      <c r="G357" s="12" t="s">
        <v>91</v>
      </c>
      <c r="H357" s="6" t="s">
        <v>1263</v>
      </c>
      <c r="I357" s="12" t="s">
        <v>1264</v>
      </c>
    </row>
    <row r="358" customFormat="false" ht="17.15" hidden="false" customHeight="false" outlineLevel="0" collapsed="false">
      <c r="A358" s="0" t="s">
        <v>1265</v>
      </c>
      <c r="B358" s="0" t="s">
        <v>1266</v>
      </c>
      <c r="C358" s="6" t="s">
        <v>1262</v>
      </c>
      <c r="D358" s="13" t="n">
        <v>6.4</v>
      </c>
      <c r="E358" s="13" t="n">
        <v>8</v>
      </c>
      <c r="F358" s="13" t="n">
        <v>9.6</v>
      </c>
      <c r="G358" s="12" t="s">
        <v>91</v>
      </c>
      <c r="H358" s="12" t="s">
        <v>1267</v>
      </c>
      <c r="I358" s="12" t="s">
        <v>1268</v>
      </c>
    </row>
    <row r="359" customFormat="false" ht="17.15" hidden="false" customHeight="false" outlineLevel="0" collapsed="false">
      <c r="A359" s="0" t="s">
        <v>1269</v>
      </c>
      <c r="B359" s="0" t="s">
        <v>1270</v>
      </c>
      <c r="C359" s="6" t="s">
        <v>1262</v>
      </c>
      <c r="D359" s="13" t="n">
        <v>3.2</v>
      </c>
      <c r="E359" s="13" t="n">
        <v>4</v>
      </c>
      <c r="F359" s="13" t="n">
        <v>4.8</v>
      </c>
      <c r="G359" s="12" t="s">
        <v>117</v>
      </c>
      <c r="H359" s="12" t="s">
        <v>1271</v>
      </c>
      <c r="I359" s="12" t="s">
        <v>1272</v>
      </c>
    </row>
    <row r="360" customFormat="false" ht="17.15" hidden="false" customHeight="false" outlineLevel="0" collapsed="false">
      <c r="A360" s="0" t="s">
        <v>1273</v>
      </c>
      <c r="B360" s="0" t="s">
        <v>1274</v>
      </c>
      <c r="C360" s="6" t="s">
        <v>1262</v>
      </c>
      <c r="D360" s="13" t="n">
        <v>23.2</v>
      </c>
      <c r="E360" s="13" t="n">
        <v>29</v>
      </c>
      <c r="F360" s="13" t="n">
        <v>34.8</v>
      </c>
      <c r="G360" s="12" t="s">
        <v>857</v>
      </c>
      <c r="H360" s="12" t="s">
        <v>1275</v>
      </c>
      <c r="I360" s="12" t="s">
        <v>1276</v>
      </c>
    </row>
    <row r="361" customFormat="false" ht="17.15" hidden="false" customHeight="false" outlineLevel="0" collapsed="false">
      <c r="A361" s="0" t="s">
        <v>1277</v>
      </c>
      <c r="B361" s="0" t="s">
        <v>1278</v>
      </c>
      <c r="C361" s="6" t="s">
        <v>1262</v>
      </c>
      <c r="D361" s="13" t="n">
        <v>6.8</v>
      </c>
      <c r="E361" s="13" t="n">
        <v>8.5</v>
      </c>
      <c r="F361" s="13" t="n">
        <v>10.2</v>
      </c>
      <c r="G361" s="12" t="s">
        <v>1279</v>
      </c>
      <c r="H361" s="12" t="s">
        <v>1280</v>
      </c>
      <c r="I361" s="12" t="s">
        <v>1281</v>
      </c>
    </row>
    <row r="362" customFormat="false" ht="17.15" hidden="false" customHeight="false" outlineLevel="0" collapsed="false">
      <c r="A362" s="0" t="s">
        <v>1282</v>
      </c>
      <c r="B362" s="0" t="s">
        <v>1283</v>
      </c>
      <c r="C362" s="6" t="s">
        <v>1262</v>
      </c>
      <c r="D362" s="13" t="n">
        <v>4.8</v>
      </c>
      <c r="E362" s="13" t="n">
        <v>6</v>
      </c>
      <c r="F362" s="13" t="n">
        <v>7.2</v>
      </c>
      <c r="G362" s="12" t="s">
        <v>117</v>
      </c>
      <c r="H362" s="12" t="s">
        <v>1284</v>
      </c>
      <c r="I362" s="12" t="s">
        <v>1285</v>
      </c>
    </row>
    <row r="363" customFormat="false" ht="17.15" hidden="false" customHeight="false" outlineLevel="0" collapsed="false">
      <c r="A363" s="0" t="s">
        <v>1286</v>
      </c>
      <c r="B363" s="0" t="s">
        <v>1287</v>
      </c>
      <c r="C363" s="6" t="s">
        <v>1262</v>
      </c>
      <c r="D363" s="13" t="n">
        <v>22.4</v>
      </c>
      <c r="E363" s="13" t="n">
        <v>28</v>
      </c>
      <c r="F363" s="13" t="n">
        <v>33.6</v>
      </c>
      <c r="G363" s="12" t="s">
        <v>479</v>
      </c>
      <c r="H363" s="12" t="s">
        <v>1288</v>
      </c>
      <c r="I363" s="12" t="s">
        <v>1289</v>
      </c>
    </row>
    <row r="364" customFormat="false" ht="17.15" hidden="false" customHeight="false" outlineLevel="0" collapsed="false">
      <c r="A364" s="0" t="s">
        <v>1290</v>
      </c>
      <c r="B364" s="0" t="s">
        <v>1291</v>
      </c>
      <c r="C364" s="6" t="s">
        <v>1262</v>
      </c>
      <c r="D364" s="13" t="n">
        <v>19.2</v>
      </c>
      <c r="E364" s="13" t="n">
        <v>24</v>
      </c>
      <c r="F364" s="13" t="n">
        <v>28.8</v>
      </c>
      <c r="G364" s="12" t="s">
        <v>117</v>
      </c>
      <c r="H364" s="12" t="s">
        <v>1292</v>
      </c>
      <c r="I364" s="12" t="s">
        <v>1293</v>
      </c>
    </row>
    <row r="365" customFormat="false" ht="17.15" hidden="false" customHeight="false" outlineLevel="0" collapsed="false">
      <c r="A365" s="0" t="s">
        <v>1294</v>
      </c>
      <c r="B365" s="0" t="s">
        <v>1295</v>
      </c>
      <c r="C365" s="6" t="s">
        <v>1262</v>
      </c>
      <c r="D365" s="13" t="n">
        <v>24</v>
      </c>
      <c r="E365" s="13" t="n">
        <v>30</v>
      </c>
      <c r="F365" s="13" t="n">
        <v>36</v>
      </c>
      <c r="G365" s="12" t="s">
        <v>479</v>
      </c>
      <c r="H365" s="12" t="s">
        <v>1296</v>
      </c>
      <c r="I365" s="12" t="s">
        <v>1297</v>
      </c>
    </row>
    <row r="366" customFormat="false" ht="17.15" hidden="false" customHeight="false" outlineLevel="0" collapsed="false">
      <c r="A366" s="0" t="s">
        <v>1298</v>
      </c>
      <c r="B366" s="0" t="s">
        <v>1299</v>
      </c>
      <c r="C366" s="6" t="s">
        <v>1262</v>
      </c>
      <c r="D366" s="13" t="n">
        <v>16</v>
      </c>
      <c r="E366" s="13" t="n">
        <v>20</v>
      </c>
      <c r="F366" s="13" t="n">
        <v>24</v>
      </c>
      <c r="G366" s="12" t="s">
        <v>117</v>
      </c>
      <c r="H366" s="6" t="s">
        <v>1300</v>
      </c>
      <c r="I366" s="12" t="s">
        <v>1301</v>
      </c>
    </row>
    <row r="367" customFormat="false" ht="17.15" hidden="false" customHeight="false" outlineLevel="0" collapsed="false">
      <c r="A367" s="0" t="s">
        <v>1302</v>
      </c>
      <c r="B367" s="6" t="s">
        <v>1303</v>
      </c>
      <c r="C367" s="6" t="s">
        <v>1304</v>
      </c>
      <c r="D367" s="13" t="n">
        <v>100</v>
      </c>
      <c r="E367" s="13" t="n">
        <v>150</v>
      </c>
      <c r="F367" s="13" t="n">
        <v>200</v>
      </c>
      <c r="G367" s="12" t="s">
        <v>117</v>
      </c>
      <c r="H367" s="12" t="s">
        <v>1305</v>
      </c>
      <c r="I367" s="12" t="s">
        <v>1306</v>
      </c>
      <c r="J367" s="6" t="s">
        <v>1307</v>
      </c>
    </row>
    <row r="368" customFormat="false" ht="17.15" hidden="false" customHeight="false" outlineLevel="0" collapsed="false">
      <c r="A368" s="0" t="s">
        <v>1308</v>
      </c>
      <c r="B368" s="6" t="s">
        <v>1309</v>
      </c>
      <c r="C368" s="0" t="s">
        <v>66</v>
      </c>
      <c r="D368" s="11" t="n">
        <v>0.15</v>
      </c>
      <c r="E368" s="11" t="n">
        <v>0.25</v>
      </c>
      <c r="F368" s="11" t="n">
        <v>0.35</v>
      </c>
      <c r="G368" s="12" t="s">
        <v>117</v>
      </c>
      <c r="H368" s="6" t="s">
        <v>1310</v>
      </c>
      <c r="I368" s="12" t="s">
        <v>1311</v>
      </c>
      <c r="J368" s="6" t="s">
        <v>1312</v>
      </c>
    </row>
    <row r="369" customFormat="false" ht="17.15" hidden="false" customHeight="false" outlineLevel="0" collapsed="false">
      <c r="A369" s="0" t="s">
        <v>1313</v>
      </c>
      <c r="B369" s="0" t="s">
        <v>1314</v>
      </c>
      <c r="C369" s="6" t="s">
        <v>1315</v>
      </c>
      <c r="E369" s="13" t="n">
        <v>77.5</v>
      </c>
      <c r="G369" s="12" t="s">
        <v>67</v>
      </c>
      <c r="H369" s="12" t="s">
        <v>1316</v>
      </c>
      <c r="I369" s="12" t="s">
        <v>1317</v>
      </c>
    </row>
    <row r="370" customFormat="false" ht="17.15" hidden="false" customHeight="false" outlineLevel="0" collapsed="false">
      <c r="A370" s="0" t="s">
        <v>1318</v>
      </c>
      <c r="B370" s="0" t="s">
        <v>1319</v>
      </c>
      <c r="C370" s="6" t="s">
        <v>1315</v>
      </c>
      <c r="E370" s="13" t="n">
        <v>130</v>
      </c>
      <c r="G370" s="12" t="s">
        <v>67</v>
      </c>
      <c r="H370" s="12" t="s">
        <v>1320</v>
      </c>
      <c r="I370" s="12" t="s">
        <v>1321</v>
      </c>
    </row>
    <row r="371" customFormat="false" ht="17.15" hidden="false" customHeight="false" outlineLevel="0" collapsed="false">
      <c r="A371" s="0" t="s">
        <v>1322</v>
      </c>
      <c r="B371" s="0" t="s">
        <v>1323</v>
      </c>
      <c r="C371" s="6" t="s">
        <v>1315</v>
      </c>
      <c r="E371" s="13" t="n">
        <v>200</v>
      </c>
      <c r="G371" s="12" t="s">
        <v>67</v>
      </c>
      <c r="H371" s="12" t="s">
        <v>1324</v>
      </c>
      <c r="I371" s="12" t="s">
        <v>1325</v>
      </c>
    </row>
    <row r="372" customFormat="false" ht="17.15" hidden="false" customHeight="false" outlineLevel="0" collapsed="false">
      <c r="A372" s="0" t="s">
        <v>1326</v>
      </c>
      <c r="B372" s="0" t="s">
        <v>1327</v>
      </c>
      <c r="C372" s="6" t="s">
        <v>1315</v>
      </c>
      <c r="E372" s="13" t="n">
        <v>260</v>
      </c>
      <c r="G372" s="12" t="s">
        <v>67</v>
      </c>
      <c r="H372" s="12" t="s">
        <v>1328</v>
      </c>
      <c r="I372" s="12" t="s">
        <v>1329</v>
      </c>
    </row>
    <row r="373" customFormat="false" ht="17.15" hidden="false" customHeight="false" outlineLevel="0" collapsed="false">
      <c r="A373" s="0" t="s">
        <v>1330</v>
      </c>
      <c r="B373" s="0" t="s">
        <v>1331</v>
      </c>
      <c r="C373" s="6" t="s">
        <v>1315</v>
      </c>
      <c r="D373" s="13" t="n">
        <v>280</v>
      </c>
      <c r="E373" s="13" t="n">
        <v>320</v>
      </c>
      <c r="F373" s="13" t="n">
        <v>380</v>
      </c>
      <c r="G373" s="12" t="s">
        <v>117</v>
      </c>
      <c r="H373" s="12" t="s">
        <v>1332</v>
      </c>
      <c r="I373" s="12" t="s">
        <v>1333</v>
      </c>
      <c r="J373" s="6" t="s">
        <v>1334</v>
      </c>
    </row>
    <row r="374" customFormat="false" ht="17.15" hidden="false" customHeight="false" outlineLevel="0" collapsed="false">
      <c r="A374" s="0" t="s">
        <v>1335</v>
      </c>
      <c r="B374" s="6" t="s">
        <v>1336</v>
      </c>
      <c r="C374" s="0" t="s">
        <v>66</v>
      </c>
      <c r="D374" s="11" t="n">
        <v>0.05</v>
      </c>
      <c r="E374" s="11" t="n">
        <v>0.1</v>
      </c>
      <c r="F374" s="11" t="n">
        <v>0.2</v>
      </c>
      <c r="G374" s="12" t="s">
        <v>117</v>
      </c>
      <c r="H374" s="6" t="s">
        <v>1337</v>
      </c>
      <c r="I374" s="12" t="s">
        <v>1338</v>
      </c>
    </row>
    <row r="375" customFormat="false" ht="17.15" hidden="false" customHeight="false" outlineLevel="0" collapsed="false">
      <c r="A375" s="0" t="s">
        <v>1339</v>
      </c>
      <c r="B375" s="0" t="s">
        <v>1340</v>
      </c>
      <c r="C375" s="6" t="s">
        <v>1304</v>
      </c>
      <c r="E375" s="13" t="n">
        <v>1394</v>
      </c>
      <c r="G375" s="12" t="s">
        <v>67</v>
      </c>
      <c r="H375" s="12" t="s">
        <v>1341</v>
      </c>
      <c r="I375" s="12" t="s">
        <v>1342</v>
      </c>
    </row>
    <row r="376" customFormat="false" ht="17.15" hidden="false" customHeight="false" outlineLevel="0" collapsed="false">
      <c r="A376" s="0" t="s">
        <v>1343</v>
      </c>
      <c r="B376" s="0" t="s">
        <v>1344</v>
      </c>
      <c r="C376" s="6" t="s">
        <v>1304</v>
      </c>
      <c r="E376" s="13" t="n">
        <v>2509</v>
      </c>
      <c r="G376" s="12" t="s">
        <v>67</v>
      </c>
      <c r="H376" s="12" t="s">
        <v>1345</v>
      </c>
      <c r="I376" s="12" t="s">
        <v>1346</v>
      </c>
    </row>
    <row r="377" customFormat="false" ht="17.15" hidden="false" customHeight="false" outlineLevel="0" collapsed="false">
      <c r="A377" s="10" t="s">
        <v>1347</v>
      </c>
    </row>
    <row r="378" customFormat="false" ht="17.15" hidden="false" customHeight="false" outlineLevel="0" collapsed="false">
      <c r="A378" s="0" t="s">
        <v>1348</v>
      </c>
      <c r="B378" s="6" t="s">
        <v>1349</v>
      </c>
      <c r="C378" s="0" t="s">
        <v>1350</v>
      </c>
      <c r="E378" s="13" t="n">
        <v>7.72</v>
      </c>
      <c r="G378" s="12" t="s">
        <v>67</v>
      </c>
      <c r="H378" s="6" t="s">
        <v>1351</v>
      </c>
      <c r="I378" s="12" t="s">
        <v>1352</v>
      </c>
      <c r="J378" s="12" t="s">
        <v>1353</v>
      </c>
    </row>
    <row r="379" customFormat="false" ht="17.15" hidden="false" customHeight="false" outlineLevel="0" collapsed="false">
      <c r="A379" s="0" t="s">
        <v>1354</v>
      </c>
      <c r="B379" s="6" t="s">
        <v>1355</v>
      </c>
      <c r="C379" s="0" t="s">
        <v>66</v>
      </c>
      <c r="D379" s="11" t="n">
        <v>0.25</v>
      </c>
      <c r="E379" s="11" t="n">
        <v>0.32</v>
      </c>
      <c r="F379" s="11" t="n">
        <v>0.4</v>
      </c>
      <c r="G379" s="12" t="s">
        <v>857</v>
      </c>
      <c r="H379" s="6" t="s">
        <v>1356</v>
      </c>
      <c r="I379" s="12" t="s">
        <v>1357</v>
      </c>
      <c r="J379" s="12" t="s">
        <v>1358</v>
      </c>
    </row>
    <row r="380" customFormat="false" ht="17.15" hidden="false" customHeight="false" outlineLevel="0" collapsed="false">
      <c r="A380" s="0" t="s">
        <v>1359</v>
      </c>
      <c r="B380" s="0" t="s">
        <v>1360</v>
      </c>
      <c r="C380" s="0" t="s">
        <v>66</v>
      </c>
      <c r="D380" s="11" t="n">
        <v>0.35</v>
      </c>
      <c r="E380" s="11" t="n">
        <v>0.45</v>
      </c>
      <c r="F380" s="11" t="n">
        <v>0.5</v>
      </c>
      <c r="G380" s="12" t="s">
        <v>67</v>
      </c>
      <c r="H380" s="12" t="s">
        <v>1361</v>
      </c>
      <c r="I380" s="12" t="s">
        <v>1362</v>
      </c>
      <c r="J380" s="6" t="s">
        <v>1363</v>
      </c>
    </row>
    <row r="381" customFormat="false" ht="17.15" hidden="false" customHeight="false" outlineLevel="0" collapsed="false">
      <c r="A381" s="0" t="s">
        <v>1364</v>
      </c>
      <c r="B381" s="6" t="s">
        <v>1365</v>
      </c>
      <c r="C381" s="0" t="s">
        <v>66</v>
      </c>
      <c r="D381" s="11" t="n">
        <v>0.5</v>
      </c>
      <c r="E381" s="11" t="n">
        <v>0.64</v>
      </c>
      <c r="F381" s="11" t="n">
        <v>0.8</v>
      </c>
      <c r="G381" s="12" t="s">
        <v>91</v>
      </c>
      <c r="H381" s="6" t="s">
        <v>1366</v>
      </c>
      <c r="I381" s="12" t="s">
        <v>1367</v>
      </c>
      <c r="J381" s="6" t="s">
        <v>1368</v>
      </c>
    </row>
    <row r="382" customFormat="false" ht="17.15" hidden="false" customHeight="false" outlineLevel="0" collapsed="false">
      <c r="A382" s="0" t="s">
        <v>1369</v>
      </c>
      <c r="B382" s="6" t="s">
        <v>1370</v>
      </c>
      <c r="C382" s="0" t="s">
        <v>500</v>
      </c>
      <c r="D382" s="13" t="n">
        <v>0.3</v>
      </c>
      <c r="E382" s="13" t="n">
        <v>0.5</v>
      </c>
      <c r="F382" s="13" t="n">
        <v>0.8</v>
      </c>
      <c r="G382" s="12" t="s">
        <v>857</v>
      </c>
      <c r="H382" s="6" t="s">
        <v>1371</v>
      </c>
      <c r="I382" s="12" t="s">
        <v>1372</v>
      </c>
      <c r="J382" s="6" t="s">
        <v>1373</v>
      </c>
    </row>
    <row r="383" customFormat="false" ht="17.15" hidden="false" customHeight="false" outlineLevel="0" collapsed="false">
      <c r="A383" s="0" t="s">
        <v>1374</v>
      </c>
      <c r="B383" s="6" t="s">
        <v>1375</v>
      </c>
      <c r="C383" s="0" t="s">
        <v>66</v>
      </c>
      <c r="D383" s="11" t="n">
        <v>-0.02</v>
      </c>
      <c r="E383" s="11" t="n">
        <v>0.03</v>
      </c>
      <c r="F383" s="11" t="n">
        <v>0.06</v>
      </c>
      <c r="G383" s="12" t="s">
        <v>117</v>
      </c>
      <c r="H383" s="6" t="s">
        <v>1376</v>
      </c>
      <c r="I383" s="12" t="s">
        <v>1377</v>
      </c>
      <c r="J383" s="6" t="s">
        <v>1378</v>
      </c>
    </row>
    <row r="384" customFormat="false" ht="17.15" hidden="false" customHeight="false" outlineLevel="0" collapsed="false">
      <c r="A384" s="0" t="s">
        <v>1379</v>
      </c>
      <c r="B384" s="0" t="s">
        <v>1380</v>
      </c>
      <c r="C384" s="0" t="s">
        <v>1350</v>
      </c>
      <c r="D384" s="13" t="n">
        <v>1.85</v>
      </c>
      <c r="E384" s="13" t="n">
        <v>2.1</v>
      </c>
      <c r="F384" s="13" t="n">
        <v>2.35</v>
      </c>
      <c r="G384" s="12" t="s">
        <v>117</v>
      </c>
      <c r="H384" s="12" t="s">
        <v>1381</v>
      </c>
      <c r="I384" s="12" t="s">
        <v>1382</v>
      </c>
      <c r="J384" s="6" t="s">
        <v>1383</v>
      </c>
    </row>
    <row r="385" customFormat="false" ht="17.15" hidden="false" customHeight="false" outlineLevel="0" collapsed="false">
      <c r="A385" s="0" t="s">
        <v>1384</v>
      </c>
      <c r="B385" s="6" t="s">
        <v>1385</v>
      </c>
      <c r="C385" s="0" t="s">
        <v>1350</v>
      </c>
      <c r="E385" s="13" t="n">
        <v>3.07</v>
      </c>
      <c r="G385" s="12" t="s">
        <v>91</v>
      </c>
      <c r="H385" s="6" t="s">
        <v>1386</v>
      </c>
      <c r="I385" s="12" t="s">
        <v>1387</v>
      </c>
      <c r="J385" s="6" t="s">
        <v>1388</v>
      </c>
    </row>
    <row r="386" customFormat="false" ht="17.15" hidden="false" customHeight="false" outlineLevel="0" collapsed="false">
      <c r="A386" s="0" t="s">
        <v>1389</v>
      </c>
      <c r="B386" s="6" t="s">
        <v>1390</v>
      </c>
      <c r="C386" s="0" t="s">
        <v>1350</v>
      </c>
      <c r="E386" s="13" t="n">
        <v>1.06</v>
      </c>
      <c r="G386" s="12" t="s">
        <v>91</v>
      </c>
      <c r="H386" s="6" t="s">
        <v>1391</v>
      </c>
      <c r="I386" s="12" t="s">
        <v>1392</v>
      </c>
      <c r="J386" s="6" t="s">
        <v>72</v>
      </c>
    </row>
    <row r="387" customFormat="false" ht="17.15" hidden="false" customHeight="false" outlineLevel="0" collapsed="false">
      <c r="A387" s="0" t="s">
        <v>1393</v>
      </c>
      <c r="B387" s="6" t="s">
        <v>1394</v>
      </c>
      <c r="C387" s="0" t="s">
        <v>1350</v>
      </c>
      <c r="E387" s="13" t="n">
        <v>0.7</v>
      </c>
      <c r="G387" s="12" t="s">
        <v>91</v>
      </c>
      <c r="H387" s="6" t="s">
        <v>1395</v>
      </c>
      <c r="I387" s="12" t="s">
        <v>1396</v>
      </c>
      <c r="J387" s="6" t="s">
        <v>72</v>
      </c>
    </row>
    <row r="388" customFormat="false" ht="17.15" hidden="false" customHeight="false" outlineLevel="0" collapsed="false">
      <c r="A388" s="0" t="s">
        <v>1397</v>
      </c>
      <c r="B388" s="0" t="s">
        <v>1398</v>
      </c>
      <c r="C388" s="0" t="s">
        <v>500</v>
      </c>
      <c r="D388" s="13" t="n">
        <v>1.1</v>
      </c>
      <c r="E388" s="13" t="n">
        <v>1.25</v>
      </c>
      <c r="F388" s="13" t="n">
        <v>1.4</v>
      </c>
      <c r="G388" s="12" t="s">
        <v>117</v>
      </c>
      <c r="H388" s="12" t="s">
        <v>1150</v>
      </c>
      <c r="I388" s="12" t="s">
        <v>1399</v>
      </c>
      <c r="J388" s="12" t="s">
        <v>1400</v>
      </c>
    </row>
    <row r="389" customFormat="false" ht="17.15" hidden="false" customHeight="false" outlineLevel="0" collapsed="false">
      <c r="A389" s="0" t="s">
        <v>1401</v>
      </c>
      <c r="B389" s="0" t="s">
        <v>1402</v>
      </c>
      <c r="C389" s="0" t="s">
        <v>500</v>
      </c>
      <c r="D389" s="13" t="n">
        <v>1.3</v>
      </c>
      <c r="E389" s="13" t="n">
        <v>1.55</v>
      </c>
      <c r="F389" s="13" t="n">
        <v>1.8</v>
      </c>
      <c r="G389" s="12" t="s">
        <v>117</v>
      </c>
      <c r="H389" s="6" t="s">
        <v>72</v>
      </c>
      <c r="I389" s="12" t="s">
        <v>1403</v>
      </c>
      <c r="J389" s="12" t="s">
        <v>684</v>
      </c>
    </row>
    <row r="390" customFormat="false" ht="17.15" hidden="false" customHeight="false" outlineLevel="0" collapsed="false">
      <c r="A390" s="0" t="s">
        <v>1404</v>
      </c>
      <c r="B390" s="0" t="s">
        <v>1405</v>
      </c>
      <c r="C390" s="0" t="s">
        <v>500</v>
      </c>
      <c r="D390" s="13" t="n">
        <v>1.5</v>
      </c>
      <c r="E390" s="13" t="n">
        <v>1.8</v>
      </c>
      <c r="F390" s="13" t="n">
        <v>2.1</v>
      </c>
      <c r="G390" s="12" t="s">
        <v>117</v>
      </c>
      <c r="H390" s="6" t="s">
        <v>72</v>
      </c>
      <c r="I390" s="12" t="s">
        <v>1406</v>
      </c>
      <c r="J390" s="12" t="s">
        <v>684</v>
      </c>
    </row>
    <row r="391" customFormat="false" ht="17.15" hidden="false" customHeight="false" outlineLevel="0" collapsed="false">
      <c r="A391" s="0" t="s">
        <v>1407</v>
      </c>
      <c r="B391" s="0" t="s">
        <v>1408</v>
      </c>
      <c r="C391" s="0" t="s">
        <v>500</v>
      </c>
      <c r="D391" s="13" t="n">
        <v>1.25</v>
      </c>
      <c r="E391" s="13" t="n">
        <v>1.35</v>
      </c>
      <c r="F391" s="13" t="n">
        <v>1.45</v>
      </c>
      <c r="G391" s="12" t="s">
        <v>117</v>
      </c>
      <c r="H391" s="6" t="s">
        <v>1409</v>
      </c>
      <c r="I391" s="12" t="s">
        <v>1410</v>
      </c>
      <c r="J391" s="6" t="s">
        <v>1411</v>
      </c>
    </row>
    <row r="392" customFormat="false" ht="17.15" hidden="false" customHeight="false" outlineLevel="0" collapsed="false">
      <c r="A392" s="0" t="s">
        <v>1412</v>
      </c>
      <c r="B392" s="0" t="s">
        <v>1413</v>
      </c>
      <c r="C392" s="0" t="s">
        <v>500</v>
      </c>
      <c r="D392" s="13" t="n">
        <v>1.5</v>
      </c>
      <c r="E392" s="13" t="n">
        <v>1.7</v>
      </c>
      <c r="F392" s="13" t="n">
        <v>1.9</v>
      </c>
      <c r="G392" s="12" t="s">
        <v>117</v>
      </c>
      <c r="H392" s="6" t="s">
        <v>72</v>
      </c>
      <c r="I392" s="12" t="s">
        <v>1414</v>
      </c>
      <c r="J392" s="6" t="s">
        <v>1415</v>
      </c>
    </row>
    <row r="393" customFormat="false" ht="17.15" hidden="false" customHeight="false" outlineLevel="0" collapsed="false">
      <c r="A393" s="0" t="s">
        <v>1416</v>
      </c>
      <c r="B393" s="0" t="s">
        <v>1417</v>
      </c>
      <c r="C393" s="0" t="s">
        <v>500</v>
      </c>
      <c r="D393" s="13" t="n">
        <v>1.7</v>
      </c>
      <c r="E393" s="13" t="n">
        <v>2</v>
      </c>
      <c r="F393" s="13" t="n">
        <v>2.3</v>
      </c>
      <c r="G393" s="12" t="s">
        <v>117</v>
      </c>
      <c r="H393" s="6" t="s">
        <v>72</v>
      </c>
      <c r="I393" s="12" t="s">
        <v>1418</v>
      </c>
      <c r="J393" s="6" t="s">
        <v>1415</v>
      </c>
    </row>
    <row r="394" customFormat="false" ht="17.15" hidden="false" customHeight="false" outlineLevel="0" collapsed="false">
      <c r="A394" s="0" t="s">
        <v>1419</v>
      </c>
      <c r="B394" s="0" t="s">
        <v>1408</v>
      </c>
      <c r="C394" s="0" t="s">
        <v>500</v>
      </c>
      <c r="D394" s="13" t="n">
        <v>1.1</v>
      </c>
      <c r="E394" s="13" t="n">
        <v>1.2</v>
      </c>
      <c r="F394" s="13" t="n">
        <v>1.3</v>
      </c>
      <c r="G394" s="12" t="s">
        <v>117</v>
      </c>
      <c r="H394" s="6" t="s">
        <v>1420</v>
      </c>
      <c r="I394" s="12" t="s">
        <v>1421</v>
      </c>
      <c r="J394" s="6" t="s">
        <v>1422</v>
      </c>
    </row>
    <row r="395" customFormat="false" ht="17.15" hidden="false" customHeight="false" outlineLevel="0" collapsed="false">
      <c r="A395" s="0" t="s">
        <v>1423</v>
      </c>
      <c r="B395" s="0" t="s">
        <v>1413</v>
      </c>
      <c r="C395" s="0" t="s">
        <v>500</v>
      </c>
      <c r="D395" s="13" t="n">
        <v>1.2</v>
      </c>
      <c r="E395" s="13" t="n">
        <v>1.35</v>
      </c>
      <c r="F395" s="13" t="n">
        <v>1.5</v>
      </c>
      <c r="G395" s="12" t="s">
        <v>117</v>
      </c>
      <c r="H395" s="6" t="s">
        <v>72</v>
      </c>
      <c r="I395" s="12" t="s">
        <v>1424</v>
      </c>
      <c r="J395" s="6" t="s">
        <v>1425</v>
      </c>
    </row>
    <row r="396" customFormat="false" ht="17.15" hidden="false" customHeight="false" outlineLevel="0" collapsed="false">
      <c r="A396" s="0" t="s">
        <v>1426</v>
      </c>
      <c r="B396" s="0" t="s">
        <v>1417</v>
      </c>
      <c r="C396" s="0" t="s">
        <v>500</v>
      </c>
      <c r="D396" s="13" t="n">
        <v>1.35</v>
      </c>
      <c r="E396" s="13" t="n">
        <v>1.6</v>
      </c>
      <c r="F396" s="13" t="n">
        <v>1.85</v>
      </c>
      <c r="G396" s="12" t="s">
        <v>117</v>
      </c>
      <c r="H396" s="6" t="s">
        <v>72</v>
      </c>
      <c r="I396" s="12" t="s">
        <v>1427</v>
      </c>
      <c r="J396" s="12" t="s">
        <v>684</v>
      </c>
    </row>
    <row r="397" customFormat="false" ht="17.15" hidden="false" customHeight="false" outlineLevel="0" collapsed="false">
      <c r="A397" s="0" t="s">
        <v>1428</v>
      </c>
      <c r="B397" s="0" t="s">
        <v>1408</v>
      </c>
      <c r="C397" s="0" t="s">
        <v>500</v>
      </c>
      <c r="D397" s="13" t="n">
        <v>1.1</v>
      </c>
      <c r="E397" s="13" t="n">
        <v>1.2</v>
      </c>
      <c r="F397" s="13" t="n">
        <v>1.25</v>
      </c>
      <c r="G397" s="12" t="s">
        <v>67</v>
      </c>
      <c r="H397" s="6" t="s">
        <v>1429</v>
      </c>
      <c r="I397" s="12" t="s">
        <v>1430</v>
      </c>
      <c r="J397" s="6" t="s">
        <v>1431</v>
      </c>
    </row>
    <row r="398" customFormat="false" ht="17.15" hidden="false" customHeight="false" outlineLevel="0" collapsed="false">
      <c r="A398" s="0" t="s">
        <v>1432</v>
      </c>
      <c r="B398" s="0" t="s">
        <v>1413</v>
      </c>
      <c r="C398" s="0" t="s">
        <v>500</v>
      </c>
      <c r="D398" s="13" t="n">
        <v>1.3</v>
      </c>
      <c r="E398" s="13" t="n">
        <v>1.5</v>
      </c>
      <c r="F398" s="13" t="n">
        <v>1.62</v>
      </c>
      <c r="G398" s="12" t="s">
        <v>117</v>
      </c>
      <c r="H398" s="6" t="s">
        <v>1433</v>
      </c>
      <c r="I398" s="12" t="s">
        <v>1434</v>
      </c>
      <c r="J398" s="12" t="s">
        <v>1435</v>
      </c>
    </row>
    <row r="399" customFormat="false" ht="17.15" hidden="false" customHeight="false" outlineLevel="0" collapsed="false">
      <c r="A399" s="0" t="s">
        <v>1436</v>
      </c>
      <c r="B399" s="0" t="s">
        <v>1417</v>
      </c>
      <c r="C399" s="0" t="s">
        <v>500</v>
      </c>
      <c r="D399" s="13" t="n">
        <v>1.55</v>
      </c>
      <c r="E399" s="13" t="n">
        <v>1.85</v>
      </c>
      <c r="F399" s="13" t="n">
        <v>2</v>
      </c>
      <c r="G399" s="12" t="s">
        <v>117</v>
      </c>
      <c r="H399" s="6" t="s">
        <v>1433</v>
      </c>
      <c r="I399" s="12" t="s">
        <v>1437</v>
      </c>
      <c r="J399" s="12" t="s">
        <v>684</v>
      </c>
    </row>
    <row r="400" customFormat="false" ht="17.15" hidden="false" customHeight="false" outlineLevel="0" collapsed="false">
      <c r="A400" s="0" t="s">
        <v>1438</v>
      </c>
      <c r="B400" s="6" t="s">
        <v>1439</v>
      </c>
      <c r="C400" s="0" t="s">
        <v>500</v>
      </c>
      <c r="D400" s="13" t="n">
        <v>1.05</v>
      </c>
      <c r="E400" s="13" t="n">
        <v>1.15</v>
      </c>
      <c r="F400" s="13" t="n">
        <v>1.3</v>
      </c>
      <c r="G400" s="12" t="s">
        <v>117</v>
      </c>
      <c r="H400" s="6" t="s">
        <v>1440</v>
      </c>
      <c r="I400" s="12" t="s">
        <v>1441</v>
      </c>
      <c r="J400" s="6" t="s">
        <v>1442</v>
      </c>
    </row>
    <row r="401" customFormat="false" ht="17.15" hidden="false" customHeight="false" outlineLevel="0" collapsed="false">
      <c r="A401" s="0" t="s">
        <v>1443</v>
      </c>
      <c r="B401" s="6" t="s">
        <v>1444</v>
      </c>
      <c r="C401" s="0" t="s">
        <v>500</v>
      </c>
      <c r="D401" s="13" t="n">
        <v>1.15</v>
      </c>
      <c r="E401" s="13" t="n">
        <v>1.3</v>
      </c>
      <c r="F401" s="13" t="n">
        <v>1.55</v>
      </c>
      <c r="G401" s="12" t="s">
        <v>117</v>
      </c>
      <c r="H401" s="6" t="s">
        <v>72</v>
      </c>
      <c r="I401" s="12" t="s">
        <v>1445</v>
      </c>
      <c r="J401" s="12" t="s">
        <v>684</v>
      </c>
    </row>
    <row r="402" customFormat="false" ht="17.15" hidden="false" customHeight="false" outlineLevel="0" collapsed="false">
      <c r="A402" s="0" t="s">
        <v>1446</v>
      </c>
      <c r="B402" s="6" t="s">
        <v>1447</v>
      </c>
      <c r="C402" s="0" t="s">
        <v>500</v>
      </c>
      <c r="D402" s="13" t="n">
        <v>1.25</v>
      </c>
      <c r="E402" s="13" t="n">
        <v>1.45</v>
      </c>
      <c r="F402" s="13" t="n">
        <v>1.75</v>
      </c>
      <c r="G402" s="12" t="s">
        <v>117</v>
      </c>
      <c r="H402" s="6" t="s">
        <v>72</v>
      </c>
      <c r="I402" s="12" t="s">
        <v>1448</v>
      </c>
      <c r="J402" s="12" t="s">
        <v>684</v>
      </c>
    </row>
    <row r="403" customFormat="false" ht="17.15" hidden="false" customHeight="false" outlineLevel="0" collapsed="false">
      <c r="A403" s="0" t="s">
        <v>1449</v>
      </c>
      <c r="B403" s="0" t="s">
        <v>1450</v>
      </c>
      <c r="C403" s="0" t="s">
        <v>500</v>
      </c>
      <c r="D403" s="13" t="n">
        <v>1.15</v>
      </c>
      <c r="E403" s="13" t="n">
        <v>1.3</v>
      </c>
      <c r="F403" s="13" t="n">
        <v>1.45</v>
      </c>
      <c r="G403" s="12" t="s">
        <v>117</v>
      </c>
      <c r="H403" s="12" t="s">
        <v>1451</v>
      </c>
      <c r="I403" s="12" t="s">
        <v>1452</v>
      </c>
      <c r="J403" s="6" t="s">
        <v>1453</v>
      </c>
    </row>
    <row r="404" customFormat="false" ht="17.15" hidden="false" customHeight="false" outlineLevel="0" collapsed="false">
      <c r="A404" s="0" t="s">
        <v>1454</v>
      </c>
      <c r="B404" s="0" t="s">
        <v>1455</v>
      </c>
      <c r="C404" s="0" t="s">
        <v>500</v>
      </c>
      <c r="D404" s="13" t="n">
        <v>1.3</v>
      </c>
      <c r="E404" s="13" t="n">
        <v>1.55</v>
      </c>
      <c r="F404" s="13" t="n">
        <v>1.85</v>
      </c>
      <c r="G404" s="12" t="s">
        <v>117</v>
      </c>
      <c r="H404" s="6" t="s">
        <v>72</v>
      </c>
      <c r="I404" s="12" t="s">
        <v>1456</v>
      </c>
      <c r="J404" s="12" t="s">
        <v>684</v>
      </c>
    </row>
    <row r="405" customFormat="false" ht="17.15" hidden="false" customHeight="false" outlineLevel="0" collapsed="false">
      <c r="A405" s="0" t="s">
        <v>1457</v>
      </c>
      <c r="B405" s="0" t="s">
        <v>1458</v>
      </c>
      <c r="C405" s="0" t="s">
        <v>500</v>
      </c>
      <c r="D405" s="13" t="n">
        <v>1.45</v>
      </c>
      <c r="E405" s="13" t="n">
        <v>1.8</v>
      </c>
      <c r="F405" s="13" t="n">
        <v>2.25</v>
      </c>
      <c r="G405" s="12" t="s">
        <v>117</v>
      </c>
      <c r="H405" s="6" t="s">
        <v>72</v>
      </c>
      <c r="I405" s="12" t="s">
        <v>1459</v>
      </c>
      <c r="J405" s="12" t="s">
        <v>684</v>
      </c>
    </row>
    <row r="406" customFormat="false" ht="17.15" hidden="false" customHeight="false" outlineLevel="0" collapsed="false">
      <c r="A406" s="10" t="s">
        <v>1460</v>
      </c>
    </row>
    <row r="407" customFormat="false" ht="17.15" hidden="false" customHeight="false" outlineLevel="0" collapsed="false">
      <c r="A407" s="0" t="s">
        <v>1461</v>
      </c>
      <c r="B407" s="6" t="s">
        <v>1462</v>
      </c>
      <c r="C407" s="0" t="s">
        <v>1463</v>
      </c>
      <c r="D407" s="13" t="n">
        <v>200</v>
      </c>
      <c r="E407" s="13" t="n">
        <v>280</v>
      </c>
      <c r="F407" s="13" t="n">
        <v>360</v>
      </c>
      <c r="G407" s="12" t="s">
        <v>117</v>
      </c>
      <c r="H407" s="6" t="s">
        <v>1464</v>
      </c>
      <c r="I407" s="12" t="s">
        <v>1465</v>
      </c>
      <c r="J407" s="6" t="s">
        <v>1466</v>
      </c>
    </row>
    <row r="408" customFormat="false" ht="17.15" hidden="false" customHeight="false" outlineLevel="0" collapsed="false">
      <c r="A408" s="0" t="s">
        <v>1467</v>
      </c>
      <c r="B408" s="6" t="s">
        <v>1468</v>
      </c>
      <c r="C408" s="0" t="s">
        <v>1463</v>
      </c>
      <c r="D408" s="13" t="n">
        <v>80</v>
      </c>
      <c r="E408" s="13" t="n">
        <v>120</v>
      </c>
      <c r="F408" s="13" t="n">
        <v>160</v>
      </c>
      <c r="G408" s="12" t="s">
        <v>117</v>
      </c>
      <c r="H408" s="6" t="s">
        <v>1469</v>
      </c>
      <c r="I408" s="12" t="s">
        <v>1470</v>
      </c>
      <c r="J408" s="6" t="s">
        <v>1471</v>
      </c>
    </row>
    <row r="409" customFormat="false" ht="17.15" hidden="false" customHeight="false" outlineLevel="0" collapsed="false">
      <c r="A409" s="0" t="s">
        <v>1472</v>
      </c>
      <c r="B409" s="6" t="s">
        <v>1473</v>
      </c>
      <c r="C409" s="0" t="s">
        <v>1463</v>
      </c>
      <c r="D409" s="13" t="n">
        <v>30</v>
      </c>
      <c r="E409" s="13" t="n">
        <v>50</v>
      </c>
      <c r="F409" s="13" t="n">
        <v>80</v>
      </c>
      <c r="G409" s="12" t="s">
        <v>117</v>
      </c>
      <c r="H409" s="6" t="s">
        <v>1474</v>
      </c>
      <c r="I409" s="12" t="s">
        <v>1475</v>
      </c>
      <c r="J409" s="12" t="s">
        <v>1476</v>
      </c>
    </row>
    <row r="410" customFormat="false" ht="17.15" hidden="false" customHeight="false" outlineLevel="0" collapsed="false">
      <c r="A410" s="0" t="s">
        <v>1477</v>
      </c>
      <c r="B410" s="6" t="s">
        <v>1478</v>
      </c>
      <c r="C410" s="0" t="s">
        <v>500</v>
      </c>
      <c r="D410" s="13" t="n">
        <v>1.25</v>
      </c>
      <c r="E410" s="13" t="n">
        <v>1.5</v>
      </c>
      <c r="F410" s="13" t="n">
        <v>1.75</v>
      </c>
      <c r="G410" s="12" t="s">
        <v>857</v>
      </c>
      <c r="H410" s="12" t="s">
        <v>1479</v>
      </c>
      <c r="I410" s="12" t="s">
        <v>1480</v>
      </c>
      <c r="J410" s="12" t="s">
        <v>1481</v>
      </c>
    </row>
    <row r="411" customFormat="false" ht="17.15" hidden="false" customHeight="false" outlineLevel="0" collapsed="false">
      <c r="A411" s="0" t="s">
        <v>1482</v>
      </c>
      <c r="B411" s="6" t="s">
        <v>1483</v>
      </c>
      <c r="C411" s="0" t="s">
        <v>500</v>
      </c>
      <c r="D411" s="13" t="n">
        <v>1.35</v>
      </c>
      <c r="E411" s="13" t="n">
        <v>1.65</v>
      </c>
      <c r="F411" s="13" t="n">
        <v>2</v>
      </c>
      <c r="G411" s="12" t="s">
        <v>857</v>
      </c>
      <c r="H411" s="6" t="s">
        <v>72</v>
      </c>
      <c r="I411" s="12" t="s">
        <v>1484</v>
      </c>
      <c r="J411" s="12" t="s">
        <v>684</v>
      </c>
    </row>
    <row r="412" customFormat="false" ht="17.15" hidden="false" customHeight="false" outlineLevel="0" collapsed="false">
      <c r="A412" s="0" t="s">
        <v>1485</v>
      </c>
      <c r="B412" s="6" t="s">
        <v>1486</v>
      </c>
      <c r="C412" s="0" t="s">
        <v>500</v>
      </c>
      <c r="D412" s="13" t="n">
        <v>1.4</v>
      </c>
      <c r="E412" s="13" t="n">
        <v>1.8</v>
      </c>
      <c r="F412" s="13" t="n">
        <v>2.2</v>
      </c>
      <c r="G412" s="12" t="s">
        <v>857</v>
      </c>
      <c r="H412" s="6" t="s">
        <v>72</v>
      </c>
      <c r="I412" s="12" t="s">
        <v>1487</v>
      </c>
      <c r="J412" s="12" t="s">
        <v>684</v>
      </c>
    </row>
    <row r="413" customFormat="false" ht="17.15" hidden="false" customHeight="false" outlineLevel="0" collapsed="false">
      <c r="A413" s="0" t="s">
        <v>1488</v>
      </c>
      <c r="B413" s="6" t="s">
        <v>1489</v>
      </c>
      <c r="C413" s="0" t="s">
        <v>500</v>
      </c>
      <c r="D413" s="13" t="n">
        <v>1.15</v>
      </c>
      <c r="E413" s="13" t="n">
        <v>1.35</v>
      </c>
      <c r="F413" s="13" t="n">
        <v>1.6</v>
      </c>
      <c r="G413" s="12" t="s">
        <v>117</v>
      </c>
      <c r="H413" s="6" t="s">
        <v>1490</v>
      </c>
      <c r="I413" s="12" t="s">
        <v>1491</v>
      </c>
      <c r="J413" s="6" t="s">
        <v>1492</v>
      </c>
    </row>
    <row r="414" customFormat="false" ht="17.15" hidden="false" customHeight="false" outlineLevel="0" collapsed="false">
      <c r="A414" s="0" t="s">
        <v>1493</v>
      </c>
      <c r="B414" s="6" t="s">
        <v>1494</v>
      </c>
      <c r="C414" s="0" t="s">
        <v>500</v>
      </c>
      <c r="D414" s="13" t="n">
        <v>1.25</v>
      </c>
      <c r="E414" s="13" t="n">
        <v>1.5</v>
      </c>
      <c r="F414" s="13" t="n">
        <v>1.85</v>
      </c>
      <c r="G414" s="12" t="s">
        <v>117</v>
      </c>
      <c r="H414" s="6" t="s">
        <v>72</v>
      </c>
      <c r="I414" s="12" t="s">
        <v>1495</v>
      </c>
      <c r="J414" s="12" t="s">
        <v>684</v>
      </c>
    </row>
    <row r="415" customFormat="false" ht="17.15" hidden="false" customHeight="false" outlineLevel="0" collapsed="false">
      <c r="A415" s="0" t="s">
        <v>1496</v>
      </c>
      <c r="B415" s="6" t="s">
        <v>1497</v>
      </c>
      <c r="C415" s="0" t="s">
        <v>500</v>
      </c>
      <c r="D415" s="13" t="n">
        <v>1.3</v>
      </c>
      <c r="E415" s="13" t="n">
        <v>1.65</v>
      </c>
      <c r="F415" s="13" t="n">
        <v>2.1</v>
      </c>
      <c r="G415" s="12" t="s">
        <v>117</v>
      </c>
      <c r="H415" s="6" t="s">
        <v>72</v>
      </c>
      <c r="I415" s="12" t="s">
        <v>1498</v>
      </c>
      <c r="J415" s="12" t="s">
        <v>684</v>
      </c>
    </row>
    <row r="416" customFormat="false" ht="17.15" hidden="false" customHeight="false" outlineLevel="0" collapsed="false">
      <c r="A416" s="0" t="s">
        <v>1499</v>
      </c>
      <c r="B416" s="6" t="s">
        <v>1500</v>
      </c>
      <c r="C416" s="0" t="s">
        <v>500</v>
      </c>
      <c r="D416" s="13" t="n">
        <v>1.4</v>
      </c>
      <c r="E416" s="13" t="n">
        <v>2</v>
      </c>
      <c r="F416" s="13" t="n">
        <v>2.6</v>
      </c>
      <c r="G416" s="12" t="s">
        <v>117</v>
      </c>
      <c r="H416" s="12" t="s">
        <v>1501</v>
      </c>
      <c r="I416" s="12" t="s">
        <v>1502</v>
      </c>
      <c r="J416" s="6" t="s">
        <v>1503</v>
      </c>
    </row>
    <row r="417" customFormat="false" ht="17.15" hidden="false" customHeight="false" outlineLevel="0" collapsed="false">
      <c r="A417" s="0" t="s">
        <v>1504</v>
      </c>
      <c r="B417" s="6" t="s">
        <v>1505</v>
      </c>
      <c r="C417" s="0" t="s">
        <v>500</v>
      </c>
      <c r="D417" s="13" t="n">
        <v>1.8</v>
      </c>
      <c r="E417" s="13" t="n">
        <v>3</v>
      </c>
      <c r="F417" s="13" t="n">
        <v>4</v>
      </c>
      <c r="G417" s="12" t="s">
        <v>117</v>
      </c>
      <c r="H417" s="6" t="s">
        <v>72</v>
      </c>
      <c r="I417" s="12" t="s">
        <v>1506</v>
      </c>
      <c r="J417" s="12" t="s">
        <v>684</v>
      </c>
    </row>
    <row r="418" customFormat="false" ht="17.15" hidden="false" customHeight="false" outlineLevel="0" collapsed="false">
      <c r="A418" s="0" t="s">
        <v>1507</v>
      </c>
      <c r="B418" s="6" t="s">
        <v>1508</v>
      </c>
      <c r="C418" s="0" t="s">
        <v>500</v>
      </c>
      <c r="D418" s="13" t="n">
        <v>2</v>
      </c>
      <c r="E418" s="13" t="n">
        <v>3.5</v>
      </c>
      <c r="F418" s="13" t="n">
        <v>5</v>
      </c>
      <c r="G418" s="12" t="s">
        <v>117</v>
      </c>
      <c r="H418" s="6" t="s">
        <v>72</v>
      </c>
      <c r="I418" s="12" t="s">
        <v>1509</v>
      </c>
      <c r="J418" s="12" t="s">
        <v>684</v>
      </c>
    </row>
    <row r="419" customFormat="false" ht="17.15" hidden="false" customHeight="false" outlineLevel="0" collapsed="false">
      <c r="A419" s="0" t="s">
        <v>1510</v>
      </c>
      <c r="B419" s="6" t="s">
        <v>1511</v>
      </c>
      <c r="C419" s="0" t="s">
        <v>1463</v>
      </c>
      <c r="D419" s="13" t="n">
        <v>130</v>
      </c>
      <c r="E419" s="13" t="n">
        <v>190</v>
      </c>
      <c r="F419" s="13" t="n">
        <v>250</v>
      </c>
      <c r="G419" s="12" t="s">
        <v>117</v>
      </c>
      <c r="H419" s="6" t="s">
        <v>1512</v>
      </c>
      <c r="I419" s="12" t="s">
        <v>1513</v>
      </c>
      <c r="J419" s="12" t="s">
        <v>1514</v>
      </c>
    </row>
    <row r="420" customFormat="false" ht="17.15" hidden="false" customHeight="false" outlineLevel="0" collapsed="false">
      <c r="A420" s="0" t="s">
        <v>1515</v>
      </c>
      <c r="B420" s="6" t="s">
        <v>1516</v>
      </c>
      <c r="C420" s="0" t="s">
        <v>1463</v>
      </c>
      <c r="D420" s="13" t="n">
        <v>60</v>
      </c>
      <c r="E420" s="13" t="n">
        <v>90</v>
      </c>
      <c r="F420" s="13" t="n">
        <v>120</v>
      </c>
      <c r="G420" s="12" t="s">
        <v>117</v>
      </c>
      <c r="H420" s="6" t="s">
        <v>1517</v>
      </c>
      <c r="I420" s="12" t="s">
        <v>1518</v>
      </c>
      <c r="J420" s="12" t="s">
        <v>1519</v>
      </c>
    </row>
    <row r="421" customFormat="false" ht="17.15" hidden="false" customHeight="false" outlineLevel="0" collapsed="false">
      <c r="A421" s="0" t="s">
        <v>1520</v>
      </c>
      <c r="B421" s="6" t="s">
        <v>1521</v>
      </c>
      <c r="C421" s="0" t="s">
        <v>1463</v>
      </c>
      <c r="D421" s="13" t="n">
        <v>40</v>
      </c>
      <c r="E421" s="13" t="n">
        <v>70</v>
      </c>
      <c r="F421" s="13" t="n">
        <v>100</v>
      </c>
      <c r="G421" s="12" t="s">
        <v>117</v>
      </c>
      <c r="H421" s="6" t="s">
        <v>1522</v>
      </c>
      <c r="I421" s="12" t="s">
        <v>1523</v>
      </c>
      <c r="J421" s="12" t="s">
        <v>1524</v>
      </c>
    </row>
    <row r="422" customFormat="false" ht="17.15" hidden="false" customHeight="false" outlineLevel="0" collapsed="false">
      <c r="A422" s="0" t="s">
        <v>1525</v>
      </c>
      <c r="B422" s="6" t="s">
        <v>1526</v>
      </c>
      <c r="C422" s="0" t="s">
        <v>500</v>
      </c>
      <c r="D422" s="13" t="n">
        <v>1.2</v>
      </c>
      <c r="E422" s="13" t="n">
        <v>1.45</v>
      </c>
      <c r="F422" s="13" t="n">
        <v>1.8</v>
      </c>
      <c r="G422" s="12" t="s">
        <v>857</v>
      </c>
      <c r="H422" s="6" t="s">
        <v>1527</v>
      </c>
      <c r="I422" s="12" t="s">
        <v>1528</v>
      </c>
      <c r="J422" s="12" t="s">
        <v>1529</v>
      </c>
    </row>
    <row r="423" customFormat="false" ht="17.15" hidden="false" customHeight="false" outlineLevel="0" collapsed="false">
      <c r="A423" s="0" t="s">
        <v>1530</v>
      </c>
      <c r="B423" s="6" t="s">
        <v>1531</v>
      </c>
      <c r="C423" s="0" t="s">
        <v>500</v>
      </c>
      <c r="D423" s="13" t="n">
        <v>1.3</v>
      </c>
      <c r="E423" s="13" t="n">
        <v>1.6</v>
      </c>
      <c r="F423" s="13" t="n">
        <v>2</v>
      </c>
      <c r="G423" s="12" t="s">
        <v>857</v>
      </c>
      <c r="H423" s="6" t="s">
        <v>72</v>
      </c>
      <c r="I423" s="12" t="s">
        <v>1532</v>
      </c>
      <c r="J423" s="12" t="s">
        <v>684</v>
      </c>
    </row>
    <row r="424" customFormat="false" ht="17.15" hidden="false" customHeight="false" outlineLevel="0" collapsed="false">
      <c r="A424" s="0" t="s">
        <v>1533</v>
      </c>
      <c r="B424" s="6" t="s">
        <v>1534</v>
      </c>
      <c r="C424" s="0" t="s">
        <v>500</v>
      </c>
      <c r="D424" s="13" t="n">
        <v>1.3</v>
      </c>
      <c r="E424" s="13" t="n">
        <v>1.7</v>
      </c>
      <c r="F424" s="13" t="n">
        <v>2.2</v>
      </c>
      <c r="G424" s="12" t="s">
        <v>857</v>
      </c>
      <c r="H424" s="6" t="s">
        <v>72</v>
      </c>
      <c r="I424" s="12" t="s">
        <v>1535</v>
      </c>
      <c r="J424" s="12" t="s">
        <v>684</v>
      </c>
    </row>
    <row r="425" customFormat="false" ht="17.15" hidden="false" customHeight="false" outlineLevel="0" collapsed="false">
      <c r="A425" s="0" t="s">
        <v>1536</v>
      </c>
      <c r="B425" s="6" t="s">
        <v>1537</v>
      </c>
      <c r="C425" s="0" t="s">
        <v>500</v>
      </c>
      <c r="D425" s="13" t="n">
        <v>1.15</v>
      </c>
      <c r="E425" s="13" t="n">
        <v>1.4</v>
      </c>
      <c r="F425" s="13" t="n">
        <v>1.7</v>
      </c>
      <c r="G425" s="12" t="s">
        <v>117</v>
      </c>
      <c r="H425" s="6" t="s">
        <v>1538</v>
      </c>
      <c r="I425" s="12" t="s">
        <v>1539</v>
      </c>
      <c r="J425" s="6" t="s">
        <v>1540</v>
      </c>
    </row>
    <row r="426" customFormat="false" ht="17.15" hidden="false" customHeight="false" outlineLevel="0" collapsed="false">
      <c r="A426" s="0" t="s">
        <v>1541</v>
      </c>
      <c r="B426" s="6" t="s">
        <v>1542</v>
      </c>
      <c r="C426" s="0" t="s">
        <v>500</v>
      </c>
      <c r="D426" s="13" t="n">
        <v>1.25</v>
      </c>
      <c r="E426" s="13" t="n">
        <v>1.6</v>
      </c>
      <c r="F426" s="13" t="n">
        <v>2</v>
      </c>
      <c r="G426" s="12" t="s">
        <v>117</v>
      </c>
      <c r="H426" s="6" t="s">
        <v>72</v>
      </c>
      <c r="I426" s="12" t="s">
        <v>1543</v>
      </c>
      <c r="J426" s="12" t="s">
        <v>684</v>
      </c>
    </row>
    <row r="427" customFormat="false" ht="17.15" hidden="false" customHeight="false" outlineLevel="0" collapsed="false">
      <c r="A427" s="0" t="s">
        <v>1544</v>
      </c>
      <c r="B427" s="6" t="s">
        <v>1545</v>
      </c>
      <c r="C427" s="0" t="s">
        <v>500</v>
      </c>
      <c r="D427" s="13" t="n">
        <v>1.3</v>
      </c>
      <c r="E427" s="13" t="n">
        <v>1.75</v>
      </c>
      <c r="F427" s="13" t="n">
        <v>2.2</v>
      </c>
      <c r="G427" s="12" t="s">
        <v>117</v>
      </c>
      <c r="H427" s="6" t="s">
        <v>72</v>
      </c>
      <c r="I427" s="12" t="s">
        <v>1546</v>
      </c>
      <c r="J427" s="12" t="s">
        <v>684</v>
      </c>
    </row>
    <row r="428" customFormat="false" ht="17.15" hidden="false" customHeight="false" outlineLevel="0" collapsed="false">
      <c r="A428" s="0" t="s">
        <v>1547</v>
      </c>
      <c r="B428" s="6" t="s">
        <v>1548</v>
      </c>
      <c r="C428" s="0" t="s">
        <v>500</v>
      </c>
      <c r="D428" s="13" t="n">
        <v>1.3</v>
      </c>
      <c r="E428" s="13" t="n">
        <v>1.8</v>
      </c>
      <c r="F428" s="13" t="n">
        <v>2.5</v>
      </c>
      <c r="G428" s="12" t="s">
        <v>117</v>
      </c>
      <c r="H428" s="12" t="s">
        <v>1549</v>
      </c>
      <c r="I428" s="12" t="s">
        <v>1550</v>
      </c>
      <c r="J428" s="12" t="s">
        <v>1551</v>
      </c>
    </row>
    <row r="429" customFormat="false" ht="17.15" hidden="false" customHeight="false" outlineLevel="0" collapsed="false">
      <c r="A429" s="0" t="s">
        <v>1552</v>
      </c>
      <c r="B429" s="6" t="s">
        <v>1553</v>
      </c>
      <c r="C429" s="0" t="s">
        <v>500</v>
      </c>
      <c r="D429" s="13" t="n">
        <v>1.5</v>
      </c>
      <c r="E429" s="13" t="n">
        <v>2.3</v>
      </c>
      <c r="F429" s="13" t="n">
        <v>3</v>
      </c>
      <c r="G429" s="12" t="s">
        <v>117</v>
      </c>
      <c r="H429" s="6" t="s">
        <v>72</v>
      </c>
      <c r="I429" s="12" t="s">
        <v>1554</v>
      </c>
      <c r="J429" s="12" t="s">
        <v>684</v>
      </c>
    </row>
    <row r="430" customFormat="false" ht="17.15" hidden="false" customHeight="false" outlineLevel="0" collapsed="false">
      <c r="A430" s="0" t="s">
        <v>1555</v>
      </c>
      <c r="B430" s="6" t="s">
        <v>1556</v>
      </c>
      <c r="C430" s="0" t="s">
        <v>500</v>
      </c>
      <c r="D430" s="13" t="n">
        <v>1.5</v>
      </c>
      <c r="E430" s="13" t="n">
        <v>2.6</v>
      </c>
      <c r="F430" s="13" t="n">
        <v>3.5</v>
      </c>
      <c r="G430" s="12" t="s">
        <v>117</v>
      </c>
      <c r="H430" s="6" t="s">
        <v>72</v>
      </c>
      <c r="I430" s="12" t="s">
        <v>1557</v>
      </c>
      <c r="J430" s="12" t="s">
        <v>684</v>
      </c>
    </row>
    <row r="431" customFormat="false" ht="17.15" hidden="false" customHeight="false" outlineLevel="0" collapsed="false">
      <c r="A431" s="10" t="s">
        <v>1558</v>
      </c>
    </row>
    <row r="432" customFormat="false" ht="17.15" hidden="false" customHeight="false" outlineLevel="0" collapsed="false">
      <c r="A432" s="0" t="s">
        <v>1559</v>
      </c>
      <c r="B432" s="0" t="s">
        <v>1560</v>
      </c>
      <c r="C432" s="0" t="s">
        <v>1561</v>
      </c>
      <c r="D432" s="13" t="n">
        <v>380</v>
      </c>
      <c r="E432" s="13" t="n">
        <v>450</v>
      </c>
      <c r="F432" s="13" t="n">
        <v>520</v>
      </c>
      <c r="G432" s="12" t="s">
        <v>91</v>
      </c>
      <c r="H432" s="12" t="s">
        <v>1562</v>
      </c>
      <c r="I432" s="12" t="s">
        <v>1563</v>
      </c>
      <c r="J432" s="12" t="s">
        <v>1564</v>
      </c>
    </row>
    <row r="433" customFormat="false" ht="17.15" hidden="false" customHeight="false" outlineLevel="0" collapsed="false">
      <c r="A433" s="0" t="s">
        <v>1565</v>
      </c>
      <c r="B433" s="0" t="s">
        <v>1566</v>
      </c>
      <c r="C433" s="0" t="s">
        <v>1561</v>
      </c>
      <c r="D433" s="13" t="n">
        <v>500</v>
      </c>
      <c r="E433" s="13" t="n">
        <v>600</v>
      </c>
      <c r="F433" s="13" t="n">
        <v>700</v>
      </c>
      <c r="G433" s="12" t="s">
        <v>91</v>
      </c>
      <c r="H433" s="12" t="s">
        <v>1567</v>
      </c>
      <c r="I433" s="12" t="s">
        <v>1568</v>
      </c>
      <c r="J433" s="6" t="s">
        <v>1569</v>
      </c>
    </row>
    <row r="434" customFormat="false" ht="17.15" hidden="false" customHeight="false" outlineLevel="0" collapsed="false">
      <c r="A434" s="0" t="s">
        <v>1570</v>
      </c>
      <c r="B434" s="0" t="s">
        <v>1571</v>
      </c>
      <c r="C434" s="0" t="s">
        <v>1561</v>
      </c>
      <c r="D434" s="13" t="n">
        <v>550</v>
      </c>
      <c r="E434" s="13" t="n">
        <v>680</v>
      </c>
      <c r="F434" s="13" t="n">
        <v>800</v>
      </c>
      <c r="G434" s="12" t="s">
        <v>117</v>
      </c>
      <c r="H434" s="6" t="s">
        <v>1572</v>
      </c>
      <c r="I434" s="12" t="s">
        <v>1573</v>
      </c>
      <c r="J434" s="12" t="s">
        <v>1574</v>
      </c>
    </row>
    <row r="435" customFormat="false" ht="17.15" hidden="false" customHeight="false" outlineLevel="0" collapsed="false">
      <c r="A435" s="0" t="s">
        <v>1575</v>
      </c>
      <c r="B435" s="0" t="s">
        <v>1576</v>
      </c>
      <c r="C435" s="0" t="s">
        <v>1561</v>
      </c>
      <c r="D435" s="13" t="n">
        <v>550</v>
      </c>
      <c r="E435" s="13" t="n">
        <v>720</v>
      </c>
      <c r="F435" s="13" t="n">
        <v>850</v>
      </c>
      <c r="G435" s="12" t="s">
        <v>117</v>
      </c>
      <c r="H435" s="6" t="s">
        <v>72</v>
      </c>
      <c r="I435" s="12" t="s">
        <v>1577</v>
      </c>
      <c r="J435" s="12" t="s">
        <v>684</v>
      </c>
    </row>
    <row r="436" customFormat="false" ht="17.15" hidden="false" customHeight="false" outlineLevel="0" collapsed="false">
      <c r="A436" s="0" t="s">
        <v>1578</v>
      </c>
      <c r="B436" s="6" t="s">
        <v>1579</v>
      </c>
      <c r="C436" s="0" t="s">
        <v>500</v>
      </c>
      <c r="D436" s="13" t="n">
        <v>0.85</v>
      </c>
      <c r="E436" s="13" t="n">
        <v>0.95</v>
      </c>
      <c r="F436" s="13" t="n">
        <v>1</v>
      </c>
      <c r="G436" s="12" t="s">
        <v>117</v>
      </c>
      <c r="H436" s="12" t="s">
        <v>1580</v>
      </c>
      <c r="I436" s="12" t="s">
        <v>1581</v>
      </c>
      <c r="J436" s="6" t="s">
        <v>1582</v>
      </c>
    </row>
    <row r="437" customFormat="false" ht="17.15" hidden="false" customHeight="false" outlineLevel="0" collapsed="false">
      <c r="A437" s="0" t="s">
        <v>1583</v>
      </c>
      <c r="B437" s="6" t="s">
        <v>1584</v>
      </c>
      <c r="C437" s="0" t="s">
        <v>500</v>
      </c>
      <c r="D437" s="13" t="n">
        <v>0.7</v>
      </c>
      <c r="E437" s="13" t="n">
        <v>0.9</v>
      </c>
      <c r="F437" s="13" t="n">
        <v>1</v>
      </c>
      <c r="G437" s="12" t="s">
        <v>117</v>
      </c>
      <c r="H437" s="6" t="s">
        <v>72</v>
      </c>
      <c r="I437" s="12" t="s">
        <v>1585</v>
      </c>
      <c r="J437" s="12" t="s">
        <v>684</v>
      </c>
    </row>
    <row r="438" customFormat="false" ht="17.15" hidden="false" customHeight="false" outlineLevel="0" collapsed="false">
      <c r="A438" s="0" t="s">
        <v>1586</v>
      </c>
      <c r="B438" s="6" t="s">
        <v>1587</v>
      </c>
      <c r="C438" s="0" t="s">
        <v>500</v>
      </c>
      <c r="D438" s="13" t="n">
        <v>0.65</v>
      </c>
      <c r="E438" s="13" t="n">
        <v>0.85</v>
      </c>
      <c r="F438" s="13" t="n">
        <v>1</v>
      </c>
      <c r="G438" s="12" t="s">
        <v>117</v>
      </c>
      <c r="H438" s="6" t="s">
        <v>72</v>
      </c>
      <c r="I438" s="12" t="s">
        <v>1588</v>
      </c>
      <c r="J438" s="12" t="s">
        <v>684</v>
      </c>
    </row>
    <row r="439" customFormat="false" ht="17.15" hidden="false" customHeight="false" outlineLevel="0" collapsed="false">
      <c r="A439" s="0" t="s">
        <v>1589</v>
      </c>
      <c r="B439" s="6" t="s">
        <v>1590</v>
      </c>
      <c r="C439" s="0" t="s">
        <v>500</v>
      </c>
      <c r="D439" s="13" t="n">
        <v>0.85</v>
      </c>
      <c r="E439" s="13" t="n">
        <v>1</v>
      </c>
      <c r="F439" s="13" t="n">
        <v>1.1</v>
      </c>
      <c r="G439" s="12" t="s">
        <v>117</v>
      </c>
      <c r="H439" s="6" t="s">
        <v>1591</v>
      </c>
      <c r="I439" s="12" t="s">
        <v>1592</v>
      </c>
      <c r="J439" s="6" t="s">
        <v>1593</v>
      </c>
    </row>
    <row r="440" customFormat="false" ht="17.15" hidden="false" customHeight="false" outlineLevel="0" collapsed="false">
      <c r="A440" s="0" t="s">
        <v>1594</v>
      </c>
      <c r="B440" s="6" t="s">
        <v>1595</v>
      </c>
      <c r="C440" s="0" t="s">
        <v>500</v>
      </c>
      <c r="D440" s="13" t="n">
        <v>0.8</v>
      </c>
      <c r="E440" s="13" t="n">
        <v>1</v>
      </c>
      <c r="F440" s="13" t="n">
        <v>1.2</v>
      </c>
      <c r="G440" s="12" t="s">
        <v>117</v>
      </c>
      <c r="H440" s="6" t="s">
        <v>72</v>
      </c>
      <c r="I440" s="12" t="s">
        <v>1596</v>
      </c>
      <c r="J440" s="12" t="s">
        <v>684</v>
      </c>
    </row>
    <row r="441" customFormat="false" ht="17.15" hidden="false" customHeight="false" outlineLevel="0" collapsed="false">
      <c r="A441" s="0" t="s">
        <v>1597</v>
      </c>
      <c r="B441" s="6" t="s">
        <v>1598</v>
      </c>
      <c r="C441" s="0" t="s">
        <v>500</v>
      </c>
      <c r="D441" s="13" t="n">
        <v>0.75</v>
      </c>
      <c r="E441" s="13" t="n">
        <v>1</v>
      </c>
      <c r="F441" s="13" t="n">
        <v>1.25</v>
      </c>
      <c r="G441" s="12" t="s">
        <v>117</v>
      </c>
      <c r="H441" s="6" t="s">
        <v>72</v>
      </c>
      <c r="I441" s="12" t="s">
        <v>1599</v>
      </c>
      <c r="J441" s="12" t="s">
        <v>684</v>
      </c>
    </row>
    <row r="442" customFormat="false" ht="17.15" hidden="false" customHeight="false" outlineLevel="0" collapsed="false">
      <c r="A442" s="0" t="s">
        <v>1600</v>
      </c>
      <c r="B442" s="6" t="s">
        <v>1601</v>
      </c>
      <c r="C442" s="0" t="s">
        <v>66</v>
      </c>
      <c r="E442" s="11" t="n">
        <v>0.583671939396773</v>
      </c>
      <c r="G442" s="12" t="s">
        <v>91</v>
      </c>
      <c r="H442" s="12" t="s">
        <v>1602</v>
      </c>
      <c r="I442" s="12" t="s">
        <v>1603</v>
      </c>
      <c r="J442" s="6" t="s">
        <v>1604</v>
      </c>
    </row>
    <row r="443" customFormat="false" ht="17.15" hidden="false" customHeight="false" outlineLevel="0" collapsed="false">
      <c r="A443" s="0" t="s">
        <v>1605</v>
      </c>
      <c r="B443" s="6" t="s">
        <v>1606</v>
      </c>
      <c r="C443" s="0" t="s">
        <v>66</v>
      </c>
      <c r="E443" s="11" t="n">
        <v>0.176143316327046</v>
      </c>
      <c r="G443" s="12" t="s">
        <v>91</v>
      </c>
      <c r="H443" s="12" t="s">
        <v>1607</v>
      </c>
      <c r="I443" s="12" t="s">
        <v>1608</v>
      </c>
      <c r="J443" s="6" t="s">
        <v>1609</v>
      </c>
    </row>
    <row r="444" customFormat="false" ht="17.15" hidden="false" customHeight="false" outlineLevel="0" collapsed="false">
      <c r="A444" s="0" t="s">
        <v>1610</v>
      </c>
      <c r="B444" s="6" t="s">
        <v>1611</v>
      </c>
      <c r="C444" s="0" t="s">
        <v>66</v>
      </c>
      <c r="E444" s="11" t="n">
        <v>0.7</v>
      </c>
      <c r="G444" s="12" t="s">
        <v>67</v>
      </c>
      <c r="H444" s="6" t="s">
        <v>1612</v>
      </c>
      <c r="I444" s="12" t="s">
        <v>1613</v>
      </c>
      <c r="J444" s="6" t="s">
        <v>1614</v>
      </c>
    </row>
    <row r="445" customFormat="false" ht="17.15" hidden="false" customHeight="false" outlineLevel="0" collapsed="false">
      <c r="A445" s="0" t="s">
        <v>1615</v>
      </c>
      <c r="B445" s="6" t="s">
        <v>1616</v>
      </c>
      <c r="C445" s="0" t="s">
        <v>66</v>
      </c>
      <c r="D445" s="11" t="n">
        <v>0.6</v>
      </c>
      <c r="E445" s="11" t="n">
        <v>0.625</v>
      </c>
      <c r="F445" s="11" t="n">
        <v>0.65</v>
      </c>
      <c r="G445" s="12" t="s">
        <v>67</v>
      </c>
      <c r="H445" s="12" t="s">
        <v>1617</v>
      </c>
      <c r="I445" s="12" t="s">
        <v>1618</v>
      </c>
      <c r="J445" s="6" t="s">
        <v>1619</v>
      </c>
    </row>
    <row r="446" customFormat="false" ht="17.15" hidden="false" customHeight="false" outlineLevel="0" collapsed="false">
      <c r="A446" s="0" t="s">
        <v>1620</v>
      </c>
      <c r="B446" s="0" t="s">
        <v>1621</v>
      </c>
      <c r="C446" s="0" t="s">
        <v>1350</v>
      </c>
      <c r="E446" s="13" t="n">
        <v>17.7</v>
      </c>
      <c r="G446" s="12" t="s">
        <v>67</v>
      </c>
      <c r="H446" s="12" t="s">
        <v>1622</v>
      </c>
      <c r="I446" s="12" t="s">
        <v>1623</v>
      </c>
      <c r="J446" s="6" t="s">
        <v>1624</v>
      </c>
    </row>
    <row r="447" customFormat="false" ht="17.15" hidden="false" customHeight="false" outlineLevel="0" collapsed="false">
      <c r="A447" s="0" t="s">
        <v>1625</v>
      </c>
      <c r="B447" s="0" t="s">
        <v>1626</v>
      </c>
      <c r="C447" s="0" t="s">
        <v>1350</v>
      </c>
      <c r="E447" s="13" t="n">
        <v>38.2</v>
      </c>
      <c r="G447" s="12" t="s">
        <v>67</v>
      </c>
      <c r="H447" s="6" t="s">
        <v>72</v>
      </c>
      <c r="I447" s="12" t="s">
        <v>1627</v>
      </c>
      <c r="J447" s="12" t="s">
        <v>684</v>
      </c>
    </row>
    <row r="448" customFormat="false" ht="17.15" hidden="false" customHeight="false" outlineLevel="0" collapsed="false">
      <c r="A448" s="10" t="s">
        <v>1628</v>
      </c>
    </row>
    <row r="449" customFormat="false" ht="17.15" hidden="false" customHeight="false" outlineLevel="0" collapsed="false">
      <c r="A449" s="0" t="s">
        <v>1629</v>
      </c>
      <c r="B449" s="0" t="s">
        <v>1630</v>
      </c>
      <c r="C449" s="0" t="s">
        <v>1631</v>
      </c>
      <c r="D449" s="13" t="n">
        <v>3.6</v>
      </c>
      <c r="E449" s="13" t="n">
        <v>4</v>
      </c>
      <c r="F449" s="13" t="n">
        <v>4.3</v>
      </c>
      <c r="G449" s="12" t="s">
        <v>67</v>
      </c>
      <c r="H449" s="12" t="s">
        <v>1632</v>
      </c>
      <c r="I449" s="12" t="s">
        <v>1633</v>
      </c>
      <c r="J449" s="12" t="s">
        <v>1634</v>
      </c>
    </row>
    <row r="450" customFormat="false" ht="17.15" hidden="false" customHeight="false" outlineLevel="0" collapsed="false">
      <c r="A450" s="0" t="s">
        <v>1635</v>
      </c>
      <c r="B450" s="0" t="s">
        <v>1636</v>
      </c>
      <c r="C450" s="0" t="s">
        <v>1631</v>
      </c>
      <c r="D450" s="13" t="n">
        <v>6.5</v>
      </c>
      <c r="E450" s="13" t="n">
        <v>6.75</v>
      </c>
      <c r="F450" s="13" t="n">
        <v>7</v>
      </c>
      <c r="G450" s="12" t="s">
        <v>67</v>
      </c>
      <c r="H450" s="12" t="s">
        <v>1637</v>
      </c>
      <c r="I450" s="12" t="s">
        <v>1638</v>
      </c>
      <c r="J450" s="12" t="s">
        <v>1639</v>
      </c>
    </row>
    <row r="451" customFormat="false" ht="17.15" hidden="false" customHeight="false" outlineLevel="0" collapsed="false">
      <c r="A451" s="0" t="s">
        <v>1640</v>
      </c>
      <c r="B451" s="0" t="s">
        <v>1641</v>
      </c>
      <c r="C451" s="0" t="s">
        <v>66</v>
      </c>
      <c r="D451" s="11" t="n">
        <v>0.45</v>
      </c>
      <c r="E451" s="11" t="n">
        <v>0.48</v>
      </c>
      <c r="F451" s="11" t="n">
        <v>0.52</v>
      </c>
      <c r="G451" s="12" t="s">
        <v>67</v>
      </c>
      <c r="H451" s="6" t="s">
        <v>1642</v>
      </c>
      <c r="I451" s="12" t="s">
        <v>1643</v>
      </c>
      <c r="J451" s="6" t="s">
        <v>1644</v>
      </c>
    </row>
    <row r="452" customFormat="false" ht="17.15" hidden="false" customHeight="false" outlineLevel="0" collapsed="false">
      <c r="A452" s="10" t="s">
        <v>1645</v>
      </c>
    </row>
    <row r="453" customFormat="false" ht="17.15" hidden="false" customHeight="false" outlineLevel="0" collapsed="false">
      <c r="A453" s="0" t="s">
        <v>1646</v>
      </c>
      <c r="B453" s="0" t="s">
        <v>1647</v>
      </c>
      <c r="C453" s="0" t="s">
        <v>637</v>
      </c>
      <c r="D453" s="13" t="n">
        <v>50</v>
      </c>
      <c r="E453" s="13" t="n">
        <v>50</v>
      </c>
      <c r="F453" s="13" t="n">
        <v>50</v>
      </c>
      <c r="G453" s="12" t="s">
        <v>67</v>
      </c>
      <c r="H453" s="12" t="s">
        <v>1648</v>
      </c>
      <c r="I453" s="12" t="s">
        <v>1649</v>
      </c>
      <c r="J453" s="6" t="s">
        <v>1650</v>
      </c>
    </row>
    <row r="454" customFormat="false" ht="17.15" hidden="false" customHeight="false" outlineLevel="0" collapsed="false">
      <c r="A454" s="0" t="s">
        <v>1651</v>
      </c>
      <c r="B454" s="0" t="s">
        <v>1652</v>
      </c>
      <c r="C454" s="0" t="s">
        <v>637</v>
      </c>
      <c r="D454" s="13" t="n">
        <v>56</v>
      </c>
      <c r="E454" s="13" t="n">
        <v>56</v>
      </c>
      <c r="F454" s="13" t="n">
        <v>56</v>
      </c>
      <c r="G454" s="12" t="s">
        <v>67</v>
      </c>
      <c r="H454" s="12" t="s">
        <v>1648</v>
      </c>
      <c r="I454" s="12" t="s">
        <v>1653</v>
      </c>
      <c r="J454" s="12" t="s">
        <v>1654</v>
      </c>
    </row>
    <row r="455" customFormat="false" ht="17.15" hidden="false" customHeight="false" outlineLevel="0" collapsed="false">
      <c r="A455" s="0" t="s">
        <v>1655</v>
      </c>
      <c r="B455" s="6" t="s">
        <v>1656</v>
      </c>
      <c r="C455" s="0" t="s">
        <v>637</v>
      </c>
      <c r="D455" s="13" t="n">
        <v>3</v>
      </c>
      <c r="E455" s="13" t="n">
        <v>6</v>
      </c>
      <c r="F455" s="13" t="n">
        <v>10</v>
      </c>
      <c r="G455" s="12" t="s">
        <v>117</v>
      </c>
      <c r="H455" s="6" t="s">
        <v>1657</v>
      </c>
      <c r="I455" s="12" t="s">
        <v>1658</v>
      </c>
      <c r="J455" s="6" t="s">
        <v>1659</v>
      </c>
    </row>
    <row r="456" customFormat="false" ht="17.15" hidden="false" customHeight="false" outlineLevel="0" collapsed="false">
      <c r="A456" s="0" t="s">
        <v>1660</v>
      </c>
      <c r="B456" s="6" t="s">
        <v>1661</v>
      </c>
      <c r="C456" s="0" t="s">
        <v>500</v>
      </c>
      <c r="D456" s="13" t="n">
        <v>1</v>
      </c>
      <c r="E456" s="13" t="n">
        <v>1.3</v>
      </c>
      <c r="F456" s="13" t="n">
        <v>1.6</v>
      </c>
      <c r="G456" s="12" t="s">
        <v>117</v>
      </c>
      <c r="H456" s="12" t="s">
        <v>1662</v>
      </c>
      <c r="I456" s="12" t="s">
        <v>1663</v>
      </c>
      <c r="J456" s="12" t="s">
        <v>1664</v>
      </c>
    </row>
    <row r="457" customFormat="false" ht="17.15" hidden="false" customHeight="false" outlineLevel="0" collapsed="false">
      <c r="A457" s="0" t="s">
        <v>1665</v>
      </c>
      <c r="B457" s="6" t="s">
        <v>1666</v>
      </c>
      <c r="C457" s="0" t="s">
        <v>500</v>
      </c>
      <c r="D457" s="13" t="n">
        <v>1</v>
      </c>
      <c r="E457" s="13" t="n">
        <v>1.4</v>
      </c>
      <c r="F457" s="13" t="n">
        <v>1.8</v>
      </c>
      <c r="G457" s="12" t="s">
        <v>117</v>
      </c>
      <c r="H457" s="6" t="s">
        <v>72</v>
      </c>
      <c r="I457" s="12" t="s">
        <v>1667</v>
      </c>
      <c r="J457" s="12" t="s">
        <v>684</v>
      </c>
    </row>
    <row r="458" customFormat="false" ht="17.15" hidden="false" customHeight="false" outlineLevel="0" collapsed="false">
      <c r="A458" s="0" t="s">
        <v>1668</v>
      </c>
      <c r="B458" s="6" t="s">
        <v>1669</v>
      </c>
      <c r="C458" s="0" t="s">
        <v>500</v>
      </c>
      <c r="D458" s="13" t="n">
        <v>1</v>
      </c>
      <c r="E458" s="13" t="n">
        <v>1.4</v>
      </c>
      <c r="F458" s="13" t="n">
        <v>1.8</v>
      </c>
      <c r="G458" s="12" t="s">
        <v>117</v>
      </c>
      <c r="H458" s="6" t="s">
        <v>72</v>
      </c>
      <c r="I458" s="12" t="s">
        <v>1670</v>
      </c>
      <c r="J458" s="12" t="s">
        <v>684</v>
      </c>
    </row>
    <row r="459" customFormat="false" ht="17.15" hidden="false" customHeight="false" outlineLevel="0" collapsed="false">
      <c r="A459" s="0" t="s">
        <v>1671</v>
      </c>
      <c r="B459" s="6" t="s">
        <v>1672</v>
      </c>
      <c r="C459" s="0" t="s">
        <v>66</v>
      </c>
      <c r="D459" s="11" t="n">
        <v>0.45</v>
      </c>
      <c r="E459" s="11" t="n">
        <v>0.55</v>
      </c>
      <c r="F459" s="11" t="n">
        <v>0.65</v>
      </c>
      <c r="G459" s="12" t="s">
        <v>117</v>
      </c>
      <c r="H459" s="12" t="s">
        <v>1673</v>
      </c>
      <c r="I459" s="12" t="s">
        <v>1674</v>
      </c>
      <c r="J459" s="6" t="s">
        <v>1675</v>
      </c>
    </row>
    <row r="460" customFormat="false" ht="17.15" hidden="false" customHeight="false" outlineLevel="0" collapsed="false">
      <c r="A460" s="0" t="s">
        <v>1676</v>
      </c>
      <c r="B460" s="6" t="s">
        <v>1677</v>
      </c>
      <c r="C460" s="0" t="s">
        <v>66</v>
      </c>
      <c r="D460" s="11" t="n">
        <v>0.6</v>
      </c>
      <c r="E460" s="11" t="n">
        <v>0.75</v>
      </c>
      <c r="F460" s="11" t="n">
        <v>0.85</v>
      </c>
      <c r="G460" s="12" t="s">
        <v>117</v>
      </c>
      <c r="H460" s="6" t="s">
        <v>72</v>
      </c>
      <c r="I460" s="12" t="s">
        <v>1678</v>
      </c>
      <c r="J460" s="12" t="s">
        <v>684</v>
      </c>
    </row>
    <row r="461" customFormat="false" ht="17.15" hidden="false" customHeight="false" outlineLevel="0" collapsed="false">
      <c r="A461" s="0" t="s">
        <v>1679</v>
      </c>
      <c r="B461" s="6" t="s">
        <v>1680</v>
      </c>
      <c r="C461" s="0" t="s">
        <v>66</v>
      </c>
      <c r="D461" s="11" t="n">
        <v>0.7</v>
      </c>
      <c r="E461" s="11" t="n">
        <v>0.85</v>
      </c>
      <c r="F461" s="11" t="n">
        <v>0.95</v>
      </c>
      <c r="G461" s="12" t="s">
        <v>117</v>
      </c>
      <c r="H461" s="6" t="s">
        <v>72</v>
      </c>
      <c r="I461" s="12" t="s">
        <v>1681</v>
      </c>
      <c r="J461" s="12" t="s">
        <v>684</v>
      </c>
    </row>
    <row r="462" customFormat="false" ht="17.15" hidden="false" customHeight="false" outlineLevel="0" collapsed="false">
      <c r="A462" s="0" t="s">
        <v>1682</v>
      </c>
      <c r="B462" s="6" t="s">
        <v>1683</v>
      </c>
      <c r="C462" s="0" t="s">
        <v>66</v>
      </c>
      <c r="D462" s="11" t="n">
        <v>0.75</v>
      </c>
      <c r="E462" s="11" t="n">
        <v>0.9</v>
      </c>
      <c r="F462" s="11" t="n">
        <v>0.95</v>
      </c>
      <c r="G462" s="12" t="s">
        <v>117</v>
      </c>
      <c r="H462" s="6" t="s">
        <v>72</v>
      </c>
      <c r="I462" s="12" t="s">
        <v>1684</v>
      </c>
      <c r="J462" s="12" t="s">
        <v>684</v>
      </c>
    </row>
    <row r="463" customFormat="false" ht="17.15" hidden="false" customHeight="false" outlineLevel="0" collapsed="false">
      <c r="A463" s="0" t="s">
        <v>1685</v>
      </c>
      <c r="B463" s="0" t="s">
        <v>1686</v>
      </c>
      <c r="C463" s="0" t="s">
        <v>66</v>
      </c>
      <c r="E463" s="11" t="n">
        <v>0.53</v>
      </c>
      <c r="G463" s="12" t="s">
        <v>67</v>
      </c>
      <c r="H463" s="12" t="s">
        <v>1687</v>
      </c>
      <c r="I463" s="12" t="s">
        <v>1688</v>
      </c>
      <c r="J463" s="12" t="s">
        <v>684</v>
      </c>
    </row>
    <row r="464" customFormat="false" ht="17.15" hidden="false" customHeight="false" outlineLevel="0" collapsed="false">
      <c r="A464" s="0" t="s">
        <v>1689</v>
      </c>
      <c r="B464" s="0" t="s">
        <v>1690</v>
      </c>
      <c r="C464" s="0" t="s">
        <v>66</v>
      </c>
      <c r="E464" s="11" t="n">
        <v>0.6</v>
      </c>
      <c r="G464" s="12" t="s">
        <v>67</v>
      </c>
      <c r="H464" s="12" t="s">
        <v>1687</v>
      </c>
      <c r="I464" s="12" t="s">
        <v>1691</v>
      </c>
      <c r="J464" s="6" t="s">
        <v>1692</v>
      </c>
    </row>
    <row r="465" customFormat="false" ht="17.15" hidden="false" customHeight="false" outlineLevel="0" collapsed="false">
      <c r="A465" s="0" t="s">
        <v>1693</v>
      </c>
      <c r="B465" s="6" t="s">
        <v>1694</v>
      </c>
      <c r="C465" s="0" t="s">
        <v>66</v>
      </c>
      <c r="E465" s="11" t="n">
        <v>0.498927641116677</v>
      </c>
      <c r="G465" s="12" t="s">
        <v>91</v>
      </c>
      <c r="H465" s="12" t="s">
        <v>1695</v>
      </c>
      <c r="I465" s="12" t="s">
        <v>1696</v>
      </c>
      <c r="J465" s="6" t="s">
        <v>1697</v>
      </c>
    </row>
    <row r="466" customFormat="false" ht="17.15" hidden="false" customHeight="false" outlineLevel="0" collapsed="false">
      <c r="A466" s="0" t="s">
        <v>1698</v>
      </c>
      <c r="B466" s="6" t="s">
        <v>1699</v>
      </c>
      <c r="C466" s="0" t="s">
        <v>500</v>
      </c>
      <c r="D466" s="13" t="n">
        <v>0.85</v>
      </c>
      <c r="E466" s="13" t="n">
        <v>0.95</v>
      </c>
      <c r="F466" s="13" t="n">
        <v>1.05</v>
      </c>
      <c r="G466" s="12" t="s">
        <v>117</v>
      </c>
      <c r="H466" s="6" t="s">
        <v>1700</v>
      </c>
      <c r="I466" s="12" t="s">
        <v>1701</v>
      </c>
      <c r="J466" s="6" t="s">
        <v>1702</v>
      </c>
    </row>
    <row r="467" customFormat="false" ht="17.15" hidden="false" customHeight="false" outlineLevel="0" collapsed="false">
      <c r="A467" s="0" t="s">
        <v>1703</v>
      </c>
      <c r="B467" s="6" t="s">
        <v>1704</v>
      </c>
      <c r="C467" s="0" t="s">
        <v>500</v>
      </c>
      <c r="D467" s="13" t="n">
        <v>0.75</v>
      </c>
      <c r="E467" s="13" t="n">
        <v>0.9</v>
      </c>
      <c r="F467" s="13" t="n">
        <v>1.05</v>
      </c>
      <c r="G467" s="12" t="s">
        <v>117</v>
      </c>
      <c r="H467" s="6" t="s">
        <v>72</v>
      </c>
      <c r="I467" s="12" t="s">
        <v>1705</v>
      </c>
      <c r="J467" s="12" t="s">
        <v>684</v>
      </c>
    </row>
    <row r="468" customFormat="false" ht="17.15" hidden="false" customHeight="false" outlineLevel="0" collapsed="false">
      <c r="A468" s="0" t="s">
        <v>1706</v>
      </c>
      <c r="B468" s="6" t="s">
        <v>1707</v>
      </c>
      <c r="C468" s="0" t="s">
        <v>500</v>
      </c>
      <c r="D468" s="13" t="n">
        <v>0.7</v>
      </c>
      <c r="E468" s="13" t="n">
        <v>0.85</v>
      </c>
      <c r="F468" s="13" t="n">
        <v>1.05</v>
      </c>
      <c r="G468" s="12" t="s">
        <v>117</v>
      </c>
      <c r="H468" s="6" t="s">
        <v>72</v>
      </c>
      <c r="I468" s="12" t="s">
        <v>1708</v>
      </c>
      <c r="J468" s="12" t="s">
        <v>684</v>
      </c>
    </row>
    <row r="469" customFormat="false" ht="17.15" hidden="false" customHeight="false" outlineLevel="0" collapsed="false">
      <c r="A469" s="0" t="s">
        <v>1709</v>
      </c>
      <c r="B469" s="6" t="s">
        <v>1710</v>
      </c>
      <c r="C469" s="0" t="s">
        <v>66</v>
      </c>
      <c r="E469" s="11" t="n">
        <v>0.15870077644017</v>
      </c>
      <c r="G469" s="12" t="s">
        <v>91</v>
      </c>
      <c r="H469" s="12" t="s">
        <v>1711</v>
      </c>
      <c r="I469" s="12" t="s">
        <v>1712</v>
      </c>
      <c r="J469" s="6" t="s">
        <v>1697</v>
      </c>
    </row>
    <row r="470" customFormat="false" ht="17.15" hidden="false" customHeight="false" outlineLevel="0" collapsed="false">
      <c r="A470" s="0" t="s">
        <v>1713</v>
      </c>
      <c r="B470" s="6" t="s">
        <v>1714</v>
      </c>
      <c r="C470" s="0" t="s">
        <v>66</v>
      </c>
      <c r="D470" s="11" t="n">
        <v>0.003</v>
      </c>
      <c r="E470" s="11" t="n">
        <v>0.008</v>
      </c>
      <c r="F470" s="11" t="n">
        <v>0.015</v>
      </c>
      <c r="G470" s="12" t="s">
        <v>117</v>
      </c>
      <c r="H470" s="6" t="s">
        <v>1715</v>
      </c>
      <c r="I470" s="12" t="s">
        <v>1716</v>
      </c>
      <c r="J470" s="6" t="s">
        <v>1717</v>
      </c>
    </row>
    <row r="471" customFormat="false" ht="17.15" hidden="false" customHeight="false" outlineLevel="0" collapsed="false">
      <c r="A471" s="0" t="s">
        <v>1718</v>
      </c>
      <c r="B471" s="6" t="s">
        <v>1719</v>
      </c>
      <c r="C471" s="0" t="s">
        <v>66</v>
      </c>
      <c r="D471" s="11" t="n">
        <v>0.006</v>
      </c>
      <c r="E471" s="11" t="n">
        <v>0.015</v>
      </c>
      <c r="F471" s="11" t="n">
        <v>0.03</v>
      </c>
      <c r="G471" s="12" t="s">
        <v>117</v>
      </c>
      <c r="H471" s="6" t="s">
        <v>72</v>
      </c>
      <c r="I471" s="12" t="s">
        <v>1720</v>
      </c>
      <c r="J471" s="12" t="s">
        <v>684</v>
      </c>
    </row>
    <row r="472" customFormat="false" ht="17.15" hidden="false" customHeight="false" outlineLevel="0" collapsed="false">
      <c r="A472" s="0" t="s">
        <v>1721</v>
      </c>
      <c r="B472" s="6" t="s">
        <v>1722</v>
      </c>
      <c r="C472" s="0" t="s">
        <v>66</v>
      </c>
      <c r="D472" s="11" t="n">
        <v>0.01</v>
      </c>
      <c r="E472" s="11" t="n">
        <v>0.025</v>
      </c>
      <c r="F472" s="11" t="n">
        <v>0.045</v>
      </c>
      <c r="G472" s="12" t="s">
        <v>117</v>
      </c>
      <c r="H472" s="6" t="s">
        <v>72</v>
      </c>
      <c r="I472" s="12" t="s">
        <v>1723</v>
      </c>
      <c r="J472" s="12" t="s">
        <v>684</v>
      </c>
    </row>
    <row r="473" customFormat="false" ht="17.15" hidden="false" customHeight="false" outlineLevel="0" collapsed="false">
      <c r="A473" s="10" t="s">
        <v>1724</v>
      </c>
    </row>
    <row r="474" customFormat="false" ht="17.15" hidden="false" customHeight="false" outlineLevel="0" collapsed="false">
      <c r="A474" s="0" t="s">
        <v>1725</v>
      </c>
      <c r="B474" s="6" t="s">
        <v>1726</v>
      </c>
      <c r="C474" s="0" t="s">
        <v>1727</v>
      </c>
      <c r="D474" s="13" t="n">
        <v>0.1</v>
      </c>
      <c r="E474" s="13" t="n">
        <v>0.18</v>
      </c>
      <c r="F474" s="13" t="n">
        <v>0.6</v>
      </c>
      <c r="G474" s="12" t="s">
        <v>117</v>
      </c>
      <c r="H474" s="6" t="s">
        <v>1728</v>
      </c>
      <c r="I474" s="12" t="s">
        <v>1729</v>
      </c>
      <c r="J474" s="6" t="s">
        <v>1730</v>
      </c>
    </row>
    <row r="475" customFormat="false" ht="17.15" hidden="false" customHeight="false" outlineLevel="0" collapsed="false">
      <c r="A475" s="0" t="s">
        <v>1731</v>
      </c>
      <c r="B475" s="6" t="s">
        <v>1732</v>
      </c>
      <c r="C475" s="0" t="s">
        <v>1727</v>
      </c>
      <c r="D475" s="13" t="n">
        <v>0</v>
      </c>
      <c r="E475" s="13" t="n">
        <v>0.18</v>
      </c>
      <c r="F475" s="13" t="n">
        <v>0.6</v>
      </c>
      <c r="G475" s="12" t="s">
        <v>117</v>
      </c>
      <c r="H475" s="6" t="s">
        <v>1733</v>
      </c>
      <c r="I475" s="12" t="s">
        <v>1734</v>
      </c>
      <c r="J475" s="6" t="s">
        <v>1735</v>
      </c>
    </row>
    <row r="476" customFormat="false" ht="17.15" hidden="false" customHeight="false" outlineLevel="0" collapsed="false">
      <c r="A476" s="0" t="s">
        <v>1736</v>
      </c>
      <c r="B476" s="6" t="s">
        <v>1737</v>
      </c>
      <c r="C476" s="0" t="s">
        <v>1727</v>
      </c>
      <c r="D476" s="13" t="n">
        <v>0</v>
      </c>
      <c r="E476" s="13" t="n">
        <v>0.08</v>
      </c>
      <c r="F476" s="13" t="n">
        <v>0.2</v>
      </c>
      <c r="G476" s="12" t="s">
        <v>117</v>
      </c>
      <c r="H476" s="6" t="s">
        <v>1738</v>
      </c>
      <c r="I476" s="12" t="s">
        <v>1739</v>
      </c>
      <c r="J476" s="6" t="s">
        <v>1740</v>
      </c>
    </row>
    <row r="477" customFormat="false" ht="17.15" hidden="false" customHeight="false" outlineLevel="0" collapsed="false">
      <c r="A477" s="0" t="s">
        <v>1741</v>
      </c>
      <c r="B477" s="6" t="s">
        <v>1742</v>
      </c>
      <c r="C477" s="0" t="s">
        <v>66</v>
      </c>
      <c r="D477" s="11" t="n">
        <v>0.58</v>
      </c>
      <c r="E477" s="11" t="n">
        <v>0.64</v>
      </c>
      <c r="F477" s="11" t="n">
        <v>0.7</v>
      </c>
      <c r="G477" s="12" t="s">
        <v>857</v>
      </c>
      <c r="H477" s="12" t="s">
        <v>1743</v>
      </c>
      <c r="I477" s="12" t="s">
        <v>1744</v>
      </c>
      <c r="J477" s="12" t="s">
        <v>1745</v>
      </c>
    </row>
    <row r="478" customFormat="false" ht="17.15" hidden="false" customHeight="false" outlineLevel="0" collapsed="false">
      <c r="A478" s="0" t="s">
        <v>1746</v>
      </c>
      <c r="B478" s="6" t="s">
        <v>1747</v>
      </c>
      <c r="C478" s="0" t="s">
        <v>521</v>
      </c>
      <c r="D478" s="13" t="n">
        <v>6.9</v>
      </c>
      <c r="E478" s="13" t="n">
        <v>6.9</v>
      </c>
      <c r="F478" s="13" t="n">
        <v>12</v>
      </c>
      <c r="G478" s="12" t="s">
        <v>67</v>
      </c>
      <c r="H478" s="12" t="s">
        <v>1748</v>
      </c>
      <c r="I478" s="12" t="s">
        <v>1749</v>
      </c>
      <c r="J478" s="6" t="s">
        <v>1750</v>
      </c>
    </row>
    <row r="479" customFormat="false" ht="17.15" hidden="false" customHeight="false" outlineLevel="0" collapsed="false">
      <c r="A479" s="0" t="s">
        <v>1751</v>
      </c>
      <c r="B479" s="6" t="s">
        <v>1752</v>
      </c>
      <c r="C479" s="0" t="s">
        <v>521</v>
      </c>
      <c r="E479" s="13" t="n">
        <v>21.1</v>
      </c>
      <c r="G479" s="12" t="s">
        <v>67</v>
      </c>
      <c r="H479" s="12" t="s">
        <v>1753</v>
      </c>
      <c r="I479" s="12" t="s">
        <v>1754</v>
      </c>
      <c r="J479" s="12" t="s">
        <v>1755</v>
      </c>
    </row>
    <row r="480" customFormat="false" ht="17.15" hidden="false" customHeight="false" outlineLevel="0" collapsed="false">
      <c r="A480" s="0" t="s">
        <v>1756</v>
      </c>
      <c r="B480" s="6" t="s">
        <v>1757</v>
      </c>
      <c r="C480" s="0" t="s">
        <v>66</v>
      </c>
      <c r="E480" s="11" t="n">
        <v>0.2</v>
      </c>
      <c r="G480" s="12" t="s">
        <v>67</v>
      </c>
      <c r="H480" s="6" t="s">
        <v>1758</v>
      </c>
      <c r="I480" s="12" t="s">
        <v>1759</v>
      </c>
      <c r="J480" s="6" t="s">
        <v>1760</v>
      </c>
    </row>
    <row r="481" customFormat="false" ht="17.15" hidden="false" customHeight="false" outlineLevel="0" collapsed="false">
      <c r="A481" s="0" t="s">
        <v>1761</v>
      </c>
      <c r="B481" s="6" t="s">
        <v>1762</v>
      </c>
      <c r="C481" s="0" t="s">
        <v>1763</v>
      </c>
      <c r="E481" s="13" t="n">
        <v>283.7</v>
      </c>
      <c r="G481" s="12" t="s">
        <v>67</v>
      </c>
      <c r="H481" s="12" t="s">
        <v>1764</v>
      </c>
      <c r="I481" s="12" t="s">
        <v>1765</v>
      </c>
      <c r="J481" s="6" t="s">
        <v>1766</v>
      </c>
    </row>
    <row r="482" customFormat="false" ht="17.15" hidden="false" customHeight="false" outlineLevel="0" collapsed="false">
      <c r="A482" s="0" t="s">
        <v>1767</v>
      </c>
      <c r="B482" s="6" t="s">
        <v>1768</v>
      </c>
      <c r="C482" s="0" t="s">
        <v>1769</v>
      </c>
      <c r="D482" s="13" t="n">
        <v>140</v>
      </c>
      <c r="E482" s="13" t="n">
        <v>150</v>
      </c>
      <c r="F482" s="13" t="n">
        <v>155</v>
      </c>
      <c r="G482" s="12" t="s">
        <v>117</v>
      </c>
      <c r="H482" s="6" t="s">
        <v>1770</v>
      </c>
      <c r="I482" s="12" t="s">
        <v>1771</v>
      </c>
      <c r="J482" s="12" t="s">
        <v>684</v>
      </c>
    </row>
    <row r="483" customFormat="false" ht="17.15" hidden="false" customHeight="false" outlineLevel="0" collapsed="false">
      <c r="A483" s="0" t="s">
        <v>1772</v>
      </c>
      <c r="B483" s="6" t="s">
        <v>1773</v>
      </c>
      <c r="C483" s="0" t="s">
        <v>1774</v>
      </c>
      <c r="E483" s="13" t="n">
        <v>13.4</v>
      </c>
      <c r="G483" s="12" t="s">
        <v>221</v>
      </c>
      <c r="H483" s="6" t="s">
        <v>1775</v>
      </c>
      <c r="I483" s="12" t="s">
        <v>1776</v>
      </c>
      <c r="J483" s="6" t="s">
        <v>1777</v>
      </c>
    </row>
    <row r="484" customFormat="false" ht="17.15" hidden="false" customHeight="false" outlineLevel="0" collapsed="false">
      <c r="A484" s="0" t="s">
        <v>1778</v>
      </c>
      <c r="B484" s="6" t="s">
        <v>1779</v>
      </c>
      <c r="C484" s="0" t="s">
        <v>1780</v>
      </c>
      <c r="D484" s="13" t="n">
        <v>29.5</v>
      </c>
      <c r="E484" s="13" t="n">
        <v>31</v>
      </c>
      <c r="F484" s="13" t="n">
        <v>32.5</v>
      </c>
      <c r="G484" s="12" t="s">
        <v>117</v>
      </c>
      <c r="H484" s="6" t="s">
        <v>1781</v>
      </c>
      <c r="I484" s="12" t="s">
        <v>1782</v>
      </c>
      <c r="J484" s="12" t="s">
        <v>684</v>
      </c>
    </row>
    <row r="485" customFormat="false" ht="17.15" hidden="false" customHeight="false" outlineLevel="0" collapsed="false">
      <c r="A485" s="0" t="s">
        <v>1783</v>
      </c>
      <c r="B485" s="6" t="s">
        <v>1784</v>
      </c>
      <c r="C485" s="0" t="s">
        <v>1774</v>
      </c>
      <c r="G485" s="6" t="s">
        <v>1785</v>
      </c>
      <c r="H485" s="6" t="s">
        <v>1786</v>
      </c>
      <c r="I485" s="0" t="s">
        <v>1787</v>
      </c>
      <c r="J485" s="6" t="s">
        <v>1788</v>
      </c>
    </row>
    <row r="486" customFormat="false" ht="17.15" hidden="false" customHeight="false" outlineLevel="0" collapsed="false">
      <c r="A486" s="0" t="s">
        <v>1789</v>
      </c>
      <c r="B486" s="0" t="s">
        <v>1790</v>
      </c>
      <c r="C486" s="0" t="s">
        <v>521</v>
      </c>
      <c r="G486" s="6" t="s">
        <v>1785</v>
      </c>
      <c r="H486" s="0" t="s">
        <v>1791</v>
      </c>
      <c r="I486" s="0" t="s">
        <v>1792</v>
      </c>
      <c r="J486" s="0" t="s">
        <v>1793</v>
      </c>
    </row>
    <row r="487" customFormat="false" ht="17.15" hidden="false" customHeight="false" outlineLevel="0" collapsed="false">
      <c r="A487" s="0" t="s">
        <v>1794</v>
      </c>
      <c r="B487" s="0" t="s">
        <v>1795</v>
      </c>
      <c r="C487" s="0" t="s">
        <v>521</v>
      </c>
      <c r="E487" s="13" t="n">
        <v>38.8</v>
      </c>
      <c r="G487" s="12" t="s">
        <v>67</v>
      </c>
      <c r="H487" s="12" t="s">
        <v>1796</v>
      </c>
      <c r="I487" s="12" t="s">
        <v>1797</v>
      </c>
      <c r="J487" s="6" t="s">
        <v>1798</v>
      </c>
    </row>
    <row r="488" customFormat="false" ht="17.15" hidden="false" customHeight="false" outlineLevel="0" collapsed="false">
      <c r="A488" s="0" t="s">
        <v>1799</v>
      </c>
      <c r="B488" s="0" t="s">
        <v>1800</v>
      </c>
      <c r="C488" s="0" t="s">
        <v>66</v>
      </c>
      <c r="E488" s="11" t="n">
        <v>0.39</v>
      </c>
      <c r="G488" s="12" t="s">
        <v>67</v>
      </c>
      <c r="H488" s="12" t="s">
        <v>1796</v>
      </c>
      <c r="I488" s="12" t="s">
        <v>1801</v>
      </c>
      <c r="J488" s="6" t="s">
        <v>1798</v>
      </c>
    </row>
    <row r="489" customFormat="false" ht="17.15" hidden="false" customHeight="false" outlineLevel="0" collapsed="false">
      <c r="A489" s="0" t="s">
        <v>1802</v>
      </c>
      <c r="B489" s="0" t="s">
        <v>1803</v>
      </c>
      <c r="C489" s="0" t="s">
        <v>66</v>
      </c>
      <c r="E489" s="11" t="n">
        <v>0.274</v>
      </c>
      <c r="G489" s="12" t="s">
        <v>67</v>
      </c>
      <c r="H489" s="12" t="s">
        <v>1804</v>
      </c>
      <c r="I489" s="12" t="s">
        <v>1805</v>
      </c>
      <c r="J489" s="6" t="s">
        <v>1798</v>
      </c>
    </row>
    <row r="490" customFormat="false" ht="17.15" hidden="false" customHeight="false" outlineLevel="0" collapsed="false">
      <c r="A490" s="0" t="s">
        <v>1806</v>
      </c>
      <c r="B490" s="0" t="s">
        <v>1807</v>
      </c>
      <c r="C490" s="0" t="s">
        <v>66</v>
      </c>
      <c r="E490" s="11" t="n">
        <v>0.15</v>
      </c>
      <c r="G490" s="12" t="s">
        <v>67</v>
      </c>
      <c r="H490" s="12" t="s">
        <v>1796</v>
      </c>
      <c r="I490" s="12" t="s">
        <v>1808</v>
      </c>
      <c r="J490" s="6" t="s">
        <v>1809</v>
      </c>
    </row>
    <row r="491" customFormat="false" ht="17.15" hidden="false" customHeight="false" outlineLevel="0" collapsed="false">
      <c r="A491" s="0" t="s">
        <v>1810</v>
      </c>
      <c r="B491" s="0" t="s">
        <v>1811</v>
      </c>
      <c r="C491" s="0" t="s">
        <v>521</v>
      </c>
      <c r="E491" s="13" t="n">
        <v>13.9</v>
      </c>
      <c r="G491" s="12" t="s">
        <v>67</v>
      </c>
      <c r="H491" s="12" t="s">
        <v>1796</v>
      </c>
      <c r="I491" s="12" t="s">
        <v>1812</v>
      </c>
      <c r="J491" s="6" t="s">
        <v>1798</v>
      </c>
    </row>
    <row r="492" customFormat="false" ht="17.15" hidden="false" customHeight="false" outlineLevel="0" collapsed="false">
      <c r="A492" s="0" t="s">
        <v>1813</v>
      </c>
      <c r="B492" s="0" t="s">
        <v>1814</v>
      </c>
      <c r="C492" s="0" t="s">
        <v>66</v>
      </c>
      <c r="E492" s="11" t="n">
        <v>0.307</v>
      </c>
      <c r="G492" s="12" t="s">
        <v>67</v>
      </c>
      <c r="H492" s="12" t="s">
        <v>1796</v>
      </c>
      <c r="I492" s="12" t="s">
        <v>1815</v>
      </c>
      <c r="J492" s="6" t="s">
        <v>1798</v>
      </c>
    </row>
    <row r="493" customFormat="false" ht="17.15" hidden="false" customHeight="false" outlineLevel="0" collapsed="false">
      <c r="A493" s="0" t="s">
        <v>1816</v>
      </c>
      <c r="B493" s="0" t="s">
        <v>1817</v>
      </c>
      <c r="C493" s="0" t="s">
        <v>66</v>
      </c>
      <c r="E493" s="11" t="n">
        <v>0.311</v>
      </c>
      <c r="G493" s="12" t="s">
        <v>67</v>
      </c>
      <c r="H493" s="12" t="s">
        <v>1804</v>
      </c>
      <c r="I493" s="12" t="s">
        <v>1818</v>
      </c>
      <c r="J493" s="6" t="s">
        <v>1798</v>
      </c>
    </row>
    <row r="494" customFormat="false" ht="17.15" hidden="false" customHeight="false" outlineLevel="0" collapsed="false">
      <c r="A494" s="0" t="s">
        <v>1819</v>
      </c>
      <c r="B494" s="0" t="s">
        <v>1820</v>
      </c>
      <c r="C494" s="0" t="s">
        <v>66</v>
      </c>
      <c r="E494" s="11" t="n">
        <v>0.145</v>
      </c>
      <c r="G494" s="12" t="s">
        <v>67</v>
      </c>
      <c r="H494" s="12" t="s">
        <v>1796</v>
      </c>
      <c r="I494" s="12" t="s">
        <v>1821</v>
      </c>
      <c r="J494" s="6" t="s">
        <v>1809</v>
      </c>
    </row>
    <row r="495" customFormat="false" ht="17.15" hidden="false" customHeight="false" outlineLevel="0" collapsed="false">
      <c r="A495" s="0" t="s">
        <v>1822</v>
      </c>
      <c r="B495" s="0" t="s">
        <v>1823</v>
      </c>
      <c r="C495" s="0" t="s">
        <v>521</v>
      </c>
      <c r="E495" s="13" t="n">
        <v>78</v>
      </c>
      <c r="G495" s="12" t="s">
        <v>67</v>
      </c>
      <c r="H495" s="12" t="s">
        <v>1796</v>
      </c>
      <c r="I495" s="12" t="s">
        <v>1824</v>
      </c>
      <c r="J495" s="6" t="s">
        <v>1798</v>
      </c>
    </row>
    <row r="496" customFormat="false" ht="17.15" hidden="false" customHeight="false" outlineLevel="0" collapsed="false">
      <c r="A496" s="0" t="s">
        <v>1825</v>
      </c>
      <c r="B496" s="0" t="s">
        <v>1826</v>
      </c>
      <c r="C496" s="0" t="s">
        <v>66</v>
      </c>
      <c r="E496" s="11" t="n">
        <v>0.189</v>
      </c>
      <c r="G496" s="12" t="s">
        <v>67</v>
      </c>
      <c r="H496" s="12" t="s">
        <v>1796</v>
      </c>
      <c r="I496" s="12" t="s">
        <v>1827</v>
      </c>
      <c r="J496" s="6" t="s">
        <v>1798</v>
      </c>
    </row>
    <row r="497" customFormat="false" ht="17.15" hidden="false" customHeight="false" outlineLevel="0" collapsed="false">
      <c r="A497" s="0" t="s">
        <v>1828</v>
      </c>
      <c r="B497" s="0" t="s">
        <v>1829</v>
      </c>
      <c r="C497" s="0" t="s">
        <v>66</v>
      </c>
      <c r="E497" s="11" t="n">
        <v>0.181</v>
      </c>
      <c r="G497" s="12" t="s">
        <v>67</v>
      </c>
      <c r="H497" s="12" t="s">
        <v>1804</v>
      </c>
      <c r="I497" s="12" t="s">
        <v>1830</v>
      </c>
      <c r="J497" s="6" t="s">
        <v>1798</v>
      </c>
    </row>
    <row r="498" customFormat="false" ht="17.15" hidden="false" customHeight="false" outlineLevel="0" collapsed="false">
      <c r="A498" s="0" t="s">
        <v>1831</v>
      </c>
      <c r="B498" s="0" t="s">
        <v>1832</v>
      </c>
      <c r="C498" s="0" t="s">
        <v>66</v>
      </c>
      <c r="E498" s="11" t="n">
        <v>0.136</v>
      </c>
      <c r="G498" s="12" t="s">
        <v>67</v>
      </c>
      <c r="H498" s="12" t="s">
        <v>1796</v>
      </c>
      <c r="I498" s="12" t="s">
        <v>1833</v>
      </c>
      <c r="J498" s="6" t="s">
        <v>1809</v>
      </c>
    </row>
    <row r="499" customFormat="false" ht="17.15" hidden="false" customHeight="false" outlineLevel="0" collapsed="false">
      <c r="A499" s="0" t="s">
        <v>1834</v>
      </c>
      <c r="B499" s="0" t="s">
        <v>1835</v>
      </c>
      <c r="C499" s="0" t="s">
        <v>521</v>
      </c>
      <c r="E499" s="13" t="n">
        <v>143.9</v>
      </c>
      <c r="G499" s="12" t="s">
        <v>67</v>
      </c>
      <c r="H499" s="12" t="s">
        <v>1796</v>
      </c>
      <c r="I499" s="12" t="s">
        <v>1836</v>
      </c>
      <c r="J499" s="6" t="s">
        <v>1798</v>
      </c>
    </row>
    <row r="500" customFormat="false" ht="17.15" hidden="false" customHeight="false" outlineLevel="0" collapsed="false">
      <c r="A500" s="0" t="s">
        <v>1837</v>
      </c>
      <c r="B500" s="0" t="s">
        <v>1838</v>
      </c>
      <c r="C500" s="0" t="s">
        <v>66</v>
      </c>
      <c r="E500" s="11" t="n">
        <v>0.231</v>
      </c>
      <c r="G500" s="12" t="s">
        <v>67</v>
      </c>
      <c r="H500" s="12" t="s">
        <v>1796</v>
      </c>
      <c r="I500" s="12" t="s">
        <v>1839</v>
      </c>
      <c r="J500" s="6" t="s">
        <v>1798</v>
      </c>
    </row>
    <row r="501" customFormat="false" ht="17.15" hidden="false" customHeight="false" outlineLevel="0" collapsed="false">
      <c r="A501" s="0" t="s">
        <v>1840</v>
      </c>
      <c r="B501" s="0" t="s">
        <v>1841</v>
      </c>
      <c r="C501" s="0" t="s">
        <v>66</v>
      </c>
      <c r="E501" s="11" t="n">
        <v>0.218</v>
      </c>
      <c r="G501" s="12" t="s">
        <v>67</v>
      </c>
      <c r="H501" s="12" t="s">
        <v>1804</v>
      </c>
      <c r="I501" s="12" t="s">
        <v>1842</v>
      </c>
      <c r="J501" s="6" t="s">
        <v>1798</v>
      </c>
    </row>
    <row r="502" customFormat="false" ht="17.15" hidden="false" customHeight="false" outlineLevel="0" collapsed="false">
      <c r="A502" s="0" t="s">
        <v>1843</v>
      </c>
      <c r="B502" s="0" t="s">
        <v>1844</v>
      </c>
      <c r="C502" s="0" t="s">
        <v>66</v>
      </c>
      <c r="E502" s="11" t="n">
        <v>0.141</v>
      </c>
      <c r="G502" s="12" t="s">
        <v>67</v>
      </c>
      <c r="H502" s="12" t="s">
        <v>1796</v>
      </c>
      <c r="I502" s="12" t="s">
        <v>1845</v>
      </c>
      <c r="J502" s="6" t="s">
        <v>1809</v>
      </c>
    </row>
    <row r="503" customFormat="false" ht="17.15" hidden="false" customHeight="false" outlineLevel="0" collapsed="false">
      <c r="A503" s="0" t="s">
        <v>1846</v>
      </c>
      <c r="B503" s="0" t="s">
        <v>1847</v>
      </c>
      <c r="C503" s="0" t="s">
        <v>521</v>
      </c>
      <c r="E503" s="13" t="n">
        <v>15.3</v>
      </c>
      <c r="G503" s="12" t="s">
        <v>67</v>
      </c>
      <c r="H503" s="12" t="s">
        <v>1796</v>
      </c>
      <c r="I503" s="12" t="s">
        <v>1848</v>
      </c>
      <c r="J503" s="6" t="s">
        <v>1798</v>
      </c>
    </row>
    <row r="504" customFormat="false" ht="17.15" hidden="false" customHeight="false" outlineLevel="0" collapsed="false">
      <c r="A504" s="0" t="s">
        <v>1849</v>
      </c>
      <c r="B504" s="0" t="s">
        <v>1850</v>
      </c>
      <c r="C504" s="0" t="s">
        <v>66</v>
      </c>
      <c r="E504" s="11" t="n">
        <v>0.31</v>
      </c>
      <c r="G504" s="12" t="s">
        <v>67</v>
      </c>
      <c r="H504" s="12" t="s">
        <v>1796</v>
      </c>
      <c r="I504" s="12" t="s">
        <v>1851</v>
      </c>
      <c r="J504" s="6" t="s">
        <v>1798</v>
      </c>
    </row>
    <row r="505" customFormat="false" ht="17.15" hidden="false" customHeight="false" outlineLevel="0" collapsed="false">
      <c r="A505" s="0" t="s">
        <v>1852</v>
      </c>
      <c r="B505" s="0" t="s">
        <v>1853</v>
      </c>
      <c r="C505" s="0" t="s">
        <v>521</v>
      </c>
      <c r="E505" s="13" t="n">
        <v>20.8</v>
      </c>
      <c r="G505" s="12" t="s">
        <v>67</v>
      </c>
      <c r="H505" s="12" t="s">
        <v>1796</v>
      </c>
      <c r="I505" s="12" t="s">
        <v>1854</v>
      </c>
      <c r="J505" s="6" t="s">
        <v>1855</v>
      </c>
    </row>
    <row r="506" customFormat="false" ht="17.15" hidden="false" customHeight="false" outlineLevel="0" collapsed="false">
      <c r="A506" s="0" t="s">
        <v>1856</v>
      </c>
      <c r="B506" s="0" t="s">
        <v>1857</v>
      </c>
      <c r="C506" s="0" t="s">
        <v>521</v>
      </c>
      <c r="E506" s="13" t="n">
        <v>6.7</v>
      </c>
      <c r="G506" s="12" t="s">
        <v>67</v>
      </c>
      <c r="H506" s="12" t="s">
        <v>1796</v>
      </c>
      <c r="I506" s="12" t="s">
        <v>1858</v>
      </c>
      <c r="J506" s="6" t="s">
        <v>1798</v>
      </c>
    </row>
    <row r="507" customFormat="false" ht="17.15" hidden="false" customHeight="false" outlineLevel="0" collapsed="false">
      <c r="A507" s="0" t="s">
        <v>1859</v>
      </c>
      <c r="B507" s="0" t="s">
        <v>1860</v>
      </c>
      <c r="C507" s="0" t="s">
        <v>66</v>
      </c>
      <c r="E507" s="11" t="n">
        <v>0.096</v>
      </c>
      <c r="G507" s="12" t="s">
        <v>67</v>
      </c>
      <c r="H507" s="12" t="s">
        <v>1796</v>
      </c>
      <c r="I507" s="12" t="s">
        <v>1861</v>
      </c>
      <c r="J507" s="6" t="s">
        <v>1798</v>
      </c>
    </row>
    <row r="508" customFormat="false" ht="17.15" hidden="false" customHeight="false" outlineLevel="0" collapsed="false">
      <c r="A508" s="0" t="s">
        <v>1862</v>
      </c>
      <c r="B508" s="0" t="s">
        <v>1863</v>
      </c>
      <c r="C508" s="0" t="s">
        <v>521</v>
      </c>
      <c r="E508" s="13" t="n">
        <v>8.6</v>
      </c>
      <c r="G508" s="12" t="s">
        <v>67</v>
      </c>
      <c r="H508" s="12" t="s">
        <v>1796</v>
      </c>
      <c r="I508" s="12" t="s">
        <v>1864</v>
      </c>
      <c r="J508" s="6" t="s">
        <v>1865</v>
      </c>
    </row>
    <row r="509" customFormat="false" ht="17.15" hidden="false" customHeight="false" outlineLevel="0" collapsed="false">
      <c r="A509" s="0" t="s">
        <v>1866</v>
      </c>
      <c r="B509" s="0" t="s">
        <v>1867</v>
      </c>
      <c r="C509" s="0" t="s">
        <v>521</v>
      </c>
      <c r="E509" s="13" t="n">
        <v>165.9</v>
      </c>
      <c r="G509" s="12" t="s">
        <v>67</v>
      </c>
      <c r="H509" s="12" t="s">
        <v>1796</v>
      </c>
      <c r="I509" s="12" t="s">
        <v>1868</v>
      </c>
      <c r="J509" s="6" t="s">
        <v>1798</v>
      </c>
    </row>
    <row r="510" customFormat="false" ht="17.15" hidden="false" customHeight="false" outlineLevel="0" collapsed="false">
      <c r="A510" s="0" t="s">
        <v>1869</v>
      </c>
      <c r="B510" s="0" t="s">
        <v>1870</v>
      </c>
      <c r="C510" s="0" t="s">
        <v>66</v>
      </c>
      <c r="E510" s="11" t="n">
        <v>0.232</v>
      </c>
      <c r="G510" s="12" t="s">
        <v>67</v>
      </c>
      <c r="H510" s="12" t="s">
        <v>1796</v>
      </c>
      <c r="I510" s="12" t="s">
        <v>1871</v>
      </c>
      <c r="J510" s="6" t="s">
        <v>1798</v>
      </c>
    </row>
    <row r="511" customFormat="false" ht="17.15" hidden="false" customHeight="false" outlineLevel="0" collapsed="false">
      <c r="A511" s="0" t="s">
        <v>1872</v>
      </c>
      <c r="B511" s="0" t="s">
        <v>1873</v>
      </c>
      <c r="C511" s="0" t="s">
        <v>521</v>
      </c>
      <c r="E511" s="13" t="n">
        <v>229.5</v>
      </c>
      <c r="G511" s="12" t="s">
        <v>67</v>
      </c>
      <c r="H511" s="12" t="s">
        <v>1796</v>
      </c>
      <c r="I511" s="12" t="s">
        <v>1874</v>
      </c>
      <c r="J511" s="6" t="s">
        <v>1798</v>
      </c>
    </row>
    <row r="512" customFormat="false" ht="17.15" hidden="false" customHeight="false" outlineLevel="0" collapsed="false">
      <c r="A512" s="0" t="s">
        <v>1875</v>
      </c>
      <c r="B512" s="0" t="s">
        <v>1876</v>
      </c>
      <c r="C512" s="0" t="s">
        <v>66</v>
      </c>
      <c r="D512" s="11" t="n">
        <v>0</v>
      </c>
      <c r="E512" s="11" t="n">
        <v>0.08</v>
      </c>
      <c r="F512" s="11" t="n">
        <v>0.12</v>
      </c>
      <c r="G512" s="12" t="s">
        <v>117</v>
      </c>
      <c r="H512" s="6" t="s">
        <v>1877</v>
      </c>
      <c r="I512" s="12" t="s">
        <v>1878</v>
      </c>
      <c r="J512" s="6" t="s">
        <v>1879</v>
      </c>
    </row>
    <row r="513" customFormat="false" ht="17.15" hidden="false" customHeight="false" outlineLevel="0" collapsed="false">
      <c r="A513" s="0" t="s">
        <v>1880</v>
      </c>
      <c r="B513" s="6" t="s">
        <v>1881</v>
      </c>
      <c r="C513" s="0" t="s">
        <v>500</v>
      </c>
      <c r="D513" s="13" t="n">
        <v>0.95</v>
      </c>
      <c r="E513" s="13" t="n">
        <v>1</v>
      </c>
      <c r="F513" s="13" t="n">
        <v>1.05</v>
      </c>
      <c r="G513" s="12" t="s">
        <v>117</v>
      </c>
      <c r="H513" s="6" t="s">
        <v>1882</v>
      </c>
      <c r="I513" s="12" t="s">
        <v>1883</v>
      </c>
      <c r="J513" s="6" t="s">
        <v>1884</v>
      </c>
    </row>
    <row r="514" customFormat="false" ht="17.15" hidden="false" customHeight="false" outlineLevel="0" collapsed="false">
      <c r="A514" s="0" t="s">
        <v>1885</v>
      </c>
      <c r="B514" s="6" t="s">
        <v>1886</v>
      </c>
      <c r="C514" s="0" t="s">
        <v>500</v>
      </c>
      <c r="D514" s="13" t="n">
        <v>0.75</v>
      </c>
      <c r="E514" s="13" t="n">
        <v>0.8</v>
      </c>
      <c r="F514" s="13" t="n">
        <v>0.85</v>
      </c>
      <c r="G514" s="12" t="s">
        <v>117</v>
      </c>
      <c r="H514" s="6" t="s">
        <v>1887</v>
      </c>
      <c r="I514" s="12" t="s">
        <v>1888</v>
      </c>
      <c r="J514" s="6" t="s">
        <v>1889</v>
      </c>
    </row>
    <row r="515" customFormat="false" ht="17.15" hidden="false" customHeight="false" outlineLevel="0" collapsed="false">
      <c r="A515" s="0" t="s">
        <v>1890</v>
      </c>
      <c r="B515" s="6" t="s">
        <v>1891</v>
      </c>
      <c r="C515" s="0" t="s">
        <v>500</v>
      </c>
      <c r="D515" s="13" t="n">
        <v>0.9</v>
      </c>
      <c r="E515" s="13" t="n">
        <v>0.95</v>
      </c>
      <c r="F515" s="13" t="n">
        <v>1.05</v>
      </c>
      <c r="G515" s="12" t="s">
        <v>117</v>
      </c>
      <c r="H515" s="6" t="s">
        <v>1892</v>
      </c>
      <c r="I515" s="12" t="s">
        <v>1893</v>
      </c>
      <c r="J515" s="6" t="s">
        <v>1894</v>
      </c>
    </row>
    <row r="516" customFormat="false" ht="17.15" hidden="false" customHeight="false" outlineLevel="0" collapsed="false">
      <c r="A516" s="0" t="s">
        <v>1895</v>
      </c>
      <c r="B516" s="6" t="s">
        <v>1896</v>
      </c>
      <c r="C516" s="0" t="s">
        <v>500</v>
      </c>
      <c r="D516" s="13" t="n">
        <v>0.9</v>
      </c>
      <c r="E516" s="13" t="n">
        <v>1</v>
      </c>
      <c r="F516" s="13" t="n">
        <v>1.1</v>
      </c>
      <c r="G516" s="12" t="s">
        <v>117</v>
      </c>
      <c r="H516" s="6" t="s">
        <v>1897</v>
      </c>
      <c r="I516" s="12" t="s">
        <v>1898</v>
      </c>
      <c r="J516" s="6" t="s">
        <v>1894</v>
      </c>
    </row>
    <row r="517" customFormat="false" ht="17.15" hidden="false" customHeight="false" outlineLevel="0" collapsed="false">
      <c r="A517" s="0" t="s">
        <v>1899</v>
      </c>
      <c r="B517" s="6" t="s">
        <v>1900</v>
      </c>
      <c r="C517" s="0" t="s">
        <v>66</v>
      </c>
      <c r="D517" s="11" t="n">
        <v>0.15</v>
      </c>
      <c r="E517" s="11" t="n">
        <v>0.25</v>
      </c>
      <c r="F517" s="11" t="n">
        <v>0.4</v>
      </c>
      <c r="G517" s="12" t="s">
        <v>117</v>
      </c>
      <c r="H517" s="6" t="s">
        <v>1901</v>
      </c>
      <c r="I517" s="12" t="s">
        <v>1902</v>
      </c>
      <c r="J517" s="6" t="s">
        <v>1903</v>
      </c>
    </row>
    <row r="518" customFormat="false" ht="17.15" hidden="false" customHeight="false" outlineLevel="0" collapsed="false">
      <c r="A518" s="0" t="s">
        <v>1904</v>
      </c>
      <c r="B518" s="6" t="s">
        <v>1905</v>
      </c>
      <c r="C518" s="0" t="s">
        <v>66</v>
      </c>
      <c r="D518" s="11" t="n">
        <v>0.35</v>
      </c>
      <c r="E518" s="11" t="n">
        <v>0.5</v>
      </c>
      <c r="F518" s="11" t="n">
        <v>0.65</v>
      </c>
      <c r="G518" s="12" t="s">
        <v>117</v>
      </c>
      <c r="H518" s="6" t="s">
        <v>1906</v>
      </c>
      <c r="I518" s="12" t="s">
        <v>1907</v>
      </c>
      <c r="J518" s="6" t="s">
        <v>1908</v>
      </c>
    </row>
    <row r="519" customFormat="false" ht="17.15" hidden="false" customHeight="false" outlineLevel="0" collapsed="false">
      <c r="A519" s="0" t="s">
        <v>1909</v>
      </c>
      <c r="B519" s="0" t="s">
        <v>1910</v>
      </c>
      <c r="C519" s="0" t="s">
        <v>521</v>
      </c>
      <c r="E519" s="13" t="n">
        <v>150</v>
      </c>
      <c r="G519" s="12" t="s">
        <v>67</v>
      </c>
      <c r="H519" s="12" t="s">
        <v>1911</v>
      </c>
      <c r="I519" s="12" t="s">
        <v>1912</v>
      </c>
      <c r="J519" s="12" t="s">
        <v>1913</v>
      </c>
    </row>
    <row r="520" customFormat="false" ht="17.15" hidden="false" customHeight="false" outlineLevel="0" collapsed="false">
      <c r="A520" s="0" t="s">
        <v>1914</v>
      </c>
      <c r="B520" s="0" t="s">
        <v>1915</v>
      </c>
      <c r="C520" s="0" t="s">
        <v>521</v>
      </c>
      <c r="E520" s="13" t="n">
        <v>200</v>
      </c>
      <c r="G520" s="12" t="s">
        <v>67</v>
      </c>
      <c r="H520" s="6" t="s">
        <v>1916</v>
      </c>
      <c r="I520" s="12" t="s">
        <v>1917</v>
      </c>
      <c r="J520" s="6" t="s">
        <v>1918</v>
      </c>
    </row>
    <row r="521" customFormat="false" ht="17.15" hidden="false" customHeight="false" outlineLevel="0" collapsed="false">
      <c r="A521" s="0" t="s">
        <v>1919</v>
      </c>
      <c r="B521" s="0" t="s">
        <v>1920</v>
      </c>
      <c r="C521" s="0" t="s">
        <v>521</v>
      </c>
      <c r="E521" s="13" t="n">
        <v>150</v>
      </c>
      <c r="G521" s="12" t="s">
        <v>67</v>
      </c>
      <c r="H521" s="12" t="s">
        <v>1921</v>
      </c>
      <c r="I521" s="12" t="s">
        <v>1922</v>
      </c>
      <c r="J521" s="6" t="s">
        <v>1923</v>
      </c>
    </row>
    <row r="522" customFormat="false" ht="17.15" hidden="false" customHeight="false" outlineLevel="0" collapsed="false">
      <c r="A522" s="0" t="s">
        <v>1924</v>
      </c>
      <c r="B522" s="0" t="s">
        <v>1925</v>
      </c>
      <c r="C522" s="0" t="s">
        <v>521</v>
      </c>
      <c r="E522" s="13" t="n">
        <v>190</v>
      </c>
      <c r="G522" s="12" t="s">
        <v>67</v>
      </c>
      <c r="H522" s="12" t="s">
        <v>1926</v>
      </c>
      <c r="I522" s="12" t="s">
        <v>1927</v>
      </c>
      <c r="J522" s="6" t="s">
        <v>1928</v>
      </c>
    </row>
    <row r="523" customFormat="false" ht="17.15" hidden="false" customHeight="false" outlineLevel="0" collapsed="false">
      <c r="A523" s="0" t="s">
        <v>1929</v>
      </c>
      <c r="B523" s="0" t="s">
        <v>1930</v>
      </c>
      <c r="C523" s="0" t="s">
        <v>521</v>
      </c>
      <c r="E523" s="13" t="n">
        <v>202</v>
      </c>
      <c r="G523" s="12" t="s">
        <v>67</v>
      </c>
      <c r="H523" s="6" t="s">
        <v>1931</v>
      </c>
      <c r="I523" s="12" t="s">
        <v>1932</v>
      </c>
      <c r="J523" s="6" t="s">
        <v>1933</v>
      </c>
    </row>
    <row r="524" customFormat="false" ht="17.15" hidden="false" customHeight="false" outlineLevel="0" collapsed="false">
      <c r="A524" s="0" t="s">
        <v>1934</v>
      </c>
      <c r="B524" s="0" t="s">
        <v>1935</v>
      </c>
      <c r="C524" s="0" t="s">
        <v>521</v>
      </c>
      <c r="E524" s="13" t="n">
        <v>227</v>
      </c>
      <c r="G524" s="12" t="s">
        <v>67</v>
      </c>
      <c r="H524" s="6" t="s">
        <v>1936</v>
      </c>
      <c r="I524" s="12" t="s">
        <v>1937</v>
      </c>
      <c r="J524" s="6" t="s">
        <v>72</v>
      </c>
    </row>
    <row r="525" customFormat="false" ht="17.15" hidden="false" customHeight="false" outlineLevel="0" collapsed="false">
      <c r="A525" s="0" t="s">
        <v>1938</v>
      </c>
      <c r="B525" s="0" t="s">
        <v>1939</v>
      </c>
      <c r="C525" s="0" t="s">
        <v>521</v>
      </c>
      <c r="E525" s="13" t="n">
        <v>150</v>
      </c>
      <c r="G525" s="12" t="s">
        <v>67</v>
      </c>
      <c r="H525" s="12" t="s">
        <v>1940</v>
      </c>
      <c r="I525" s="12" t="s">
        <v>1941</v>
      </c>
      <c r="J525" s="12" t="s">
        <v>1942</v>
      </c>
    </row>
    <row r="526" customFormat="false" ht="15" hidden="false" customHeight="false" outlineLevel="0" collapsed="false">
      <c r="A526" s="0" t="s">
        <v>1943</v>
      </c>
      <c r="B526" s="0" t="s">
        <v>1944</v>
      </c>
      <c r="C526" s="0" t="s">
        <v>521</v>
      </c>
      <c r="E526" s="13" t="n">
        <v>218</v>
      </c>
      <c r="G526" s="12" t="s">
        <v>67</v>
      </c>
      <c r="H526" s="12" t="s">
        <v>1940</v>
      </c>
      <c r="I526" s="12" t="s">
        <v>1945</v>
      </c>
      <c r="J526" s="6" t="s">
        <v>72</v>
      </c>
    </row>
    <row r="527" customFormat="false" ht="15" hidden="false" customHeight="false" outlineLevel="0" collapsed="false">
      <c r="A527" s="0" t="s">
        <v>1946</v>
      </c>
      <c r="B527" s="0" t="s">
        <v>1947</v>
      </c>
      <c r="C527" s="0" t="s">
        <v>521</v>
      </c>
      <c r="E527" s="13" t="n">
        <v>281</v>
      </c>
      <c r="G527" s="12" t="s">
        <v>67</v>
      </c>
      <c r="H527" s="12" t="s">
        <v>1940</v>
      </c>
      <c r="I527" s="12" t="s">
        <v>1948</v>
      </c>
      <c r="J527" s="6" t="s">
        <v>72</v>
      </c>
    </row>
    <row r="528" customFormat="false" ht="17.15" hidden="false" customHeight="false" outlineLevel="0" collapsed="false">
      <c r="A528" s="0" t="s">
        <v>1949</v>
      </c>
      <c r="B528" s="6" t="s">
        <v>1950</v>
      </c>
      <c r="C528" s="0" t="s">
        <v>66</v>
      </c>
      <c r="E528" s="11" t="n">
        <v>0.15</v>
      </c>
      <c r="G528" s="12" t="s">
        <v>221</v>
      </c>
      <c r="H528" s="6" t="s">
        <v>1951</v>
      </c>
      <c r="I528" s="12" t="s">
        <v>1952</v>
      </c>
      <c r="J528" s="12" t="s">
        <v>684</v>
      </c>
    </row>
    <row r="529" customFormat="false" ht="17.15" hidden="false" customHeight="false" outlineLevel="0" collapsed="false">
      <c r="A529" s="10" t="s">
        <v>1953</v>
      </c>
    </row>
    <row r="530" customFormat="false" ht="17.15" hidden="false" customHeight="false" outlineLevel="0" collapsed="false">
      <c r="A530" s="0" t="s">
        <v>1954</v>
      </c>
      <c r="B530" s="0" t="s">
        <v>1955</v>
      </c>
      <c r="C530" s="0" t="s">
        <v>1350</v>
      </c>
      <c r="E530" s="13" t="n">
        <v>6.9</v>
      </c>
      <c r="G530" s="12" t="s">
        <v>67</v>
      </c>
      <c r="H530" s="12" t="s">
        <v>1956</v>
      </c>
      <c r="I530" s="12" t="s">
        <v>1957</v>
      </c>
      <c r="J530" s="6" t="s">
        <v>1760</v>
      </c>
    </row>
    <row r="531" customFormat="false" ht="17.15" hidden="false" customHeight="false" outlineLevel="0" collapsed="false">
      <c r="A531" s="0" t="s">
        <v>1958</v>
      </c>
      <c r="B531" s="6" t="s">
        <v>1959</v>
      </c>
      <c r="C531" s="0" t="s">
        <v>1350</v>
      </c>
      <c r="E531" s="13" t="n">
        <v>2.1</v>
      </c>
      <c r="G531" s="12" t="s">
        <v>67</v>
      </c>
      <c r="H531" s="6" t="s">
        <v>1960</v>
      </c>
      <c r="I531" s="12" t="s">
        <v>1961</v>
      </c>
      <c r="J531" s="6" t="s">
        <v>1760</v>
      </c>
    </row>
    <row r="532" customFormat="false" ht="17.15" hidden="false" customHeight="false" outlineLevel="0" collapsed="false">
      <c r="A532" s="0" t="s">
        <v>1962</v>
      </c>
      <c r="B532" s="0" t="s">
        <v>1963</v>
      </c>
      <c r="C532" s="0" t="s">
        <v>1350</v>
      </c>
      <c r="D532" s="13" t="n">
        <v>11</v>
      </c>
      <c r="E532" s="13" t="n">
        <v>11.5</v>
      </c>
      <c r="F532" s="13" t="n">
        <v>12</v>
      </c>
      <c r="G532" s="12" t="s">
        <v>67</v>
      </c>
      <c r="H532" s="12" t="s">
        <v>1964</v>
      </c>
      <c r="I532" s="12" t="s">
        <v>1965</v>
      </c>
      <c r="J532" s="6" t="s">
        <v>1966</v>
      </c>
    </row>
    <row r="533" customFormat="false" ht="17.15" hidden="false" customHeight="false" outlineLevel="0" collapsed="false">
      <c r="A533" s="0" t="s">
        <v>1967</v>
      </c>
      <c r="B533" s="6" t="s">
        <v>1968</v>
      </c>
      <c r="C533" s="0" t="s">
        <v>1350</v>
      </c>
      <c r="D533" s="13" t="n">
        <v>2.5</v>
      </c>
      <c r="E533" s="13" t="n">
        <v>2.75</v>
      </c>
      <c r="F533" s="13" t="n">
        <v>3</v>
      </c>
      <c r="G533" s="12" t="s">
        <v>67</v>
      </c>
      <c r="H533" s="6" t="s">
        <v>1969</v>
      </c>
      <c r="I533" s="12" t="s">
        <v>1970</v>
      </c>
      <c r="J533" s="6" t="s">
        <v>1971</v>
      </c>
    </row>
    <row r="534" customFormat="false" ht="17.15" hidden="false" customHeight="false" outlineLevel="0" collapsed="false">
      <c r="A534" s="0" t="s">
        <v>1972</v>
      </c>
      <c r="B534" s="6" t="s">
        <v>1973</v>
      </c>
      <c r="C534" s="0" t="s">
        <v>1350</v>
      </c>
      <c r="D534" s="13" t="n">
        <v>3.7</v>
      </c>
      <c r="E534" s="13" t="n">
        <v>4.3</v>
      </c>
      <c r="F534" s="13" t="n">
        <v>4.9</v>
      </c>
      <c r="G534" s="12" t="s">
        <v>857</v>
      </c>
      <c r="H534" s="12" t="s">
        <v>1974</v>
      </c>
      <c r="I534" s="12" t="s">
        <v>1975</v>
      </c>
      <c r="J534" s="6" t="s">
        <v>1976</v>
      </c>
    </row>
    <row r="535" customFormat="false" ht="17.15" hidden="false" customHeight="false" outlineLevel="0" collapsed="false">
      <c r="A535" s="0" t="s">
        <v>1977</v>
      </c>
      <c r="B535" s="6" t="s">
        <v>1978</v>
      </c>
      <c r="C535" s="0" t="s">
        <v>66</v>
      </c>
      <c r="D535" s="11" t="n">
        <v>0</v>
      </c>
      <c r="E535" s="11" t="n">
        <v>0.04</v>
      </c>
      <c r="F535" s="11" t="n">
        <v>0.08</v>
      </c>
      <c r="G535" s="12" t="s">
        <v>117</v>
      </c>
      <c r="H535" s="6" t="s">
        <v>1979</v>
      </c>
      <c r="I535" s="12" t="s">
        <v>1980</v>
      </c>
      <c r="J535" s="12" t="s">
        <v>684</v>
      </c>
    </row>
    <row r="536" customFormat="false" ht="17.15" hidden="false" customHeight="false" outlineLevel="0" collapsed="false">
      <c r="A536" s="0" t="s">
        <v>1981</v>
      </c>
      <c r="B536" s="6" t="s">
        <v>1982</v>
      </c>
      <c r="C536" s="0" t="s">
        <v>1727</v>
      </c>
      <c r="D536" s="13" t="n">
        <v>0.05</v>
      </c>
      <c r="E536" s="13" t="n">
        <v>0</v>
      </c>
      <c r="F536" s="13" t="n">
        <v>0.1</v>
      </c>
      <c r="G536" s="12" t="s">
        <v>117</v>
      </c>
      <c r="H536" s="6" t="s">
        <v>1983</v>
      </c>
      <c r="I536" s="12" t="s">
        <v>1984</v>
      </c>
      <c r="J536" s="6" t="s">
        <v>1985</v>
      </c>
    </row>
    <row r="537" customFormat="false" ht="17.15" hidden="false" customHeight="false" outlineLevel="0" collapsed="false">
      <c r="A537" s="0" t="s">
        <v>1986</v>
      </c>
      <c r="B537" s="6" t="s">
        <v>1987</v>
      </c>
      <c r="C537" s="0" t="s">
        <v>500</v>
      </c>
      <c r="D537" s="13" t="n">
        <v>0.9</v>
      </c>
      <c r="E537" s="13" t="n">
        <v>1</v>
      </c>
      <c r="F537" s="13" t="n">
        <v>1.1</v>
      </c>
      <c r="G537" s="12" t="s">
        <v>117</v>
      </c>
      <c r="H537" s="6" t="s">
        <v>1988</v>
      </c>
      <c r="I537" s="12" t="s">
        <v>1989</v>
      </c>
      <c r="J537" s="6" t="s">
        <v>1990</v>
      </c>
    </row>
    <row r="538" customFormat="false" ht="17.15" hidden="false" customHeight="false" outlineLevel="0" collapsed="false">
      <c r="A538" s="0" t="s">
        <v>1991</v>
      </c>
      <c r="B538" s="6" t="s">
        <v>1992</v>
      </c>
      <c r="C538" s="0" t="s">
        <v>500</v>
      </c>
      <c r="D538" s="13" t="n">
        <v>1.1</v>
      </c>
      <c r="E538" s="13" t="n">
        <v>1.3</v>
      </c>
      <c r="F538" s="13" t="n">
        <v>1.6</v>
      </c>
      <c r="G538" s="12" t="s">
        <v>117</v>
      </c>
      <c r="H538" s="6" t="s">
        <v>1993</v>
      </c>
      <c r="I538" s="12" t="s">
        <v>1994</v>
      </c>
      <c r="J538" s="6" t="s">
        <v>1990</v>
      </c>
    </row>
    <row r="539" customFormat="false" ht="17.15" hidden="false" customHeight="false" outlineLevel="0" collapsed="false">
      <c r="A539" s="0" t="s">
        <v>1995</v>
      </c>
      <c r="B539" s="6" t="s">
        <v>1996</v>
      </c>
      <c r="C539" s="0" t="s">
        <v>500</v>
      </c>
      <c r="D539" s="13" t="n">
        <v>1.3</v>
      </c>
      <c r="E539" s="13" t="n">
        <v>1.7</v>
      </c>
      <c r="F539" s="13" t="n">
        <v>2.2</v>
      </c>
      <c r="G539" s="12" t="s">
        <v>117</v>
      </c>
      <c r="H539" s="6" t="s">
        <v>1997</v>
      </c>
      <c r="I539" s="12" t="s">
        <v>1998</v>
      </c>
      <c r="J539" s="6" t="s">
        <v>1990</v>
      </c>
    </row>
    <row r="540" customFormat="false" ht="17.15" hidden="false" customHeight="false" outlineLevel="0" collapsed="false">
      <c r="A540" s="0" t="s">
        <v>1999</v>
      </c>
      <c r="B540" s="6" t="s">
        <v>2000</v>
      </c>
      <c r="C540" s="0" t="s">
        <v>500</v>
      </c>
      <c r="D540" s="13" t="n">
        <v>0.5</v>
      </c>
      <c r="E540" s="13" t="n">
        <v>0.6</v>
      </c>
      <c r="F540" s="13" t="n">
        <v>0.8</v>
      </c>
      <c r="G540" s="12" t="s">
        <v>117</v>
      </c>
      <c r="H540" s="6" t="s">
        <v>2001</v>
      </c>
      <c r="I540" s="12" t="s">
        <v>2002</v>
      </c>
      <c r="J540" s="6" t="s">
        <v>1990</v>
      </c>
    </row>
    <row r="541" customFormat="false" ht="17.15" hidden="false" customHeight="false" outlineLevel="0" collapsed="false">
      <c r="A541" s="0" t="s">
        <v>2003</v>
      </c>
      <c r="B541" s="6" t="s">
        <v>2004</v>
      </c>
      <c r="C541" s="0" t="s">
        <v>500</v>
      </c>
      <c r="D541" s="13" t="n">
        <v>0.9</v>
      </c>
      <c r="E541" s="13" t="n">
        <v>1.1</v>
      </c>
      <c r="F541" s="13" t="n">
        <v>1.4</v>
      </c>
      <c r="G541" s="12" t="s">
        <v>117</v>
      </c>
      <c r="H541" s="6" t="s">
        <v>2005</v>
      </c>
      <c r="I541" s="12" t="s">
        <v>2006</v>
      </c>
      <c r="J541" s="6" t="s">
        <v>1990</v>
      </c>
    </row>
    <row r="542" customFormat="false" ht="17.15" hidden="false" customHeight="false" outlineLevel="0" collapsed="false">
      <c r="A542" s="0" t="s">
        <v>2007</v>
      </c>
      <c r="B542" s="6" t="s">
        <v>2008</v>
      </c>
      <c r="C542" s="0" t="s">
        <v>500</v>
      </c>
      <c r="D542" s="13" t="n">
        <v>0.8</v>
      </c>
      <c r="E542" s="13" t="n">
        <v>1</v>
      </c>
      <c r="F542" s="13" t="n">
        <v>1.3</v>
      </c>
      <c r="G542" s="12" t="s">
        <v>117</v>
      </c>
      <c r="H542" s="6" t="s">
        <v>2009</v>
      </c>
      <c r="I542" s="12" t="s">
        <v>2010</v>
      </c>
      <c r="J542" s="6" t="s">
        <v>1990</v>
      </c>
    </row>
    <row r="543" customFormat="false" ht="17.15" hidden="false" customHeight="false" outlineLevel="0" collapsed="false">
      <c r="A543" s="0" t="s">
        <v>2011</v>
      </c>
      <c r="B543" s="6" t="s">
        <v>2012</v>
      </c>
      <c r="C543" s="0" t="s">
        <v>500</v>
      </c>
      <c r="D543" s="13" t="n">
        <v>0.6</v>
      </c>
      <c r="E543" s="13" t="n">
        <v>0.8</v>
      </c>
      <c r="F543" s="13" t="n">
        <v>1.1</v>
      </c>
      <c r="G543" s="12" t="s">
        <v>117</v>
      </c>
      <c r="H543" s="6" t="s">
        <v>2013</v>
      </c>
      <c r="I543" s="12" t="s">
        <v>2014</v>
      </c>
      <c r="J543" s="6" t="s">
        <v>1990</v>
      </c>
    </row>
    <row r="544" customFormat="false" ht="17.15" hidden="false" customHeight="false" outlineLevel="0" collapsed="false">
      <c r="A544" s="0" t="s">
        <v>2015</v>
      </c>
      <c r="B544" s="6" t="s">
        <v>2016</v>
      </c>
      <c r="C544" s="0" t="s">
        <v>500</v>
      </c>
      <c r="D544" s="13" t="n">
        <v>0.5</v>
      </c>
      <c r="E544" s="13" t="n">
        <v>0.7</v>
      </c>
      <c r="F544" s="13" t="n">
        <v>1</v>
      </c>
      <c r="G544" s="12" t="s">
        <v>117</v>
      </c>
      <c r="H544" s="6" t="s">
        <v>2017</v>
      </c>
      <c r="I544" s="12" t="s">
        <v>2018</v>
      </c>
      <c r="J544" s="6" t="s">
        <v>1990</v>
      </c>
    </row>
    <row r="545" customFormat="false" ht="17.15" hidden="false" customHeight="false" outlineLevel="0" collapsed="false">
      <c r="A545" s="0" t="s">
        <v>2019</v>
      </c>
      <c r="B545" s="6" t="s">
        <v>2020</v>
      </c>
      <c r="C545" s="0" t="s">
        <v>66</v>
      </c>
      <c r="D545" s="11" t="n">
        <v>0.3</v>
      </c>
      <c r="E545" s="11" t="n">
        <v>0.5</v>
      </c>
      <c r="F545" s="11" t="n">
        <v>0.7</v>
      </c>
      <c r="G545" s="12" t="s">
        <v>117</v>
      </c>
      <c r="H545" s="6" t="s">
        <v>2021</v>
      </c>
      <c r="I545" s="12" t="s">
        <v>2022</v>
      </c>
      <c r="J545" s="6" t="s">
        <v>1760</v>
      </c>
    </row>
    <row r="546" customFormat="false" ht="17.15" hidden="false" customHeight="false" outlineLevel="0" collapsed="false">
      <c r="A546" s="0" t="s">
        <v>2023</v>
      </c>
      <c r="B546" s="6" t="s">
        <v>2024</v>
      </c>
      <c r="C546" s="0" t="s">
        <v>66</v>
      </c>
      <c r="E546" s="11" t="n">
        <v>0.07</v>
      </c>
      <c r="G546" s="12" t="s">
        <v>67</v>
      </c>
      <c r="H546" s="6" t="s">
        <v>2025</v>
      </c>
      <c r="I546" s="12" t="s">
        <v>2026</v>
      </c>
      <c r="J546" s="12" t="s">
        <v>2027</v>
      </c>
    </row>
    <row r="547" customFormat="false" ht="17.15" hidden="false" customHeight="false" outlineLevel="0" collapsed="false">
      <c r="A547" s="0" t="s">
        <v>2028</v>
      </c>
      <c r="B547" s="6" t="s">
        <v>2029</v>
      </c>
      <c r="C547" s="0" t="s">
        <v>66</v>
      </c>
      <c r="E547" s="11" t="n">
        <v>0.09</v>
      </c>
      <c r="G547" s="12" t="s">
        <v>67</v>
      </c>
      <c r="H547" s="6" t="s">
        <v>72</v>
      </c>
      <c r="I547" s="12" t="s">
        <v>2030</v>
      </c>
      <c r="J547" s="12" t="s">
        <v>684</v>
      </c>
    </row>
    <row r="548" customFormat="false" ht="17.15" hidden="false" customHeight="false" outlineLevel="0" collapsed="false">
      <c r="A548" s="10" t="s">
        <v>2031</v>
      </c>
    </row>
    <row r="549" customFormat="false" ht="17.15" hidden="false" customHeight="false" outlineLevel="0" collapsed="false">
      <c r="A549" s="0" t="s">
        <v>2032</v>
      </c>
      <c r="B549" s="0" t="s">
        <v>2033</v>
      </c>
      <c r="C549" s="0" t="s">
        <v>2034</v>
      </c>
      <c r="D549" s="13" t="n">
        <v>22</v>
      </c>
      <c r="E549" s="13" t="n">
        <v>24</v>
      </c>
      <c r="F549" s="13" t="n">
        <v>24</v>
      </c>
      <c r="G549" s="12" t="s">
        <v>117</v>
      </c>
      <c r="H549" s="12" t="s">
        <v>2035</v>
      </c>
      <c r="I549" s="12" t="s">
        <v>2036</v>
      </c>
      <c r="J549" s="6" t="s">
        <v>2037</v>
      </c>
    </row>
    <row r="550" customFormat="false" ht="17.15" hidden="false" customHeight="false" outlineLevel="0" collapsed="false">
      <c r="A550" s="0" t="s">
        <v>2038</v>
      </c>
      <c r="B550" s="0" t="s">
        <v>2039</v>
      </c>
      <c r="C550" s="0" t="s">
        <v>2034</v>
      </c>
      <c r="D550" s="13" t="n">
        <v>24</v>
      </c>
      <c r="E550" s="13" t="n">
        <v>24</v>
      </c>
      <c r="F550" s="13" t="n">
        <v>26</v>
      </c>
      <c r="G550" s="12" t="s">
        <v>117</v>
      </c>
      <c r="H550" s="12" t="s">
        <v>2035</v>
      </c>
      <c r="I550" s="12" t="s">
        <v>2040</v>
      </c>
      <c r="J550" s="6" t="s">
        <v>72</v>
      </c>
    </row>
    <row r="551" customFormat="false" ht="17.15" hidden="false" customHeight="false" outlineLevel="0" collapsed="false">
      <c r="A551" s="0" t="s">
        <v>2041</v>
      </c>
      <c r="B551" s="0" t="s">
        <v>2042</v>
      </c>
      <c r="C551" s="0" t="s">
        <v>2034</v>
      </c>
      <c r="D551" s="13" t="n">
        <v>24</v>
      </c>
      <c r="E551" s="13" t="n">
        <v>26</v>
      </c>
      <c r="F551" s="13" t="n">
        <v>28</v>
      </c>
      <c r="G551" s="12" t="s">
        <v>117</v>
      </c>
      <c r="H551" s="12" t="s">
        <v>2035</v>
      </c>
      <c r="I551" s="12" t="s">
        <v>2043</v>
      </c>
      <c r="J551" s="6" t="s">
        <v>72</v>
      </c>
    </row>
    <row r="552" customFormat="false" ht="17.15" hidden="false" customHeight="false" outlineLevel="0" collapsed="false">
      <c r="A552" s="0" t="s">
        <v>2044</v>
      </c>
      <c r="B552" s="0" t="s">
        <v>2045</v>
      </c>
      <c r="C552" s="0" t="s">
        <v>2034</v>
      </c>
      <c r="D552" s="13" t="n">
        <v>24</v>
      </c>
      <c r="E552" s="13" t="n">
        <v>28</v>
      </c>
      <c r="F552" s="13" t="n">
        <v>32</v>
      </c>
      <c r="G552" s="12" t="s">
        <v>117</v>
      </c>
      <c r="H552" s="12" t="s">
        <v>2035</v>
      </c>
      <c r="I552" s="12" t="s">
        <v>2046</v>
      </c>
      <c r="J552" s="6" t="s">
        <v>72</v>
      </c>
    </row>
    <row r="553" customFormat="false" ht="17.15" hidden="false" customHeight="false" outlineLevel="0" collapsed="false">
      <c r="A553" s="0" t="s">
        <v>2047</v>
      </c>
      <c r="B553" s="0" t="s">
        <v>2048</v>
      </c>
      <c r="C553" s="0" t="s">
        <v>2034</v>
      </c>
      <c r="D553" s="13" t="n">
        <v>26</v>
      </c>
      <c r="E553" s="13" t="n">
        <v>30</v>
      </c>
      <c r="F553" s="13" t="n">
        <v>32</v>
      </c>
      <c r="G553" s="12" t="s">
        <v>117</v>
      </c>
      <c r="H553" s="12" t="s">
        <v>2035</v>
      </c>
      <c r="I553" s="12" t="s">
        <v>2049</v>
      </c>
      <c r="J553" s="6" t="s">
        <v>72</v>
      </c>
    </row>
    <row r="554" customFormat="false" ht="17.15" hidden="false" customHeight="false" outlineLevel="0" collapsed="false">
      <c r="A554" s="0" t="s">
        <v>2050</v>
      </c>
      <c r="B554" s="0" t="s">
        <v>2051</v>
      </c>
      <c r="C554" s="0" t="s">
        <v>2034</v>
      </c>
      <c r="D554" s="13" t="n">
        <v>28</v>
      </c>
      <c r="E554" s="13" t="n">
        <v>32</v>
      </c>
      <c r="F554" s="13" t="n">
        <v>32</v>
      </c>
      <c r="G554" s="12" t="s">
        <v>117</v>
      </c>
      <c r="H554" s="12" t="s">
        <v>2035</v>
      </c>
      <c r="I554" s="12" t="s">
        <v>2052</v>
      </c>
      <c r="J554" s="6" t="s">
        <v>72</v>
      </c>
    </row>
    <row r="555" customFormat="false" ht="17.15" hidden="false" customHeight="false" outlineLevel="0" collapsed="false">
      <c r="A555" s="0" t="s">
        <v>2053</v>
      </c>
      <c r="B555" s="0" t="s">
        <v>2054</v>
      </c>
      <c r="C555" s="6" t="s">
        <v>2055</v>
      </c>
      <c r="D555" s="13" t="n">
        <v>8</v>
      </c>
      <c r="E555" s="13" t="n">
        <v>10</v>
      </c>
      <c r="F555" s="13" t="n">
        <v>12</v>
      </c>
      <c r="G555" s="12" t="s">
        <v>117</v>
      </c>
      <c r="H555" s="12" t="s">
        <v>2056</v>
      </c>
      <c r="I555" s="12" t="s">
        <v>2057</v>
      </c>
      <c r="J555" s="6" t="s">
        <v>2058</v>
      </c>
    </row>
    <row r="556" customFormat="false" ht="17.15" hidden="false" customHeight="false" outlineLevel="0" collapsed="false">
      <c r="A556" s="0" t="s">
        <v>2059</v>
      </c>
      <c r="B556" s="0" t="s">
        <v>2060</v>
      </c>
      <c r="C556" s="6" t="s">
        <v>2055</v>
      </c>
      <c r="D556" s="13" t="n">
        <v>10</v>
      </c>
      <c r="E556" s="13" t="n">
        <v>12</v>
      </c>
      <c r="F556" s="13" t="n">
        <v>12</v>
      </c>
      <c r="G556" s="12" t="s">
        <v>117</v>
      </c>
      <c r="H556" s="12" t="s">
        <v>2056</v>
      </c>
      <c r="I556" s="12" t="s">
        <v>2061</v>
      </c>
      <c r="J556" s="6" t="s">
        <v>72</v>
      </c>
    </row>
    <row r="557" customFormat="false" ht="17.15" hidden="false" customHeight="false" outlineLevel="0" collapsed="false">
      <c r="A557" s="0" t="s">
        <v>2062</v>
      </c>
      <c r="B557" s="0" t="s">
        <v>2063</v>
      </c>
      <c r="C557" s="6" t="s">
        <v>2055</v>
      </c>
      <c r="D557" s="13" t="n">
        <v>12</v>
      </c>
      <c r="E557" s="13" t="n">
        <v>12.5</v>
      </c>
      <c r="F557" s="13" t="n">
        <v>14</v>
      </c>
      <c r="G557" s="12" t="s">
        <v>117</v>
      </c>
      <c r="H557" s="12" t="s">
        <v>2056</v>
      </c>
      <c r="I557" s="12" t="s">
        <v>2064</v>
      </c>
      <c r="J557" s="6" t="s">
        <v>72</v>
      </c>
    </row>
    <row r="558" customFormat="false" ht="17.15" hidden="false" customHeight="false" outlineLevel="0" collapsed="false">
      <c r="A558" s="0" t="s">
        <v>2065</v>
      </c>
      <c r="B558" s="0" t="s">
        <v>2066</v>
      </c>
      <c r="C558" s="6" t="s">
        <v>2055</v>
      </c>
      <c r="D558" s="13" t="n">
        <v>12</v>
      </c>
      <c r="E558" s="13" t="n">
        <v>14</v>
      </c>
      <c r="F558" s="13" t="n">
        <v>16</v>
      </c>
      <c r="G558" s="12" t="s">
        <v>117</v>
      </c>
      <c r="H558" s="12" t="s">
        <v>2056</v>
      </c>
      <c r="I558" s="12" t="s">
        <v>2067</v>
      </c>
      <c r="J558" s="6" t="s">
        <v>72</v>
      </c>
    </row>
    <row r="559" customFormat="false" ht="17.15" hidden="false" customHeight="false" outlineLevel="0" collapsed="false">
      <c r="A559" s="0" t="s">
        <v>2068</v>
      </c>
      <c r="B559" s="0" t="s">
        <v>2069</v>
      </c>
      <c r="C559" s="6" t="s">
        <v>2055</v>
      </c>
      <c r="D559" s="13" t="n">
        <v>12</v>
      </c>
      <c r="E559" s="13" t="n">
        <v>15</v>
      </c>
      <c r="F559" s="13" t="n">
        <v>16</v>
      </c>
      <c r="G559" s="12" t="s">
        <v>117</v>
      </c>
      <c r="H559" s="12" t="s">
        <v>2056</v>
      </c>
      <c r="I559" s="12" t="s">
        <v>2070</v>
      </c>
      <c r="J559" s="6" t="s">
        <v>72</v>
      </c>
    </row>
    <row r="560" customFormat="false" ht="17.15" hidden="false" customHeight="false" outlineLevel="0" collapsed="false">
      <c r="A560" s="0" t="s">
        <v>2071</v>
      </c>
      <c r="B560" s="0" t="s">
        <v>2072</v>
      </c>
      <c r="C560" s="6" t="s">
        <v>2055</v>
      </c>
      <c r="D560" s="13" t="n">
        <v>14</v>
      </c>
      <c r="E560" s="13" t="n">
        <v>16</v>
      </c>
      <c r="F560" s="13" t="n">
        <v>16</v>
      </c>
      <c r="G560" s="12" t="s">
        <v>117</v>
      </c>
      <c r="H560" s="12" t="s">
        <v>2056</v>
      </c>
      <c r="I560" s="12" t="s">
        <v>2073</v>
      </c>
      <c r="J560" s="6" t="s">
        <v>72</v>
      </c>
    </row>
    <row r="561" customFormat="false" ht="17.15" hidden="false" customHeight="false" outlineLevel="0" collapsed="false">
      <c r="A561" s="0" t="s">
        <v>2074</v>
      </c>
      <c r="B561" s="6" t="s">
        <v>2075</v>
      </c>
      <c r="C561" s="0" t="s">
        <v>66</v>
      </c>
      <c r="D561" s="11" t="n">
        <v>0</v>
      </c>
      <c r="E561" s="11" t="n">
        <v>0</v>
      </c>
      <c r="F561" s="11" t="n">
        <v>0</v>
      </c>
      <c r="G561" s="12" t="s">
        <v>117</v>
      </c>
      <c r="H561" s="12" t="s">
        <v>2076</v>
      </c>
      <c r="I561" s="12" t="s">
        <v>2077</v>
      </c>
      <c r="J561" s="6" t="s">
        <v>2078</v>
      </c>
    </row>
    <row r="562" customFormat="false" ht="17.15" hidden="false" customHeight="false" outlineLevel="0" collapsed="false">
      <c r="A562" s="0" t="s">
        <v>2079</v>
      </c>
      <c r="B562" s="6" t="s">
        <v>2080</v>
      </c>
      <c r="C562" s="0" t="s">
        <v>66</v>
      </c>
      <c r="D562" s="11" t="n">
        <v>0</v>
      </c>
      <c r="E562" s="11" t="n">
        <v>0</v>
      </c>
      <c r="F562" s="11" t="n">
        <v>0</v>
      </c>
      <c r="G562" s="12" t="s">
        <v>117</v>
      </c>
      <c r="H562" s="6" t="s">
        <v>72</v>
      </c>
      <c r="I562" s="12" t="s">
        <v>2081</v>
      </c>
    </row>
    <row r="563" customFormat="false" ht="17.15" hidden="false" customHeight="false" outlineLevel="0" collapsed="false">
      <c r="A563" s="0" t="s">
        <v>2082</v>
      </c>
      <c r="B563" s="6" t="s">
        <v>2083</v>
      </c>
      <c r="C563" s="0" t="s">
        <v>66</v>
      </c>
      <c r="D563" s="11" t="n">
        <v>0</v>
      </c>
      <c r="E563" s="11" t="n">
        <v>0</v>
      </c>
      <c r="F563" s="11" t="n">
        <v>0.05</v>
      </c>
      <c r="G563" s="12" t="s">
        <v>117</v>
      </c>
      <c r="H563" s="6" t="s">
        <v>72</v>
      </c>
      <c r="I563" s="12" t="s">
        <v>2084</v>
      </c>
    </row>
    <row r="564" customFormat="false" ht="17.15" hidden="false" customHeight="false" outlineLevel="0" collapsed="false">
      <c r="A564" s="0" t="s">
        <v>2085</v>
      </c>
      <c r="B564" s="6" t="s">
        <v>2086</v>
      </c>
      <c r="C564" s="0" t="s">
        <v>66</v>
      </c>
      <c r="D564" s="11" t="n">
        <v>0</v>
      </c>
      <c r="E564" s="11" t="n">
        <v>0.05</v>
      </c>
      <c r="F564" s="11" t="n">
        <v>0.15</v>
      </c>
      <c r="G564" s="12" t="s">
        <v>117</v>
      </c>
      <c r="H564" s="6" t="s">
        <v>72</v>
      </c>
      <c r="I564" s="12" t="s">
        <v>2087</v>
      </c>
    </row>
    <row r="565" customFormat="false" ht="17.15" hidden="false" customHeight="false" outlineLevel="0" collapsed="false">
      <c r="A565" s="0" t="s">
        <v>2088</v>
      </c>
      <c r="B565" s="6" t="s">
        <v>2089</v>
      </c>
      <c r="C565" s="0" t="s">
        <v>66</v>
      </c>
      <c r="D565" s="11" t="n">
        <v>0.05</v>
      </c>
      <c r="E565" s="11" t="n">
        <v>0.15</v>
      </c>
      <c r="F565" s="11" t="n">
        <v>0.3</v>
      </c>
      <c r="G565" s="12" t="s">
        <v>117</v>
      </c>
      <c r="H565" s="6" t="s">
        <v>72</v>
      </c>
      <c r="I565" s="12" t="s">
        <v>2090</v>
      </c>
    </row>
    <row r="566" customFormat="false" ht="17.15" hidden="false" customHeight="false" outlineLevel="0" collapsed="false">
      <c r="A566" s="0" t="s">
        <v>2091</v>
      </c>
      <c r="B566" s="6" t="s">
        <v>2092</v>
      </c>
      <c r="C566" s="0" t="s">
        <v>66</v>
      </c>
      <c r="D566" s="11" t="n">
        <v>0.1</v>
      </c>
      <c r="E566" s="11" t="n">
        <v>0.25</v>
      </c>
      <c r="F566" s="11" t="n">
        <v>0.4</v>
      </c>
      <c r="G566" s="12" t="s">
        <v>117</v>
      </c>
      <c r="H566" s="6" t="s">
        <v>72</v>
      </c>
      <c r="I566" s="12" t="s">
        <v>2093</v>
      </c>
    </row>
    <row r="567" customFormat="false" ht="17.15" hidden="false" customHeight="false" outlineLevel="0" collapsed="false">
      <c r="A567" s="10" t="s">
        <v>2094</v>
      </c>
    </row>
    <row r="568" customFormat="false" ht="17.15" hidden="false" customHeight="false" outlineLevel="0" collapsed="false">
      <c r="A568" s="0" t="s">
        <v>2095</v>
      </c>
      <c r="B568" s="0" t="s">
        <v>2096</v>
      </c>
      <c r="C568" s="0" t="s">
        <v>66</v>
      </c>
      <c r="D568" s="11" t="n">
        <v>-0.2</v>
      </c>
      <c r="E568" s="11" t="n">
        <v>-0.12</v>
      </c>
      <c r="F568" s="11" t="n">
        <v>-0.05</v>
      </c>
      <c r="G568" s="12" t="s">
        <v>857</v>
      </c>
      <c r="H568" s="6" t="s">
        <v>2097</v>
      </c>
      <c r="I568" s="12" t="s">
        <v>2098</v>
      </c>
      <c r="J568" s="12" t="s">
        <v>2099</v>
      </c>
    </row>
    <row r="569" customFormat="false" ht="17.15" hidden="false" customHeight="false" outlineLevel="0" collapsed="false">
      <c r="A569" s="0" t="s">
        <v>2100</v>
      </c>
      <c r="B569" s="6" t="s">
        <v>2101</v>
      </c>
      <c r="C569" s="0" t="s">
        <v>2102</v>
      </c>
      <c r="D569" s="13" t="n">
        <v>24</v>
      </c>
      <c r="E569" s="13" t="n">
        <v>30</v>
      </c>
      <c r="F569" s="13" t="n">
        <v>36</v>
      </c>
      <c r="G569" s="12" t="s">
        <v>117</v>
      </c>
      <c r="H569" s="12" t="s">
        <v>2103</v>
      </c>
      <c r="I569" s="12" t="s">
        <v>2104</v>
      </c>
      <c r="J569" s="6" t="s">
        <v>2105</v>
      </c>
    </row>
    <row r="570" customFormat="false" ht="17.15" hidden="false" customHeight="false" outlineLevel="0" collapsed="false">
      <c r="A570" s="0" t="s">
        <v>2106</v>
      </c>
      <c r="B570" s="6" t="s">
        <v>2107</v>
      </c>
      <c r="C570" s="0" t="s">
        <v>2102</v>
      </c>
      <c r="D570" s="13" t="n">
        <v>27</v>
      </c>
      <c r="E570" s="13" t="n">
        <v>34</v>
      </c>
      <c r="F570" s="13" t="n">
        <v>41</v>
      </c>
      <c r="G570" s="12" t="s">
        <v>117</v>
      </c>
      <c r="H570" s="6" t="s">
        <v>2108</v>
      </c>
      <c r="I570" s="12" t="s">
        <v>2109</v>
      </c>
      <c r="J570" s="6" t="s">
        <v>2105</v>
      </c>
    </row>
    <row r="571" customFormat="false" ht="17.15" hidden="false" customHeight="false" outlineLevel="0" collapsed="false">
      <c r="A571" s="0" t="s">
        <v>2110</v>
      </c>
      <c r="B571" s="6" t="s">
        <v>2111</v>
      </c>
      <c r="C571" s="0" t="s">
        <v>2102</v>
      </c>
      <c r="D571" s="13" t="n">
        <v>32</v>
      </c>
      <c r="E571" s="13" t="n">
        <v>40</v>
      </c>
      <c r="F571" s="13" t="n">
        <v>48</v>
      </c>
      <c r="G571" s="12" t="s">
        <v>117</v>
      </c>
      <c r="H571" s="6" t="s">
        <v>2108</v>
      </c>
      <c r="I571" s="12" t="s">
        <v>2112</v>
      </c>
      <c r="J571" s="6" t="s">
        <v>2105</v>
      </c>
    </row>
    <row r="572" customFormat="false" ht="17.15" hidden="false" customHeight="false" outlineLevel="0" collapsed="false">
      <c r="A572" s="0" t="s">
        <v>2113</v>
      </c>
      <c r="B572" s="6" t="s">
        <v>2114</v>
      </c>
      <c r="C572" s="0" t="s">
        <v>2102</v>
      </c>
      <c r="D572" s="13" t="n">
        <v>37</v>
      </c>
      <c r="E572" s="13" t="n">
        <v>46</v>
      </c>
      <c r="F572" s="13" t="n">
        <v>55</v>
      </c>
      <c r="G572" s="12" t="s">
        <v>117</v>
      </c>
      <c r="H572" s="6" t="s">
        <v>2108</v>
      </c>
      <c r="I572" s="12" t="s">
        <v>2115</v>
      </c>
      <c r="J572" s="6" t="s">
        <v>2105</v>
      </c>
    </row>
    <row r="573" customFormat="false" ht="17.15" hidden="false" customHeight="false" outlineLevel="0" collapsed="false">
      <c r="A573" s="0" t="s">
        <v>2116</v>
      </c>
      <c r="B573" s="6" t="s">
        <v>2117</v>
      </c>
      <c r="C573" s="0" t="s">
        <v>2102</v>
      </c>
      <c r="D573" s="13" t="n">
        <v>42</v>
      </c>
      <c r="E573" s="13" t="n">
        <v>52</v>
      </c>
      <c r="F573" s="13" t="n">
        <v>62</v>
      </c>
      <c r="G573" s="12" t="s">
        <v>117</v>
      </c>
      <c r="H573" s="6" t="s">
        <v>2108</v>
      </c>
      <c r="I573" s="12" t="s">
        <v>2118</v>
      </c>
      <c r="J573" s="6" t="s">
        <v>2105</v>
      </c>
    </row>
    <row r="574" customFormat="false" ht="17.15" hidden="false" customHeight="false" outlineLevel="0" collapsed="false">
      <c r="A574" s="0" t="s">
        <v>2119</v>
      </c>
      <c r="B574" s="0" t="s">
        <v>2120</v>
      </c>
      <c r="C574" s="0" t="s">
        <v>2121</v>
      </c>
      <c r="D574" s="13" t="n">
        <v>850</v>
      </c>
      <c r="E574" s="13" t="n">
        <v>1000</v>
      </c>
      <c r="F574" s="13" t="n">
        <v>1150</v>
      </c>
      <c r="G574" s="12" t="s">
        <v>117</v>
      </c>
      <c r="H574" s="6" t="s">
        <v>2122</v>
      </c>
      <c r="I574" s="12" t="s">
        <v>2123</v>
      </c>
      <c r="J574" s="6" t="s">
        <v>2124</v>
      </c>
    </row>
    <row r="575" customFormat="false" ht="17.15" hidden="false" customHeight="false" outlineLevel="0" collapsed="false">
      <c r="A575" s="0" t="s">
        <v>2125</v>
      </c>
      <c r="B575" s="0" t="s">
        <v>2126</v>
      </c>
      <c r="C575" s="0" t="s">
        <v>66</v>
      </c>
      <c r="D575" s="11" t="n">
        <v>0.08</v>
      </c>
      <c r="E575" s="11" t="n">
        <v>0.12</v>
      </c>
      <c r="F575" s="11" t="n">
        <v>0.16</v>
      </c>
      <c r="G575" s="12" t="s">
        <v>117</v>
      </c>
      <c r="H575" s="12" t="s">
        <v>2127</v>
      </c>
      <c r="I575" s="12" t="s">
        <v>2128</v>
      </c>
      <c r="J575" s="6" t="s">
        <v>2129</v>
      </c>
    </row>
    <row r="576" customFormat="false" ht="17.15" hidden="false" customHeight="false" outlineLevel="0" collapsed="false">
      <c r="A576" s="0" t="s">
        <v>2130</v>
      </c>
      <c r="B576" s="0" t="s">
        <v>2131</v>
      </c>
      <c r="C576" s="0" t="s">
        <v>66</v>
      </c>
      <c r="D576" s="11" t="n">
        <v>0.26</v>
      </c>
      <c r="E576" s="11" t="n">
        <v>0.3</v>
      </c>
      <c r="F576" s="11" t="n">
        <v>0.34</v>
      </c>
      <c r="G576" s="12" t="s">
        <v>67</v>
      </c>
      <c r="H576" s="12" t="s">
        <v>2132</v>
      </c>
      <c r="I576" s="12" t="s">
        <v>2133</v>
      </c>
      <c r="J576" s="6" t="s">
        <v>2134</v>
      </c>
    </row>
    <row r="577" customFormat="false" ht="17.15" hidden="false" customHeight="false" outlineLevel="0" collapsed="false">
      <c r="A577" s="0" t="s">
        <v>2135</v>
      </c>
      <c r="B577" s="0" t="s">
        <v>2136</v>
      </c>
      <c r="C577" s="0" t="s">
        <v>66</v>
      </c>
      <c r="D577" s="11" t="n">
        <v>0.45</v>
      </c>
      <c r="E577" s="11" t="n">
        <v>0.55</v>
      </c>
      <c r="F577" s="11" t="n">
        <v>0.65</v>
      </c>
      <c r="G577" s="12" t="s">
        <v>117</v>
      </c>
      <c r="H577" s="6" t="s">
        <v>2137</v>
      </c>
      <c r="I577" s="12" t="s">
        <v>2138</v>
      </c>
      <c r="J577" s="12" t="s">
        <v>2139</v>
      </c>
    </row>
    <row r="578" customFormat="false" ht="17.15" hidden="false" customHeight="false" outlineLevel="0" collapsed="false">
      <c r="A578" s="0" t="s">
        <v>2140</v>
      </c>
      <c r="B578" s="0" t="s">
        <v>2141</v>
      </c>
      <c r="C578" s="0" t="s">
        <v>66</v>
      </c>
      <c r="D578" s="11" t="n">
        <v>0.28</v>
      </c>
      <c r="E578" s="11" t="n">
        <v>0.32</v>
      </c>
      <c r="F578" s="11" t="n">
        <v>0.36</v>
      </c>
      <c r="G578" s="12" t="s">
        <v>117</v>
      </c>
      <c r="H578" s="12" t="s">
        <v>2142</v>
      </c>
      <c r="I578" s="12" t="s">
        <v>2143</v>
      </c>
    </row>
    <row r="579" customFormat="false" ht="17.15" hidden="false" customHeight="false" outlineLevel="0" collapsed="false">
      <c r="A579" s="0" t="s">
        <v>2144</v>
      </c>
      <c r="B579" s="0" t="s">
        <v>2145</v>
      </c>
      <c r="C579" s="0" t="s">
        <v>66</v>
      </c>
      <c r="D579" s="11" t="n">
        <v>0.2</v>
      </c>
      <c r="E579" s="11" t="n">
        <v>0.23</v>
      </c>
      <c r="F579" s="11" t="n">
        <v>0.26</v>
      </c>
      <c r="G579" s="12" t="s">
        <v>117</v>
      </c>
      <c r="H579" s="6" t="s">
        <v>72</v>
      </c>
      <c r="I579" s="12" t="s">
        <v>2146</v>
      </c>
      <c r="J579" s="6" t="s">
        <v>2147</v>
      </c>
    </row>
    <row r="580" customFormat="false" ht="17.15" hidden="false" customHeight="false" outlineLevel="0" collapsed="false">
      <c r="A580" s="0" t="s">
        <v>2148</v>
      </c>
      <c r="B580" s="6" t="s">
        <v>2149</v>
      </c>
      <c r="C580" s="0" t="s">
        <v>66</v>
      </c>
      <c r="D580" s="11" t="n">
        <v>0.05</v>
      </c>
      <c r="E580" s="11" t="n">
        <v>0.1</v>
      </c>
      <c r="F580" s="11" t="n">
        <v>0.15</v>
      </c>
      <c r="G580" s="12" t="s">
        <v>117</v>
      </c>
      <c r="H580" s="12" t="s">
        <v>2150</v>
      </c>
      <c r="I580" s="12" t="s">
        <v>2151</v>
      </c>
      <c r="J580" s="6" t="s">
        <v>2152</v>
      </c>
    </row>
    <row r="581" customFormat="false" ht="17.15" hidden="false" customHeight="false" outlineLevel="0" collapsed="false">
      <c r="A581" s="0" t="s">
        <v>2153</v>
      </c>
      <c r="B581" s="6" t="s">
        <v>2154</v>
      </c>
      <c r="C581" s="0" t="s">
        <v>66</v>
      </c>
      <c r="D581" s="11" t="n">
        <v>-0.1</v>
      </c>
      <c r="E581" s="11" t="n">
        <v>-0.05</v>
      </c>
      <c r="F581" s="11" t="n">
        <v>0</v>
      </c>
      <c r="G581" s="12" t="s">
        <v>117</v>
      </c>
      <c r="H581" s="12" t="s">
        <v>2155</v>
      </c>
      <c r="I581" s="12" t="s">
        <v>2156</v>
      </c>
      <c r="J581" s="6" t="s">
        <v>2157</v>
      </c>
    </row>
    <row r="582" customFormat="false" ht="17.15" hidden="false" customHeight="false" outlineLevel="0" collapsed="false">
      <c r="A582" s="0" t="s">
        <v>2158</v>
      </c>
      <c r="B582" s="6" t="s">
        <v>2159</v>
      </c>
      <c r="C582" s="0" t="s">
        <v>66</v>
      </c>
      <c r="D582" s="11" t="n">
        <v>0</v>
      </c>
      <c r="E582" s="11" t="n">
        <v>0.03</v>
      </c>
      <c r="F582" s="11" t="n">
        <v>0.06</v>
      </c>
      <c r="G582" s="12" t="s">
        <v>117</v>
      </c>
      <c r="H582" s="6" t="s">
        <v>72</v>
      </c>
      <c r="I582" s="12" t="s">
        <v>2160</v>
      </c>
      <c r="J582" s="6" t="s">
        <v>2157</v>
      </c>
    </row>
    <row r="583" customFormat="false" ht="17.15" hidden="false" customHeight="false" outlineLevel="0" collapsed="false">
      <c r="A583" s="0" t="s">
        <v>2161</v>
      </c>
      <c r="B583" s="6" t="s">
        <v>2162</v>
      </c>
      <c r="C583" s="0" t="s">
        <v>66</v>
      </c>
      <c r="D583" s="11" t="n">
        <v>0.05</v>
      </c>
      <c r="E583" s="11" t="n">
        <v>0.08</v>
      </c>
      <c r="F583" s="11" t="n">
        <v>0.11</v>
      </c>
      <c r="G583" s="12" t="s">
        <v>117</v>
      </c>
      <c r="H583" s="6" t="s">
        <v>72</v>
      </c>
      <c r="I583" s="12" t="s">
        <v>2163</v>
      </c>
      <c r="J583" s="6" t="s">
        <v>2157</v>
      </c>
    </row>
    <row r="584" customFormat="false" ht="17.15" hidden="false" customHeight="false" outlineLevel="0" collapsed="false">
      <c r="A584" s="0" t="s">
        <v>2164</v>
      </c>
      <c r="B584" s="0" t="s">
        <v>2165</v>
      </c>
      <c r="C584" s="0" t="s">
        <v>66</v>
      </c>
      <c r="D584" s="11" t="n">
        <v>-0.1</v>
      </c>
      <c r="E584" s="11" t="n">
        <v>-0.05</v>
      </c>
      <c r="F584" s="11" t="n">
        <v>0</v>
      </c>
      <c r="G584" s="12" t="s">
        <v>117</v>
      </c>
      <c r="H584" s="6" t="s">
        <v>72</v>
      </c>
      <c r="I584" s="12" t="s">
        <v>2166</v>
      </c>
      <c r="J584" s="6" t="s">
        <v>2157</v>
      </c>
    </row>
    <row r="585" customFormat="false" ht="17.15" hidden="false" customHeight="false" outlineLevel="0" collapsed="false">
      <c r="A585" s="0" t="s">
        <v>2167</v>
      </c>
      <c r="B585" s="0" t="s">
        <v>2168</v>
      </c>
      <c r="C585" s="0" t="s">
        <v>66</v>
      </c>
      <c r="D585" s="11" t="n">
        <v>-0.03</v>
      </c>
      <c r="E585" s="11" t="n">
        <v>0</v>
      </c>
      <c r="F585" s="11" t="n">
        <v>0.03</v>
      </c>
      <c r="G585" s="12" t="s">
        <v>117</v>
      </c>
      <c r="H585" s="6" t="s">
        <v>72</v>
      </c>
      <c r="I585" s="12" t="s">
        <v>2169</v>
      </c>
      <c r="J585" s="6" t="s">
        <v>2157</v>
      </c>
    </row>
    <row r="586" customFormat="false" ht="17.15" hidden="false" customHeight="false" outlineLevel="0" collapsed="false">
      <c r="A586" s="0" t="s">
        <v>2170</v>
      </c>
      <c r="B586" s="0" t="s">
        <v>2171</v>
      </c>
      <c r="C586" s="0" t="s">
        <v>66</v>
      </c>
      <c r="D586" s="11" t="n">
        <v>0.03</v>
      </c>
      <c r="E586" s="11" t="n">
        <v>0.06</v>
      </c>
      <c r="F586" s="11" t="n">
        <v>0.09</v>
      </c>
      <c r="G586" s="12" t="s">
        <v>117</v>
      </c>
      <c r="H586" s="6" t="s">
        <v>72</v>
      </c>
      <c r="I586" s="12" t="s">
        <v>2172</v>
      </c>
      <c r="J586" s="6" t="s">
        <v>2157</v>
      </c>
    </row>
    <row r="587" customFormat="false" ht="17.15" hidden="false" customHeight="false" outlineLevel="0" collapsed="false">
      <c r="A587" s="0" t="s">
        <v>2173</v>
      </c>
      <c r="B587" s="6" t="s">
        <v>2174</v>
      </c>
      <c r="C587" s="0" t="s">
        <v>66</v>
      </c>
      <c r="D587" s="11" t="n">
        <v>-0.15</v>
      </c>
      <c r="E587" s="11" t="n">
        <v>-0.1</v>
      </c>
      <c r="F587" s="11" t="n">
        <v>-0.05</v>
      </c>
      <c r="G587" s="12" t="s">
        <v>117</v>
      </c>
      <c r="H587" s="6" t="s">
        <v>2175</v>
      </c>
      <c r="I587" s="12" t="s">
        <v>2176</v>
      </c>
      <c r="J587" s="6" t="s">
        <v>2157</v>
      </c>
    </row>
    <row r="588" customFormat="false" ht="17.15" hidden="false" customHeight="false" outlineLevel="0" collapsed="false">
      <c r="A588" s="0" t="s">
        <v>2177</v>
      </c>
      <c r="B588" s="6" t="s">
        <v>2178</v>
      </c>
      <c r="C588" s="0" t="s">
        <v>66</v>
      </c>
      <c r="D588" s="11" t="n">
        <v>-0.03</v>
      </c>
      <c r="E588" s="11" t="n">
        <v>0</v>
      </c>
      <c r="F588" s="11" t="n">
        <v>0.03</v>
      </c>
      <c r="G588" s="12" t="s">
        <v>117</v>
      </c>
      <c r="H588" s="6" t="s">
        <v>72</v>
      </c>
      <c r="I588" s="12" t="s">
        <v>2179</v>
      </c>
      <c r="J588" s="6" t="s">
        <v>2157</v>
      </c>
    </row>
    <row r="589" customFormat="false" ht="17.15" hidden="false" customHeight="false" outlineLevel="0" collapsed="false">
      <c r="A589" s="0" t="s">
        <v>2180</v>
      </c>
      <c r="B589" s="6" t="s">
        <v>2181</v>
      </c>
      <c r="C589" s="0" t="s">
        <v>66</v>
      </c>
      <c r="D589" s="11" t="n">
        <v>0.02</v>
      </c>
      <c r="E589" s="11" t="n">
        <v>0.05</v>
      </c>
      <c r="F589" s="11" t="n">
        <v>0.08</v>
      </c>
      <c r="G589" s="12" t="s">
        <v>117</v>
      </c>
      <c r="H589" s="6" t="s">
        <v>72</v>
      </c>
      <c r="I589" s="12" t="s">
        <v>2182</v>
      </c>
      <c r="J589" s="6" t="s">
        <v>2157</v>
      </c>
    </row>
    <row r="590" customFormat="false" ht="17.15" hidden="false" customHeight="false" outlineLevel="0" collapsed="false">
      <c r="A590" s="0" t="s">
        <v>2183</v>
      </c>
      <c r="B590" s="6" t="s">
        <v>2184</v>
      </c>
      <c r="C590" s="0" t="s">
        <v>66</v>
      </c>
      <c r="D590" s="11" t="n">
        <v>0.18</v>
      </c>
      <c r="E590" s="11" t="n">
        <v>0.21</v>
      </c>
      <c r="F590" s="11" t="n">
        <v>0.24</v>
      </c>
      <c r="G590" s="12" t="s">
        <v>67</v>
      </c>
      <c r="H590" s="6" t="s">
        <v>2185</v>
      </c>
      <c r="I590" s="12" t="s">
        <v>2186</v>
      </c>
      <c r="J590" s="6" t="s">
        <v>2187</v>
      </c>
    </row>
    <row r="591" customFormat="false" ht="17.15" hidden="false" customHeight="false" outlineLevel="0" collapsed="false">
      <c r="A591" s="0" t="s">
        <v>2188</v>
      </c>
      <c r="B591" s="6" t="s">
        <v>2189</v>
      </c>
      <c r="C591" s="0" t="s">
        <v>66</v>
      </c>
      <c r="D591" s="11" t="n">
        <v>0.2</v>
      </c>
      <c r="E591" s="11" t="n">
        <v>0.25</v>
      </c>
      <c r="F591" s="11" t="n">
        <v>0.28</v>
      </c>
      <c r="G591" s="12" t="s">
        <v>67</v>
      </c>
      <c r="H591" s="6" t="s">
        <v>72</v>
      </c>
      <c r="I591" s="12" t="s">
        <v>2190</v>
      </c>
      <c r="J591" s="6" t="s">
        <v>72</v>
      </c>
    </row>
    <row r="592" customFormat="false" ht="17.15" hidden="false" customHeight="false" outlineLevel="0" collapsed="false">
      <c r="A592" s="0" t="s">
        <v>2191</v>
      </c>
      <c r="B592" s="6" t="s">
        <v>2192</v>
      </c>
      <c r="C592" s="0" t="s">
        <v>66</v>
      </c>
      <c r="D592" s="11" t="n">
        <v>0.2</v>
      </c>
      <c r="E592" s="11" t="n">
        <v>0.25</v>
      </c>
      <c r="F592" s="11" t="n">
        <v>0.28</v>
      </c>
      <c r="G592" s="12" t="s">
        <v>67</v>
      </c>
      <c r="H592" s="6" t="s">
        <v>72</v>
      </c>
      <c r="I592" s="12" t="s">
        <v>2193</v>
      </c>
      <c r="J592" s="6" t="s">
        <v>72</v>
      </c>
    </row>
    <row r="593" customFormat="false" ht="17.15" hidden="false" customHeight="false" outlineLevel="0" collapsed="false">
      <c r="A593" s="0" t="s">
        <v>2194</v>
      </c>
      <c r="B593" s="6" t="s">
        <v>2195</v>
      </c>
      <c r="C593" s="0" t="s">
        <v>66</v>
      </c>
      <c r="D593" s="11" t="n">
        <v>0.15</v>
      </c>
      <c r="E593" s="11" t="n">
        <v>0.22</v>
      </c>
      <c r="F593" s="11" t="n">
        <v>0.28</v>
      </c>
      <c r="G593" s="12" t="s">
        <v>117</v>
      </c>
      <c r="H593" s="6" t="s">
        <v>2196</v>
      </c>
      <c r="I593" s="12" t="s">
        <v>2197</v>
      </c>
      <c r="J593" s="6" t="s">
        <v>72</v>
      </c>
    </row>
    <row r="594" customFormat="false" ht="17.15" hidden="false" customHeight="false" outlineLevel="0" collapsed="false">
      <c r="A594" s="0" t="s">
        <v>2198</v>
      </c>
      <c r="B594" s="6" t="s">
        <v>2199</v>
      </c>
      <c r="C594" s="0" t="s">
        <v>66</v>
      </c>
      <c r="D594" s="11" t="n">
        <v>0.12</v>
      </c>
      <c r="E594" s="11" t="n">
        <v>0.2</v>
      </c>
      <c r="F594" s="11" t="n">
        <v>0.26</v>
      </c>
      <c r="G594" s="12" t="s">
        <v>117</v>
      </c>
      <c r="H594" s="6" t="s">
        <v>72</v>
      </c>
      <c r="I594" s="12" t="s">
        <v>2200</v>
      </c>
      <c r="J594" s="6" t="s">
        <v>72</v>
      </c>
    </row>
    <row r="595" customFormat="false" ht="17.15" hidden="false" customHeight="false" outlineLevel="0" collapsed="false">
      <c r="A595" s="0" t="s">
        <v>2201</v>
      </c>
      <c r="B595" s="6" t="s">
        <v>2202</v>
      </c>
      <c r="C595" s="0" t="s">
        <v>521</v>
      </c>
      <c r="E595" s="13" t="n">
        <v>4.2</v>
      </c>
      <c r="G595" s="12" t="s">
        <v>91</v>
      </c>
      <c r="H595" s="12" t="s">
        <v>2203</v>
      </c>
      <c r="I595" s="12" t="s">
        <v>2204</v>
      </c>
    </row>
    <row r="596" customFormat="false" ht="17.15" hidden="false" customHeight="false" outlineLevel="0" collapsed="false">
      <c r="A596" s="0" t="s">
        <v>2205</v>
      </c>
      <c r="B596" s="6" t="s">
        <v>2206</v>
      </c>
      <c r="C596" s="0" t="s">
        <v>521</v>
      </c>
      <c r="E596" s="13" t="n">
        <v>5.2</v>
      </c>
      <c r="G596" s="12" t="s">
        <v>67</v>
      </c>
      <c r="H596" s="12" t="s">
        <v>2207</v>
      </c>
      <c r="I596" s="12" t="s">
        <v>2208</v>
      </c>
    </row>
    <row r="597" customFormat="false" ht="17.15" hidden="false" customHeight="false" outlineLevel="0" collapsed="false">
      <c r="A597" s="0" t="s">
        <v>2209</v>
      </c>
      <c r="B597" s="6" t="s">
        <v>2210</v>
      </c>
      <c r="C597" s="0" t="s">
        <v>521</v>
      </c>
      <c r="E597" s="13" t="n">
        <v>6</v>
      </c>
      <c r="G597" s="12" t="s">
        <v>67</v>
      </c>
      <c r="H597" s="12" t="s">
        <v>2211</v>
      </c>
      <c r="I597" s="12" t="s">
        <v>2212</v>
      </c>
    </row>
    <row r="598" customFormat="false" ht="17.15" hidden="false" customHeight="false" outlineLevel="0" collapsed="false">
      <c r="A598" s="0" t="s">
        <v>2213</v>
      </c>
      <c r="B598" s="6" t="s">
        <v>2214</v>
      </c>
      <c r="C598" s="0" t="s">
        <v>521</v>
      </c>
      <c r="E598" s="13" t="n">
        <v>6.6</v>
      </c>
      <c r="G598" s="12" t="s">
        <v>67</v>
      </c>
      <c r="H598" s="12" t="s">
        <v>2215</v>
      </c>
      <c r="I598" s="12" t="s">
        <v>2216</v>
      </c>
    </row>
    <row r="599" customFormat="false" ht="17.15" hidden="false" customHeight="false" outlineLevel="0" collapsed="false">
      <c r="A599" s="0" t="s">
        <v>2217</v>
      </c>
      <c r="B599" s="6" t="s">
        <v>2218</v>
      </c>
      <c r="C599" s="0" t="s">
        <v>521</v>
      </c>
      <c r="E599" s="13" t="n">
        <v>13.51</v>
      </c>
      <c r="G599" s="12" t="s">
        <v>91</v>
      </c>
      <c r="H599" s="12" t="s">
        <v>2219</v>
      </c>
      <c r="I599" s="12" t="s">
        <v>2220</v>
      </c>
    </row>
    <row r="600" customFormat="false" ht="17.15" hidden="false" customHeight="false" outlineLevel="0" collapsed="false">
      <c r="A600" s="0" t="s">
        <v>2221</v>
      </c>
      <c r="B600" s="6" t="s">
        <v>2222</v>
      </c>
      <c r="C600" s="0" t="s">
        <v>521</v>
      </c>
      <c r="E600" s="13" t="n">
        <v>23.06</v>
      </c>
      <c r="G600" s="12" t="s">
        <v>67</v>
      </c>
      <c r="H600" s="12" t="s">
        <v>2223</v>
      </c>
      <c r="I600" s="12" t="s">
        <v>2224</v>
      </c>
    </row>
    <row r="601" customFormat="false" ht="17.15" hidden="false" customHeight="false" outlineLevel="0" collapsed="false">
      <c r="A601" s="0" t="s">
        <v>2225</v>
      </c>
      <c r="B601" s="0" t="s">
        <v>2226</v>
      </c>
      <c r="C601" s="0" t="s">
        <v>521</v>
      </c>
      <c r="E601" s="13" t="n">
        <v>2.19</v>
      </c>
      <c r="G601" s="12" t="s">
        <v>91</v>
      </c>
      <c r="H601" s="12" t="s">
        <v>2203</v>
      </c>
      <c r="I601" s="12" t="s">
        <v>2227</v>
      </c>
    </row>
    <row r="602" customFormat="false" ht="17.15" hidden="false" customHeight="false" outlineLevel="0" collapsed="false">
      <c r="A602" s="0" t="s">
        <v>2228</v>
      </c>
      <c r="B602" s="0" t="s">
        <v>2229</v>
      </c>
      <c r="C602" s="0" t="s">
        <v>521</v>
      </c>
      <c r="E602" s="13" t="n">
        <v>3.34</v>
      </c>
      <c r="G602" s="12" t="s">
        <v>67</v>
      </c>
      <c r="H602" s="12" t="s">
        <v>2207</v>
      </c>
      <c r="I602" s="12" t="s">
        <v>2230</v>
      </c>
    </row>
    <row r="603" customFormat="false" ht="17.15" hidden="false" customHeight="false" outlineLevel="0" collapsed="false">
      <c r="A603" s="0" t="s">
        <v>2231</v>
      </c>
      <c r="B603" s="0" t="s">
        <v>2232</v>
      </c>
      <c r="C603" s="0" t="s">
        <v>521</v>
      </c>
      <c r="E603" s="13" t="n">
        <v>3.53</v>
      </c>
      <c r="G603" s="12" t="s">
        <v>67</v>
      </c>
      <c r="H603" s="12" t="s">
        <v>2211</v>
      </c>
      <c r="I603" s="12" t="s">
        <v>2233</v>
      </c>
    </row>
    <row r="604" customFormat="false" ht="17.15" hidden="false" customHeight="false" outlineLevel="0" collapsed="false">
      <c r="A604" s="0" t="s">
        <v>2234</v>
      </c>
      <c r="B604" s="0" t="s">
        <v>2235</v>
      </c>
      <c r="C604" s="0" t="s">
        <v>521</v>
      </c>
      <c r="E604" s="13" t="n">
        <v>5.21</v>
      </c>
      <c r="G604" s="12" t="s">
        <v>67</v>
      </c>
      <c r="H604" s="12" t="s">
        <v>2215</v>
      </c>
      <c r="I604" s="12" t="s">
        <v>2236</v>
      </c>
    </row>
    <row r="605" customFormat="false" ht="17.15" hidden="false" customHeight="false" outlineLevel="0" collapsed="false">
      <c r="A605" s="0" t="s">
        <v>2237</v>
      </c>
      <c r="B605" s="0" t="s">
        <v>2238</v>
      </c>
      <c r="C605" s="0" t="s">
        <v>521</v>
      </c>
      <c r="E605" s="13" t="n">
        <v>7.53</v>
      </c>
      <c r="G605" s="12" t="s">
        <v>91</v>
      </c>
      <c r="H605" s="12" t="s">
        <v>2219</v>
      </c>
      <c r="I605" s="12" t="s">
        <v>2239</v>
      </c>
    </row>
    <row r="606" customFormat="false" ht="17.15" hidden="false" customHeight="false" outlineLevel="0" collapsed="false">
      <c r="A606" s="0" t="s">
        <v>2240</v>
      </c>
      <c r="B606" s="0" t="s">
        <v>2241</v>
      </c>
      <c r="C606" s="0" t="s">
        <v>521</v>
      </c>
      <c r="E606" s="13" t="n">
        <v>14.27</v>
      </c>
      <c r="G606" s="12" t="s">
        <v>67</v>
      </c>
      <c r="H606" s="12" t="s">
        <v>2223</v>
      </c>
      <c r="I606" s="12" t="s">
        <v>2242</v>
      </c>
    </row>
    <row r="607" customFormat="false" ht="17.15" hidden="false" customHeight="false" outlineLevel="0" collapsed="false">
      <c r="A607" s="0" t="s">
        <v>2243</v>
      </c>
      <c r="B607" s="6" t="s">
        <v>2244</v>
      </c>
      <c r="C607" s="0" t="s">
        <v>521</v>
      </c>
      <c r="E607" s="13" t="n">
        <v>2.03</v>
      </c>
      <c r="G607" s="12" t="s">
        <v>91</v>
      </c>
      <c r="H607" s="12" t="s">
        <v>2203</v>
      </c>
      <c r="I607" s="12" t="s">
        <v>2245</v>
      </c>
    </row>
    <row r="608" customFormat="false" ht="17.15" hidden="false" customHeight="false" outlineLevel="0" collapsed="false">
      <c r="A608" s="0" t="s">
        <v>2246</v>
      </c>
      <c r="B608" s="6" t="s">
        <v>2247</v>
      </c>
      <c r="C608" s="0" t="s">
        <v>521</v>
      </c>
      <c r="E608" s="13" t="n">
        <v>2.1</v>
      </c>
      <c r="G608" s="12" t="s">
        <v>67</v>
      </c>
      <c r="H608" s="12" t="s">
        <v>2207</v>
      </c>
      <c r="I608" s="12" t="s">
        <v>2248</v>
      </c>
    </row>
    <row r="609" customFormat="false" ht="17.15" hidden="false" customHeight="false" outlineLevel="0" collapsed="false">
      <c r="A609" s="0" t="s">
        <v>2249</v>
      </c>
      <c r="B609" s="6" t="s">
        <v>2250</v>
      </c>
      <c r="C609" s="0" t="s">
        <v>521</v>
      </c>
      <c r="E609" s="13" t="n">
        <v>2.42</v>
      </c>
      <c r="G609" s="12" t="s">
        <v>67</v>
      </c>
      <c r="H609" s="12" t="s">
        <v>2211</v>
      </c>
      <c r="I609" s="12" t="s">
        <v>2251</v>
      </c>
    </row>
    <row r="610" customFormat="false" ht="17.15" hidden="false" customHeight="false" outlineLevel="0" collapsed="false">
      <c r="A610" s="0" t="s">
        <v>2252</v>
      </c>
      <c r="B610" s="6" t="s">
        <v>2253</v>
      </c>
      <c r="C610" s="0" t="s">
        <v>521</v>
      </c>
      <c r="E610" s="13" t="n">
        <v>3.03</v>
      </c>
      <c r="G610" s="12" t="s">
        <v>67</v>
      </c>
      <c r="H610" s="12" t="s">
        <v>2215</v>
      </c>
      <c r="I610" s="12" t="s">
        <v>2254</v>
      </c>
    </row>
    <row r="611" customFormat="false" ht="17.15" hidden="false" customHeight="false" outlineLevel="0" collapsed="false">
      <c r="A611" s="0" t="s">
        <v>2255</v>
      </c>
      <c r="B611" s="6" t="s">
        <v>2256</v>
      </c>
      <c r="C611" s="0" t="s">
        <v>521</v>
      </c>
      <c r="E611" s="13" t="n">
        <v>5.95</v>
      </c>
      <c r="G611" s="12" t="s">
        <v>91</v>
      </c>
      <c r="H611" s="12" t="s">
        <v>2219</v>
      </c>
      <c r="I611" s="12" t="s">
        <v>2257</v>
      </c>
    </row>
    <row r="612" customFormat="false" ht="17.15" hidden="false" customHeight="false" outlineLevel="0" collapsed="false">
      <c r="A612" s="0" t="s">
        <v>2258</v>
      </c>
      <c r="B612" s="6" t="s">
        <v>2259</v>
      </c>
      <c r="C612" s="0" t="s">
        <v>521</v>
      </c>
      <c r="E612" s="13" t="n">
        <v>11.85</v>
      </c>
      <c r="G612" s="12" t="s">
        <v>67</v>
      </c>
      <c r="H612" s="12" t="s">
        <v>2223</v>
      </c>
      <c r="I612" s="12" t="s">
        <v>2260</v>
      </c>
    </row>
    <row r="613" customFormat="false" ht="17.15" hidden="false" customHeight="false" outlineLevel="0" collapsed="false">
      <c r="A613" s="0" t="s">
        <v>2261</v>
      </c>
      <c r="B613" s="0" t="s">
        <v>2262</v>
      </c>
      <c r="C613" s="0" t="s">
        <v>521</v>
      </c>
      <c r="E613" s="13" t="n">
        <v>1.92</v>
      </c>
      <c r="G613" s="12" t="s">
        <v>91</v>
      </c>
      <c r="H613" s="12" t="s">
        <v>2203</v>
      </c>
      <c r="I613" s="12" t="s">
        <v>2263</v>
      </c>
    </row>
    <row r="614" customFormat="false" ht="17.15" hidden="false" customHeight="false" outlineLevel="0" collapsed="false">
      <c r="A614" s="0" t="s">
        <v>2264</v>
      </c>
      <c r="B614" s="0" t="s">
        <v>2265</v>
      </c>
      <c r="C614" s="0" t="s">
        <v>521</v>
      </c>
      <c r="E614" s="13" t="n">
        <v>2.14</v>
      </c>
      <c r="G614" s="12" t="s">
        <v>67</v>
      </c>
      <c r="H614" s="12" t="s">
        <v>2207</v>
      </c>
      <c r="I614" s="12" t="s">
        <v>2266</v>
      </c>
    </row>
    <row r="615" customFormat="false" ht="17.15" hidden="false" customHeight="false" outlineLevel="0" collapsed="false">
      <c r="A615" s="0" t="s">
        <v>2267</v>
      </c>
      <c r="B615" s="0" t="s">
        <v>2268</v>
      </c>
      <c r="C615" s="0" t="s">
        <v>521</v>
      </c>
      <c r="E615" s="13" t="n">
        <v>2.84</v>
      </c>
      <c r="G615" s="12" t="s">
        <v>67</v>
      </c>
      <c r="H615" s="12" t="s">
        <v>2211</v>
      </c>
      <c r="I615" s="12" t="s">
        <v>2269</v>
      </c>
    </row>
    <row r="616" customFormat="false" ht="17.15" hidden="false" customHeight="false" outlineLevel="0" collapsed="false">
      <c r="A616" s="0" t="s">
        <v>2270</v>
      </c>
      <c r="B616" s="0" t="s">
        <v>2271</v>
      </c>
      <c r="C616" s="0" t="s">
        <v>521</v>
      </c>
      <c r="E616" s="13" t="n">
        <v>3.31</v>
      </c>
      <c r="G616" s="12" t="s">
        <v>67</v>
      </c>
      <c r="H616" s="12" t="s">
        <v>2215</v>
      </c>
      <c r="I616" s="12" t="s">
        <v>2272</v>
      </c>
    </row>
    <row r="617" customFormat="false" ht="17.15" hidden="false" customHeight="false" outlineLevel="0" collapsed="false">
      <c r="A617" s="0" t="s">
        <v>2273</v>
      </c>
      <c r="B617" s="0" t="s">
        <v>2274</v>
      </c>
      <c r="C617" s="0" t="s">
        <v>521</v>
      </c>
      <c r="E617" s="13" t="n">
        <v>5.96</v>
      </c>
      <c r="G617" s="12" t="s">
        <v>91</v>
      </c>
      <c r="H617" s="12" t="s">
        <v>2219</v>
      </c>
      <c r="I617" s="12" t="s">
        <v>2275</v>
      </c>
    </row>
    <row r="618" customFormat="false" ht="17.15" hidden="false" customHeight="false" outlineLevel="0" collapsed="false">
      <c r="A618" s="0" t="s">
        <v>2276</v>
      </c>
      <c r="B618" s="0" t="s">
        <v>2277</v>
      </c>
      <c r="C618" s="0" t="s">
        <v>521</v>
      </c>
      <c r="E618" s="13" t="n">
        <v>10.72</v>
      </c>
      <c r="G618" s="12" t="s">
        <v>67</v>
      </c>
      <c r="H618" s="12" t="s">
        <v>2223</v>
      </c>
      <c r="I618" s="12" t="s">
        <v>2278</v>
      </c>
    </row>
    <row r="619" customFormat="false" ht="17.15" hidden="false" customHeight="false" outlineLevel="0" collapsed="false">
      <c r="A619" s="0" t="s">
        <v>2279</v>
      </c>
      <c r="B619" s="0" t="s">
        <v>2280</v>
      </c>
      <c r="C619" s="0" t="s">
        <v>521</v>
      </c>
      <c r="E619" s="13" t="n">
        <v>1.69</v>
      </c>
      <c r="G619" s="12" t="s">
        <v>91</v>
      </c>
      <c r="H619" s="12" t="s">
        <v>2203</v>
      </c>
      <c r="I619" s="12" t="s">
        <v>2281</v>
      </c>
    </row>
    <row r="620" customFormat="false" ht="17.15" hidden="false" customHeight="false" outlineLevel="0" collapsed="false">
      <c r="A620" s="0" t="s">
        <v>2282</v>
      </c>
      <c r="B620" s="0" t="s">
        <v>2283</v>
      </c>
      <c r="C620" s="0" t="s">
        <v>521</v>
      </c>
      <c r="E620" s="13" t="n">
        <v>1.9</v>
      </c>
      <c r="G620" s="12" t="s">
        <v>67</v>
      </c>
      <c r="H620" s="12" t="s">
        <v>2207</v>
      </c>
      <c r="I620" s="12" t="s">
        <v>2284</v>
      </c>
    </row>
    <row r="621" customFormat="false" ht="17.15" hidden="false" customHeight="false" outlineLevel="0" collapsed="false">
      <c r="A621" s="0" t="s">
        <v>2285</v>
      </c>
      <c r="B621" s="0" t="s">
        <v>2286</v>
      </c>
      <c r="C621" s="0" t="s">
        <v>521</v>
      </c>
      <c r="E621" s="13" t="n">
        <v>2.31</v>
      </c>
      <c r="G621" s="12" t="s">
        <v>67</v>
      </c>
      <c r="H621" s="12" t="s">
        <v>2211</v>
      </c>
      <c r="I621" s="12" t="s">
        <v>2287</v>
      </c>
    </row>
    <row r="622" customFormat="false" ht="17.15" hidden="false" customHeight="false" outlineLevel="0" collapsed="false">
      <c r="A622" s="0" t="s">
        <v>2288</v>
      </c>
      <c r="B622" s="0" t="s">
        <v>2289</v>
      </c>
      <c r="C622" s="0" t="s">
        <v>521</v>
      </c>
      <c r="E622" s="13" t="n">
        <v>3.03</v>
      </c>
      <c r="G622" s="12" t="s">
        <v>67</v>
      </c>
      <c r="H622" s="12" t="s">
        <v>2215</v>
      </c>
      <c r="I622" s="12" t="s">
        <v>2290</v>
      </c>
    </row>
    <row r="623" customFormat="false" ht="17.15" hidden="false" customHeight="false" outlineLevel="0" collapsed="false">
      <c r="A623" s="0" t="s">
        <v>2291</v>
      </c>
      <c r="B623" s="0" t="s">
        <v>2292</v>
      </c>
      <c r="C623" s="0" t="s">
        <v>521</v>
      </c>
      <c r="E623" s="13" t="n">
        <v>5.95</v>
      </c>
      <c r="G623" s="12" t="s">
        <v>91</v>
      </c>
      <c r="H623" s="12" t="s">
        <v>2219</v>
      </c>
      <c r="I623" s="12" t="s">
        <v>2293</v>
      </c>
    </row>
    <row r="624" customFormat="false" ht="17.15" hidden="false" customHeight="false" outlineLevel="0" collapsed="false">
      <c r="A624" s="0" t="s">
        <v>2294</v>
      </c>
      <c r="B624" s="0" t="s">
        <v>2295</v>
      </c>
      <c r="C624" s="0" t="s">
        <v>521</v>
      </c>
      <c r="E624" s="13" t="n">
        <v>8.97</v>
      </c>
      <c r="G624" s="12" t="s">
        <v>67</v>
      </c>
      <c r="H624" s="12" t="s">
        <v>2223</v>
      </c>
      <c r="I624" s="12" t="s">
        <v>2296</v>
      </c>
      <c r="J624" s="12" t="s">
        <v>2297</v>
      </c>
    </row>
    <row r="625" customFormat="false" ht="17.15" hidden="false" customHeight="false" outlineLevel="0" collapsed="false">
      <c r="A625" s="0" t="s">
        <v>2298</v>
      </c>
      <c r="B625" s="0" t="s">
        <v>2299</v>
      </c>
      <c r="C625" s="0" t="s">
        <v>521</v>
      </c>
      <c r="E625" s="13" t="n">
        <v>67.4</v>
      </c>
      <c r="G625" s="12" t="s">
        <v>67</v>
      </c>
      <c r="H625" s="12" t="s">
        <v>2300</v>
      </c>
      <c r="I625" s="12" t="s">
        <v>2301</v>
      </c>
      <c r="J625" s="6" t="s">
        <v>2302</v>
      </c>
    </row>
    <row r="626" customFormat="false" ht="17.15" hidden="false" customHeight="false" outlineLevel="0" collapsed="false">
      <c r="A626" s="0" t="s">
        <v>2303</v>
      </c>
      <c r="B626" s="6" t="s">
        <v>2304</v>
      </c>
      <c r="C626" s="0" t="s">
        <v>2305</v>
      </c>
      <c r="D626" s="13" t="n">
        <v>-1</v>
      </c>
      <c r="E626" s="13" t="n">
        <v>-0.5</v>
      </c>
      <c r="F626" s="13" t="n">
        <v>0</v>
      </c>
      <c r="G626" s="12" t="s">
        <v>117</v>
      </c>
      <c r="H626" s="6" t="s">
        <v>2306</v>
      </c>
      <c r="I626" s="12" t="s">
        <v>2307</v>
      </c>
    </row>
    <row r="627" customFormat="false" ht="17.15" hidden="false" customHeight="false" outlineLevel="0" collapsed="false">
      <c r="A627" s="0" t="s">
        <v>2308</v>
      </c>
      <c r="B627" s="0" t="s">
        <v>2309</v>
      </c>
      <c r="C627" s="0" t="s">
        <v>2305</v>
      </c>
      <c r="D627" s="13" t="n">
        <v>-0.5</v>
      </c>
      <c r="E627" s="13" t="n">
        <v>0</v>
      </c>
      <c r="F627" s="13" t="n">
        <v>0.5</v>
      </c>
      <c r="G627" s="12" t="s">
        <v>117</v>
      </c>
      <c r="H627" s="12" t="s">
        <v>2310</v>
      </c>
      <c r="I627" s="12" t="s">
        <v>2311</v>
      </c>
    </row>
    <row r="628" customFormat="false" ht="17.15" hidden="false" customHeight="false" outlineLevel="0" collapsed="false">
      <c r="A628" s="0" t="s">
        <v>2312</v>
      </c>
      <c r="B628" s="6" t="s">
        <v>2313</v>
      </c>
      <c r="C628" s="0" t="s">
        <v>2305</v>
      </c>
      <c r="D628" s="13" t="n">
        <v>-0.3</v>
      </c>
      <c r="E628" s="13" t="n">
        <v>0.2</v>
      </c>
      <c r="F628" s="13" t="n">
        <v>0.6</v>
      </c>
      <c r="G628" s="12" t="s">
        <v>117</v>
      </c>
      <c r="H628" s="6" t="s">
        <v>2314</v>
      </c>
      <c r="I628" s="12" t="s">
        <v>2315</v>
      </c>
    </row>
    <row r="629" customFormat="false" ht="17.15" hidden="false" customHeight="false" outlineLevel="0" collapsed="false">
      <c r="A629" s="10" t="s">
        <v>2316</v>
      </c>
    </row>
    <row r="630" customFormat="false" ht="17.15" hidden="false" customHeight="false" outlineLevel="0" collapsed="false">
      <c r="A630" s="0" t="s">
        <v>2317</v>
      </c>
      <c r="B630" s="0" t="s">
        <v>2318</v>
      </c>
      <c r="C630" s="0" t="s">
        <v>66</v>
      </c>
      <c r="D630" s="11" t="n">
        <v>0.55</v>
      </c>
      <c r="E630" s="11" t="n">
        <v>0.58</v>
      </c>
      <c r="F630" s="11" t="n">
        <v>0.62</v>
      </c>
      <c r="G630" s="12" t="s">
        <v>67</v>
      </c>
      <c r="H630" s="12" t="s">
        <v>2319</v>
      </c>
      <c r="I630" s="12" t="s">
        <v>2320</v>
      </c>
      <c r="J630" s="6" t="s">
        <v>2321</v>
      </c>
    </row>
    <row r="631" customFormat="false" ht="17.15" hidden="false" customHeight="false" outlineLevel="0" collapsed="false">
      <c r="A631" s="0" t="s">
        <v>2322</v>
      </c>
      <c r="B631" s="0" t="s">
        <v>2323</v>
      </c>
      <c r="C631" s="0" t="s">
        <v>66</v>
      </c>
      <c r="D631" s="11" t="n">
        <v>0.48</v>
      </c>
      <c r="E631" s="11" t="n">
        <v>0.52</v>
      </c>
      <c r="F631" s="11" t="n">
        <v>0.56</v>
      </c>
      <c r="G631" s="12" t="s">
        <v>67</v>
      </c>
      <c r="H631" s="12" t="s">
        <v>2324</v>
      </c>
      <c r="I631" s="12" t="s">
        <v>2325</v>
      </c>
      <c r="J631" s="6" t="s">
        <v>2326</v>
      </c>
    </row>
    <row r="632" customFormat="false" ht="17.15" hidden="false" customHeight="false" outlineLevel="0" collapsed="false">
      <c r="A632" s="0" t="s">
        <v>2327</v>
      </c>
      <c r="B632" s="0" t="s">
        <v>2328</v>
      </c>
      <c r="C632" s="0" t="s">
        <v>66</v>
      </c>
      <c r="D632" s="11" t="n">
        <v>0.38</v>
      </c>
      <c r="E632" s="11" t="n">
        <v>0.42</v>
      </c>
      <c r="F632" s="11" t="n">
        <v>0.48</v>
      </c>
      <c r="G632" s="12" t="s">
        <v>67</v>
      </c>
      <c r="H632" s="12" t="s">
        <v>2329</v>
      </c>
      <c r="I632" s="12" t="s">
        <v>2330</v>
      </c>
      <c r="J632" s="6" t="s">
        <v>2331</v>
      </c>
    </row>
    <row r="633" customFormat="false" ht="17.15" hidden="false" customHeight="false" outlineLevel="0" collapsed="false">
      <c r="A633" s="0" t="s">
        <v>2332</v>
      </c>
      <c r="B633" s="0" t="s">
        <v>2333</v>
      </c>
      <c r="C633" s="0" t="s">
        <v>66</v>
      </c>
      <c r="D633" s="11" t="n">
        <v>0.35</v>
      </c>
      <c r="E633" s="11" t="n">
        <v>0.4</v>
      </c>
      <c r="F633" s="11" t="n">
        <v>0.45</v>
      </c>
      <c r="G633" s="12" t="s">
        <v>117</v>
      </c>
      <c r="H633" s="12" t="s">
        <v>2334</v>
      </c>
      <c r="I633" s="12" t="s">
        <v>2335</v>
      </c>
      <c r="J633" s="6" t="s">
        <v>2336</v>
      </c>
    </row>
    <row r="634" customFormat="false" ht="17.15" hidden="false" customHeight="false" outlineLevel="0" collapsed="false">
      <c r="A634" s="0" t="s">
        <v>2337</v>
      </c>
      <c r="B634" s="0" t="s">
        <v>2338</v>
      </c>
      <c r="C634" s="0" t="s">
        <v>66</v>
      </c>
      <c r="D634" s="11" t="n">
        <v>0.35</v>
      </c>
      <c r="E634" s="11" t="n">
        <v>0.4</v>
      </c>
      <c r="F634" s="11" t="n">
        <v>0.45</v>
      </c>
      <c r="G634" s="12" t="s">
        <v>117</v>
      </c>
      <c r="H634" s="12" t="s">
        <v>2334</v>
      </c>
      <c r="I634" s="12" t="s">
        <v>2339</v>
      </c>
      <c r="J634" s="6" t="s">
        <v>2340</v>
      </c>
    </row>
    <row r="635" customFormat="false" ht="17.15" hidden="false" customHeight="false" outlineLevel="0" collapsed="false">
      <c r="A635" s="0" t="s">
        <v>2341</v>
      </c>
      <c r="B635" s="0" t="s">
        <v>2342</v>
      </c>
      <c r="C635" s="0" t="s">
        <v>66</v>
      </c>
      <c r="D635" s="11" t="n">
        <v>0.15</v>
      </c>
      <c r="E635" s="11" t="n">
        <v>0.17</v>
      </c>
      <c r="F635" s="11" t="n">
        <v>0.22</v>
      </c>
      <c r="G635" s="12" t="s">
        <v>67</v>
      </c>
      <c r="H635" s="12" t="s">
        <v>2343</v>
      </c>
      <c r="I635" s="12" t="s">
        <v>2344</v>
      </c>
      <c r="J635" s="6" t="s">
        <v>2345</v>
      </c>
    </row>
    <row r="636" customFormat="false" ht="17.15" hidden="false" customHeight="false" outlineLevel="0" collapsed="false">
      <c r="A636" s="0" t="s">
        <v>2346</v>
      </c>
      <c r="B636" s="0" t="s">
        <v>2347</v>
      </c>
      <c r="C636" s="0" t="s">
        <v>66</v>
      </c>
      <c r="D636" s="11" t="n">
        <v>0.25</v>
      </c>
      <c r="E636" s="11" t="n">
        <v>0.29</v>
      </c>
      <c r="F636" s="11" t="n">
        <v>0.33</v>
      </c>
      <c r="G636" s="12" t="s">
        <v>67</v>
      </c>
      <c r="H636" s="12" t="s">
        <v>2348</v>
      </c>
      <c r="I636" s="12" t="s">
        <v>2349</v>
      </c>
      <c r="J636" s="6" t="s">
        <v>2350</v>
      </c>
    </row>
    <row r="637" customFormat="false" ht="17.15" hidden="false" customHeight="false" outlineLevel="0" collapsed="false">
      <c r="A637" s="0" t="s">
        <v>2351</v>
      </c>
      <c r="B637" s="0" t="s">
        <v>2352</v>
      </c>
      <c r="C637" s="0" t="s">
        <v>66</v>
      </c>
      <c r="D637" s="11" t="n">
        <v>0.33</v>
      </c>
      <c r="E637" s="11" t="n">
        <v>0.38</v>
      </c>
      <c r="F637" s="11" t="n">
        <v>0.41</v>
      </c>
      <c r="G637" s="12" t="s">
        <v>67</v>
      </c>
      <c r="H637" s="12" t="s">
        <v>2353</v>
      </c>
      <c r="I637" s="12" t="s">
        <v>2354</v>
      </c>
      <c r="J637" s="6" t="s">
        <v>2355</v>
      </c>
    </row>
    <row r="638" customFormat="false" ht="17.15" hidden="false" customHeight="false" outlineLevel="0" collapsed="false">
      <c r="A638" s="0" t="s">
        <v>2356</v>
      </c>
      <c r="B638" s="0" t="s">
        <v>2357</v>
      </c>
      <c r="C638" s="0" t="s">
        <v>66</v>
      </c>
      <c r="D638" s="11" t="n">
        <v>0.35</v>
      </c>
      <c r="E638" s="11" t="n">
        <v>0.4</v>
      </c>
      <c r="F638" s="11" t="n">
        <v>0.45</v>
      </c>
      <c r="G638" s="12" t="s">
        <v>117</v>
      </c>
      <c r="H638" s="6" t="s">
        <v>2358</v>
      </c>
      <c r="I638" s="12" t="s">
        <v>2359</v>
      </c>
      <c r="J638" s="6" t="s">
        <v>2360</v>
      </c>
    </row>
    <row r="639" customFormat="false" ht="17.15" hidden="false" customHeight="false" outlineLevel="0" collapsed="false">
      <c r="A639" s="0" t="s">
        <v>2361</v>
      </c>
      <c r="B639" s="0" t="s">
        <v>2362</v>
      </c>
      <c r="C639" s="0" t="s">
        <v>66</v>
      </c>
      <c r="D639" s="11" t="n">
        <v>0.35</v>
      </c>
      <c r="E639" s="11" t="n">
        <v>0.4</v>
      </c>
      <c r="F639" s="11" t="n">
        <v>0.45</v>
      </c>
      <c r="G639" s="12" t="s">
        <v>117</v>
      </c>
      <c r="H639" s="6" t="s">
        <v>2363</v>
      </c>
      <c r="I639" s="12" t="s">
        <v>2364</v>
      </c>
      <c r="J639" s="6" t="s">
        <v>2365</v>
      </c>
    </row>
    <row r="640" customFormat="false" ht="17.15" hidden="false" customHeight="false" outlineLevel="0" collapsed="false">
      <c r="A640" s="0" t="s">
        <v>2366</v>
      </c>
      <c r="B640" s="0" t="s">
        <v>2367</v>
      </c>
      <c r="C640" s="0" t="s">
        <v>66</v>
      </c>
      <c r="D640" s="11" t="n">
        <v>0.18</v>
      </c>
      <c r="E640" s="11" t="n">
        <v>0.21</v>
      </c>
      <c r="F640" s="11" t="n">
        <v>0.22</v>
      </c>
      <c r="G640" s="12" t="s">
        <v>67</v>
      </c>
      <c r="H640" s="12" t="s">
        <v>2368</v>
      </c>
      <c r="I640" s="12" t="s">
        <v>2369</v>
      </c>
      <c r="J640" s="6" t="s">
        <v>2370</v>
      </c>
    </row>
    <row r="641" customFormat="false" ht="17.15" hidden="false" customHeight="false" outlineLevel="0" collapsed="false">
      <c r="A641" s="0" t="s">
        <v>2371</v>
      </c>
      <c r="B641" s="0" t="s">
        <v>2372</v>
      </c>
      <c r="C641" s="0" t="s">
        <v>66</v>
      </c>
      <c r="D641" s="11" t="n">
        <v>0.17</v>
      </c>
      <c r="E641" s="11" t="n">
        <v>0.19</v>
      </c>
      <c r="F641" s="11" t="n">
        <v>0.21</v>
      </c>
      <c r="G641" s="12" t="s">
        <v>67</v>
      </c>
      <c r="H641" s="12" t="s">
        <v>2373</v>
      </c>
      <c r="I641" s="12" t="s">
        <v>2374</v>
      </c>
      <c r="J641" s="6" t="s">
        <v>2375</v>
      </c>
    </row>
    <row r="642" customFormat="false" ht="17.15" hidden="false" customHeight="false" outlineLevel="0" collapsed="false">
      <c r="A642" s="0" t="s">
        <v>2376</v>
      </c>
      <c r="B642" s="0" t="s">
        <v>2377</v>
      </c>
      <c r="C642" s="0" t="s">
        <v>66</v>
      </c>
      <c r="D642" s="11" t="n">
        <v>0.17</v>
      </c>
      <c r="E642" s="11" t="n">
        <v>0.2</v>
      </c>
      <c r="F642" s="11" t="n">
        <v>0.23</v>
      </c>
      <c r="G642" s="12" t="s">
        <v>67</v>
      </c>
      <c r="H642" s="12" t="s">
        <v>2378</v>
      </c>
      <c r="I642" s="12" t="s">
        <v>2379</v>
      </c>
      <c r="J642" s="6" t="s">
        <v>2380</v>
      </c>
    </row>
    <row r="643" customFormat="false" ht="17.15" hidden="false" customHeight="false" outlineLevel="0" collapsed="false">
      <c r="A643" s="0" t="s">
        <v>2381</v>
      </c>
      <c r="B643" s="0" t="s">
        <v>2382</v>
      </c>
      <c r="C643" s="0" t="s">
        <v>66</v>
      </c>
      <c r="D643" s="11" t="n">
        <v>0.17</v>
      </c>
      <c r="E643" s="11" t="n">
        <v>0.2</v>
      </c>
      <c r="F643" s="11" t="n">
        <v>0.23</v>
      </c>
      <c r="G643" s="12" t="s">
        <v>117</v>
      </c>
      <c r="H643" s="6" t="s">
        <v>2383</v>
      </c>
      <c r="I643" s="12" t="s">
        <v>2384</v>
      </c>
      <c r="J643" s="6" t="s">
        <v>2385</v>
      </c>
    </row>
    <row r="644" customFormat="false" ht="17.15" hidden="false" customHeight="false" outlineLevel="0" collapsed="false">
      <c r="A644" s="0" t="s">
        <v>2386</v>
      </c>
      <c r="B644" s="0" t="s">
        <v>2387</v>
      </c>
      <c r="C644" s="0" t="s">
        <v>66</v>
      </c>
      <c r="D644" s="11" t="n">
        <v>0.17</v>
      </c>
      <c r="E644" s="11" t="n">
        <v>0.2</v>
      </c>
      <c r="F644" s="11" t="n">
        <v>0.23</v>
      </c>
      <c r="G644" s="12" t="s">
        <v>117</v>
      </c>
      <c r="H644" s="6" t="s">
        <v>2383</v>
      </c>
      <c r="I644" s="12" t="s">
        <v>2388</v>
      </c>
      <c r="J644" s="6" t="s">
        <v>2389</v>
      </c>
    </row>
    <row r="645" customFormat="false" ht="17.15" hidden="false" customHeight="false" outlineLevel="0" collapsed="false">
      <c r="A645" s="10" t="s">
        <v>2390</v>
      </c>
    </row>
    <row r="646" customFormat="false" ht="17.15" hidden="false" customHeight="false" outlineLevel="0" collapsed="false">
      <c r="A646" s="0" t="s">
        <v>2391</v>
      </c>
      <c r="B646" s="0" t="s">
        <v>2392</v>
      </c>
      <c r="C646" s="0" t="s">
        <v>66</v>
      </c>
      <c r="E646" s="11" t="n">
        <v>0.133896123975753</v>
      </c>
      <c r="G646" s="12" t="s">
        <v>91</v>
      </c>
      <c r="H646" s="12" t="s">
        <v>2393</v>
      </c>
      <c r="I646" s="12" t="s">
        <v>2394</v>
      </c>
      <c r="J646" s="6" t="s">
        <v>2395</v>
      </c>
    </row>
    <row r="647" customFormat="false" ht="17.15" hidden="false" customHeight="false" outlineLevel="0" collapsed="false">
      <c r="A647" s="0" t="s">
        <v>2396</v>
      </c>
      <c r="B647" s="0" t="s">
        <v>2397</v>
      </c>
      <c r="C647" s="0" t="s">
        <v>66</v>
      </c>
      <c r="E647" s="11" t="n">
        <v>0.174610057569922</v>
      </c>
      <c r="G647" s="12" t="s">
        <v>91</v>
      </c>
      <c r="H647" s="12" t="s">
        <v>2398</v>
      </c>
      <c r="I647" s="12" t="s">
        <v>2399</v>
      </c>
      <c r="J647" s="6" t="s">
        <v>2395</v>
      </c>
    </row>
    <row r="648" customFormat="false" ht="17.15" hidden="false" customHeight="false" outlineLevel="0" collapsed="false">
      <c r="A648" s="0" t="s">
        <v>2400</v>
      </c>
      <c r="B648" s="0" t="s">
        <v>2401</v>
      </c>
      <c r="C648" s="0" t="s">
        <v>66</v>
      </c>
      <c r="E648" s="11" t="n">
        <v>0.0875096501918447</v>
      </c>
      <c r="G648" s="12" t="s">
        <v>91</v>
      </c>
      <c r="H648" s="12" t="s">
        <v>2402</v>
      </c>
      <c r="I648" s="12" t="s">
        <v>2403</v>
      </c>
      <c r="J648" s="6" t="s">
        <v>2395</v>
      </c>
    </row>
    <row r="649" customFormat="false" ht="17.15" hidden="false" customHeight="false" outlineLevel="0" collapsed="false">
      <c r="A649" s="0" t="s">
        <v>2404</v>
      </c>
      <c r="B649" s="0" t="s">
        <v>2405</v>
      </c>
      <c r="C649" s="0" t="s">
        <v>66</v>
      </c>
      <c r="E649" s="11" t="n">
        <v>0.0344775081035094</v>
      </c>
      <c r="G649" s="12" t="s">
        <v>91</v>
      </c>
      <c r="H649" s="12" t="s">
        <v>2406</v>
      </c>
      <c r="I649" s="12" t="s">
        <v>2407</v>
      </c>
      <c r="J649" s="6" t="s">
        <v>2395</v>
      </c>
    </row>
    <row r="650" customFormat="false" ht="17.15" hidden="false" customHeight="false" outlineLevel="0" collapsed="false">
      <c r="A650" s="0" t="s">
        <v>2408</v>
      </c>
      <c r="B650" s="0" t="s">
        <v>2409</v>
      </c>
      <c r="C650" s="0" t="s">
        <v>500</v>
      </c>
      <c r="D650" s="13" t="n">
        <v>0.85</v>
      </c>
      <c r="E650" s="13" t="n">
        <v>1</v>
      </c>
      <c r="F650" s="13" t="n">
        <v>1.1</v>
      </c>
      <c r="G650" s="12" t="s">
        <v>117</v>
      </c>
      <c r="H650" s="6" t="s">
        <v>2410</v>
      </c>
      <c r="I650" s="12" t="s">
        <v>2411</v>
      </c>
      <c r="J650" s="6" t="s">
        <v>2412</v>
      </c>
    </row>
    <row r="651" customFormat="false" ht="17.15" hidden="false" customHeight="false" outlineLevel="0" collapsed="false">
      <c r="A651" s="0" t="s">
        <v>2413</v>
      </c>
      <c r="B651" s="0" t="s">
        <v>2414</v>
      </c>
      <c r="C651" s="0" t="s">
        <v>500</v>
      </c>
      <c r="D651" s="13" t="n">
        <v>0.75</v>
      </c>
      <c r="E651" s="13" t="n">
        <v>0.95</v>
      </c>
      <c r="F651" s="13" t="n">
        <v>1.1</v>
      </c>
      <c r="G651" s="12" t="s">
        <v>117</v>
      </c>
      <c r="H651" s="6" t="s">
        <v>2410</v>
      </c>
      <c r="I651" s="12" t="s">
        <v>2415</v>
      </c>
      <c r="J651" s="6" t="s">
        <v>2416</v>
      </c>
    </row>
    <row r="652" customFormat="false" ht="17.15" hidden="false" customHeight="false" outlineLevel="0" collapsed="false">
      <c r="A652" s="0" t="s">
        <v>2417</v>
      </c>
      <c r="B652" s="0" t="s">
        <v>2418</v>
      </c>
      <c r="C652" s="0" t="s">
        <v>500</v>
      </c>
      <c r="D652" s="13" t="n">
        <v>0.7</v>
      </c>
      <c r="E652" s="13" t="n">
        <v>0.9</v>
      </c>
      <c r="F652" s="13" t="n">
        <v>1.1</v>
      </c>
      <c r="G652" s="12" t="s">
        <v>117</v>
      </c>
      <c r="H652" s="6" t="s">
        <v>2410</v>
      </c>
      <c r="I652" s="12" t="s">
        <v>2419</v>
      </c>
      <c r="J652" s="6" t="s">
        <v>2420</v>
      </c>
    </row>
    <row r="653" customFormat="false" ht="17.15" hidden="false" customHeight="false" outlineLevel="0" collapsed="false">
      <c r="A653" s="0" t="s">
        <v>2421</v>
      </c>
      <c r="B653" s="0" t="s">
        <v>2422</v>
      </c>
      <c r="C653" s="0" t="s">
        <v>500</v>
      </c>
      <c r="D653" s="13" t="n">
        <v>0.85</v>
      </c>
      <c r="E653" s="13" t="n">
        <v>1</v>
      </c>
      <c r="F653" s="13" t="n">
        <v>1.15</v>
      </c>
      <c r="G653" s="12" t="s">
        <v>117</v>
      </c>
      <c r="H653" s="6" t="s">
        <v>2423</v>
      </c>
      <c r="I653" s="12" t="s">
        <v>2424</v>
      </c>
      <c r="J653" s="6" t="s">
        <v>2425</v>
      </c>
    </row>
    <row r="654" customFormat="false" ht="17.15" hidden="false" customHeight="false" outlineLevel="0" collapsed="false">
      <c r="A654" s="0" t="s">
        <v>2426</v>
      </c>
      <c r="B654" s="0" t="s">
        <v>2427</v>
      </c>
      <c r="C654" s="0" t="s">
        <v>500</v>
      </c>
      <c r="D654" s="13" t="n">
        <v>0.75</v>
      </c>
      <c r="E654" s="13" t="n">
        <v>1</v>
      </c>
      <c r="F654" s="13" t="n">
        <v>1.15</v>
      </c>
      <c r="G654" s="12" t="s">
        <v>117</v>
      </c>
      <c r="H654" s="6" t="s">
        <v>2423</v>
      </c>
      <c r="I654" s="12" t="s">
        <v>2428</v>
      </c>
      <c r="J654" s="6" t="s">
        <v>2429</v>
      </c>
    </row>
    <row r="655" customFormat="false" ht="17.15" hidden="false" customHeight="false" outlineLevel="0" collapsed="false">
      <c r="A655" s="0" t="s">
        <v>2430</v>
      </c>
      <c r="B655" s="0" t="s">
        <v>2431</v>
      </c>
      <c r="C655" s="0" t="s">
        <v>500</v>
      </c>
      <c r="D655" s="13" t="n">
        <v>0.7</v>
      </c>
      <c r="E655" s="13" t="n">
        <v>0.95</v>
      </c>
      <c r="F655" s="13" t="n">
        <v>1.15</v>
      </c>
      <c r="G655" s="12" t="s">
        <v>117</v>
      </c>
      <c r="H655" s="6" t="s">
        <v>2423</v>
      </c>
      <c r="I655" s="12" t="s">
        <v>2432</v>
      </c>
      <c r="J655" s="6" t="s">
        <v>2433</v>
      </c>
    </row>
    <row r="656" customFormat="false" ht="17.15" hidden="false" customHeight="false" outlineLevel="0" collapsed="false">
      <c r="A656" s="0" t="s">
        <v>2434</v>
      </c>
      <c r="B656" s="0" t="s">
        <v>2435</v>
      </c>
      <c r="C656" s="0" t="s">
        <v>500</v>
      </c>
      <c r="D656" s="13" t="n">
        <v>0.85</v>
      </c>
      <c r="E656" s="13" t="n">
        <v>1</v>
      </c>
      <c r="F656" s="13" t="n">
        <v>1.15</v>
      </c>
      <c r="G656" s="12" t="s">
        <v>117</v>
      </c>
      <c r="H656" s="6" t="s">
        <v>2436</v>
      </c>
      <c r="I656" s="12" t="s">
        <v>2437</v>
      </c>
      <c r="J656" s="6" t="s">
        <v>2438</v>
      </c>
    </row>
    <row r="657" customFormat="false" ht="17.15" hidden="false" customHeight="false" outlineLevel="0" collapsed="false">
      <c r="A657" s="0" t="s">
        <v>2439</v>
      </c>
      <c r="B657" s="0" t="s">
        <v>2440</v>
      </c>
      <c r="C657" s="0" t="s">
        <v>500</v>
      </c>
      <c r="D657" s="13" t="n">
        <v>0.75</v>
      </c>
      <c r="E657" s="13" t="n">
        <v>0.95</v>
      </c>
      <c r="F657" s="13" t="n">
        <v>1.15</v>
      </c>
      <c r="G657" s="12" t="s">
        <v>117</v>
      </c>
      <c r="H657" s="6" t="s">
        <v>2436</v>
      </c>
      <c r="I657" s="12" t="s">
        <v>2441</v>
      </c>
      <c r="J657" s="6" t="s">
        <v>2442</v>
      </c>
    </row>
    <row r="658" customFormat="false" ht="17.15" hidden="false" customHeight="false" outlineLevel="0" collapsed="false">
      <c r="A658" s="0" t="s">
        <v>2443</v>
      </c>
      <c r="B658" s="0" t="s">
        <v>2444</v>
      </c>
      <c r="C658" s="0" t="s">
        <v>500</v>
      </c>
      <c r="D658" s="13" t="n">
        <v>0.7</v>
      </c>
      <c r="E658" s="13" t="n">
        <v>0.9</v>
      </c>
      <c r="F658" s="13" t="n">
        <v>1.15</v>
      </c>
      <c r="G658" s="12" t="s">
        <v>117</v>
      </c>
      <c r="H658" s="6" t="s">
        <v>2436</v>
      </c>
      <c r="I658" s="12" t="s">
        <v>2445</v>
      </c>
      <c r="J658" s="6" t="s">
        <v>2446</v>
      </c>
    </row>
    <row r="659" customFormat="false" ht="17.15" hidden="false" customHeight="false" outlineLevel="0" collapsed="false">
      <c r="A659" s="0" t="s">
        <v>2447</v>
      </c>
      <c r="B659" s="0" t="s">
        <v>2448</v>
      </c>
      <c r="C659" s="0" t="s">
        <v>500</v>
      </c>
      <c r="D659" s="13" t="n">
        <v>0.85</v>
      </c>
      <c r="E659" s="13" t="n">
        <v>1</v>
      </c>
      <c r="F659" s="13" t="n">
        <v>1.1</v>
      </c>
      <c r="G659" s="12" t="s">
        <v>117</v>
      </c>
      <c r="H659" s="6" t="s">
        <v>2449</v>
      </c>
      <c r="I659" s="12" t="s">
        <v>2450</v>
      </c>
      <c r="J659" s="6" t="s">
        <v>2451</v>
      </c>
    </row>
    <row r="660" customFormat="false" ht="17.15" hidden="false" customHeight="false" outlineLevel="0" collapsed="false">
      <c r="A660" s="0" t="s">
        <v>2452</v>
      </c>
      <c r="B660" s="0" t="s">
        <v>2453</v>
      </c>
      <c r="C660" s="0" t="s">
        <v>500</v>
      </c>
      <c r="D660" s="13" t="n">
        <v>0.75</v>
      </c>
      <c r="E660" s="13" t="n">
        <v>1</v>
      </c>
      <c r="F660" s="13" t="n">
        <v>1.1</v>
      </c>
      <c r="G660" s="12" t="s">
        <v>117</v>
      </c>
      <c r="H660" s="6" t="s">
        <v>2449</v>
      </c>
      <c r="I660" s="12" t="s">
        <v>2454</v>
      </c>
      <c r="J660" s="6" t="s">
        <v>2455</v>
      </c>
    </row>
    <row r="661" customFormat="false" ht="17.15" hidden="false" customHeight="false" outlineLevel="0" collapsed="false">
      <c r="A661" s="0" t="s">
        <v>2456</v>
      </c>
      <c r="B661" s="0" t="s">
        <v>2457</v>
      </c>
      <c r="C661" s="0" t="s">
        <v>500</v>
      </c>
      <c r="D661" s="13" t="n">
        <v>0.7</v>
      </c>
      <c r="E661" s="13" t="n">
        <v>0.95</v>
      </c>
      <c r="F661" s="13" t="n">
        <v>1.1</v>
      </c>
      <c r="G661" s="12" t="s">
        <v>117</v>
      </c>
      <c r="H661" s="6" t="s">
        <v>2449</v>
      </c>
      <c r="I661" s="12" t="s">
        <v>2458</v>
      </c>
      <c r="J661" s="6" t="s">
        <v>2459</v>
      </c>
    </row>
    <row r="662" customFormat="false" ht="17.15" hidden="false" customHeight="false" outlineLevel="0" collapsed="false">
      <c r="A662" s="0" t="s">
        <v>2460</v>
      </c>
      <c r="B662" s="6" t="s">
        <v>2461</v>
      </c>
      <c r="C662" s="0" t="s">
        <v>66</v>
      </c>
      <c r="D662" s="11" t="n">
        <v>0.85</v>
      </c>
      <c r="E662" s="11" t="n">
        <v>0.9</v>
      </c>
      <c r="F662" s="11" t="n">
        <v>0.95</v>
      </c>
      <c r="G662" s="12" t="s">
        <v>67</v>
      </c>
      <c r="H662" s="6" t="s">
        <v>2462</v>
      </c>
      <c r="I662" s="12" t="s">
        <v>2463</v>
      </c>
      <c r="J662" s="6" t="s">
        <v>2464</v>
      </c>
    </row>
    <row r="663" customFormat="false" ht="17.15" hidden="false" customHeight="false" outlineLevel="0" collapsed="false">
      <c r="A663" s="10" t="s">
        <v>2465</v>
      </c>
    </row>
    <row r="664" customFormat="false" ht="17.15" hidden="false" customHeight="false" outlineLevel="0" collapsed="false">
      <c r="A664" s="0" t="s">
        <v>2466</v>
      </c>
      <c r="B664" s="6" t="s">
        <v>2467</v>
      </c>
      <c r="C664" s="0" t="s">
        <v>2468</v>
      </c>
      <c r="D664" s="13" t="n">
        <v>30.5</v>
      </c>
      <c r="E664" s="13" t="n">
        <v>32</v>
      </c>
      <c r="F664" s="13" t="n">
        <v>33</v>
      </c>
      <c r="G664" s="12" t="s">
        <v>117</v>
      </c>
      <c r="H664" s="6" t="s">
        <v>2469</v>
      </c>
      <c r="I664" s="12" t="s">
        <v>2470</v>
      </c>
      <c r="J664" s="12" t="s">
        <v>2471</v>
      </c>
    </row>
    <row r="665" customFormat="false" ht="17.15" hidden="false" customHeight="false" outlineLevel="0" collapsed="false">
      <c r="A665" s="0" t="s">
        <v>2472</v>
      </c>
      <c r="B665" s="6" t="s">
        <v>2473</v>
      </c>
      <c r="C665" s="0" t="s">
        <v>2474</v>
      </c>
      <c r="D665" s="13" t="n">
        <v>6.5</v>
      </c>
      <c r="E665" s="13" t="n">
        <v>6.72</v>
      </c>
      <c r="F665" s="13" t="n">
        <v>7</v>
      </c>
      <c r="G665" s="12" t="s">
        <v>221</v>
      </c>
      <c r="H665" s="6" t="s">
        <v>2475</v>
      </c>
      <c r="I665" s="12" t="s">
        <v>2476</v>
      </c>
      <c r="J665" s="12" t="s">
        <v>2477</v>
      </c>
    </row>
    <row r="666" customFormat="false" ht="17.15" hidden="false" customHeight="false" outlineLevel="0" collapsed="false">
      <c r="A666" s="0" t="s">
        <v>2478</v>
      </c>
      <c r="B666" s="6" t="s">
        <v>2479</v>
      </c>
      <c r="C666" s="0" t="s">
        <v>2480</v>
      </c>
      <c r="D666" s="13" t="n">
        <v>1350</v>
      </c>
      <c r="E666" s="13" t="n">
        <v>1420</v>
      </c>
      <c r="F666" s="13" t="n">
        <v>1500</v>
      </c>
      <c r="G666" s="12" t="s">
        <v>91</v>
      </c>
      <c r="H666" s="12" t="s">
        <v>2481</v>
      </c>
      <c r="I666" s="12" t="s">
        <v>2482</v>
      </c>
      <c r="J666" s="6" t="s">
        <v>2483</v>
      </c>
    </row>
    <row r="668" customFormat="false" ht="17.15" hidden="false" customHeight="false" outlineLevel="0" collapsed="false">
      <c r="A668" s="10" t="s">
        <v>2484</v>
      </c>
    </row>
    <row r="669" customFormat="false" ht="15" hidden="false" customHeight="false" outlineLevel="0" collapsed="false">
      <c r="A669" s="4" t="s">
        <v>2485</v>
      </c>
      <c r="B669" s="4" t="s">
        <v>2486</v>
      </c>
      <c r="C669" s="4"/>
      <c r="D669" s="4"/>
      <c r="E669" s="4"/>
      <c r="F669" s="4"/>
      <c r="G669" s="4" t="s">
        <v>59</v>
      </c>
      <c r="H669" s="4" t="s">
        <v>60</v>
      </c>
    </row>
    <row r="670" customFormat="false" ht="17.15" hidden="false" customHeight="false" outlineLevel="0" collapsed="false">
      <c r="A670" s="0" t="s">
        <v>2487</v>
      </c>
      <c r="B670" s="0" t="s">
        <v>2488</v>
      </c>
      <c r="G670" s="0" t="s">
        <v>67</v>
      </c>
      <c r="H670" s="6" t="s">
        <v>343</v>
      </c>
    </row>
    <row r="671" customFormat="false" ht="17.15" hidden="false" customHeight="false" outlineLevel="0" collapsed="false">
      <c r="A671" s="0" t="s">
        <v>2489</v>
      </c>
      <c r="B671" s="0" t="s">
        <v>2490</v>
      </c>
      <c r="G671" s="0" t="s">
        <v>67</v>
      </c>
      <c r="H671" s="0" t="s">
        <v>363</v>
      </c>
    </row>
    <row r="672" customFormat="false" ht="17.15" hidden="false" customHeight="false" outlineLevel="0" collapsed="false">
      <c r="A672" s="0" t="s">
        <v>2491</v>
      </c>
      <c r="B672" s="0" t="s">
        <v>2492</v>
      </c>
      <c r="G672" s="0" t="s">
        <v>117</v>
      </c>
      <c r="H672" s="6" t="s">
        <v>2493</v>
      </c>
    </row>
    <row r="673" customFormat="false" ht="17.15" hidden="false" customHeight="false" outlineLevel="0" collapsed="false">
      <c r="A673" s="0" t="s">
        <v>2494</v>
      </c>
      <c r="B673" s="0" t="s">
        <v>2495</v>
      </c>
      <c r="G673" s="0" t="s">
        <v>67</v>
      </c>
      <c r="H673" s="0" t="s">
        <v>402</v>
      </c>
    </row>
    <row r="674" customFormat="false" ht="17.15" hidden="false" customHeight="false" outlineLevel="0" collapsed="false">
      <c r="A674" s="0" t="s">
        <v>2496</v>
      </c>
      <c r="B674" s="0" t="s">
        <v>2497</v>
      </c>
      <c r="G674" s="0" t="s">
        <v>421</v>
      </c>
      <c r="H674" s="0" t="s">
        <v>2498</v>
      </c>
    </row>
    <row r="675" customFormat="false" ht="17.15" hidden="false" customHeight="false" outlineLevel="0" collapsed="false">
      <c r="A675" s="0" t="s">
        <v>2499</v>
      </c>
      <c r="B675" s="0" t="s">
        <v>2500</v>
      </c>
      <c r="G675" s="0" t="s">
        <v>67</v>
      </c>
      <c r="H675" s="0" t="s">
        <v>441</v>
      </c>
    </row>
    <row r="676" customFormat="false" ht="17.15" hidden="false" customHeight="false" outlineLevel="0" collapsed="false">
      <c r="A676" s="0" t="s">
        <v>2501</v>
      </c>
      <c r="B676" s="0" t="s">
        <v>2502</v>
      </c>
      <c r="G676" s="0" t="s">
        <v>117</v>
      </c>
      <c r="H676" s="6" t="s">
        <v>2503</v>
      </c>
    </row>
    <row r="677" customFormat="false" ht="17.15" hidden="false" customHeight="false" outlineLevel="0" collapsed="false">
      <c r="A677" s="0" t="s">
        <v>2504</v>
      </c>
      <c r="B677" s="6" t="s">
        <v>2505</v>
      </c>
      <c r="G677" s="0" t="s">
        <v>479</v>
      </c>
      <c r="H677" s="0" t="s">
        <v>2506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0"/>
  </cols>
  <sheetData>
    <row r="1" customFormat="false" ht="17.15" hidden="false" customHeight="false" outlineLevel="0" collapsed="false">
      <c r="A1" s="0" t="s">
        <v>2507</v>
      </c>
    </row>
    <row r="3" customFormat="false" ht="17.15" hidden="false" customHeight="false" outlineLevel="0" collapsed="false">
      <c r="A3" s="4" t="s">
        <v>2508</v>
      </c>
      <c r="B3" s="4" t="s">
        <v>53</v>
      </c>
      <c r="C3" s="5" t="s">
        <v>2509</v>
      </c>
      <c r="D3" s="5" t="s">
        <v>2510</v>
      </c>
      <c r="E3" s="5" t="s">
        <v>2511</v>
      </c>
      <c r="F3" s="5" t="s">
        <v>2512</v>
      </c>
      <c r="G3" s="5" t="s">
        <v>2513</v>
      </c>
    </row>
    <row r="4" customFormat="false" ht="17.15" hidden="false" customHeight="false" outlineLevel="0" collapsed="false">
      <c r="A4" s="0" t="s">
        <v>2488</v>
      </c>
      <c r="B4" s="0" t="s">
        <v>2514</v>
      </c>
      <c r="C4" s="7" t="n">
        <f aca="false">u_bw_26</f>
        <v>5.4</v>
      </c>
      <c r="D4" s="7" t="n">
        <f aca="false">u_bw_27</f>
        <v>2.4</v>
      </c>
      <c r="E4" s="7" t="n">
        <f aca="false">u_bw_28</f>
        <v>0.5</v>
      </c>
      <c r="F4" s="14" t="n">
        <f aca="false">E4*(1+g29_bw)</f>
        <v>0.25</v>
      </c>
      <c r="G4" s="15" t="n">
        <f aca="false">g29_bw</f>
        <v>-0.5</v>
      </c>
    </row>
    <row r="5" customFormat="false" ht="15" hidden="false" customHeight="false" outlineLevel="0" collapsed="false">
      <c r="A5" s="0" t="s">
        <v>2490</v>
      </c>
      <c r="B5" s="0" t="s">
        <v>2515</v>
      </c>
      <c r="C5" s="7" t="n">
        <f aca="false">u_rb_26</f>
        <v>1.7</v>
      </c>
      <c r="D5" s="7" t="n">
        <f aca="false">u_rb_27</f>
        <v>7</v>
      </c>
      <c r="E5" s="7" t="n">
        <f aca="false">u_rb_28</f>
        <v>7</v>
      </c>
      <c r="F5" s="14" t="n">
        <f aca="false">E5*(1+g29_rb)</f>
        <v>8.05</v>
      </c>
      <c r="G5" s="15" t="n">
        <f aca="false">g29_rb</f>
        <v>0.15</v>
      </c>
    </row>
    <row r="6" customFormat="false" ht="15" hidden="false" customHeight="false" outlineLevel="0" collapsed="false">
      <c r="A6" s="0" t="s">
        <v>2492</v>
      </c>
      <c r="B6" s="0" t="s">
        <v>2516</v>
      </c>
      <c r="C6" s="7" t="n">
        <f aca="false">u_ru_26</f>
        <v>0</v>
      </c>
      <c r="D6" s="7" t="n">
        <f aca="false">u_ru_27</f>
        <v>0.3</v>
      </c>
      <c r="E6" s="7" t="n">
        <f aca="false">u_ru_28</f>
        <v>2</v>
      </c>
      <c r="F6" s="14" t="n">
        <f aca="false">E6*(1+g29_ru)</f>
        <v>2.3</v>
      </c>
      <c r="G6" s="15" t="n">
        <f aca="false">g29_ru</f>
        <v>0.15</v>
      </c>
    </row>
    <row r="7" customFormat="false" ht="17.15" hidden="false" customHeight="false" outlineLevel="0" collapsed="false">
      <c r="A7" s="0" t="s">
        <v>2495</v>
      </c>
      <c r="B7" s="0" t="s">
        <v>2517</v>
      </c>
      <c r="C7" s="7" t="n">
        <f aca="false">u_hp_26</f>
        <v>0.5</v>
      </c>
      <c r="D7" s="7" t="n">
        <f aca="false">u_hp_27</f>
        <v>0</v>
      </c>
      <c r="E7" s="7" t="n">
        <f aca="false">u_hp_28</f>
        <v>0</v>
      </c>
      <c r="F7" s="14" t="n">
        <f aca="false">E7*(1+g29_hp)</f>
        <v>0</v>
      </c>
      <c r="G7" s="15" t="n">
        <f aca="false">g29_hp</f>
        <v>0</v>
      </c>
    </row>
    <row r="8" customFormat="false" ht="15" hidden="false" customHeight="false" outlineLevel="0" collapsed="false">
      <c r="A8" s="0" t="s">
        <v>2497</v>
      </c>
      <c r="B8" s="0" t="s">
        <v>2518</v>
      </c>
      <c r="C8" s="7" t="n">
        <f aca="false">u_amd_26</f>
        <v>0.75</v>
      </c>
      <c r="D8" s="7" t="n">
        <f aca="false">u_amd_27</f>
        <v>1.5</v>
      </c>
      <c r="E8" s="7" t="n">
        <f aca="false">u_amd_28</f>
        <v>2</v>
      </c>
      <c r="F8" s="14" t="n">
        <f aca="false">E8*(1+g29_amd)</f>
        <v>2.3</v>
      </c>
      <c r="G8" s="15" t="n">
        <f aca="false">g29_amd</f>
        <v>0.15</v>
      </c>
    </row>
    <row r="9" customFormat="false" ht="15" hidden="false" customHeight="false" outlineLevel="0" collapsed="false">
      <c r="A9" s="0" t="s">
        <v>2500</v>
      </c>
      <c r="B9" s="0" t="s">
        <v>2519</v>
      </c>
      <c r="C9" s="7" t="n">
        <f aca="false">u_tpu_26</f>
        <v>3.85</v>
      </c>
      <c r="D9" s="7" t="n">
        <f aca="false">u_tpu_27</f>
        <v>5.5</v>
      </c>
      <c r="E9" s="7" t="n">
        <f aca="false">u_tpu_28</f>
        <v>7</v>
      </c>
      <c r="F9" s="14" t="n">
        <f aca="false">E9*(1+g29_tpu)</f>
        <v>8.05</v>
      </c>
      <c r="G9" s="15" t="n">
        <f aca="false">g29_tpu</f>
        <v>0.15</v>
      </c>
    </row>
    <row r="10" customFormat="false" ht="15" hidden="false" customHeight="false" outlineLevel="0" collapsed="false">
      <c r="A10" s="0" t="s">
        <v>2502</v>
      </c>
      <c r="B10" s="0" t="s">
        <v>2520</v>
      </c>
      <c r="C10" s="7" t="n">
        <f aca="false">u_trn_26</f>
        <v>2</v>
      </c>
      <c r="D10" s="7" t="n">
        <f aca="false">u_trn_27</f>
        <v>2.5</v>
      </c>
      <c r="E10" s="7" t="n">
        <f aca="false">u_trn_28</f>
        <v>3</v>
      </c>
      <c r="F10" s="14" t="n">
        <f aca="false">E10*(1+g29_trn)</f>
        <v>3.45</v>
      </c>
      <c r="G10" s="15" t="n">
        <f aca="false">g29_trn</f>
        <v>0.15</v>
      </c>
    </row>
    <row r="11" customFormat="false" ht="17.15" hidden="false" customHeight="false" outlineLevel="0" collapsed="false">
      <c r="A11" s="6" t="s">
        <v>2505</v>
      </c>
      <c r="B11" s="0" t="s">
        <v>2521</v>
      </c>
      <c r="C11" s="7" t="n">
        <f aca="false">u_oth_26</f>
        <v>1</v>
      </c>
      <c r="D11" s="7" t="n">
        <f aca="false">u_oth_27</f>
        <v>4.5</v>
      </c>
      <c r="E11" s="7" t="n">
        <f aca="false">u_oth_28</f>
        <v>5</v>
      </c>
      <c r="F11" s="14" t="n">
        <f aca="false">E11*(1+g29_oth)</f>
        <v>5.75</v>
      </c>
      <c r="G11" s="15" t="n">
        <f aca="false">g29_oth</f>
        <v>0.15</v>
      </c>
    </row>
    <row r="12" customFormat="false" ht="17.15" hidden="false" customHeight="false" outlineLevel="0" collapsed="false">
      <c r="A12" s="9" t="s">
        <v>2522</v>
      </c>
      <c r="C12" s="16" t="n">
        <f aca="false">SUM(C4:C11)</f>
        <v>15.2</v>
      </c>
      <c r="D12" s="16" t="n">
        <f aca="false">SUM(D4:D11)</f>
        <v>23.7</v>
      </c>
      <c r="E12" s="16" t="n">
        <f aca="false">SUM(E4:E11)</f>
        <v>26.5</v>
      </c>
      <c r="F12" s="16" t="n">
        <f aca="false">SUM(F4:F11)</f>
        <v>30.15</v>
      </c>
      <c r="G12" s="17" t="n">
        <f aca="false">F12/E12-1</f>
        <v>0.137735849056604</v>
      </c>
    </row>
    <row r="13" customFormat="false" ht="17.15" hidden="false" customHeight="false" outlineLevel="0" collapsed="false">
      <c r="A13" s="6" t="s">
        <v>2523</v>
      </c>
      <c r="C13" s="14" t="n">
        <f aca="false">C12</f>
        <v>15.2</v>
      </c>
      <c r="D13" s="14" t="n">
        <f aca="false">D12</f>
        <v>23.7</v>
      </c>
      <c r="E13" s="14" t="n">
        <f aca="false">E12*um28_A</f>
        <v>26.5</v>
      </c>
      <c r="F13" s="14" t="n">
        <f aca="false">F12*um29_A</f>
        <v>30.15</v>
      </c>
    </row>
    <row r="14" customFormat="false" ht="17.15" hidden="false" customHeight="false" outlineLevel="0" collapsed="false">
      <c r="A14" s="6" t="s">
        <v>2524</v>
      </c>
      <c r="C14" s="14" t="n">
        <f aca="false">C12</f>
        <v>15.2</v>
      </c>
      <c r="D14" s="14" t="n">
        <f aca="false">D12</f>
        <v>23.7</v>
      </c>
      <c r="E14" s="14" t="n">
        <f aca="false">E12*um28_B</f>
        <v>21.2</v>
      </c>
      <c r="F14" s="14" t="n">
        <f aca="false">F12*um29_B</f>
        <v>25.6275</v>
      </c>
    </row>
    <row r="15" customFormat="false" ht="17.15" hidden="false" customHeight="false" outlineLevel="0" collapsed="false">
      <c r="A15" s="6" t="s">
        <v>2525</v>
      </c>
      <c r="C15" s="14" t="n">
        <f aca="false">C12</f>
        <v>15.2</v>
      </c>
      <c r="D15" s="14" t="n">
        <f aca="false">D12</f>
        <v>23.7</v>
      </c>
      <c r="E15" s="14" t="n">
        <f aca="false">E12*um28_C</f>
        <v>15.9</v>
      </c>
      <c r="F15" s="14" t="n">
        <f aca="false">F12*um29_C</f>
        <v>18.09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8" min="4" style="0" width="9"/>
  </cols>
  <sheetData>
    <row r="1" customFormat="false" ht="17.15" hidden="false" customHeight="false" outlineLevel="0" collapsed="false">
      <c r="A1" s="0" t="s">
        <v>2526</v>
      </c>
    </row>
    <row r="3" customFormat="false" ht="17.15" hidden="false" customHeight="false" outlineLevel="0" collapsed="false">
      <c r="A3" s="4" t="s">
        <v>2508</v>
      </c>
      <c r="B3" s="4" t="s">
        <v>2527</v>
      </c>
      <c r="C3" s="4" t="s">
        <v>2528</v>
      </c>
      <c r="D3" s="5" t="s">
        <v>2509</v>
      </c>
      <c r="E3" s="5" t="s">
        <v>2510</v>
      </c>
      <c r="F3" s="5" t="s">
        <v>2511</v>
      </c>
      <c r="G3" s="4" t="s">
        <v>49</v>
      </c>
    </row>
    <row r="4" customFormat="false" ht="17.15" hidden="false" customHeight="false" outlineLevel="0" collapsed="false">
      <c r="A4" s="0" t="s">
        <v>2500</v>
      </c>
      <c r="B4" s="0" t="s">
        <v>2529</v>
      </c>
      <c r="C4" s="0" t="s">
        <v>2530</v>
      </c>
      <c r="D4" s="18" t="n">
        <f aca="false">sh_tpu_26</f>
        <v>0.9</v>
      </c>
      <c r="E4" s="18" t="n">
        <f aca="false">sh_tpu_27</f>
        <v>0.8</v>
      </c>
      <c r="F4" s="18" t="n">
        <f aca="false">sh_tpu_28</f>
        <v>0.75</v>
      </c>
    </row>
    <row r="5" customFormat="false" ht="17.15" hidden="false" customHeight="false" outlineLevel="0" collapsed="false">
      <c r="A5" s="0" t="s">
        <v>2500</v>
      </c>
      <c r="B5" s="0" t="s">
        <v>2531</v>
      </c>
      <c r="C5" s="0" t="s">
        <v>2532</v>
      </c>
      <c r="D5" s="18" t="n">
        <f aca="false">msh_tpu_26</f>
        <v>0</v>
      </c>
      <c r="E5" s="18" t="n">
        <f aca="false">msh_tpu_27</f>
        <v>0</v>
      </c>
      <c r="F5" s="18" t="n">
        <f aca="false">msh_tpu_28</f>
        <v>0.05</v>
      </c>
    </row>
    <row r="6" customFormat="false" ht="17.15" hidden="false" customHeight="false" outlineLevel="0" collapsed="false">
      <c r="A6" s="0" t="s">
        <v>2500</v>
      </c>
      <c r="B6" s="6" t="s">
        <v>2533</v>
      </c>
      <c r="C6" s="0" t="s">
        <v>2534</v>
      </c>
      <c r="D6" s="18" t="n">
        <f aca="false">mtk_tpu_26</f>
        <v>0.05</v>
      </c>
      <c r="E6" s="18" t="n">
        <f aca="false">mtk_tpu_27</f>
        <v>0.15</v>
      </c>
      <c r="F6" s="18" t="n">
        <f aca="false">mtk_tpu_28</f>
        <v>0.18</v>
      </c>
    </row>
    <row r="7" customFormat="false" ht="15" hidden="false" customHeight="false" outlineLevel="0" collapsed="false">
      <c r="A7" s="0" t="s">
        <v>2500</v>
      </c>
      <c r="B7" s="9" t="s">
        <v>2535</v>
      </c>
      <c r="D7" s="19" t="n">
        <f aca="false">SUM(D4:D6)</f>
        <v>0.95</v>
      </c>
      <c r="E7" s="19" t="n">
        <f aca="false">SUM(E4:E6)</f>
        <v>0.95</v>
      </c>
      <c r="F7" s="19" t="n">
        <f aca="false">SUM(F4:F6)</f>
        <v>0.98</v>
      </c>
    </row>
    <row r="8" customFormat="false" ht="15" hidden="false" customHeight="false" outlineLevel="0" collapsed="false">
      <c r="A8" s="0" t="s">
        <v>2500</v>
      </c>
      <c r="B8" s="6" t="s">
        <v>2536</v>
      </c>
      <c r="D8" s="15" t="n">
        <f aca="false">1-D7</f>
        <v>0.0499999999999999</v>
      </c>
      <c r="E8" s="15" t="n">
        <f aca="false">1-E7</f>
        <v>0.0499999999999999</v>
      </c>
      <c r="F8" s="15" t="n">
        <f aca="false">1-F7</f>
        <v>0.02</v>
      </c>
    </row>
    <row r="10" customFormat="false" ht="17.15" hidden="false" customHeight="false" outlineLevel="0" collapsed="false">
      <c r="A10" s="6" t="s">
        <v>2537</v>
      </c>
      <c r="B10" s="0" t="s">
        <v>2529</v>
      </c>
      <c r="C10" s="0" t="s">
        <v>2538</v>
      </c>
      <c r="D10" s="18" t="n">
        <f aca="false">sh_oth_26</f>
        <v>0.35</v>
      </c>
      <c r="E10" s="18" t="n">
        <f aca="false">sh_oth_27</f>
        <v>0.55</v>
      </c>
      <c r="F10" s="18" t="n">
        <f aca="false">sh_oth_28</f>
        <v>0.55</v>
      </c>
    </row>
    <row r="11" customFormat="false" ht="17.15" hidden="false" customHeight="false" outlineLevel="0" collapsed="false">
      <c r="A11" s="6" t="s">
        <v>2537</v>
      </c>
      <c r="B11" s="0" t="s">
        <v>2531</v>
      </c>
      <c r="C11" s="0" t="s">
        <v>2539</v>
      </c>
      <c r="D11" s="18" t="n">
        <f aca="false">msh_oth_26</f>
        <v>0.05</v>
      </c>
      <c r="E11" s="18" t="n">
        <f aca="false">msh_oth_27</f>
        <v>0.06</v>
      </c>
      <c r="F11" s="18" t="n">
        <f aca="false">msh_oth_28</f>
        <v>0.15</v>
      </c>
    </row>
    <row r="12" customFormat="false" ht="17.15" hidden="false" customHeight="false" outlineLevel="0" collapsed="false">
      <c r="A12" s="6" t="s">
        <v>2537</v>
      </c>
      <c r="B12" s="6" t="s">
        <v>2533</v>
      </c>
      <c r="C12" s="0" t="s">
        <v>2540</v>
      </c>
      <c r="D12" s="18" t="n">
        <f aca="false">mtk_oth_26</f>
        <v>0</v>
      </c>
      <c r="E12" s="18" t="n">
        <f aca="false">mtk_oth_27</f>
        <v>0</v>
      </c>
      <c r="F12" s="18" t="n">
        <f aca="false">mtk_oth_28</f>
        <v>0</v>
      </c>
    </row>
    <row r="13" customFormat="false" ht="17.15" hidden="false" customHeight="false" outlineLevel="0" collapsed="false">
      <c r="A13" s="6" t="s">
        <v>2537</v>
      </c>
      <c r="B13" s="9" t="s">
        <v>2535</v>
      </c>
      <c r="D13" s="19" t="n">
        <f aca="false">SUM(D10:D12)</f>
        <v>0.4</v>
      </c>
      <c r="E13" s="19" t="n">
        <f aca="false">SUM(E10:E12)</f>
        <v>0.61</v>
      </c>
      <c r="F13" s="19" t="n">
        <f aca="false">SUM(F10:F12)</f>
        <v>0.7</v>
      </c>
    </row>
    <row r="14" customFormat="false" ht="17.15" hidden="false" customHeight="false" outlineLevel="0" collapsed="false">
      <c r="A14" s="6" t="s">
        <v>2537</v>
      </c>
      <c r="B14" s="6" t="s">
        <v>2536</v>
      </c>
      <c r="D14" s="15" t="n">
        <f aca="false">1-D13</f>
        <v>0.6</v>
      </c>
      <c r="E14" s="15" t="n">
        <f aca="false">1-E13</f>
        <v>0.39</v>
      </c>
      <c r="F14" s="15" t="n">
        <f aca="false">1-F13</f>
        <v>0.3</v>
      </c>
    </row>
    <row r="16" customFormat="false" ht="17.15" hidden="false" customHeight="false" outlineLevel="0" collapsed="false">
      <c r="A16" s="0" t="s">
        <v>2541</v>
      </c>
      <c r="B16" s="0" t="s">
        <v>2531</v>
      </c>
      <c r="C16" s="0" t="s">
        <v>2542</v>
      </c>
      <c r="D16" s="18" t="n">
        <f aca="false">msh_trn_26</f>
        <v>0.1</v>
      </c>
      <c r="E16" s="18" t="n">
        <f aca="false">msh_trn_27</f>
        <v>0.1</v>
      </c>
      <c r="F16" s="18" t="n">
        <f aca="false">msh_trn_28</f>
        <v>0.08</v>
      </c>
    </row>
    <row r="17" customFormat="false" ht="17.15" hidden="false" customHeight="false" outlineLevel="0" collapsed="false">
      <c r="A17" s="0" t="s">
        <v>2541</v>
      </c>
      <c r="B17" s="6" t="s">
        <v>2543</v>
      </c>
      <c r="C17" s="0" t="s">
        <v>2544</v>
      </c>
      <c r="D17" s="18" t="n">
        <f aca="false">al_trn_26</f>
        <v>0.3</v>
      </c>
      <c r="E17" s="18" t="n">
        <f aca="false">al27_A</f>
        <v>0.55</v>
      </c>
      <c r="F17" s="18" t="n">
        <f aca="false">al28_A</f>
        <v>0.55</v>
      </c>
    </row>
    <row r="18" customFormat="false" ht="17.15" hidden="false" customHeight="false" outlineLevel="0" collapsed="false">
      <c r="A18" s="0" t="s">
        <v>2541</v>
      </c>
      <c r="B18" s="9" t="s">
        <v>2535</v>
      </c>
      <c r="D18" s="19" t="n">
        <f aca="false">SUM(D16:D17)</f>
        <v>0.4</v>
      </c>
      <c r="E18" s="19" t="n">
        <f aca="false">SUM(E16:E17)</f>
        <v>0.65</v>
      </c>
      <c r="F18" s="19" t="n">
        <f aca="false">SUM(F16:F17)</f>
        <v>0.63</v>
      </c>
    </row>
    <row r="19" customFormat="false" ht="17.15" hidden="false" customHeight="false" outlineLevel="0" collapsed="false">
      <c r="A19" s="0" t="s">
        <v>2541</v>
      </c>
      <c r="B19" s="6" t="s">
        <v>2536</v>
      </c>
      <c r="D19" s="15" t="n">
        <f aca="false">1-D18</f>
        <v>0.6</v>
      </c>
      <c r="E19" s="15" t="n">
        <f aca="false">1-E18</f>
        <v>0.35</v>
      </c>
      <c r="F19" s="15" t="n">
        <f aca="false">1-F18</f>
        <v>0.37</v>
      </c>
    </row>
    <row r="21" customFormat="false" ht="17.15" hidden="false" customHeight="false" outlineLevel="0" collapsed="false">
      <c r="A21" s="0" t="s">
        <v>2545</v>
      </c>
      <c r="B21" s="0" t="s">
        <v>2531</v>
      </c>
      <c r="C21" s="0" t="s">
        <v>2542</v>
      </c>
      <c r="D21" s="18" t="n">
        <f aca="false">msh_trn_26</f>
        <v>0.1</v>
      </c>
      <c r="E21" s="18" t="n">
        <f aca="false">msh_trn_27</f>
        <v>0.1</v>
      </c>
      <c r="F21" s="18" t="n">
        <f aca="false">msh_trn_28</f>
        <v>0.08</v>
      </c>
    </row>
    <row r="22" customFormat="false" ht="17.15" hidden="false" customHeight="false" outlineLevel="0" collapsed="false">
      <c r="A22" s="0" t="s">
        <v>2545</v>
      </c>
      <c r="B22" s="6" t="s">
        <v>2543</v>
      </c>
      <c r="C22" s="0" t="s">
        <v>2546</v>
      </c>
      <c r="D22" s="18" t="n">
        <f aca="false">al_trn_26</f>
        <v>0.3</v>
      </c>
      <c r="E22" s="18" t="n">
        <f aca="false">al27_B</f>
        <v>0.5</v>
      </c>
      <c r="F22" s="18" t="n">
        <f aca="false">al28_B</f>
        <v>0.45</v>
      </c>
    </row>
    <row r="23" customFormat="false" ht="17.15" hidden="false" customHeight="false" outlineLevel="0" collapsed="false">
      <c r="A23" s="0" t="s">
        <v>2545</v>
      </c>
      <c r="B23" s="9" t="s">
        <v>2535</v>
      </c>
      <c r="D23" s="19" t="n">
        <f aca="false">SUM(D21:D22)</f>
        <v>0.4</v>
      </c>
      <c r="E23" s="19" t="n">
        <f aca="false">SUM(E21:E22)</f>
        <v>0.6</v>
      </c>
      <c r="F23" s="19" t="n">
        <f aca="false">SUM(F21:F22)</f>
        <v>0.53</v>
      </c>
    </row>
    <row r="24" customFormat="false" ht="17.15" hidden="false" customHeight="false" outlineLevel="0" collapsed="false">
      <c r="A24" s="0" t="s">
        <v>2545</v>
      </c>
      <c r="B24" s="6" t="s">
        <v>2536</v>
      </c>
      <c r="D24" s="15" t="n">
        <f aca="false">1-D23</f>
        <v>0.6</v>
      </c>
      <c r="E24" s="15" t="n">
        <f aca="false">1-E23</f>
        <v>0.4</v>
      </c>
      <c r="F24" s="15" t="n">
        <f aca="false">1-F23</f>
        <v>0.47</v>
      </c>
    </row>
    <row r="26" customFormat="false" ht="17.15" hidden="false" customHeight="false" outlineLevel="0" collapsed="false">
      <c r="A26" s="0" t="s">
        <v>2547</v>
      </c>
      <c r="B26" s="0" t="s">
        <v>2531</v>
      </c>
      <c r="C26" s="0" t="s">
        <v>2542</v>
      </c>
      <c r="D26" s="18" t="n">
        <f aca="false">msh_trn_26</f>
        <v>0.1</v>
      </c>
      <c r="E26" s="18" t="n">
        <f aca="false">msh_trn_27</f>
        <v>0.1</v>
      </c>
      <c r="F26" s="18" t="n">
        <f aca="false">msh_trn_28</f>
        <v>0.08</v>
      </c>
    </row>
    <row r="27" customFormat="false" ht="17.15" hidden="false" customHeight="false" outlineLevel="0" collapsed="false">
      <c r="A27" s="0" t="s">
        <v>2547</v>
      </c>
      <c r="B27" s="6" t="s">
        <v>2543</v>
      </c>
      <c r="C27" s="0" t="s">
        <v>2548</v>
      </c>
      <c r="D27" s="18" t="n">
        <f aca="false">al_trn_26</f>
        <v>0.3</v>
      </c>
      <c r="E27" s="18" t="n">
        <f aca="false">al27_C</f>
        <v>0.4</v>
      </c>
      <c r="F27" s="18" t="n">
        <f aca="false">al28_C</f>
        <v>0.35</v>
      </c>
    </row>
    <row r="28" customFormat="false" ht="17.15" hidden="false" customHeight="false" outlineLevel="0" collapsed="false">
      <c r="A28" s="0" t="s">
        <v>2547</v>
      </c>
      <c r="B28" s="9" t="s">
        <v>2535</v>
      </c>
      <c r="D28" s="19" t="n">
        <f aca="false">SUM(D26:D27)</f>
        <v>0.4</v>
      </c>
      <c r="E28" s="19" t="n">
        <f aca="false">SUM(E26:E27)</f>
        <v>0.5</v>
      </c>
      <c r="F28" s="19" t="n">
        <f aca="false">SUM(F26:F27)</f>
        <v>0.43</v>
      </c>
    </row>
    <row r="29" customFormat="false" ht="17.15" hidden="false" customHeight="false" outlineLevel="0" collapsed="false">
      <c r="A29" s="0" t="s">
        <v>2547</v>
      </c>
      <c r="B29" s="6" t="s">
        <v>2536</v>
      </c>
      <c r="D29" s="15" t="n">
        <f aca="false">1-D28</f>
        <v>0.6</v>
      </c>
      <c r="E29" s="15" t="n">
        <f aca="false">1-E28</f>
        <v>0.5</v>
      </c>
      <c r="F29" s="15" t="n">
        <f aca="false">1-F28</f>
        <v>0.57</v>
      </c>
    </row>
    <row r="31" customFormat="false" ht="17.15" hidden="false" customHeight="false" outlineLevel="0" collapsed="false">
      <c r="A31" s="10" t="s">
        <v>2549</v>
      </c>
    </row>
    <row r="32" customFormat="false" ht="17.15" hidden="false" customHeight="false" outlineLevel="0" collapsed="false">
      <c r="A32" s="0" t="s">
        <v>2550</v>
      </c>
      <c r="B32" s="0" t="s">
        <v>2551</v>
      </c>
      <c r="C32" s="0" t="s">
        <v>2552</v>
      </c>
      <c r="D32" s="18" t="n">
        <f aca="false">cposh_lite_27</f>
        <v>0.25</v>
      </c>
      <c r="E32" s="18" t="n">
        <f aca="false">cposh_lite_28</f>
        <v>0.25</v>
      </c>
      <c r="F32" s="18" t="n">
        <f aca="false">cposh_lite_29</f>
        <v>0.2</v>
      </c>
    </row>
    <row r="33" customFormat="false" ht="17.15" hidden="false" customHeight="false" outlineLevel="0" collapsed="false">
      <c r="A33" s="0" t="s">
        <v>2550</v>
      </c>
      <c r="B33" s="0" t="s">
        <v>2553</v>
      </c>
      <c r="C33" s="0" t="s">
        <v>2554</v>
      </c>
      <c r="D33" s="18" t="n">
        <f aca="false">cposh_cohr_27</f>
        <v>0.1</v>
      </c>
      <c r="E33" s="18" t="n">
        <f aca="false">cposh_cohr_28</f>
        <v>0.15</v>
      </c>
      <c r="F33" s="18" t="n">
        <f aca="false">cposh_cohr_29</f>
        <v>0.2</v>
      </c>
    </row>
    <row r="34" customFormat="false" ht="17.15" hidden="false" customHeight="false" outlineLevel="0" collapsed="false">
      <c r="A34" s="0" t="s">
        <v>2550</v>
      </c>
      <c r="B34" s="6" t="s">
        <v>2555</v>
      </c>
      <c r="C34" s="0" t="s">
        <v>2556</v>
      </c>
      <c r="D34" s="18" t="n">
        <f aca="false">cposh_innolight_27</f>
        <v>0.1</v>
      </c>
      <c r="E34" s="18" t="n">
        <f aca="false">cposh_innolight_28</f>
        <v>0.15</v>
      </c>
      <c r="F34" s="18" t="n">
        <f aca="false">cposh_innolight_29</f>
        <v>0.2</v>
      </c>
    </row>
    <row r="35" customFormat="false" ht="17.15" hidden="false" customHeight="false" outlineLevel="0" collapsed="false">
      <c r="A35" s="0" t="s">
        <v>2550</v>
      </c>
      <c r="B35" s="6" t="s">
        <v>2557</v>
      </c>
      <c r="C35" s="0" t="s">
        <v>2558</v>
      </c>
      <c r="D35" s="18" t="n">
        <f aca="false">cposh_eoptolink_27</f>
        <v>0.05</v>
      </c>
      <c r="E35" s="18" t="n">
        <f aca="false">cposh_eoptolink_28</f>
        <v>0.1</v>
      </c>
      <c r="F35" s="18" t="n">
        <f aca="false">cposh_eoptolink_29</f>
        <v>0.15</v>
      </c>
    </row>
    <row r="36" customFormat="false" ht="17.15" hidden="false" customHeight="false" outlineLevel="0" collapsed="false">
      <c r="A36" s="0" t="s">
        <v>2550</v>
      </c>
      <c r="B36" s="9" t="s">
        <v>2559</v>
      </c>
      <c r="D36" s="19" t="n">
        <f aca="false">SUM(D32:D35)</f>
        <v>0.5</v>
      </c>
      <c r="E36" s="19" t="n">
        <f aca="false">SUM(E32:E35)</f>
        <v>0.65</v>
      </c>
      <c r="F36" s="19" t="n">
        <f aca="false">SUM(F32:F35)</f>
        <v>0.75</v>
      </c>
    </row>
    <row r="37" customFormat="false" ht="17.15" hidden="false" customHeight="false" outlineLevel="0" collapsed="false">
      <c r="A37" s="0" t="s">
        <v>2550</v>
      </c>
      <c r="B37" s="6" t="s">
        <v>2560</v>
      </c>
      <c r="D37" s="15" t="n">
        <f aca="false">1-D36</f>
        <v>0.5</v>
      </c>
      <c r="E37" s="15" t="n">
        <f aca="false">1-E36</f>
        <v>0.35</v>
      </c>
      <c r="F37" s="15" t="n">
        <f aca="false">1-F36</f>
        <v>0.25</v>
      </c>
    </row>
    <row r="38" customFormat="false" ht="17.15" hidden="false" customHeight="false" outlineLevel="0" collapsed="false">
      <c r="A38" s="0" t="s">
        <v>2550</v>
      </c>
      <c r="B38" s="0" t="s">
        <v>2561</v>
      </c>
      <c r="C38" s="0" t="s">
        <v>2562</v>
      </c>
      <c r="D38" s="18" t="n">
        <f aca="false">cposh_fabrinet_27</f>
        <v>0.05</v>
      </c>
      <c r="E38" s="18" t="n">
        <f aca="false">cposh_fabrinet_28</f>
        <v>0.1</v>
      </c>
      <c r="F38" s="18" t="n">
        <f aca="false">cposh_fabrinet_29</f>
        <v>0.15</v>
      </c>
    </row>
    <row r="40" customFormat="false" ht="17.15" hidden="false" customHeight="false" outlineLevel="0" collapsed="false">
      <c r="A40" s="9" t="s">
        <v>2563</v>
      </c>
    </row>
    <row r="41" customFormat="false" ht="17.15" hidden="false" customHeight="false" outlineLevel="0" collapsed="false">
      <c r="A41" s="0" t="s">
        <v>2564</v>
      </c>
      <c r="B41" s="0" t="s">
        <v>2565</v>
      </c>
      <c r="C41" s="0" t="s">
        <v>2566</v>
      </c>
      <c r="D41" s="17" t="n">
        <f aca="false">abf_ibsh26*1</f>
        <v>0.7</v>
      </c>
      <c r="E41" s="17" t="n">
        <f aca="false">abf_ibsh26*abf_ibrel_27</f>
        <v>0.665</v>
      </c>
      <c r="F41" s="17" t="n">
        <f aca="false">abf_ibsh26*abf_ibrel_28</f>
        <v>0.616</v>
      </c>
      <c r="G41" s="17" t="n">
        <f aca="false">abf_ibsh26*abf_ibrel_29</f>
        <v>0.595</v>
      </c>
    </row>
    <row r="42" customFormat="false" ht="17.15" hidden="false" customHeight="false" outlineLevel="0" collapsed="false">
      <c r="A42" s="0" t="s">
        <v>2564</v>
      </c>
      <c r="B42" s="6" t="s">
        <v>2567</v>
      </c>
      <c r="C42" s="0" t="s">
        <v>2568</v>
      </c>
      <c r="D42" s="20" t="n">
        <f aca="false">abf_un_nv_26</f>
        <v>0.25</v>
      </c>
      <c r="E42" s="20" t="n">
        <f aca="false">abf_un_nv_27</f>
        <v>0.27</v>
      </c>
      <c r="F42" s="20" t="n">
        <f aca="false">abf_un_nv_28</f>
        <v>0.29</v>
      </c>
      <c r="G42" s="20" t="n">
        <f aca="false">abf_un_nv_29</f>
        <v>0.3</v>
      </c>
    </row>
    <row r="43" customFormat="false" ht="17.15" hidden="false" customHeight="false" outlineLevel="0" collapsed="false">
      <c r="A43" s="0" t="s">
        <v>2564</v>
      </c>
      <c r="B43" s="6" t="s">
        <v>2569</v>
      </c>
      <c r="C43" s="0" t="s">
        <v>2570</v>
      </c>
      <c r="D43" s="20" t="n">
        <f aca="false">abf_np_nv_26</f>
        <v>0.02</v>
      </c>
      <c r="E43" s="20" t="n">
        <f aca="false">abf_np_nv_27</f>
        <v>0.03</v>
      </c>
      <c r="F43" s="20" t="n">
        <f aca="false">abf_np_nv_28</f>
        <v>0.04</v>
      </c>
      <c r="G43" s="20" t="n">
        <f aca="false">abf_np_nv_29</f>
        <v>0.04</v>
      </c>
    </row>
    <row r="44" customFormat="false" ht="17.15" hidden="false" customHeight="false" outlineLevel="0" collapsed="false">
      <c r="A44" s="0" t="s">
        <v>2564</v>
      </c>
      <c r="B44" s="6" t="s">
        <v>2571</v>
      </c>
      <c r="C44" s="0" t="s">
        <v>2572</v>
      </c>
      <c r="D44" s="20" t="n">
        <f aca="false">abf_ks_nv_26</f>
        <v>0.02</v>
      </c>
      <c r="E44" s="20" t="n">
        <f aca="false">abf_ks_nv_27</f>
        <v>0.03</v>
      </c>
      <c r="F44" s="20" t="n">
        <f aca="false">abf_ks_nv_28</f>
        <v>0.05</v>
      </c>
      <c r="G44" s="20" t="n">
        <f aca="false">abf_ks_nv_29</f>
        <v>0.06</v>
      </c>
    </row>
    <row r="45" customFormat="false" ht="17.15" hidden="false" customHeight="false" outlineLevel="0" collapsed="false">
      <c r="A45" s="0" t="s">
        <v>2564</v>
      </c>
      <c r="B45" s="9" t="s">
        <v>2535</v>
      </c>
      <c r="D45" s="21" t="n">
        <f aca="false">SUM(D41:D44)</f>
        <v>0.99</v>
      </c>
      <c r="E45" s="21" t="n">
        <f aca="false">SUM(E41:E44)</f>
        <v>0.995</v>
      </c>
      <c r="F45" s="21" t="n">
        <f aca="false">SUM(F41:F44)</f>
        <v>0.996</v>
      </c>
      <c r="G45" s="21" t="n">
        <f aca="false">SUM(G41:G44)</f>
        <v>0.995</v>
      </c>
    </row>
    <row r="46" customFormat="false" ht="17.15" hidden="false" customHeight="false" outlineLevel="0" collapsed="false">
      <c r="A46" s="0" t="s">
        <v>2564</v>
      </c>
      <c r="B46" s="6" t="s">
        <v>2573</v>
      </c>
      <c r="D46" s="17" t="n">
        <f aca="false">1-D45</f>
        <v>0.01</v>
      </c>
      <c r="E46" s="17" t="n">
        <f aca="false">1-E45</f>
        <v>0.005</v>
      </c>
      <c r="F46" s="17" t="n">
        <f aca="false">1-F45</f>
        <v>0.004</v>
      </c>
      <c r="G46" s="17" t="n">
        <f aca="false">1-G45</f>
        <v>0.00500000000000012</v>
      </c>
    </row>
    <row r="48" customFormat="false" ht="17.15" hidden="false" customHeight="false" outlineLevel="0" collapsed="false">
      <c r="A48" s="6" t="s">
        <v>2574</v>
      </c>
      <c r="B48" s="0" t="s">
        <v>2565</v>
      </c>
      <c r="C48" s="0" t="s">
        <v>2575</v>
      </c>
      <c r="D48" s="17" t="n">
        <f aca="false">abf_wot_ib*1/abf_vot</f>
        <v>0.5</v>
      </c>
      <c r="E48" s="17" t="n">
        <f aca="false">abf_wot_ib*abf_ibrel_27/abf_vot</f>
        <v>0.475</v>
      </c>
      <c r="F48" s="17" t="n">
        <f aca="false">abf_wot_ib*abf_ibrel_28/abf_vot</f>
        <v>0.44</v>
      </c>
      <c r="G48" s="17" t="n">
        <f aca="false">abf_wot_ib*abf_ibrel_29/abf_vot</f>
        <v>0.425</v>
      </c>
    </row>
    <row r="49" customFormat="false" ht="17.15" hidden="false" customHeight="false" outlineLevel="0" collapsed="false">
      <c r="A49" s="6" t="s">
        <v>2574</v>
      </c>
      <c r="B49" s="6" t="s">
        <v>2567</v>
      </c>
      <c r="C49" s="0" t="s">
        <v>2576</v>
      </c>
      <c r="D49" s="20" t="n">
        <f aca="false">abf_un_ot_26</f>
        <v>0.3</v>
      </c>
      <c r="E49" s="20" t="n">
        <f aca="false">abf_un_ot_27</f>
        <v>0.31</v>
      </c>
      <c r="F49" s="20" t="n">
        <f aca="false">abf_un_ot_28</f>
        <v>0.32</v>
      </c>
      <c r="G49" s="20" t="n">
        <f aca="false">abf_un_ot_29</f>
        <v>0.33</v>
      </c>
    </row>
    <row r="50" customFormat="false" ht="17.15" hidden="false" customHeight="false" outlineLevel="0" collapsed="false">
      <c r="A50" s="6" t="s">
        <v>2574</v>
      </c>
      <c r="B50" s="6" t="s">
        <v>2569</v>
      </c>
      <c r="C50" s="0" t="s">
        <v>2577</v>
      </c>
      <c r="D50" s="20" t="n">
        <f aca="false">abf_np_ot_26</f>
        <v>0.05</v>
      </c>
      <c r="E50" s="20" t="n">
        <f aca="false">abf_np_ot_27</f>
        <v>0.06</v>
      </c>
      <c r="F50" s="20" t="n">
        <f aca="false">abf_np_ot_28</f>
        <v>0.07</v>
      </c>
      <c r="G50" s="20" t="n">
        <f aca="false">abf_np_ot_29</f>
        <v>0.07</v>
      </c>
    </row>
    <row r="51" customFormat="false" ht="17.15" hidden="false" customHeight="false" outlineLevel="0" collapsed="false">
      <c r="A51" s="6" t="s">
        <v>2574</v>
      </c>
      <c r="B51" s="6" t="s">
        <v>2571</v>
      </c>
      <c r="C51" s="0" t="s">
        <v>2578</v>
      </c>
      <c r="D51" s="20" t="n">
        <f aca="false">abf_ks_ot_26</f>
        <v>0.03</v>
      </c>
      <c r="E51" s="20" t="n">
        <f aca="false">abf_ks_ot_27</f>
        <v>0.05</v>
      </c>
      <c r="F51" s="20" t="n">
        <f aca="false">abf_ks_ot_28</f>
        <v>0.06</v>
      </c>
      <c r="G51" s="20" t="n">
        <f aca="false">abf_ks_ot_29</f>
        <v>0.06</v>
      </c>
    </row>
    <row r="52" customFormat="false" ht="17.15" hidden="false" customHeight="false" outlineLevel="0" collapsed="false">
      <c r="A52" s="6" t="s">
        <v>2574</v>
      </c>
      <c r="B52" s="9" t="s">
        <v>2535</v>
      </c>
      <c r="D52" s="21" t="n">
        <f aca="false">SUM(D48:D51)</f>
        <v>0.88</v>
      </c>
      <c r="E52" s="21" t="n">
        <f aca="false">SUM(E48:E51)</f>
        <v>0.895</v>
      </c>
      <c r="F52" s="21" t="n">
        <f aca="false">SUM(F48:F51)</f>
        <v>0.89</v>
      </c>
      <c r="G52" s="21" t="n">
        <f aca="false">SUM(G48:G51)</f>
        <v>0.885</v>
      </c>
    </row>
    <row r="53" customFormat="false" ht="17.15" hidden="false" customHeight="false" outlineLevel="0" collapsed="false">
      <c r="A53" s="6" t="s">
        <v>2574</v>
      </c>
      <c r="B53" s="6" t="s">
        <v>2573</v>
      </c>
      <c r="D53" s="17" t="n">
        <f aca="false">1-D52</f>
        <v>0.12</v>
      </c>
      <c r="E53" s="17" t="n">
        <f aca="false">1-E52</f>
        <v>0.105</v>
      </c>
      <c r="F53" s="17" t="n">
        <f aca="false">1-F52</f>
        <v>0.11</v>
      </c>
      <c r="G53" s="17" t="n">
        <f aca="false">1-G52</f>
        <v>0.115</v>
      </c>
    </row>
    <row r="55" customFormat="false" ht="17.15" hidden="false" customHeight="false" outlineLevel="0" collapsed="false">
      <c r="A55" s="10" t="s">
        <v>2579</v>
      </c>
    </row>
    <row r="56" customFormat="false" ht="17.15" hidden="false" customHeight="false" outlineLevel="0" collapsed="false">
      <c r="A56" s="0" t="s">
        <v>2580</v>
      </c>
      <c r="B56" s="6" t="s">
        <v>2581</v>
      </c>
      <c r="C56" s="0" t="s">
        <v>2582</v>
      </c>
      <c r="D56" s="17" t="n">
        <f aca="false">pwr_dsh_26</f>
        <v>0.583671939396773</v>
      </c>
      <c r="E56" s="17" t="n">
        <f aca="false">pwr_dsh_26*pwr_drel_27</f>
        <v>0.554488342426934</v>
      </c>
      <c r="F56" s="17" t="n">
        <f aca="false">pwr_dsh_26*pwr_drel_28</f>
        <v>0.525304745457096</v>
      </c>
      <c r="G56" s="17" t="n">
        <f aca="false">pwr_dsh_26*pwr_drel_29</f>
        <v>0.496121148487257</v>
      </c>
    </row>
    <row r="57" customFormat="false" ht="17.15" hidden="false" customHeight="false" outlineLevel="0" collapsed="false">
      <c r="A57" s="0" t="s">
        <v>2580</v>
      </c>
      <c r="B57" s="6" t="s">
        <v>2583</v>
      </c>
      <c r="C57" s="0" t="s">
        <v>2584</v>
      </c>
      <c r="D57" s="17" t="n">
        <f aca="false">pwr_lsh_26</f>
        <v>0.176143316327046</v>
      </c>
      <c r="E57" s="17" t="n">
        <f aca="false">pwr_lsh_26*pwr_lrel_27_hi</f>
        <v>0.193757647959751</v>
      </c>
      <c r="F57" s="17" t="n">
        <f aca="false">pwr_lsh_26*pwr_lrel_28_hi</f>
        <v>0.211371979592455</v>
      </c>
      <c r="G57" s="17" t="n">
        <f aca="false">pwr_lsh_26*pwr_lrel_29_hi</f>
        <v>0.220179145408808</v>
      </c>
    </row>
    <row r="58" customFormat="false" ht="17.15" hidden="false" customHeight="false" outlineLevel="0" collapsed="false">
      <c r="A58" s="0" t="s">
        <v>2580</v>
      </c>
      <c r="B58" s="9" t="s">
        <v>2535</v>
      </c>
      <c r="D58" s="21" t="n">
        <f aca="false">SUM(D56:D57)</f>
        <v>0.759815255723819</v>
      </c>
      <c r="E58" s="21" t="n">
        <f aca="false">SUM(E56:E57)</f>
        <v>0.748245990386685</v>
      </c>
      <c r="F58" s="21" t="n">
        <f aca="false">SUM(F56:F57)</f>
        <v>0.736676725049551</v>
      </c>
      <c r="G58" s="21" t="n">
        <f aca="false">SUM(G56:G57)</f>
        <v>0.716300293896065</v>
      </c>
    </row>
    <row r="59" customFormat="false" ht="17.15" hidden="false" customHeight="false" outlineLevel="0" collapsed="false">
      <c r="A59" s="0" t="s">
        <v>2580</v>
      </c>
      <c r="B59" s="6" t="s">
        <v>2585</v>
      </c>
      <c r="D59" s="17" t="n">
        <f aca="false">1-D58</f>
        <v>0.240184744276181</v>
      </c>
      <c r="E59" s="17" t="n">
        <f aca="false">1-E58</f>
        <v>0.251754009613315</v>
      </c>
      <c r="F59" s="17" t="n">
        <f aca="false">1-F58</f>
        <v>0.263323274950449</v>
      </c>
      <c r="G59" s="17" t="n">
        <f aca="false">1-G58</f>
        <v>0.283699706103935</v>
      </c>
    </row>
    <row r="61" customFormat="false" ht="17.15" hidden="false" customHeight="false" outlineLevel="0" collapsed="false">
      <c r="A61" s="0" t="s">
        <v>2586</v>
      </c>
      <c r="B61" s="6" t="s">
        <v>2581</v>
      </c>
      <c r="C61" s="0" t="s">
        <v>2582</v>
      </c>
      <c r="D61" s="17" t="n">
        <f aca="false">pwr_dsh_26</f>
        <v>0.583671939396773</v>
      </c>
      <c r="E61" s="17" t="n">
        <f aca="false">pwr_dsh_26*pwr_drel_27</f>
        <v>0.554488342426934</v>
      </c>
      <c r="F61" s="17" t="n">
        <f aca="false">pwr_dsh_26*pwr_drel_28</f>
        <v>0.525304745457096</v>
      </c>
      <c r="G61" s="17" t="n">
        <f aca="false">pwr_dsh_26*pwr_drel_29</f>
        <v>0.496121148487257</v>
      </c>
    </row>
    <row r="62" customFormat="false" ht="17.15" hidden="false" customHeight="false" outlineLevel="0" collapsed="false">
      <c r="A62" s="0" t="s">
        <v>2586</v>
      </c>
      <c r="B62" s="6" t="s">
        <v>2583</v>
      </c>
      <c r="C62" s="0" t="s">
        <v>2587</v>
      </c>
      <c r="D62" s="17" t="n">
        <f aca="false">pwr_lsh_26</f>
        <v>0.176143316327046</v>
      </c>
      <c r="E62" s="17" t="n">
        <f aca="false">pwr_lsh_26*pwr_lrel_27</f>
        <v>0.176143316327046</v>
      </c>
      <c r="F62" s="17" t="n">
        <f aca="false">pwr_lsh_26*pwr_lrel_28</f>
        <v>0.176143316327046</v>
      </c>
      <c r="G62" s="17" t="n">
        <f aca="false">pwr_lsh_26*pwr_lrel_29</f>
        <v>0.176143316327046</v>
      </c>
    </row>
    <row r="63" customFormat="false" ht="17.15" hidden="false" customHeight="false" outlineLevel="0" collapsed="false">
      <c r="A63" s="0" t="s">
        <v>2586</v>
      </c>
      <c r="B63" s="9" t="s">
        <v>2535</v>
      </c>
      <c r="D63" s="21" t="n">
        <f aca="false">SUM(D61:D62)</f>
        <v>0.759815255723819</v>
      </c>
      <c r="E63" s="21" t="n">
        <f aca="false">SUM(E61:E62)</f>
        <v>0.73063165875398</v>
      </c>
      <c r="F63" s="21" t="n">
        <f aca="false">SUM(F61:F62)</f>
        <v>0.701448061784142</v>
      </c>
      <c r="G63" s="21" t="n">
        <f aca="false">SUM(G61:G62)</f>
        <v>0.672264464814303</v>
      </c>
    </row>
    <row r="64" customFormat="false" ht="17.15" hidden="false" customHeight="false" outlineLevel="0" collapsed="false">
      <c r="A64" s="0" t="s">
        <v>2586</v>
      </c>
      <c r="B64" s="6" t="s">
        <v>2585</v>
      </c>
      <c r="D64" s="17" t="n">
        <f aca="false">1-D63</f>
        <v>0.240184744276181</v>
      </c>
      <c r="E64" s="17" t="n">
        <f aca="false">1-E63</f>
        <v>0.26936834124602</v>
      </c>
      <c r="F64" s="17" t="n">
        <f aca="false">1-F63</f>
        <v>0.298551938215858</v>
      </c>
      <c r="G64" s="17" t="n">
        <f aca="false">1-G63</f>
        <v>0.327735535185697</v>
      </c>
    </row>
    <row r="66" customFormat="false" ht="17.15" hidden="false" customHeight="false" outlineLevel="0" collapsed="false">
      <c r="A66" s="0" t="s">
        <v>2588</v>
      </c>
      <c r="B66" s="6" t="s">
        <v>2581</v>
      </c>
      <c r="C66" s="0" t="s">
        <v>2582</v>
      </c>
      <c r="D66" s="17" t="n">
        <f aca="false">pwr_dsh_26</f>
        <v>0.583671939396773</v>
      </c>
      <c r="E66" s="17" t="n">
        <f aca="false">pwr_dsh_26*pwr_drel_27</f>
        <v>0.554488342426934</v>
      </c>
      <c r="F66" s="17" t="n">
        <f aca="false">pwr_dsh_26*pwr_drel_28</f>
        <v>0.525304745457096</v>
      </c>
      <c r="G66" s="17" t="n">
        <f aca="false">pwr_dsh_26*pwr_drel_29</f>
        <v>0.496121148487257</v>
      </c>
    </row>
    <row r="67" customFormat="false" ht="17.15" hidden="false" customHeight="false" outlineLevel="0" collapsed="false">
      <c r="A67" s="0" t="s">
        <v>2588</v>
      </c>
      <c r="B67" s="6" t="s">
        <v>2583</v>
      </c>
      <c r="C67" s="0" t="s">
        <v>2589</v>
      </c>
      <c r="D67" s="17" t="n">
        <f aca="false">pwr_lsh_26</f>
        <v>0.176143316327046</v>
      </c>
      <c r="E67" s="17" t="n">
        <f aca="false">pwr_lsh_26*pwr_lrel_27_lo</f>
        <v>0.149721818877989</v>
      </c>
      <c r="F67" s="17" t="n">
        <f aca="false">pwr_lsh_26*pwr_lrel_28_lo</f>
        <v>0.140914653061637</v>
      </c>
      <c r="G67" s="17" t="n">
        <f aca="false">pwr_lsh_26*pwr_lrel_29_lo</f>
        <v>0.132107487245284</v>
      </c>
    </row>
    <row r="68" customFormat="false" ht="17.15" hidden="false" customHeight="false" outlineLevel="0" collapsed="false">
      <c r="A68" s="0" t="s">
        <v>2588</v>
      </c>
      <c r="B68" s="9" t="s">
        <v>2535</v>
      </c>
      <c r="D68" s="21" t="n">
        <f aca="false">SUM(D66:D67)</f>
        <v>0.759815255723819</v>
      </c>
      <c r="E68" s="21" t="n">
        <f aca="false">SUM(E66:E67)</f>
        <v>0.704210161304923</v>
      </c>
      <c r="F68" s="21" t="n">
        <f aca="false">SUM(F66:F67)</f>
        <v>0.666219398518733</v>
      </c>
      <c r="G68" s="21" t="n">
        <f aca="false">SUM(G66:G67)</f>
        <v>0.628228635732542</v>
      </c>
    </row>
    <row r="69" customFormat="false" ht="17.15" hidden="false" customHeight="false" outlineLevel="0" collapsed="false">
      <c r="A69" s="0" t="s">
        <v>2588</v>
      </c>
      <c r="B69" s="6" t="s">
        <v>2585</v>
      </c>
      <c r="D69" s="17" t="n">
        <f aca="false">1-D68</f>
        <v>0.240184744276181</v>
      </c>
      <c r="E69" s="17" t="n">
        <f aca="false">1-E68</f>
        <v>0.295789838695077</v>
      </c>
      <c r="F69" s="17" t="n">
        <f aca="false">1-F68</f>
        <v>0.333780601481267</v>
      </c>
      <c r="G69" s="17" t="n">
        <f aca="false">1-G68</f>
        <v>0.371771364267459</v>
      </c>
    </row>
    <row r="71" customFormat="false" ht="17.15" hidden="false" customHeight="false" outlineLevel="0" collapsed="false">
      <c r="A71" s="10" t="s">
        <v>2590</v>
      </c>
    </row>
    <row r="72" customFormat="false" ht="17.15" hidden="false" customHeight="false" outlineLevel="0" collapsed="false">
      <c r="A72" s="0" t="s">
        <v>2591</v>
      </c>
      <c r="B72" s="6" t="s">
        <v>2592</v>
      </c>
      <c r="C72" s="0" t="s">
        <v>2593</v>
      </c>
      <c r="D72" s="17" t="n">
        <f aca="false">lc_avsh_26</f>
        <v>0.498927641116677</v>
      </c>
      <c r="E72" s="17" t="n">
        <f aca="false">lc_avsh_26*lc_avrel_27</f>
        <v>0.473981259060843</v>
      </c>
      <c r="F72" s="17" t="n">
        <f aca="false">lc_avsh_26*lc_avrel_28</f>
        <v>0.449034877005009</v>
      </c>
      <c r="G72" s="17" t="n">
        <f aca="false">lc_avsh_26*lc_avrel_29</f>
        <v>0.424088494949175</v>
      </c>
    </row>
    <row r="73" customFormat="false" ht="17.15" hidden="false" customHeight="false" outlineLevel="0" collapsed="false">
      <c r="A73" s="0" t="s">
        <v>2591</v>
      </c>
      <c r="B73" s="6" t="s">
        <v>2594</v>
      </c>
      <c r="C73" s="0" t="s">
        <v>2595</v>
      </c>
      <c r="D73" s="17" t="n">
        <f aca="false">lc_aush_26</f>
        <v>0.15870077644017</v>
      </c>
      <c r="E73" s="17" t="n">
        <f aca="false">lc_aush_26*lc_avrel_27_hi</f>
        <v>0.166635815262179</v>
      </c>
      <c r="F73" s="17" t="n">
        <f aca="false">lc_aush_26*lc_avrel_28_hi</f>
        <v>0.166635815262179</v>
      </c>
      <c r="G73" s="17" t="n">
        <f aca="false">lc_aush_26*lc_avrel_29_hi</f>
        <v>0.166635815262179</v>
      </c>
    </row>
    <row r="74" customFormat="false" ht="17.15" hidden="false" customHeight="false" outlineLevel="0" collapsed="false">
      <c r="A74" s="0" t="s">
        <v>2591</v>
      </c>
      <c r="B74" s="6" t="s">
        <v>2596</v>
      </c>
      <c r="C74" s="0" t="s">
        <v>2597</v>
      </c>
      <c r="D74" s="17" t="n">
        <f aca="false">0</f>
        <v>0</v>
      </c>
      <c r="E74" s="17" t="n">
        <f aca="false">lc_jtsh_27_hi</f>
        <v>0.015</v>
      </c>
      <c r="F74" s="17" t="n">
        <f aca="false">lc_jtsh_28_hi</f>
        <v>0.03</v>
      </c>
      <c r="G74" s="17" t="n">
        <f aca="false">lc_jtsh_29_hi</f>
        <v>0.045</v>
      </c>
    </row>
    <row r="75" customFormat="false" ht="17.15" hidden="false" customHeight="false" outlineLevel="0" collapsed="false">
      <c r="A75" s="0" t="s">
        <v>2591</v>
      </c>
      <c r="B75" s="9" t="s">
        <v>2535</v>
      </c>
      <c r="D75" s="21" t="n">
        <f aca="false">SUM(D72:D74)</f>
        <v>0.657628417556847</v>
      </c>
      <c r="E75" s="21" t="n">
        <f aca="false">SUM(E72:E74)</f>
        <v>0.655617074323022</v>
      </c>
      <c r="F75" s="21" t="n">
        <f aca="false">SUM(F72:F74)</f>
        <v>0.645670692267188</v>
      </c>
      <c r="G75" s="21" t="n">
        <f aca="false">SUM(G72:G74)</f>
        <v>0.635724310211354</v>
      </c>
    </row>
    <row r="76" customFormat="false" ht="17.15" hidden="false" customHeight="false" outlineLevel="0" collapsed="false">
      <c r="A76" s="0" t="s">
        <v>2591</v>
      </c>
      <c r="B76" s="6" t="s">
        <v>2598</v>
      </c>
      <c r="D76" s="17" t="n">
        <f aca="false">1-D75</f>
        <v>0.342371582443153</v>
      </c>
      <c r="E76" s="17" t="n">
        <f aca="false">1-E75</f>
        <v>0.344382925676978</v>
      </c>
      <c r="F76" s="17" t="n">
        <f aca="false">1-F75</f>
        <v>0.354329307732812</v>
      </c>
      <c r="G76" s="17" t="n">
        <f aca="false">1-G75</f>
        <v>0.364275689788646</v>
      </c>
    </row>
    <row r="78" customFormat="false" ht="17.15" hidden="false" customHeight="false" outlineLevel="0" collapsed="false">
      <c r="A78" s="0" t="s">
        <v>2599</v>
      </c>
      <c r="B78" s="6" t="s">
        <v>2592</v>
      </c>
      <c r="C78" s="0" t="s">
        <v>2593</v>
      </c>
      <c r="D78" s="17" t="n">
        <f aca="false">lc_avsh_26</f>
        <v>0.498927641116677</v>
      </c>
      <c r="E78" s="17" t="n">
        <f aca="false">lc_avsh_26*lc_avrel_27</f>
        <v>0.473981259060843</v>
      </c>
      <c r="F78" s="17" t="n">
        <f aca="false">lc_avsh_26*lc_avrel_28</f>
        <v>0.449034877005009</v>
      </c>
      <c r="G78" s="17" t="n">
        <f aca="false">lc_avsh_26*lc_avrel_29</f>
        <v>0.424088494949175</v>
      </c>
    </row>
    <row r="79" customFormat="false" ht="17.15" hidden="false" customHeight="false" outlineLevel="0" collapsed="false">
      <c r="A79" s="0" t="s">
        <v>2599</v>
      </c>
      <c r="B79" s="6" t="s">
        <v>2594</v>
      </c>
      <c r="C79" s="0" t="s">
        <v>2600</v>
      </c>
      <c r="D79" s="17" t="n">
        <f aca="false">lc_aush_26</f>
        <v>0.15870077644017</v>
      </c>
      <c r="E79" s="17" t="n">
        <f aca="false">lc_aush_26*lc_avrel_27</f>
        <v>0.150765737618162</v>
      </c>
      <c r="F79" s="17" t="n">
        <f aca="false">lc_aush_26*lc_avrel_28</f>
        <v>0.142830698796153</v>
      </c>
      <c r="G79" s="17" t="n">
        <f aca="false">lc_aush_26*lc_avrel_29</f>
        <v>0.134895659974145</v>
      </c>
    </row>
    <row r="80" customFormat="false" ht="17.15" hidden="false" customHeight="false" outlineLevel="0" collapsed="false">
      <c r="A80" s="0" t="s">
        <v>2599</v>
      </c>
      <c r="B80" s="6" t="s">
        <v>2596</v>
      </c>
      <c r="C80" s="0" t="s">
        <v>2601</v>
      </c>
      <c r="D80" s="17" t="n">
        <f aca="false">0</f>
        <v>0</v>
      </c>
      <c r="E80" s="17" t="n">
        <f aca="false">lc_jtsh_27</f>
        <v>0.008</v>
      </c>
      <c r="F80" s="17" t="n">
        <f aca="false">lc_jtsh_28</f>
        <v>0.015</v>
      </c>
      <c r="G80" s="17" t="n">
        <f aca="false">lc_jtsh_29</f>
        <v>0.025</v>
      </c>
    </row>
    <row r="81" customFormat="false" ht="17.15" hidden="false" customHeight="false" outlineLevel="0" collapsed="false">
      <c r="A81" s="0" t="s">
        <v>2599</v>
      </c>
      <c r="B81" s="9" t="s">
        <v>2535</v>
      </c>
      <c r="D81" s="21" t="n">
        <f aca="false">SUM(D78:D80)</f>
        <v>0.657628417556847</v>
      </c>
      <c r="E81" s="21" t="n">
        <f aca="false">SUM(E78:E80)</f>
        <v>0.632746996679005</v>
      </c>
      <c r="F81" s="21" t="n">
        <f aca="false">SUM(F78:F80)</f>
        <v>0.606865575801162</v>
      </c>
      <c r="G81" s="21" t="n">
        <f aca="false">SUM(G78:G80)</f>
        <v>0.58398415492332</v>
      </c>
    </row>
    <row r="82" customFormat="false" ht="17.15" hidden="false" customHeight="false" outlineLevel="0" collapsed="false">
      <c r="A82" s="0" t="s">
        <v>2599</v>
      </c>
      <c r="B82" s="6" t="s">
        <v>2598</v>
      </c>
      <c r="D82" s="17" t="n">
        <f aca="false">1-D81</f>
        <v>0.342371582443153</v>
      </c>
      <c r="E82" s="17" t="n">
        <f aca="false">1-E81</f>
        <v>0.367253003320995</v>
      </c>
      <c r="F82" s="17" t="n">
        <f aca="false">1-F81</f>
        <v>0.393134424198838</v>
      </c>
      <c r="G82" s="17" t="n">
        <f aca="false">1-G81</f>
        <v>0.41601584507668</v>
      </c>
    </row>
    <row r="84" customFormat="false" ht="17.15" hidden="false" customHeight="false" outlineLevel="0" collapsed="false">
      <c r="A84" s="0" t="s">
        <v>2602</v>
      </c>
      <c r="B84" s="6" t="s">
        <v>2592</v>
      </c>
      <c r="C84" s="0" t="s">
        <v>2593</v>
      </c>
      <c r="D84" s="17" t="n">
        <f aca="false">lc_avsh_26</f>
        <v>0.498927641116677</v>
      </c>
      <c r="E84" s="17" t="n">
        <f aca="false">lc_avsh_26*lc_avrel_27</f>
        <v>0.473981259060843</v>
      </c>
      <c r="F84" s="17" t="n">
        <f aca="false">lc_avsh_26*lc_avrel_28</f>
        <v>0.449034877005009</v>
      </c>
      <c r="G84" s="17" t="n">
        <f aca="false">lc_avsh_26*lc_avrel_29</f>
        <v>0.424088494949175</v>
      </c>
    </row>
    <row r="85" customFormat="false" ht="17.15" hidden="false" customHeight="false" outlineLevel="0" collapsed="false">
      <c r="A85" s="0" t="s">
        <v>2602</v>
      </c>
      <c r="B85" s="6" t="s">
        <v>2594</v>
      </c>
      <c r="C85" s="0" t="s">
        <v>2603</v>
      </c>
      <c r="D85" s="17" t="n">
        <f aca="false">lc_aush_26</f>
        <v>0.15870077644017</v>
      </c>
      <c r="E85" s="17" t="n">
        <f aca="false">lc_aush_26*lc_avrel_27_lo</f>
        <v>0.134895659974145</v>
      </c>
      <c r="F85" s="17" t="n">
        <f aca="false">lc_aush_26*lc_avrel_28_lo</f>
        <v>0.119025582330128</v>
      </c>
      <c r="G85" s="17" t="n">
        <f aca="false">lc_aush_26*lc_avrel_29_lo</f>
        <v>0.111090543508119</v>
      </c>
    </row>
    <row r="86" customFormat="false" ht="17.15" hidden="false" customHeight="false" outlineLevel="0" collapsed="false">
      <c r="A86" s="0" t="s">
        <v>2602</v>
      </c>
      <c r="B86" s="6" t="s">
        <v>2596</v>
      </c>
      <c r="C86" s="0" t="s">
        <v>2604</v>
      </c>
      <c r="D86" s="17" t="n">
        <f aca="false">0</f>
        <v>0</v>
      </c>
      <c r="E86" s="17" t="n">
        <f aca="false">lc_jtsh_27_lo</f>
        <v>0.003</v>
      </c>
      <c r="F86" s="17" t="n">
        <f aca="false">lc_jtsh_28_lo</f>
        <v>0.006</v>
      </c>
      <c r="G86" s="17" t="n">
        <f aca="false">lc_jtsh_29_lo</f>
        <v>0.01</v>
      </c>
    </row>
    <row r="87" customFormat="false" ht="17.15" hidden="false" customHeight="false" outlineLevel="0" collapsed="false">
      <c r="A87" s="0" t="s">
        <v>2602</v>
      </c>
      <c r="B87" s="9" t="s">
        <v>2535</v>
      </c>
      <c r="D87" s="21" t="n">
        <f aca="false">SUM(D84:D86)</f>
        <v>0.657628417556847</v>
      </c>
      <c r="E87" s="21" t="n">
        <f aca="false">SUM(E84:E86)</f>
        <v>0.611876919034988</v>
      </c>
      <c r="F87" s="21" t="n">
        <f aca="false">SUM(F84:F86)</f>
        <v>0.574060459335137</v>
      </c>
      <c r="G87" s="21" t="n">
        <f aca="false">SUM(G84:G86)</f>
        <v>0.545179038457294</v>
      </c>
    </row>
    <row r="88" customFormat="false" ht="17.15" hidden="false" customHeight="false" outlineLevel="0" collapsed="false">
      <c r="A88" s="0" t="s">
        <v>2602</v>
      </c>
      <c r="B88" s="6" t="s">
        <v>2598</v>
      </c>
      <c r="D88" s="17" t="n">
        <f aca="false">1-D87</f>
        <v>0.342371582443153</v>
      </c>
      <c r="E88" s="17" t="n">
        <f aca="false">1-E87</f>
        <v>0.388123080965012</v>
      </c>
      <c r="F88" s="17" t="n">
        <f aca="false">1-F87</f>
        <v>0.425939540664863</v>
      </c>
      <c r="G88" s="17" t="n">
        <f aca="false">1-G87</f>
        <v>0.454820961542706</v>
      </c>
    </row>
    <row r="90" customFormat="false" ht="17.15" hidden="false" customHeight="false" outlineLevel="0" collapsed="false">
      <c r="A90" s="6" t="s">
        <v>2605</v>
      </c>
    </row>
    <row r="92" customFormat="false" ht="17.15" hidden="false" customHeight="false" outlineLevel="0" collapsed="false">
      <c r="A92" s="6" t="s">
        <v>2606</v>
      </c>
      <c r="B92" s="0" t="s">
        <v>2607</v>
      </c>
      <c r="D92" s="17" t="n">
        <f aca="false">pwr_kgi_0701</f>
        <v>0.7</v>
      </c>
      <c r="E92" s="17" t="n">
        <f aca="false">pwr_kgi_0926</f>
        <v>0.625</v>
      </c>
    </row>
    <row r="94" customFormat="false" ht="17.15" hidden="false" customHeight="false" outlineLevel="0" collapsed="false">
      <c r="A94" s="10" t="s">
        <v>2608</v>
      </c>
    </row>
    <row r="95" customFormat="false" ht="17.15" hidden="false" customHeight="false" outlineLevel="0" collapsed="false">
      <c r="A95" s="0" t="s">
        <v>2609</v>
      </c>
      <c r="B95" s="0" t="s">
        <v>2610</v>
      </c>
      <c r="C95" s="0" t="s">
        <v>2611</v>
      </c>
      <c r="D95" s="17" t="n">
        <f aca="false">hbmsh_skh_25</f>
        <v>0.58</v>
      </c>
      <c r="E95" s="17" t="n">
        <f aca="false">hbmsh_skh_26</f>
        <v>0.52</v>
      </c>
      <c r="F95" s="17" t="n">
        <f aca="false">hbmsh_skh_27</f>
        <v>0.42</v>
      </c>
      <c r="G95" s="17" t="n">
        <f aca="false">hbmsh_skh_28</f>
        <v>0.4</v>
      </c>
      <c r="H95" s="17" t="n">
        <f aca="false">hbmsh_skh_29</f>
        <v>0.4</v>
      </c>
    </row>
    <row r="96" customFormat="false" ht="15" hidden="false" customHeight="false" outlineLevel="0" collapsed="false">
      <c r="A96" s="0" t="s">
        <v>2609</v>
      </c>
      <c r="B96" s="6" t="s">
        <v>2612</v>
      </c>
      <c r="C96" s="0" t="s">
        <v>2613</v>
      </c>
      <c r="D96" s="17" t="n">
        <f aca="false">hbmsh_ss_25</f>
        <v>0.17</v>
      </c>
      <c r="E96" s="17" t="n">
        <f aca="false">hbmsh_ss_26</f>
        <v>0.29</v>
      </c>
      <c r="F96" s="17" t="n">
        <f aca="false">hbmsh_ss_27</f>
        <v>0.38</v>
      </c>
      <c r="G96" s="17" t="n">
        <f aca="false">hbmsh_ss_28</f>
        <v>0.4</v>
      </c>
      <c r="H96" s="17" t="n">
        <f aca="false">hbmsh_ss_29</f>
        <v>0.4</v>
      </c>
    </row>
    <row r="97" customFormat="false" ht="15" hidden="false" customHeight="false" outlineLevel="0" collapsed="false">
      <c r="A97" s="0" t="s">
        <v>2609</v>
      </c>
      <c r="B97" s="6" t="s">
        <v>2614</v>
      </c>
      <c r="C97" s="0" t="s">
        <v>2615</v>
      </c>
      <c r="D97" s="17" t="n">
        <f aca="false">hbmsh_mu_25</f>
        <v>0.21</v>
      </c>
      <c r="E97" s="17" t="n">
        <f aca="false">hbmsh_mu_26</f>
        <v>0.19</v>
      </c>
      <c r="F97" s="17" t="n">
        <f aca="false">hbmsh_mu_27</f>
        <v>0.2</v>
      </c>
      <c r="G97" s="17" t="n">
        <f aca="false">hbmsh_mu_28</f>
        <v>0.2</v>
      </c>
      <c r="H97" s="17" t="n">
        <f aca="false">hbmsh_mu_29</f>
        <v>0.2</v>
      </c>
    </row>
    <row r="98" customFormat="false" ht="15" hidden="false" customHeight="false" outlineLevel="0" collapsed="false">
      <c r="A98" s="0" t="s">
        <v>2609</v>
      </c>
      <c r="B98" s="9" t="s">
        <v>2535</v>
      </c>
      <c r="D98" s="21" t="n">
        <f aca="false">SUM(D95:D97)</f>
        <v>0.96</v>
      </c>
      <c r="E98" s="21" t="n">
        <f aca="false">SUM(E95:E97)</f>
        <v>1</v>
      </c>
      <c r="F98" s="21" t="n">
        <f aca="false">SUM(F95:F97)</f>
        <v>1</v>
      </c>
      <c r="G98" s="21" t="n">
        <f aca="false">SUM(G95:G97)</f>
        <v>1</v>
      </c>
      <c r="H98" s="21" t="n">
        <f aca="false">SUM(H95:H97)</f>
        <v>1</v>
      </c>
    </row>
    <row r="99" customFormat="false" ht="15" hidden="false" customHeight="false" outlineLevel="0" collapsed="false">
      <c r="A99" s="0" t="s">
        <v>2609</v>
      </c>
      <c r="B99" s="6" t="s">
        <v>2616</v>
      </c>
      <c r="D99" s="17" t="n">
        <f aca="false">1-D98</f>
        <v>0.04</v>
      </c>
      <c r="E99" s="17" t="n">
        <f aca="false">1-E98</f>
        <v>0</v>
      </c>
      <c r="F99" s="17" t="n">
        <f aca="false">1-F98</f>
        <v>0</v>
      </c>
      <c r="G99" s="17" t="n">
        <f aca="false">1-G98</f>
        <v>0</v>
      </c>
      <c r="H99" s="17" t="n">
        <f aca="false">1-H98</f>
        <v>0</v>
      </c>
    </row>
    <row r="101" customFormat="false" ht="17.15" hidden="false" customHeight="false" outlineLevel="0" collapsed="false">
      <c r="A101" s="10" t="s">
        <v>2617</v>
      </c>
    </row>
    <row r="102" customFormat="false" ht="17.15" hidden="false" customHeight="false" outlineLevel="0" collapsed="false">
      <c r="A102" s="0" t="s">
        <v>2618</v>
      </c>
      <c r="B102" s="6" t="s">
        <v>2619</v>
      </c>
      <c r="C102" s="0" t="s">
        <v>2620</v>
      </c>
      <c r="D102" s="22" t="n">
        <f aca="false">1</f>
        <v>1</v>
      </c>
      <c r="E102" s="22" t="n">
        <f aca="false">asm_wyam*((u_trn_27+u_oth_27)/(u_trn_26+u_oth_26))/((u_bw_27+u_rb_27+u_ru_27+u_hp_27+u_amd_27+u_tpu_27+u_trn_27+u_oth_27)/(u_bw_26+u_rb_26+u_ru_26+u_hp_26+u_amd_26+u_tpu_26+u_trn_26+u_oth_26))+(1-asm_wyam)</f>
        <v>1.44683544303797</v>
      </c>
      <c r="F102" s="22" t="n">
        <f aca="false">asm_wyam*((u_trn_28+u_oth_28)/(u_trn_26+u_oth_26))/((u_bw_28+u_rb_28+u_ru_28+u_hp_28+u_amd_28+u_tpu_28+u_trn_28+u_oth_28)/(u_bw_26+u_rb_26+u_ru_26+u_hp_26+u_amd_26+u_tpu_26+u_trn_26+u_oth_26))+(1-asm_wyam)</f>
        <v>1.47660377358491</v>
      </c>
      <c r="G102" s="22" t="n">
        <f aca="false">asm_wyam*((u_trn_28*(1+g29_trn)+u_oth_28*(1+g29_oth))/(u_trn_26+u_oth_26))/((u_bw_28*(1+g29_bw)+u_rb_28*(1+g29_rb)+u_ru_28*(1+g29_ru)+u_hp_28*(1+g29_hp)+u_amd_28*(1+g29_amd)+u_tpu_28*(1+g29_tpu)+u_trn_28*(1+g29_trn)+u_oth_28*(1+g29_oth))/(u_bw_26+u_rb_26+u_ru_26+u_hp_26+u_amd_26+u_tpu_26+u_trn_26+u_oth_26))+(1-asm_wyam)</f>
        <v>1.49144278606965</v>
      </c>
    </row>
    <row r="103" customFormat="false" ht="17.15" hidden="false" customHeight="false" outlineLevel="0" collapsed="false">
      <c r="A103" s="0" t="s">
        <v>2618</v>
      </c>
      <c r="B103" s="6" t="s">
        <v>2621</v>
      </c>
      <c r="C103" s="0" t="s">
        <v>2622</v>
      </c>
      <c r="D103" s="17" t="n">
        <f aca="false">asm_qush_26</f>
        <v>0.133896123975753</v>
      </c>
      <c r="E103" s="17" t="n">
        <f aca="false">asm_qush_26*asm_qurel_27</f>
        <v>0.133896123975753</v>
      </c>
      <c r="F103" s="17" t="n">
        <f aca="false">asm_qush_26*asm_qurel_28</f>
        <v>0.127201317776965</v>
      </c>
      <c r="G103" s="17" t="n">
        <f aca="false">asm_qush_26*asm_qurel_29</f>
        <v>0.120506511578178</v>
      </c>
    </row>
    <row r="104" customFormat="false" ht="17.15" hidden="false" customHeight="false" outlineLevel="0" collapsed="false">
      <c r="A104" s="0" t="s">
        <v>2618</v>
      </c>
      <c r="B104" s="6" t="s">
        <v>2623</v>
      </c>
      <c r="C104" s="0" t="s">
        <v>2624</v>
      </c>
      <c r="D104" s="17" t="n">
        <f aca="false">asm_fxsh_26</f>
        <v>0.174610057569922</v>
      </c>
      <c r="E104" s="17" t="n">
        <f aca="false">asm_fxsh_26*asm_fxrel_27</f>
        <v>0.174610057569922</v>
      </c>
      <c r="F104" s="17" t="n">
        <f aca="false">asm_fxsh_26*asm_fxrel_28</f>
        <v>0.174610057569922</v>
      </c>
      <c r="G104" s="17" t="n">
        <f aca="false">asm_fxsh_26*asm_fxrel_29</f>
        <v>0.165879554691426</v>
      </c>
    </row>
    <row r="105" customFormat="false" ht="17.15" hidden="false" customHeight="false" outlineLevel="0" collapsed="false">
      <c r="A105" s="0" t="s">
        <v>2618</v>
      </c>
      <c r="B105" s="6" t="s">
        <v>2625</v>
      </c>
      <c r="C105" s="0" t="s">
        <v>2626</v>
      </c>
      <c r="D105" s="17" t="n">
        <f aca="false">asm_wish_26</f>
        <v>0.0875096501918447</v>
      </c>
      <c r="E105" s="17" t="n">
        <f aca="false">asm_wish_26*asm_wirel_27</f>
        <v>0.0875096501918447</v>
      </c>
      <c r="F105" s="17" t="n">
        <f aca="false">asm_wish_26*asm_wirel_28</f>
        <v>0.0831341676822525</v>
      </c>
      <c r="G105" s="17" t="n">
        <f aca="false">asm_wish_26*asm_wirel_29</f>
        <v>0.0787586851726602</v>
      </c>
    </row>
    <row r="106" customFormat="false" ht="17.15" hidden="false" customHeight="false" outlineLevel="0" collapsed="false">
      <c r="A106" s="0" t="s">
        <v>2618</v>
      </c>
      <c r="B106" s="6" t="s">
        <v>2627</v>
      </c>
      <c r="C106" s="0" t="s">
        <v>2628</v>
      </c>
      <c r="D106" s="17" t="n">
        <f aca="false">asm_wysh_26</f>
        <v>0.0344775081035094</v>
      </c>
      <c r="E106" s="17" t="n">
        <f aca="false">asm_wysh_26*asm_wyrel_27*E102</f>
        <v>0.0498832807117864</v>
      </c>
      <c r="F106" s="17" t="n">
        <f aca="false">asm_wysh_26*asm_wyrel_28*F102</f>
        <v>0.0509096185694462</v>
      </c>
      <c r="G106" s="17" t="n">
        <f aca="false">asm_wysh_26*asm_wyrel_29*G102</f>
        <v>0.0488501692055052</v>
      </c>
    </row>
    <row r="107" customFormat="false" ht="17.15" hidden="false" customHeight="false" outlineLevel="0" collapsed="false">
      <c r="A107" s="0" t="s">
        <v>2618</v>
      </c>
      <c r="B107" s="9" t="s">
        <v>2535</v>
      </c>
      <c r="D107" s="21" t="n">
        <f aca="false">SUM(D103:D106)</f>
        <v>0.430493339841029</v>
      </c>
      <c r="E107" s="21" t="n">
        <f aca="false">SUM(E103:E106)</f>
        <v>0.445899112449306</v>
      </c>
      <c r="F107" s="21" t="n">
        <f aca="false">SUM(F103:F106)</f>
        <v>0.435855161598586</v>
      </c>
      <c r="G107" s="21" t="n">
        <f aca="false">SUM(G103:G106)</f>
        <v>0.413994920647769</v>
      </c>
    </row>
    <row r="108" customFormat="false" ht="17.15" hidden="false" customHeight="false" outlineLevel="0" collapsed="false">
      <c r="A108" s="0" t="s">
        <v>2618</v>
      </c>
      <c r="B108" s="6" t="s">
        <v>2629</v>
      </c>
      <c r="D108" s="17" t="n">
        <f aca="false">1-D107</f>
        <v>0.569506660158971</v>
      </c>
      <c r="E108" s="17" t="n">
        <f aca="false">1-E107</f>
        <v>0.554100887550694</v>
      </c>
      <c r="F108" s="17" t="n">
        <f aca="false">1-F107</f>
        <v>0.564144838401414</v>
      </c>
      <c r="G108" s="17" t="n">
        <f aca="false">1-G107</f>
        <v>0.586005079352231</v>
      </c>
    </row>
    <row r="109" customFormat="false" ht="17.15" hidden="false" customHeight="false" outlineLevel="0" collapsed="false">
      <c r="A109" s="6" t="s">
        <v>2630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0"/>
  </cols>
  <sheetData>
    <row r="1" customFormat="false" ht="17.15" hidden="false" customHeight="false" outlineLevel="0" collapsed="false">
      <c r="A1" s="0" t="s">
        <v>2631</v>
      </c>
    </row>
    <row r="3" customFormat="false" ht="15" hidden="false" customHeight="false" outlineLevel="0" collapsed="false">
      <c r="A3" s="4" t="s">
        <v>54</v>
      </c>
      <c r="B3" s="4" t="s">
        <v>29</v>
      </c>
      <c r="C3" s="5" t="s">
        <v>2509</v>
      </c>
      <c r="D3" s="5" t="s">
        <v>2510</v>
      </c>
      <c r="E3" s="5" t="s">
        <v>2511</v>
      </c>
      <c r="F3" s="5" t="s">
        <v>2512</v>
      </c>
    </row>
    <row r="4" customFormat="false" ht="17.15" hidden="false" customHeight="false" outlineLevel="0" collapsed="false">
      <c r="A4" s="10" t="s">
        <v>2632</v>
      </c>
      <c r="C4" s="23" t="n">
        <f aca="false">Units!C4*it_GB+Units!C5*it_VR+Units!C6*it_RU+Units!C7*it_HP+Units!C8*it_AMD8+Units!C9*it_TPU+Units!C10*it_TRN+Units!C11*it_ASIC</f>
        <v>781.872916666667</v>
      </c>
      <c r="D4" s="23" t="n">
        <f aca="false">Units!D4*it_GB+Units!D5*it_VR+Units!D6*it_RU+Units!D7*it_HP+Units!D8*it_AMDR+Units!D9*it_TPU+Units!D10*it_TRN+Units!D11*it_ASIC</f>
        <v>1565.35</v>
      </c>
      <c r="E4" s="23" t="n">
        <f aca="false">Units!E4*it_GB+Units!E5*it_VR+Units!E6*it_RU+Units!E7*it_HP+Units!E8*it_AMDR+Units!E9*it_TPU+Units!E10*it_TRN+Units!E11*it_ASIC</f>
        <v>1984.26388888889</v>
      </c>
      <c r="F4" s="23" t="n">
        <f aca="false">Units!F4*it_GB+Units!F5*it_VR+Units!F6*it_RU+Units!F7*it_HP+Units!F8*it_AMDR+Units!F9*it_TPU+Units!F10*it_TRN+Units!F11*it_ASIC</f>
        <v>2260.39027777778</v>
      </c>
    </row>
    <row r="5" customFormat="false" ht="17.15" hidden="false" customHeight="false" outlineLevel="0" collapsed="false">
      <c r="A5" s="0" t="s">
        <v>2633</v>
      </c>
      <c r="B5" s="0" t="s">
        <v>36</v>
      </c>
      <c r="C5" s="23" t="n">
        <f aca="false">C4</f>
        <v>781.872916666667</v>
      </c>
      <c r="D5" s="23" t="n">
        <f aca="false">D4</f>
        <v>1565.35</v>
      </c>
      <c r="E5" s="23" t="n">
        <f aca="false">E4*um28_A</f>
        <v>1984.26388888889</v>
      </c>
      <c r="F5" s="23" t="n">
        <f aca="false">F4*um29_A</f>
        <v>2260.39027777778</v>
      </c>
    </row>
    <row r="6" customFormat="false" ht="17.15" hidden="false" customHeight="false" outlineLevel="0" collapsed="false">
      <c r="A6" s="0" t="s">
        <v>2633</v>
      </c>
      <c r="B6" s="0" t="s">
        <v>41</v>
      </c>
      <c r="C6" s="23" t="n">
        <f aca="false">C4</f>
        <v>781.872916666667</v>
      </c>
      <c r="D6" s="23" t="n">
        <f aca="false">D4</f>
        <v>1565.35</v>
      </c>
      <c r="E6" s="23" t="n">
        <f aca="false">E4*um28_B</f>
        <v>1587.41111111111</v>
      </c>
      <c r="F6" s="23" t="n">
        <f aca="false">F4*um29_B</f>
        <v>1921.33173611111</v>
      </c>
    </row>
    <row r="7" customFormat="false" ht="17.15" hidden="false" customHeight="false" outlineLevel="0" collapsed="false">
      <c r="A7" s="0" t="s">
        <v>2633</v>
      </c>
      <c r="B7" s="0" t="s">
        <v>45</v>
      </c>
      <c r="C7" s="23" t="n">
        <f aca="false">C4</f>
        <v>781.872916666667</v>
      </c>
      <c r="D7" s="23" t="n">
        <f aca="false">D4</f>
        <v>1565.35</v>
      </c>
      <c r="E7" s="23" t="n">
        <f aca="false">E4*um28_C</f>
        <v>1190.55833333333</v>
      </c>
      <c r="F7" s="23" t="n">
        <f aca="false">F4*um29_C</f>
        <v>1356.23416666667</v>
      </c>
    </row>
    <row r="8" customFormat="false" ht="17.15" hidden="false" customHeight="false" outlineLevel="0" collapsed="false">
      <c r="A8" s="6" t="s">
        <v>2634</v>
      </c>
      <c r="C8" s="14" t="n">
        <f aca="false">TK_CapexIT_GB300*(1-vr26)+TK_CapexIT_VR200*vr26</f>
        <v>33.41403216</v>
      </c>
      <c r="D8" s="14" t="n">
        <f aca="false">TK_CapexIT_VR200</f>
        <v>37.586352</v>
      </c>
      <c r="E8" s="14" t="n">
        <f aca="false">TK_CapexIT_VR200</f>
        <v>37.586352</v>
      </c>
      <c r="F8" s="14" t="n">
        <f aca="false">TK_CapexIT_VR200</f>
        <v>37.586352</v>
      </c>
    </row>
    <row r="9" customFormat="false" ht="17.15" hidden="false" customHeight="false" outlineLevel="0" collapsed="false">
      <c r="A9" s="9" t="s">
        <v>2635</v>
      </c>
      <c r="B9" s="12" t="s">
        <v>36</v>
      </c>
      <c r="C9" s="24" t="n">
        <f aca="false">C5/C8</f>
        <v>23.3995380420639</v>
      </c>
      <c r="D9" s="24" t="n">
        <f aca="false">D5/D8</f>
        <v>41.6467658260637</v>
      </c>
      <c r="E9" s="24" t="n">
        <f aca="false">E5/E8</f>
        <v>52.792138191248</v>
      </c>
      <c r="F9" s="24" t="n">
        <f aca="false">F5/F8</f>
        <v>60.1385917361115</v>
      </c>
    </row>
    <row r="10" customFormat="false" ht="17.15" hidden="false" customHeight="false" outlineLevel="0" collapsed="false">
      <c r="A10" s="9" t="s">
        <v>2635</v>
      </c>
      <c r="B10" s="12" t="s">
        <v>41</v>
      </c>
      <c r="C10" s="24" t="n">
        <f aca="false">C6/C8</f>
        <v>23.3995380420639</v>
      </c>
      <c r="D10" s="24" t="n">
        <f aca="false">D6/D8</f>
        <v>41.6467658260637</v>
      </c>
      <c r="E10" s="24" t="n">
        <f aca="false">E6/E8</f>
        <v>42.2337105529984</v>
      </c>
      <c r="F10" s="24" t="n">
        <f aca="false">F6/F8</f>
        <v>51.1178029756948</v>
      </c>
    </row>
    <row r="11" customFormat="false" ht="17.15" hidden="false" customHeight="false" outlineLevel="0" collapsed="false">
      <c r="A11" s="9" t="s">
        <v>2635</v>
      </c>
      <c r="B11" s="12" t="s">
        <v>45</v>
      </c>
      <c r="C11" s="24" t="n">
        <f aca="false">C7/C8</f>
        <v>23.3995380420639</v>
      </c>
      <c r="D11" s="24" t="n">
        <f aca="false">D7/D8</f>
        <v>41.6467658260637</v>
      </c>
      <c r="E11" s="24" t="n">
        <f aca="false">E7/E8</f>
        <v>31.6752829147488</v>
      </c>
      <c r="F11" s="24" t="n">
        <f aca="false">F7/F8</f>
        <v>36.0831550416669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0"/>
    <col collapsed="false" customWidth="true" hidden="false" outlineLevel="0" max="7" min="7" style="0" width="40"/>
  </cols>
  <sheetData>
    <row r="1" customFormat="false" ht="17.15" hidden="false" customHeight="false" outlineLevel="0" collapsed="false">
      <c r="A1" s="0" t="s">
        <v>2636</v>
      </c>
    </row>
    <row r="3" customFormat="false" ht="15" hidden="false" customHeight="false" outlineLevel="0" collapsed="false">
      <c r="A3" s="4" t="s">
        <v>54</v>
      </c>
      <c r="B3" s="4" t="s">
        <v>29</v>
      </c>
      <c r="C3" s="5" t="s">
        <v>2509</v>
      </c>
      <c r="D3" s="5" t="s">
        <v>2510</v>
      </c>
      <c r="E3" s="5" t="s">
        <v>2511</v>
      </c>
      <c r="F3" s="5" t="s">
        <v>2512</v>
      </c>
      <c r="G3" s="4" t="s">
        <v>49</v>
      </c>
    </row>
    <row r="4" customFormat="false" ht="17.15" hidden="false" customHeight="false" outlineLevel="0" collapsed="false">
      <c r="A4" s="10" t="s">
        <v>2637</v>
      </c>
    </row>
    <row r="5" customFormat="false" ht="17.15" hidden="false" customHeight="false" outlineLevel="0" collapsed="false">
      <c r="A5" s="0" t="s">
        <v>2638</v>
      </c>
      <c r="C5" s="14" t="n">
        <f aca="false">abfm_25*(1+abfm_g26)</f>
        <v>10.1904</v>
      </c>
      <c r="G5" s="12" t="s">
        <v>2639</v>
      </c>
    </row>
    <row r="6" customFormat="false" ht="17.15" hidden="false" customHeight="false" outlineLevel="0" collapsed="false">
      <c r="A6" s="0" t="s">
        <v>2640</v>
      </c>
      <c r="C6" s="17" t="n">
        <f aca="false">abf_ai26*abf_accsh26</f>
        <v>0.288</v>
      </c>
    </row>
    <row r="7" customFormat="false" ht="17.15" hidden="false" customHeight="false" outlineLevel="0" collapsed="false">
      <c r="A7" s="0" t="s">
        <v>2641</v>
      </c>
      <c r="C7" s="17" t="n">
        <f aca="false">abf_ai26*(1-abf_accsh26)</f>
        <v>0.162</v>
      </c>
    </row>
    <row r="8" customFormat="false" ht="17.15" hidden="false" customHeight="false" outlineLevel="0" collapsed="false">
      <c r="A8" s="0" t="s">
        <v>2642</v>
      </c>
      <c r="C8" s="17" t="n">
        <f aca="false">1-abf_ai26</f>
        <v>0.55</v>
      </c>
    </row>
    <row r="9" customFormat="false" ht="17.15" hidden="false" customHeight="false" outlineLevel="0" collapsed="false">
      <c r="A9" s="6" t="s">
        <v>2643</v>
      </c>
      <c r="B9" s="0" t="s">
        <v>36</v>
      </c>
      <c r="C9" s="14" t="n">
        <f aca="false">(Units!C4+Units!C5+Units!C6+Units!C7+abf_vot*(Units!C8+Units!C9+Units!C10+Units!C11))</f>
        <v>13.68</v>
      </c>
      <c r="D9" s="14" t="n">
        <f aca="false">(Units!D4+Units!D5+Units!D6+Units!D7+abf_vot*(Units!D8+Units!D9+Units!D10+Units!D11))</f>
        <v>20.9</v>
      </c>
      <c r="E9" s="14" t="n">
        <f aca="false">(Units!E4+Units!E5+Units!E6+Units!E7+abf_vot*(Units!E8+Units!E9+Units!E10+Units!E11))*um28_A</f>
        <v>23.1</v>
      </c>
      <c r="F9" s="14" t="n">
        <f aca="false">(Units!F4+Units!F5+Units!F6+Units!F7+abf_vot*(Units!F8+Units!F9+Units!F10+Units!F11))*um29_A</f>
        <v>26.24</v>
      </c>
    </row>
    <row r="10" customFormat="false" ht="17.15" hidden="false" customHeight="false" outlineLevel="0" collapsed="false">
      <c r="A10" s="6" t="s">
        <v>2643</v>
      </c>
      <c r="B10" s="0" t="s">
        <v>41</v>
      </c>
      <c r="C10" s="14" t="n">
        <f aca="false">(Units!C4+Units!C5+Units!C6+Units!C7+abf_vot*(Units!C8+Units!C9+Units!C10+Units!C11))</f>
        <v>13.68</v>
      </c>
      <c r="D10" s="14" t="n">
        <f aca="false">(Units!D4+Units!D5+Units!D6+Units!D7+abf_vot*(Units!D8+Units!D9+Units!D10+Units!D11))</f>
        <v>20.9</v>
      </c>
      <c r="E10" s="14" t="n">
        <f aca="false">(Units!E4+Units!E5+Units!E6+Units!E7+abf_vot*(Units!E8+Units!E9+Units!E10+Units!E11))*um28_B</f>
        <v>18.48</v>
      </c>
      <c r="F10" s="14" t="n">
        <f aca="false">(Units!F4+Units!F5+Units!F6+Units!F7+abf_vot*(Units!F8+Units!F9+Units!F10+Units!F11))*um29_B</f>
        <v>22.304</v>
      </c>
    </row>
    <row r="11" customFormat="false" ht="17.15" hidden="false" customHeight="false" outlineLevel="0" collapsed="false">
      <c r="A11" s="6" t="s">
        <v>2643</v>
      </c>
      <c r="B11" s="0" t="s">
        <v>45</v>
      </c>
      <c r="C11" s="14" t="n">
        <f aca="false">(Units!C4+Units!C5+Units!C6+Units!C7+abf_vot*(Units!C8+Units!C9+Units!C10+Units!C11))</f>
        <v>13.68</v>
      </c>
      <c r="D11" s="14" t="n">
        <f aca="false">(Units!D4+Units!D5+Units!D6+Units!D7+abf_vot*(Units!D8+Units!D9+Units!D10+Units!D11))</f>
        <v>20.9</v>
      </c>
      <c r="E11" s="14" t="n">
        <f aca="false">(Units!E4+Units!E5+Units!E6+Units!E7+abf_vot*(Units!E8+Units!E9+Units!E10+Units!E11))*um28_C</f>
        <v>13.86</v>
      </c>
      <c r="F11" s="14" t="n">
        <f aca="false">(Units!F4+Units!F5+Units!F6+Units!F7+abf_vot*(Units!F8+Units!F9+Units!F10+Units!F11))*um29_C</f>
        <v>15.744</v>
      </c>
    </row>
    <row r="12" customFormat="false" ht="17.15" hidden="false" customHeight="false" outlineLevel="0" collapsed="false">
      <c r="A12" s="6" t="s">
        <v>2644</v>
      </c>
      <c r="B12" s="0" t="s">
        <v>36</v>
      </c>
      <c r="C12" s="22" t="n">
        <f aca="false">C9/$C9*(1+abf_gasp)^0</f>
        <v>1</v>
      </c>
      <c r="D12" s="22" t="n">
        <f aca="false">D9/$C9*(1+abf_gasp)^1</f>
        <v>1.80277777777778</v>
      </c>
      <c r="E12" s="22" t="n">
        <f aca="false">E9/$C9*(1+abf_gasp)^2</f>
        <v>2.35120175438597</v>
      </c>
      <c r="F12" s="22" t="n">
        <f aca="false">F9/$C9*(1+abf_gasp)^3</f>
        <v>3.15154676023392</v>
      </c>
    </row>
    <row r="13" customFormat="false" ht="17.15" hidden="false" customHeight="false" outlineLevel="0" collapsed="false">
      <c r="A13" s="6" t="s">
        <v>2644</v>
      </c>
      <c r="B13" s="0" t="s">
        <v>41</v>
      </c>
      <c r="C13" s="22" t="n">
        <f aca="false">C10/$C10*(1+abf_gasp)^0</f>
        <v>1</v>
      </c>
      <c r="D13" s="22" t="n">
        <f aca="false">D10/$C10*(1+abf_gasp)^1</f>
        <v>1.80277777777778</v>
      </c>
      <c r="E13" s="22" t="n">
        <f aca="false">E10/$C10*(1+abf_gasp)^2</f>
        <v>1.88096140350877</v>
      </c>
      <c r="F13" s="22" t="n">
        <f aca="false">F10/$C10*(1+abf_gasp)^3</f>
        <v>2.67881474619883</v>
      </c>
    </row>
    <row r="14" customFormat="false" ht="17.15" hidden="false" customHeight="false" outlineLevel="0" collapsed="false">
      <c r="A14" s="6" t="s">
        <v>2644</v>
      </c>
      <c r="B14" s="0" t="s">
        <v>45</v>
      </c>
      <c r="C14" s="22" t="n">
        <f aca="false">C11/$C11*(1+abf_gasp)^0</f>
        <v>1</v>
      </c>
      <c r="D14" s="22" t="n">
        <f aca="false">D11/$C11*(1+abf_gasp)^1</f>
        <v>1.80277777777778</v>
      </c>
      <c r="E14" s="22" t="n">
        <f aca="false">E11/$C11*(1+abf_gasp)^2</f>
        <v>1.41072105263158</v>
      </c>
      <c r="F14" s="22" t="n">
        <f aca="false">F11/$C11*(1+abf_gasp)^3</f>
        <v>1.89092805614035</v>
      </c>
    </row>
    <row r="15" customFormat="false" ht="17.15" hidden="false" customHeight="false" outlineLevel="0" collapsed="false">
      <c r="A15" s="6" t="s">
        <v>2645</v>
      </c>
      <c r="B15" s="0" t="s">
        <v>36</v>
      </c>
      <c r="C15" s="22" t="n">
        <f aca="false">(Deploy!C5/Deploy!$C5)^abf_oai_el</f>
        <v>1</v>
      </c>
      <c r="D15" s="22" t="n">
        <f aca="false">(Deploy!D5/Deploy!$C5)^abf_oai_el</f>
        <v>1.41493876102345</v>
      </c>
      <c r="E15" s="22" t="n">
        <f aca="false">(Deploy!E5/Deploy!$C5)^abf_oai_el</f>
        <v>1.59305815270929</v>
      </c>
      <c r="F15" s="22" t="n">
        <f aca="false">(Deploy!F5/Deploy!$C5)^abf_oai_el</f>
        <v>1.70029246581249</v>
      </c>
    </row>
    <row r="16" customFormat="false" ht="17.15" hidden="false" customHeight="false" outlineLevel="0" collapsed="false">
      <c r="A16" s="6" t="s">
        <v>2645</v>
      </c>
      <c r="B16" s="0" t="s">
        <v>41</v>
      </c>
      <c r="C16" s="22" t="n">
        <f aca="false">(Deploy!C6/Deploy!$C6)^abf_oai_el</f>
        <v>1</v>
      </c>
      <c r="D16" s="22" t="n">
        <f aca="false">(Deploy!D6/Deploy!$C6)^abf_oai_el</f>
        <v>1.41493876102345</v>
      </c>
      <c r="E16" s="22" t="n">
        <f aca="false">(Deploy!E6/Deploy!$C6)^abf_oai_el</f>
        <v>1.42487452862728</v>
      </c>
      <c r="F16" s="22" t="n">
        <f aca="false">(Deploy!F6/Deploy!$C6)^abf_oai_el</f>
        <v>1.56759219789584</v>
      </c>
    </row>
    <row r="17" customFormat="false" ht="17.15" hidden="false" customHeight="false" outlineLevel="0" collapsed="false">
      <c r="A17" s="6" t="s">
        <v>2645</v>
      </c>
      <c r="B17" s="0" t="s">
        <v>45</v>
      </c>
      <c r="C17" s="22" t="n">
        <f aca="false">(Deploy!C7/Deploy!$C7)^abf_oai_el</f>
        <v>1</v>
      </c>
      <c r="D17" s="22" t="n">
        <f aca="false">(Deploy!D7/Deploy!$C7)^abf_oai_el</f>
        <v>1.41493876102345</v>
      </c>
      <c r="E17" s="22" t="n">
        <f aca="false">(Deploy!E7/Deploy!$C7)^abf_oai_el</f>
        <v>1.2339775389966</v>
      </c>
      <c r="F17" s="22" t="n">
        <f aca="false">(Deploy!F7/Deploy!$C7)^abf_oai_el</f>
        <v>1.31704088075474</v>
      </c>
    </row>
    <row r="18" customFormat="false" ht="17.15" hidden="false" customHeight="false" outlineLevel="0" collapsed="false">
      <c r="A18" s="6" t="s">
        <v>2646</v>
      </c>
      <c r="C18" s="22" t="n">
        <f aca="false">(1+abf_gnai)^0</f>
        <v>1</v>
      </c>
      <c r="D18" s="22" t="n">
        <f aca="false">(1+abf_gnai)^1</f>
        <v>1.03</v>
      </c>
      <c r="E18" s="22" t="n">
        <f aca="false">(1+abf_gnai)^2</f>
        <v>1.0609</v>
      </c>
      <c r="F18" s="22" t="n">
        <f aca="false">(1+abf_gnai)^3</f>
        <v>1.092727</v>
      </c>
    </row>
    <row r="19" customFormat="false" ht="17.15" hidden="false" customHeight="false" outlineLevel="0" collapsed="false">
      <c r="A19" s="9" t="s">
        <v>2647</v>
      </c>
      <c r="B19" s="12" t="s">
        <v>36</v>
      </c>
      <c r="C19" s="25" t="n">
        <f aca="false">$C$6*C12+$C$7*C15+$C$8*C18</f>
        <v>1</v>
      </c>
      <c r="D19" s="25" t="n">
        <f aca="false">$C$6*D12+$C$7*D15+$C$8*D18</f>
        <v>1.3149200792858</v>
      </c>
      <c r="E19" s="25" t="n">
        <f aca="false">$C$6*E12+$C$7*E15+$C$8*E18</f>
        <v>1.51871652600206</v>
      </c>
      <c r="F19" s="25" t="n">
        <f aca="false">$C$6*F12+$C$7*F15+$C$8*F18</f>
        <v>1.78409269640899</v>
      </c>
    </row>
    <row r="20" customFormat="false" ht="17.15" hidden="false" customHeight="false" outlineLevel="0" collapsed="false">
      <c r="A20" s="9" t="s">
        <v>2647</v>
      </c>
      <c r="B20" s="12" t="s">
        <v>41</v>
      </c>
      <c r="C20" s="25" t="n">
        <f aca="false">$C$6*C13+$C$7*C16+$C$8*C18</f>
        <v>1</v>
      </c>
      <c r="D20" s="25" t="n">
        <f aca="false">$C$6*D13+$C$7*D16+$C$8*D18</f>
        <v>1.3149200792858</v>
      </c>
      <c r="E20" s="25" t="n">
        <f aca="false">$C$6*E13+$C$7*E16+$C$8*E18</f>
        <v>1.35604155784815</v>
      </c>
      <c r="F20" s="25" t="n">
        <f aca="false">$C$6*F13+$C$7*F16+$C$8*F18</f>
        <v>1.62644843296439</v>
      </c>
    </row>
    <row r="21" customFormat="false" ht="17.15" hidden="false" customHeight="false" outlineLevel="0" collapsed="false">
      <c r="A21" s="9" t="s">
        <v>2647</v>
      </c>
      <c r="B21" s="12" t="s">
        <v>45</v>
      </c>
      <c r="C21" s="25" t="n">
        <f aca="false">$C$6*C14+$C$7*C17+$C$8*C18</f>
        <v>1</v>
      </c>
      <c r="D21" s="25" t="n">
        <f aca="false">$C$6*D14+$C$7*D17+$C$8*D18</f>
        <v>1.3149200792858</v>
      </c>
      <c r="E21" s="25" t="n">
        <f aca="false">$C$6*E14+$C$7*E17+$C$8*E18</f>
        <v>1.18968702447534</v>
      </c>
      <c r="F21" s="25" t="n">
        <f aca="false">$C$6*F14+$C$7*F17+$C$8*F18</f>
        <v>1.35894775285069</v>
      </c>
    </row>
    <row r="23" customFormat="false" ht="17.15" hidden="false" customHeight="false" outlineLevel="0" collapsed="false">
      <c r="A23" s="10" t="s">
        <v>2648</v>
      </c>
    </row>
    <row r="24" customFormat="false" ht="17.15" hidden="false" customHeight="false" outlineLevel="0" collapsed="false">
      <c r="A24" s="0" t="s">
        <v>2649</v>
      </c>
      <c r="C24" s="17" t="n">
        <f aca="false">abfrev_ib26/$C$5</f>
        <v>0.206076307112577</v>
      </c>
    </row>
    <row r="25" customFormat="false" ht="17.15" hidden="false" customHeight="false" outlineLevel="0" collapsed="false">
      <c r="A25" s="0" t="s">
        <v>2650</v>
      </c>
      <c r="C25" s="17" t="n">
        <f aca="false">abfrev_un26/$C$5</f>
        <v>0.301263934683624</v>
      </c>
    </row>
    <row r="26" customFormat="false" ht="17.15" hidden="false" customHeight="false" outlineLevel="0" collapsed="false">
      <c r="A26" s="0" t="s">
        <v>2651</v>
      </c>
      <c r="C26" s="17" t="n">
        <f aca="false">abfrev_np26/$C$5</f>
        <v>0.104019469304443</v>
      </c>
    </row>
    <row r="27" customFormat="false" ht="17.15" hidden="false" customHeight="false" outlineLevel="0" collapsed="false">
      <c r="A27" s="0" t="s">
        <v>2652</v>
      </c>
      <c r="C27" s="17" t="n">
        <f aca="false">abfrev_ks26/$C$5</f>
        <v>0.0686921023708588</v>
      </c>
    </row>
    <row r="28" customFormat="false" ht="17.15" hidden="false" customHeight="false" outlineLevel="0" collapsed="false">
      <c r="A28" s="0" t="s">
        <v>2653</v>
      </c>
      <c r="C28" s="17" t="n">
        <f aca="false">1-C24-C25-C26-C27</f>
        <v>0.319948186528498</v>
      </c>
    </row>
    <row r="29" customFormat="false" ht="17.15" hidden="false" customHeight="false" outlineLevel="0" collapsed="false">
      <c r="A29" s="6" t="s">
        <v>2654</v>
      </c>
      <c r="C29" s="14" t="n">
        <f aca="false">1</f>
        <v>1</v>
      </c>
      <c r="D29" s="14" t="n">
        <f aca="false">abfcap_ib_27</f>
        <v>1.25</v>
      </c>
      <c r="E29" s="14" t="n">
        <f aca="false">abfcap_ib_28</f>
        <v>1.55</v>
      </c>
      <c r="F29" s="14" t="n">
        <f aca="false">abfcap_ib_29</f>
        <v>1.8</v>
      </c>
    </row>
    <row r="30" customFormat="false" ht="15" hidden="false" customHeight="false" outlineLevel="0" collapsed="false">
      <c r="A30" s="6" t="s">
        <v>2655</v>
      </c>
      <c r="C30" s="14" t="n">
        <f aca="false">1</f>
        <v>1</v>
      </c>
      <c r="D30" s="14" t="n">
        <f aca="false">abfcap_un_27</f>
        <v>1.35</v>
      </c>
      <c r="E30" s="14" t="n">
        <f aca="false">abfcap_un_28</f>
        <v>1.7</v>
      </c>
      <c r="F30" s="14" t="n">
        <f aca="false">abfcap_un_29</f>
        <v>2</v>
      </c>
    </row>
    <row r="31" customFormat="false" ht="15" hidden="false" customHeight="false" outlineLevel="0" collapsed="false">
      <c r="A31" s="6" t="s">
        <v>2656</v>
      </c>
      <c r="C31" s="14" t="n">
        <f aca="false">1</f>
        <v>1</v>
      </c>
      <c r="D31" s="14" t="n">
        <f aca="false">abfcap_np_27</f>
        <v>1.2</v>
      </c>
      <c r="E31" s="14" t="n">
        <f aca="false">abfcap_np_28</f>
        <v>1.35</v>
      </c>
      <c r="F31" s="14" t="n">
        <f aca="false">abfcap_np_29</f>
        <v>1.6</v>
      </c>
    </row>
    <row r="32" customFormat="false" ht="15" hidden="false" customHeight="false" outlineLevel="0" collapsed="false">
      <c r="A32" s="6" t="s">
        <v>2657</v>
      </c>
      <c r="C32" s="14" t="n">
        <f aca="false">1</f>
        <v>1</v>
      </c>
      <c r="D32" s="14" t="n">
        <f aca="false">abfcap_ks_27</f>
        <v>1.2</v>
      </c>
      <c r="E32" s="14" t="n">
        <f aca="false">abfcap_ks_28</f>
        <v>1.5</v>
      </c>
      <c r="F32" s="14" t="n">
        <f aca="false">abfcap_ks_29</f>
        <v>1.85</v>
      </c>
    </row>
    <row r="33" customFormat="false" ht="15" hidden="false" customHeight="false" outlineLevel="0" collapsed="false">
      <c r="A33" s="6" t="s">
        <v>2658</v>
      </c>
      <c r="C33" s="14" t="n">
        <f aca="false">1</f>
        <v>1</v>
      </c>
      <c r="D33" s="14" t="n">
        <f aca="false">abfcap_oth_27</f>
        <v>1.15</v>
      </c>
      <c r="E33" s="14" t="n">
        <f aca="false">abfcap_oth_28</f>
        <v>1.3</v>
      </c>
      <c r="F33" s="14" t="n">
        <f aca="false">abfcap_oth_29</f>
        <v>1.45</v>
      </c>
    </row>
    <row r="34" customFormat="false" ht="15" hidden="false" customHeight="false" outlineLevel="0" collapsed="false">
      <c r="A34" s="9" t="s">
        <v>2659</v>
      </c>
      <c r="C34" s="25" t="n">
        <f aca="false">$C$24*C29+$C$25*C30+$C$26*C31+$C$27*C32+$C$28*C33</f>
        <v>1</v>
      </c>
      <c r="D34" s="25" t="n">
        <f aca="false">$C$24*D29+$C$25*D30+$C$26*D31+$C$27*D32+$C$28*D33</f>
        <v>1.23949599623175</v>
      </c>
      <c r="E34" s="25" t="n">
        <f aca="false">$C$24*E29+$C$25*E30+$C$26*E31+$C$27*E32+$C$28*E33</f>
        <v>1.49096404459099</v>
      </c>
      <c r="F34" s="25" t="n">
        <f aca="false">$C$24*F29+$C$25*F30+$C$26*F31+$C$27*F32+$C$28*F33</f>
        <v>1.73090163290941</v>
      </c>
    </row>
    <row r="35" customFormat="false" ht="17.15" hidden="false" customHeight="false" outlineLevel="0" collapsed="false">
      <c r="A35" s="6" t="s">
        <v>2660</v>
      </c>
      <c r="C35" s="14" t="n">
        <f aca="false">1</f>
        <v>1</v>
      </c>
      <c r="D35" s="14" t="n">
        <f aca="false">abffilm_27</f>
        <v>1.3</v>
      </c>
      <c r="E35" s="14" t="n">
        <f aca="false">abffilm_28</f>
        <v>1.55</v>
      </c>
      <c r="F35" s="14" t="n">
        <f aca="false">abffilm_29</f>
        <v>1.8</v>
      </c>
    </row>
    <row r="36" customFormat="false" ht="15" hidden="false" customHeight="false" outlineLevel="0" collapsed="false">
      <c r="A36" s="9" t="s">
        <v>2661</v>
      </c>
      <c r="C36" s="25" t="n">
        <f aca="false">MIN(C34,C35)</f>
        <v>1</v>
      </c>
      <c r="D36" s="25" t="n">
        <f aca="false">MIN(D34,D35)</f>
        <v>1.23949599623175</v>
      </c>
      <c r="E36" s="25" t="n">
        <f aca="false">MIN(E34,E35)</f>
        <v>1.49096404459099</v>
      </c>
      <c r="F36" s="25" t="n">
        <f aca="false">MIN(F34,F35)</f>
        <v>1.73090163290941</v>
      </c>
      <c r="G36" s="6" t="s">
        <v>2662</v>
      </c>
    </row>
    <row r="38" customFormat="false" ht="17.15" hidden="false" customHeight="false" outlineLevel="0" collapsed="false">
      <c r="A38" s="10" t="s">
        <v>2663</v>
      </c>
    </row>
    <row r="39" customFormat="false" ht="17.15" hidden="false" customHeight="false" outlineLevel="0" collapsed="false">
      <c r="A39" s="10" t="s">
        <v>2664</v>
      </c>
      <c r="B39" s="12" t="s">
        <v>36</v>
      </c>
      <c r="C39" s="21" t="n">
        <f aca="false">(1+abf_gap_26)*C19/C36-1</f>
        <v>0.0900000000000001</v>
      </c>
      <c r="D39" s="21" t="n">
        <f aca="false">(1+abf_gap_26)*D19/D36-1</f>
        <v>0.156327161022588</v>
      </c>
      <c r="E39" s="21" t="n">
        <f aca="false">(1+abf_gap_26)*E19/E36-1</f>
        <v>0.110289023633947</v>
      </c>
      <c r="F39" s="21" t="n">
        <f aca="false">(1+abf_gap_26)*F19/F36-1</f>
        <v>0.123495987358389</v>
      </c>
    </row>
    <row r="40" customFormat="false" ht="17.15" hidden="false" customHeight="false" outlineLevel="0" collapsed="false">
      <c r="A40" s="10" t="s">
        <v>2664</v>
      </c>
      <c r="B40" s="12" t="s">
        <v>41</v>
      </c>
      <c r="C40" s="21" t="n">
        <f aca="false">(1+abf_gap_26)*C20/C36-1</f>
        <v>0.0900000000000001</v>
      </c>
      <c r="D40" s="21" t="n">
        <f aca="false">(1+abf_gap_26)*D20/D36-1</f>
        <v>0.156327161022588</v>
      </c>
      <c r="E40" s="21" t="n">
        <f aca="false">(1+abf_gap_26)*E20/E36-1</f>
        <v>-0.00863786526793242</v>
      </c>
      <c r="F40" s="21" t="n">
        <f aca="false">(1+abf_gap_26)*F20/F36-1</f>
        <v>0.0242227277533411</v>
      </c>
    </row>
    <row r="41" customFormat="false" ht="17.15" hidden="false" customHeight="false" outlineLevel="0" collapsed="false">
      <c r="A41" s="10" t="s">
        <v>2664</v>
      </c>
      <c r="B41" s="12" t="s">
        <v>45</v>
      </c>
      <c r="C41" s="21" t="n">
        <f aca="false">(1+abf_gap_26)*C21/C36-1</f>
        <v>0.0900000000000001</v>
      </c>
      <c r="D41" s="21" t="n">
        <f aca="false">(1+abf_gap_26)*D21/D36-1</f>
        <v>0.156327161022588</v>
      </c>
      <c r="E41" s="21" t="n">
        <f aca="false">(1+abf_gap_26)*E21/E36-1</f>
        <v>-0.130254776174792</v>
      </c>
      <c r="F41" s="21" t="n">
        <f aca="false">(1+abf_gap_26)*F21/F36-1</f>
        <v>-0.144230369626799</v>
      </c>
    </row>
    <row r="42" customFormat="false" ht="17.15" hidden="false" customHeight="false" outlineLevel="0" collapsed="false">
      <c r="A42" s="6" t="s">
        <v>2665</v>
      </c>
      <c r="C42" s="17" t="n">
        <f aca="false">abf_gap_26</f>
        <v>0.09</v>
      </c>
      <c r="D42" s="17" t="n">
        <f aca="false">abf_gap_27</f>
        <v>0.24</v>
      </c>
      <c r="E42" s="17" t="n">
        <f aca="false">abf_gap_28</f>
        <v>0.37</v>
      </c>
    </row>
    <row r="43" customFormat="false" ht="15" hidden="false" customHeight="false" outlineLevel="0" collapsed="false">
      <c r="A43" s="6" t="s">
        <v>2666</v>
      </c>
      <c r="C43" s="26" t="str">
        <f aca="false">TEXT(abf_gap_26_lo,"0%")&amp;"–"&amp;TEXT(abf_gap_26_hi,"0%")</f>
        <v>8%–10%</v>
      </c>
      <c r="D43" s="26" t="str">
        <f aca="false">TEXT(abf_gap_27_lo,"0%")&amp;"–"&amp;TEXT(abf_gap_27_hi,"0%")</f>
        <v>21%–27%</v>
      </c>
      <c r="E43" s="26" t="str">
        <f aca="false">TEXT(abf_gap_28_lo,"0%")&amp;"–"&amp;TEXT(abf_gap_28_hi,"0%")</f>
        <v>29%–42%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0"/>
    <col collapsed="false" customWidth="true" hidden="false" outlineLevel="0" max="7" min="7" style="0" width="30"/>
  </cols>
  <sheetData>
    <row r="1" customFormat="false" ht="17.15" hidden="false" customHeight="false" outlineLevel="0" collapsed="false">
      <c r="A1" s="0" t="s">
        <v>2667</v>
      </c>
    </row>
    <row r="3" customFormat="false" ht="15" hidden="false" customHeight="false" outlineLevel="0" collapsed="false">
      <c r="A3" s="4" t="s">
        <v>54</v>
      </c>
      <c r="B3" s="4" t="s">
        <v>29</v>
      </c>
      <c r="C3" s="5" t="s">
        <v>2509</v>
      </c>
      <c r="D3" s="5" t="s">
        <v>2510</v>
      </c>
      <c r="E3" s="5" t="s">
        <v>2511</v>
      </c>
      <c r="F3" s="5" t="s">
        <v>2512</v>
      </c>
      <c r="G3" s="4" t="s">
        <v>49</v>
      </c>
    </row>
    <row r="4" customFormat="false" ht="17.15" hidden="false" customHeight="false" outlineLevel="0" collapsed="false">
      <c r="A4" s="9" t="s">
        <v>2668</v>
      </c>
    </row>
    <row r="5" customFormat="false" ht="17.15" hidden="false" customHeight="false" outlineLevel="0" collapsed="false">
      <c r="A5" s="6" t="s">
        <v>2669</v>
      </c>
      <c r="C5" s="27" t="n">
        <f aca="false">pcb_cmp_26</f>
        <v>280</v>
      </c>
      <c r="D5" s="27" t="n">
        <f aca="false">pcb_cmp_26*pcb_cmpx_27</f>
        <v>420</v>
      </c>
      <c r="E5" s="27" t="n">
        <f aca="false">pcb_cmp_26*pcb_cmpx_28</f>
        <v>462</v>
      </c>
      <c r="F5" s="27" t="n">
        <f aca="false">pcb_cmp_26*pcb_cmpx_29</f>
        <v>504</v>
      </c>
    </row>
    <row r="6" customFormat="false" ht="17.15" hidden="false" customHeight="false" outlineLevel="0" collapsed="false">
      <c r="A6" s="6" t="s">
        <v>2670</v>
      </c>
      <c r="C6" s="27" t="n">
        <f aca="false">pcb_sw_26</f>
        <v>120</v>
      </c>
      <c r="D6" s="27" t="n">
        <f aca="false">pcb_sw_26*pcb_swx_27</f>
        <v>162</v>
      </c>
      <c r="E6" s="27" t="n">
        <f aca="false">pcb_sw_26*pcb_swx_28</f>
        <v>180</v>
      </c>
      <c r="F6" s="27" t="n">
        <f aca="false">pcb_sw_26*pcb_swx_29</f>
        <v>198</v>
      </c>
    </row>
    <row r="7" customFormat="false" ht="17.15" hidden="false" customHeight="false" outlineLevel="0" collapsed="false">
      <c r="A7" s="6" t="s">
        <v>2671</v>
      </c>
      <c r="C7" s="27" t="n">
        <f aca="false">pcb_mid_26</f>
        <v>50</v>
      </c>
      <c r="D7" s="27" t="n">
        <f aca="false">pcb_mid_26*pcb_midx_27</f>
        <v>100</v>
      </c>
      <c r="E7" s="27" t="n">
        <f aca="false">pcb_mid_26*pcb_midx_28</f>
        <v>150</v>
      </c>
      <c r="F7" s="27" t="n">
        <f aca="false">pcb_mid_26*pcb_midx_29</f>
        <v>175</v>
      </c>
    </row>
    <row r="8" customFormat="false" ht="17.15" hidden="false" customHeight="false" outlineLevel="0" collapsed="false">
      <c r="A8" s="9" t="s">
        <v>2672</v>
      </c>
      <c r="C8" s="28" t="n">
        <f aca="false">SUM(C5:C7)</f>
        <v>450</v>
      </c>
      <c r="D8" s="28" t="n">
        <f aca="false">SUM(D5:D7)</f>
        <v>682</v>
      </c>
      <c r="E8" s="28" t="n">
        <f aca="false">SUM(E5:E7)</f>
        <v>792</v>
      </c>
      <c r="F8" s="28" t="n">
        <f aca="false">SUM(F5:F7)</f>
        <v>877</v>
      </c>
    </row>
    <row r="9" customFormat="false" ht="17.15" hidden="false" customHeight="false" outlineLevel="0" collapsed="false">
      <c r="A9" s="0" t="s">
        <v>2673</v>
      </c>
      <c r="B9" s="0" t="s">
        <v>36</v>
      </c>
      <c r="C9" s="23" t="n">
        <f aca="false">C8*Deploy!C9/1000</f>
        <v>10.5297921189288</v>
      </c>
      <c r="D9" s="23" t="n">
        <f aca="false">D8*Deploy!D9/1000</f>
        <v>28.4030942933754</v>
      </c>
      <c r="E9" s="23" t="n">
        <f aca="false">E8*Deploy!E9/1000</f>
        <v>41.8113734474684</v>
      </c>
      <c r="F9" s="23" t="n">
        <f aca="false">F8*Deploy!F9/1000</f>
        <v>52.7415449525698</v>
      </c>
    </row>
    <row r="10" customFormat="false" ht="17.15" hidden="false" customHeight="false" outlineLevel="0" collapsed="false">
      <c r="A10" s="0" t="s">
        <v>2673</v>
      </c>
      <c r="B10" s="0" t="s">
        <v>41</v>
      </c>
      <c r="C10" s="23" t="n">
        <f aca="false">C8*Deploy!C10/1000</f>
        <v>10.5297921189288</v>
      </c>
      <c r="D10" s="23" t="n">
        <f aca="false">D8*Deploy!D10/1000</f>
        <v>28.4030942933754</v>
      </c>
      <c r="E10" s="23" t="n">
        <f aca="false">E8*Deploy!E10/1000</f>
        <v>33.4490987579747</v>
      </c>
      <c r="F10" s="23" t="n">
        <f aca="false">F8*Deploy!F10/1000</f>
        <v>44.8303132096843</v>
      </c>
    </row>
    <row r="11" customFormat="false" ht="17.15" hidden="false" customHeight="false" outlineLevel="0" collapsed="false">
      <c r="A11" s="0" t="s">
        <v>2673</v>
      </c>
      <c r="B11" s="0" t="s">
        <v>45</v>
      </c>
      <c r="C11" s="23" t="n">
        <f aca="false">C8*Deploy!C11/1000</f>
        <v>10.5297921189288</v>
      </c>
      <c r="D11" s="23" t="n">
        <f aca="false">D8*Deploy!D11/1000</f>
        <v>28.4030942933754</v>
      </c>
      <c r="E11" s="23" t="n">
        <f aca="false">E8*Deploy!E11/1000</f>
        <v>25.086824068481</v>
      </c>
      <c r="F11" s="23" t="n">
        <f aca="false">F8*Deploy!F11/1000</f>
        <v>31.6449269715419</v>
      </c>
    </row>
    <row r="13" customFormat="false" ht="17.15" hidden="false" customHeight="false" outlineLevel="0" collapsed="false">
      <c r="A13" s="9" t="s">
        <v>2674</v>
      </c>
    </row>
    <row r="14" customFormat="false" ht="17.15" hidden="false" customHeight="false" outlineLevel="0" collapsed="false">
      <c r="A14" s="6" t="s">
        <v>2675</v>
      </c>
      <c r="C14" s="27" t="n">
        <f aca="false">ccl_cmp_26</f>
        <v>190</v>
      </c>
      <c r="D14" s="27" t="n">
        <f aca="false">ccl_cmp_26*ccl_cmpx_27</f>
        <v>275.5</v>
      </c>
      <c r="E14" s="27" t="n">
        <f aca="false">ccl_cmp_26*ccl_cmpx_28</f>
        <v>304</v>
      </c>
      <c r="F14" s="27" t="n">
        <f aca="false">ccl_cmp_26*ccl_cmpx_29</f>
        <v>323</v>
      </c>
    </row>
    <row r="15" customFormat="false" ht="17.15" hidden="false" customHeight="false" outlineLevel="0" collapsed="false">
      <c r="A15" s="6" t="s">
        <v>2676</v>
      </c>
      <c r="C15" s="27" t="n">
        <f aca="false">ccl_sw_26</f>
        <v>90</v>
      </c>
      <c r="D15" s="27" t="n">
        <f aca="false">ccl_sw_26*ccl_swx_27</f>
        <v>126</v>
      </c>
      <c r="E15" s="27" t="n">
        <f aca="false">ccl_sw_26*ccl_swx_28</f>
        <v>144</v>
      </c>
      <c r="F15" s="27" t="n">
        <f aca="false">ccl_sw_26*ccl_swx_29</f>
        <v>157.5</v>
      </c>
    </row>
    <row r="16" customFormat="false" ht="17.15" hidden="false" customHeight="false" outlineLevel="0" collapsed="false">
      <c r="A16" s="6" t="s">
        <v>2677</v>
      </c>
      <c r="C16" s="27" t="n">
        <f aca="false">ccl_ubb_26</f>
        <v>70</v>
      </c>
      <c r="D16" s="27" t="n">
        <f aca="false">ccl_ubb_26*ccl_ubbx_27</f>
        <v>126</v>
      </c>
      <c r="E16" s="27" t="n">
        <f aca="false">ccl_ubb_26*ccl_ubbx_28</f>
        <v>161</v>
      </c>
      <c r="F16" s="27" t="n">
        <f aca="false">ccl_ubb_26*ccl_ubbx_29</f>
        <v>182</v>
      </c>
    </row>
    <row r="17" customFormat="false" ht="17.15" hidden="false" customHeight="false" outlineLevel="0" collapsed="false">
      <c r="A17" s="9" t="s">
        <v>2678</v>
      </c>
      <c r="C17" s="28" t="n">
        <f aca="false">SUM(C14:C16)</f>
        <v>350</v>
      </c>
      <c r="D17" s="28" t="n">
        <f aca="false">SUM(D14:D16)</f>
        <v>527.5</v>
      </c>
      <c r="E17" s="28" t="n">
        <f aca="false">SUM(E14:E16)</f>
        <v>609</v>
      </c>
      <c r="F17" s="28" t="n">
        <f aca="false">SUM(F14:F16)</f>
        <v>662.5</v>
      </c>
    </row>
    <row r="18" customFormat="false" ht="17.15" hidden="false" customHeight="false" outlineLevel="0" collapsed="false">
      <c r="A18" s="0" t="s">
        <v>2679</v>
      </c>
      <c r="B18" s="0" t="s">
        <v>36</v>
      </c>
      <c r="C18" s="23" t="n">
        <f aca="false">C17*Deploy!C9/1000</f>
        <v>8.18983831472237</v>
      </c>
      <c r="D18" s="23" t="n">
        <f aca="false">D17*Deploy!D9/1000</f>
        <v>21.9686689732486</v>
      </c>
      <c r="E18" s="23" t="n">
        <f aca="false">E17*Deploy!E9/1000</f>
        <v>32.15041215847</v>
      </c>
      <c r="F18" s="23" t="n">
        <f aca="false">F17*Deploy!F9/1000</f>
        <v>39.8418170251739</v>
      </c>
    </row>
    <row r="19" customFormat="false" ht="17.15" hidden="false" customHeight="false" outlineLevel="0" collapsed="false">
      <c r="A19" s="0" t="s">
        <v>2679</v>
      </c>
      <c r="B19" s="0" t="s">
        <v>41</v>
      </c>
      <c r="C19" s="23" t="n">
        <f aca="false">C17*Deploy!C10/1000</f>
        <v>8.18983831472237</v>
      </c>
      <c r="D19" s="23" t="n">
        <f aca="false">D17*Deploy!D10/1000</f>
        <v>21.9686689732486</v>
      </c>
      <c r="E19" s="23" t="n">
        <f aca="false">E17*Deploy!E10/1000</f>
        <v>25.720329726776</v>
      </c>
      <c r="F19" s="23" t="n">
        <f aca="false">F17*Deploy!F10/1000</f>
        <v>33.8655444713978</v>
      </c>
    </row>
    <row r="20" customFormat="false" ht="17.15" hidden="false" customHeight="false" outlineLevel="0" collapsed="false">
      <c r="A20" s="0" t="s">
        <v>2679</v>
      </c>
      <c r="B20" s="0" t="s">
        <v>45</v>
      </c>
      <c r="C20" s="23" t="n">
        <f aca="false">C17*Deploy!C11/1000</f>
        <v>8.18983831472237</v>
      </c>
      <c r="D20" s="23" t="n">
        <f aca="false">D17*Deploy!D11/1000</f>
        <v>21.9686689732486</v>
      </c>
      <c r="E20" s="23" t="n">
        <f aca="false">E17*Deploy!E11/1000</f>
        <v>19.290247295082</v>
      </c>
      <c r="F20" s="23" t="n">
        <f aca="false">F17*Deploy!F11/1000</f>
        <v>23.9050902151043</v>
      </c>
    </row>
    <row r="22" customFormat="false" ht="17.15" hidden="false" customHeight="false" outlineLevel="0" collapsed="false">
      <c r="A22" s="6" t="s">
        <v>2680</v>
      </c>
      <c r="C22" s="14" t="n">
        <f aca="false">C8/C17</f>
        <v>1.28571428571429</v>
      </c>
      <c r="D22" s="14" t="n">
        <f aca="false">D8/D17</f>
        <v>1.29289099526066</v>
      </c>
      <c r="E22" s="14" t="n">
        <f aca="false">E8/E17</f>
        <v>1.30049261083744</v>
      </c>
      <c r="F22" s="14" t="n">
        <f aca="false">F8/F17</f>
        <v>1.32377358490566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6" min="2" style="0" width="10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2681</v>
      </c>
    </row>
    <row r="3" customFormat="false" ht="15" hidden="false" customHeight="false" outlineLevel="0" collapsed="false">
      <c r="A3" s="4" t="s">
        <v>54</v>
      </c>
      <c r="B3" s="4" t="s">
        <v>29</v>
      </c>
      <c r="C3" s="5" t="s">
        <v>2509</v>
      </c>
      <c r="D3" s="5" t="s">
        <v>2510</v>
      </c>
      <c r="E3" s="5" t="s">
        <v>2511</v>
      </c>
      <c r="F3" s="5" t="s">
        <v>2512</v>
      </c>
      <c r="G3" s="4" t="s">
        <v>49</v>
      </c>
    </row>
    <row r="4" customFormat="false" ht="17.15" hidden="false" customHeight="false" outlineLevel="0" collapsed="false">
      <c r="A4" s="10" t="s">
        <v>2682</v>
      </c>
    </row>
    <row r="5" customFormat="false" ht="17.15" hidden="false" customHeight="false" outlineLevel="0" collapsed="false">
      <c r="A5" s="6" t="s">
        <v>2683</v>
      </c>
      <c r="C5" s="29" t="n">
        <f aca="false">(TK_RacksPerGW_GB300*asm_odm_gb*(1-vr26)+TK_RacksPerGW_VR200*asm_odm_vr*vr26)/1000</f>
        <v>27.1209</v>
      </c>
      <c r="D5" s="29" t="n">
        <f aca="false">TK_RacksPerGW_VR200*asm_odm_vr/1000</f>
        <v>27.351</v>
      </c>
      <c r="E5" s="29" t="n">
        <f aca="false">TK_RacksPerGW_VR200*asm_odm_vr/1000</f>
        <v>27.351</v>
      </c>
      <c r="F5" s="29" t="n">
        <f aca="false">TK_RacksPerGW_VR200*asm_odm_vr/1000</f>
        <v>27.351</v>
      </c>
      <c r="G5" s="12" t="s">
        <v>2684</v>
      </c>
    </row>
    <row r="6" customFormat="false" ht="17.15" hidden="false" customHeight="false" outlineLevel="0" collapsed="false">
      <c r="A6" s="10" t="s">
        <v>2685</v>
      </c>
      <c r="B6" s="12" t="s">
        <v>36</v>
      </c>
      <c r="C6" s="30" t="n">
        <f aca="false">Deploy!C9*C5</f>
        <v>634.616531285011</v>
      </c>
      <c r="D6" s="30" t="n">
        <f aca="false">Deploy!D9*D5</f>
        <v>1139.08069210867</v>
      </c>
      <c r="E6" s="30" t="n">
        <f aca="false">Deploy!E9*E5</f>
        <v>1443.91777166882</v>
      </c>
      <c r="F6" s="30" t="n">
        <f aca="false">Deploy!F9*F5</f>
        <v>1644.85062257439</v>
      </c>
    </row>
    <row r="7" customFormat="false" ht="17.15" hidden="false" customHeight="false" outlineLevel="0" collapsed="false">
      <c r="A7" s="10" t="s">
        <v>2685</v>
      </c>
      <c r="B7" s="12" t="s">
        <v>41</v>
      </c>
      <c r="C7" s="30" t="n">
        <f aca="false">Deploy!C10*C5</f>
        <v>634.616531285011</v>
      </c>
      <c r="D7" s="30" t="n">
        <f aca="false">Deploy!D10*D5</f>
        <v>1139.08069210867</v>
      </c>
      <c r="E7" s="30" t="n">
        <f aca="false">Deploy!E10*E5</f>
        <v>1155.13421733506</v>
      </c>
      <c r="F7" s="30" t="n">
        <f aca="false">Deploy!F10*F5</f>
        <v>1398.12302918823</v>
      </c>
    </row>
    <row r="8" customFormat="false" ht="17.15" hidden="false" customHeight="false" outlineLevel="0" collapsed="false">
      <c r="A8" s="10" t="s">
        <v>2685</v>
      </c>
      <c r="B8" s="12" t="s">
        <v>45</v>
      </c>
      <c r="C8" s="30" t="n">
        <f aca="false">Deploy!C11*C5</f>
        <v>634.616531285011</v>
      </c>
      <c r="D8" s="30" t="n">
        <f aca="false">Deploy!D11*D5</f>
        <v>1139.08069210867</v>
      </c>
      <c r="E8" s="30" t="n">
        <f aca="false">Deploy!E11*E5</f>
        <v>866.350663001294</v>
      </c>
      <c r="F8" s="30" t="n">
        <f aca="false">Deploy!F11*F5</f>
        <v>986.910373544631</v>
      </c>
    </row>
    <row r="10" customFormat="false" ht="17.15" hidden="false" customHeight="false" outlineLevel="0" collapsed="false">
      <c r="A10" s="10" t="s">
        <v>2686</v>
      </c>
    </row>
    <row r="11" customFormat="false" ht="17.15" hidden="false" customHeight="false" outlineLevel="0" collapsed="false">
      <c r="A11" s="6" t="s">
        <v>2687</v>
      </c>
      <c r="C11" s="29" t="n">
        <f aca="false">TK_RackPrice_GB300/(TK_GPUsPerGW_GB300/TK_RacksPerGW_GB300)*1000</f>
        <v>59.7222222222222</v>
      </c>
      <c r="D11" s="29" t="n">
        <f aca="false">TK_RackPrice_GB300/(TK_GPUsPerGW_GB300/TK_RacksPerGW_GB300)*1000</f>
        <v>59.7222222222222</v>
      </c>
      <c r="E11" s="29" t="n">
        <f aca="false">TK_RackPrice_GB300/(TK_GPUsPerGW_GB300/TK_RacksPerGW_GB300)*1000</f>
        <v>59.7222222222222</v>
      </c>
      <c r="F11" s="29" t="n">
        <f aca="false">TK_RackPrice_GB300/(TK_GPUsPerGW_GB300/TK_RacksPerGW_GB300)*1000</f>
        <v>59.7222222222222</v>
      </c>
      <c r="G11" s="12" t="s">
        <v>2688</v>
      </c>
    </row>
    <row r="12" customFormat="false" ht="17.15" hidden="false" customHeight="false" outlineLevel="0" collapsed="false">
      <c r="A12" s="6" t="s">
        <v>2689</v>
      </c>
      <c r="C12" s="29" t="n">
        <f aca="false">TK_RackPrice_VR200/(TK_GPUsPerGW_VR200/TK_RacksPerGW_VR200)*1000</f>
        <v>116.666666666667</v>
      </c>
      <c r="D12" s="29" t="n">
        <f aca="false">TK_RackPrice_VR200/(TK_GPUsPerGW_VR200/TK_RacksPerGW_VR200)*1000</f>
        <v>116.666666666667</v>
      </c>
      <c r="E12" s="29" t="n">
        <f aca="false">TK_RackPrice_VR200/(TK_GPUsPerGW_VR200/TK_RacksPerGW_VR200)*1000</f>
        <v>116.666666666667</v>
      </c>
      <c r="F12" s="29" t="n">
        <f aca="false">TK_RackPrice_VR200/(TK_GPUsPerGW_VR200/TK_RacksPerGW_VR200)*1000</f>
        <v>116.666666666667</v>
      </c>
      <c r="G12" s="12" t="s">
        <v>2690</v>
      </c>
    </row>
    <row r="13" customFormat="false" ht="17.15" hidden="false" customHeight="false" outlineLevel="0" collapsed="false">
      <c r="A13" s="0" t="s">
        <v>2691</v>
      </c>
      <c r="C13" s="22" t="n">
        <f aca="false">Units!C4+Units!C7+Units!C8</f>
        <v>6.65</v>
      </c>
      <c r="D13" s="22" t="n">
        <f aca="false">Units!D4+Units!D7</f>
        <v>2.4</v>
      </c>
      <c r="E13" s="22" t="n">
        <f aca="false">Units!E4+Units!E7</f>
        <v>0.5</v>
      </c>
      <c r="F13" s="22" t="n">
        <f aca="false">Units!F4+Units!F7</f>
        <v>0.25</v>
      </c>
      <c r="G13" s="6" t="s">
        <v>2692</v>
      </c>
    </row>
    <row r="14" customFormat="false" ht="17.15" hidden="false" customHeight="false" outlineLevel="0" collapsed="false">
      <c r="A14" s="0" t="s">
        <v>2693</v>
      </c>
      <c r="C14" s="22" t="n">
        <f aca="false">Units!C5+Units!C6</f>
        <v>1.7</v>
      </c>
      <c r="D14" s="22" t="n">
        <f aca="false">Units!D5+Units!D6+Units!D8</f>
        <v>8.8</v>
      </c>
      <c r="E14" s="22" t="n">
        <f aca="false">Units!E5+Units!E6+Units!E8</f>
        <v>11</v>
      </c>
      <c r="F14" s="22" t="n">
        <f aca="false">Units!F5+Units!F6+Units!F8</f>
        <v>12.65</v>
      </c>
    </row>
    <row r="15" customFormat="false" ht="17.15" hidden="false" customHeight="false" outlineLevel="0" collapsed="false">
      <c r="A15" s="9" t="s">
        <v>2694</v>
      </c>
      <c r="B15" s="12" t="s">
        <v>36</v>
      </c>
      <c r="C15" s="30" t="n">
        <f aca="false">(C13*C11+C14*C12)</f>
        <v>595.486111111111</v>
      </c>
      <c r="D15" s="30" t="n">
        <f aca="false">(D13*D11+D14*D12)</f>
        <v>1170</v>
      </c>
      <c r="E15" s="30" t="n">
        <f aca="false">(E13*E11+E14*E12)*um28_A</f>
        <v>1313.19444444444</v>
      </c>
      <c r="F15" s="30" t="n">
        <f aca="false">(F13*F11+F14*F12)*um29_A</f>
        <v>1490.76388888889</v>
      </c>
    </row>
    <row r="16" customFormat="false" ht="17.15" hidden="false" customHeight="false" outlineLevel="0" collapsed="false">
      <c r="A16" s="9" t="s">
        <v>2694</v>
      </c>
      <c r="B16" s="12" t="s">
        <v>41</v>
      </c>
      <c r="C16" s="30" t="n">
        <f aca="false">(C13*C11+C14*C12)</f>
        <v>595.486111111111</v>
      </c>
      <c r="D16" s="30" t="n">
        <f aca="false">(D13*D11+D14*D12)</f>
        <v>1170</v>
      </c>
      <c r="E16" s="30" t="n">
        <f aca="false">(E13*E11+E14*E12)*um28_B</f>
        <v>1050.55555555556</v>
      </c>
      <c r="F16" s="30" t="n">
        <f aca="false">(F13*F11+F14*F12)*um29_B</f>
        <v>1267.14930555556</v>
      </c>
    </row>
    <row r="17" customFormat="false" ht="17.15" hidden="false" customHeight="false" outlineLevel="0" collapsed="false">
      <c r="A17" s="9" t="s">
        <v>2694</v>
      </c>
      <c r="B17" s="12" t="s">
        <v>45</v>
      </c>
      <c r="C17" s="30" t="n">
        <f aca="false">(C13*C11+C14*C12)</f>
        <v>595.486111111111</v>
      </c>
      <c r="D17" s="30" t="n">
        <f aca="false">(D13*D11+D14*D12)</f>
        <v>1170</v>
      </c>
      <c r="E17" s="30" t="n">
        <f aca="false">(E13*E11+E14*E12)*um28_C</f>
        <v>787.916666666667</v>
      </c>
      <c r="F17" s="30" t="n">
        <f aca="false">(F13*F11+F14*F12)*um29_C</f>
        <v>894.458333333333</v>
      </c>
    </row>
    <row r="19" customFormat="false" ht="17.15" hidden="false" customHeight="false" outlineLevel="0" collapsed="false">
      <c r="A19" s="10" t="s">
        <v>2695</v>
      </c>
    </row>
    <row r="20" customFormat="false" ht="17.15" hidden="false" customHeight="false" outlineLevel="0" collapsed="false">
      <c r="A20" s="0" t="s">
        <v>2696</v>
      </c>
      <c r="C20" s="27" t="n">
        <f aca="false">pwr_pkw_26</f>
        <v>450</v>
      </c>
      <c r="D20" s="27" t="n">
        <f aca="false">pwr_pkw_27</f>
        <v>600</v>
      </c>
      <c r="E20" s="27" t="n">
        <f aca="false">pwr_pkw_28</f>
        <v>680</v>
      </c>
      <c r="F20" s="27" t="n">
        <f aca="false">pwr_pkw_29</f>
        <v>720</v>
      </c>
      <c r="G20" s="6" t="s">
        <v>2697</v>
      </c>
    </row>
    <row r="21" customFormat="false" ht="17.15" hidden="false" customHeight="false" outlineLevel="0" collapsed="false">
      <c r="A21" s="10" t="s">
        <v>2698</v>
      </c>
      <c r="B21" s="12" t="s">
        <v>36</v>
      </c>
      <c r="C21" s="31" t="n">
        <f aca="false">Deploy!C9*C20/1000</f>
        <v>10.5297921189288</v>
      </c>
      <c r="D21" s="31" t="n">
        <f aca="false">Deploy!D9*D20/1000</f>
        <v>24.9880594956382</v>
      </c>
      <c r="E21" s="31" t="n">
        <f aca="false">Deploy!E9*E20/1000</f>
        <v>35.8986539700486</v>
      </c>
      <c r="F21" s="31" t="n">
        <f aca="false">Deploy!F9*F20/1000</f>
        <v>43.2997860500003</v>
      </c>
    </row>
    <row r="22" customFormat="false" ht="17.15" hidden="false" customHeight="false" outlineLevel="0" collapsed="false">
      <c r="A22" s="10" t="s">
        <v>2698</v>
      </c>
      <c r="B22" s="12" t="s">
        <v>41</v>
      </c>
      <c r="C22" s="31" t="n">
        <f aca="false">Deploy!C10*C20/1000</f>
        <v>10.5297921189288</v>
      </c>
      <c r="D22" s="31" t="n">
        <f aca="false">Deploy!D10*D20/1000</f>
        <v>24.9880594956382</v>
      </c>
      <c r="E22" s="31" t="n">
        <f aca="false">Deploy!E10*E20/1000</f>
        <v>28.7189231760389</v>
      </c>
      <c r="F22" s="31" t="n">
        <f aca="false">Deploy!F10*F20/1000</f>
        <v>36.8048181425002</v>
      </c>
    </row>
    <row r="23" customFormat="false" ht="17.15" hidden="false" customHeight="false" outlineLevel="0" collapsed="false">
      <c r="A23" s="10" t="s">
        <v>2698</v>
      </c>
      <c r="B23" s="12" t="s">
        <v>45</v>
      </c>
      <c r="C23" s="31" t="n">
        <f aca="false">Deploy!C11*C20/1000</f>
        <v>10.5297921189288</v>
      </c>
      <c r="D23" s="31" t="n">
        <f aca="false">Deploy!D11*D20/1000</f>
        <v>24.9880594956382</v>
      </c>
      <c r="E23" s="31" t="n">
        <f aca="false">Deploy!E11*E20/1000</f>
        <v>21.5391923820292</v>
      </c>
      <c r="F23" s="31" t="n">
        <f aca="false">Deploy!F11*F20/1000</f>
        <v>25.9798716300002</v>
      </c>
    </row>
    <row r="24" customFormat="false" ht="17.15" hidden="false" customHeight="false" outlineLevel="0" collapsed="false">
      <c r="A24" s="6" t="s">
        <v>2699</v>
      </c>
      <c r="C24" s="32" t="n">
        <f aca="false">pwr_ubs_26</f>
        <v>17.7</v>
      </c>
      <c r="D24" s="32" t="n">
        <f aca="false">pwr_ubs_27</f>
        <v>38.2</v>
      </c>
    </row>
    <row r="25" customFormat="false" ht="17.15" hidden="false" customHeight="false" outlineLevel="0" collapsed="false">
      <c r="A25" s="6" t="s">
        <v>2700</v>
      </c>
      <c r="C25" s="14" t="n">
        <f aca="false">C21/C24</f>
        <v>0.594903509543998</v>
      </c>
      <c r="D25" s="14" t="n">
        <f aca="false">D21/D24</f>
        <v>0.65413768313189</v>
      </c>
      <c r="G25" s="12" t="s">
        <v>2701</v>
      </c>
    </row>
    <row r="27" customFormat="false" ht="17.15" hidden="false" customHeight="false" outlineLevel="0" collapsed="false">
      <c r="A27" s="10" t="s">
        <v>2702</v>
      </c>
    </row>
    <row r="28" customFormat="false" ht="17.15" hidden="false" customHeight="false" outlineLevel="0" collapsed="false">
      <c r="A28" s="6" t="s">
        <v>2703</v>
      </c>
      <c r="C28" s="32" t="n">
        <f aca="false">((1-vr26)*TK_RacksPerGW_GB300*(lc_cool_gb+lc_mani)+vr26*TK_RacksPerGW_VR200*(lc_cool_vr+lc_mani))/1000</f>
        <v>350.7208</v>
      </c>
      <c r="D28" s="32" t="n">
        <f aca="false">TK_RacksPerGW_VR200*(lc_cool_vr+lc_mani)*lc_adj_27/1000</f>
        <v>326.5912</v>
      </c>
      <c r="E28" s="32" t="n">
        <f aca="false">TK_RacksPerGW_VR200*(lc_cool_vr+lc_mani)*lc_adj_28/1000</f>
        <v>351.7136</v>
      </c>
      <c r="F28" s="32" t="n">
        <f aca="false">TK_RacksPerGW_VR200*(lc_cool_vr+lc_mani)*lc_adj_29/1000</f>
        <v>351.7136</v>
      </c>
      <c r="G28" s="6" t="s">
        <v>2704</v>
      </c>
    </row>
    <row r="29" customFormat="false" ht="17.15" hidden="false" customHeight="false" outlineLevel="0" collapsed="false">
      <c r="A29" s="6" t="s">
        <v>2705</v>
      </c>
      <c r="B29" s="0" t="s">
        <v>36</v>
      </c>
      <c r="C29" s="17" t="n">
        <f aca="false">lc_pen_26</f>
        <v>0.55</v>
      </c>
      <c r="D29" s="17" t="n">
        <f aca="false">lc_pen_27_hi</f>
        <v>0.85</v>
      </c>
      <c r="E29" s="17" t="n">
        <f aca="false">lc_pen_28_hi</f>
        <v>0.95</v>
      </c>
      <c r="F29" s="17" t="n">
        <f aca="false">lc_pen_29_hi</f>
        <v>0.95</v>
      </c>
    </row>
    <row r="30" customFormat="false" ht="17.15" hidden="false" customHeight="false" outlineLevel="0" collapsed="false">
      <c r="A30" s="6" t="s">
        <v>2705</v>
      </c>
      <c r="B30" s="0" t="s">
        <v>41</v>
      </c>
      <c r="C30" s="17" t="n">
        <f aca="false">lc_pen_26</f>
        <v>0.55</v>
      </c>
      <c r="D30" s="17" t="n">
        <f aca="false">lc_pen_27</f>
        <v>0.75</v>
      </c>
      <c r="E30" s="17" t="n">
        <f aca="false">lc_pen_28</f>
        <v>0.85</v>
      </c>
      <c r="F30" s="17" t="n">
        <f aca="false">lc_pen_29</f>
        <v>0.9</v>
      </c>
    </row>
    <row r="31" customFormat="false" ht="17.15" hidden="false" customHeight="false" outlineLevel="0" collapsed="false">
      <c r="A31" s="6" t="s">
        <v>2705</v>
      </c>
      <c r="B31" s="0" t="s">
        <v>45</v>
      </c>
      <c r="C31" s="17" t="n">
        <f aca="false">lc_pen_26</f>
        <v>0.55</v>
      </c>
      <c r="D31" s="17" t="n">
        <f aca="false">lc_pen_27_lo</f>
        <v>0.6</v>
      </c>
      <c r="E31" s="17" t="n">
        <f aca="false">lc_pen_28_lo</f>
        <v>0.7</v>
      </c>
      <c r="F31" s="17" t="n">
        <f aca="false">lc_pen_29_lo</f>
        <v>0.75</v>
      </c>
    </row>
    <row r="32" customFormat="false" ht="17.15" hidden="false" customHeight="false" outlineLevel="0" collapsed="false">
      <c r="A32" s="10" t="s">
        <v>2706</v>
      </c>
      <c r="B32" s="12" t="s">
        <v>36</v>
      </c>
      <c r="C32" s="31" t="n">
        <f aca="false">Deploy!C9*C29*C28/1000</f>
        <v>4.5136875859587</v>
      </c>
      <c r="D32" s="31" t="n">
        <f aca="false">Deploy!D9*D29*D28/1000</f>
        <v>11.5612471431652</v>
      </c>
      <c r="E32" s="31" t="n">
        <f aca="false">Deploy!E9*E29*E28/1000</f>
        <v>17.6393273261942</v>
      </c>
      <c r="F32" s="31" t="n">
        <f aca="false">Deploy!F9*F29*F28/1000</f>
        <v>20.0939825685161</v>
      </c>
    </row>
    <row r="33" customFormat="false" ht="17.15" hidden="false" customHeight="false" outlineLevel="0" collapsed="false">
      <c r="A33" s="10" t="s">
        <v>2706</v>
      </c>
      <c r="B33" s="12" t="s">
        <v>41</v>
      </c>
      <c r="C33" s="31" t="n">
        <f aca="false">Deploy!C10*C30*C28/1000</f>
        <v>4.5136875859587</v>
      </c>
      <c r="D33" s="31" t="n">
        <f aca="false">Deploy!D10*D30*D28/1000</f>
        <v>10.2011004204398</v>
      </c>
      <c r="E33" s="31" t="n">
        <f aca="false">Deploy!E10*E30*E28/1000</f>
        <v>12.6260448229601</v>
      </c>
      <c r="F33" s="31" t="n">
        <f aca="false">Deploy!F10*F30*F28/1000</f>
        <v>16.1809438578051</v>
      </c>
    </row>
    <row r="34" customFormat="false" ht="17.15" hidden="false" customHeight="false" outlineLevel="0" collapsed="false">
      <c r="A34" s="10" t="s">
        <v>2706</v>
      </c>
      <c r="B34" s="12" t="s">
        <v>45</v>
      </c>
      <c r="C34" s="31" t="n">
        <f aca="false">Deploy!C11*C31*C28/1000</f>
        <v>4.5136875859587</v>
      </c>
      <c r="D34" s="31" t="n">
        <f aca="false">Deploy!D11*D31*D28/1000</f>
        <v>8.16088033635188</v>
      </c>
      <c r="E34" s="31" t="n">
        <f aca="false">Deploy!E11*E31*E28/1000</f>
        <v>7.79843944947535</v>
      </c>
      <c r="F34" s="31" t="n">
        <f aca="false">Deploy!F11*F31*F28/1000</f>
        <v>9.51820226929711</v>
      </c>
    </row>
    <row r="35" customFormat="false" ht="17.15" hidden="false" customHeight="false" outlineLevel="0" collapsed="false">
      <c r="A35" s="6" t="s">
        <v>2707</v>
      </c>
      <c r="C35" s="17" t="n">
        <f aca="false">lc_tf_26</f>
        <v>0.53</v>
      </c>
      <c r="D35" s="17" t="n">
        <f aca="false">lc_tf_27</f>
        <v>0.6</v>
      </c>
      <c r="G35" s="6" t="s">
        <v>2708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0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2709</v>
      </c>
    </row>
    <row r="3" customFormat="false" ht="15" hidden="false" customHeight="false" outlineLevel="0" collapsed="false">
      <c r="A3" s="4" t="s">
        <v>54</v>
      </c>
      <c r="B3" s="4" t="s">
        <v>29</v>
      </c>
      <c r="C3" s="5" t="s">
        <v>2710</v>
      </c>
      <c r="D3" s="5" t="s">
        <v>2509</v>
      </c>
      <c r="E3" s="5" t="s">
        <v>2510</v>
      </c>
      <c r="F3" s="5" t="s">
        <v>2511</v>
      </c>
      <c r="G3" s="5" t="s">
        <v>2512</v>
      </c>
      <c r="H3" s="4" t="s">
        <v>49</v>
      </c>
    </row>
    <row r="4" customFormat="false" ht="17.15" hidden="false" customHeight="false" outlineLevel="0" collapsed="false">
      <c r="A4" s="10" t="s">
        <v>2711</v>
      </c>
    </row>
    <row r="5" customFormat="false" ht="17.15" hidden="false" customHeight="false" outlineLevel="0" collapsed="false">
      <c r="A5" s="0" t="s">
        <v>2712</v>
      </c>
      <c r="C5" s="14" t="n">
        <f aca="false">eq_s_dram_26/(1+eq_g_dram_26)</f>
        <v>27.9136690647482</v>
      </c>
      <c r="D5" s="14" t="n">
        <f aca="false">eq_s_dram_26</f>
        <v>38.8</v>
      </c>
      <c r="E5" s="14" t="n">
        <f aca="false">D5*(1+eq_g_dram_27)</f>
        <v>49.4312</v>
      </c>
      <c r="F5" s="14" t="n">
        <f aca="false">E5*(1+eq_g_dram_28)</f>
        <v>56.84588</v>
      </c>
      <c r="G5" s="14" t="n">
        <f aca="false">F5*(1+eq_g29)</f>
        <v>61.3935504</v>
      </c>
    </row>
    <row r="6" customFormat="false" ht="17.15" hidden="false" customHeight="false" outlineLevel="0" collapsed="false">
      <c r="A6" s="0" t="s">
        <v>2713</v>
      </c>
      <c r="C6" s="14" t="n">
        <f aca="false">eq_s_nand_26/(1+eq_g_nand_26)</f>
        <v>10.6350420811018</v>
      </c>
      <c r="D6" s="14" t="n">
        <f aca="false">eq_s_nand_26</f>
        <v>13.9</v>
      </c>
      <c r="E6" s="14" t="n">
        <f aca="false">D6*(1+eq_g_nand_27)</f>
        <v>18.2229</v>
      </c>
      <c r="F6" s="14" t="n">
        <f aca="false">E6*(1+eq_g_nand_28)</f>
        <v>20.8652205</v>
      </c>
      <c r="G6" s="14" t="n">
        <f aca="false">F6*(1+eq_g29)</f>
        <v>22.53443814</v>
      </c>
    </row>
    <row r="7" customFormat="false" ht="17.15" hidden="false" customHeight="false" outlineLevel="0" collapsed="false">
      <c r="A7" s="0" t="s">
        <v>2714</v>
      </c>
      <c r="C7" s="14" t="n">
        <f aca="false">eq_s_fd_26/(1+eq_g_fd_26)</f>
        <v>65.6013456686291</v>
      </c>
      <c r="D7" s="14" t="n">
        <f aca="false">eq_s_fd_26</f>
        <v>78</v>
      </c>
      <c r="E7" s="14" t="n">
        <f aca="false">D7*(1+eq_g_fd_27)</f>
        <v>92.118</v>
      </c>
      <c r="F7" s="14" t="n">
        <f aca="false">E7*(1+eq_g_fd_28)</f>
        <v>104.646048</v>
      </c>
      <c r="G7" s="14" t="n">
        <f aca="false">F7*(1+eq_g29)</f>
        <v>113.01773184</v>
      </c>
    </row>
    <row r="8" customFormat="false" ht="17.15" hidden="false" customHeight="false" outlineLevel="0" collapsed="false">
      <c r="A8" s="0" t="s">
        <v>2715</v>
      </c>
      <c r="C8" s="14" t="n">
        <f aca="false">eq_s_wfe_26/(1+eq_g_wfe_26)</f>
        <v>116.896831844029</v>
      </c>
      <c r="D8" s="14" t="n">
        <f aca="false">eq_s_wfe_26</f>
        <v>143.9</v>
      </c>
      <c r="E8" s="14" t="n">
        <f aca="false">D8*(1+eq_g_wfe_27)</f>
        <v>175.2702</v>
      </c>
      <c r="F8" s="14" t="n">
        <f aca="false">E8*(1+eq_g_wfe_28)</f>
        <v>199.9832982</v>
      </c>
      <c r="G8" s="14" t="n">
        <f aca="false">F8*(1+eq_g29)</f>
        <v>215.981962056</v>
      </c>
    </row>
    <row r="9" customFormat="false" ht="17.15" hidden="false" customHeight="false" outlineLevel="0" collapsed="false">
      <c r="A9" s="0" t="s">
        <v>2716</v>
      </c>
      <c r="C9" s="14" t="n">
        <f aca="false">eq_s_test_26/(1+eq_g_test_26)</f>
        <v>11.6793893129771</v>
      </c>
      <c r="D9" s="14" t="n">
        <f aca="false">eq_s_test_26</f>
        <v>15.3</v>
      </c>
      <c r="E9" s="14" t="n">
        <f aca="false">SQRT(eq_s_test_26*eq_s_test_28)</f>
        <v>17.8392824967822</v>
      </c>
      <c r="F9" s="14" t="n">
        <f aca="false">eq_s_test_28</f>
        <v>20.8</v>
      </c>
      <c r="G9" s="14" t="n">
        <f aca="false">F9*(1+eq_g29)</f>
        <v>22.464</v>
      </c>
      <c r="H9" s="12" t="s">
        <v>2717</v>
      </c>
    </row>
    <row r="10" customFormat="false" ht="17.15" hidden="false" customHeight="false" outlineLevel="0" collapsed="false">
      <c r="A10" s="0" t="s">
        <v>2718</v>
      </c>
      <c r="C10" s="14" t="n">
        <f aca="false">eq_s_pkg_26/(1+eq_g_pkg_26)</f>
        <v>6.11313868613139</v>
      </c>
      <c r="D10" s="14" t="n">
        <f aca="false">eq_s_pkg_26</f>
        <v>6.7</v>
      </c>
      <c r="E10" s="14" t="n">
        <f aca="false">SQRT(eq_s_pkg_26*eq_s_pkg_28)</f>
        <v>7.59078388573934</v>
      </c>
      <c r="F10" s="14" t="n">
        <f aca="false">eq_s_pkg_28</f>
        <v>8.6</v>
      </c>
      <c r="G10" s="14" t="n">
        <f aca="false">F10*(1+eq_g29)</f>
        <v>9.288</v>
      </c>
      <c r="H10" s="12" t="s">
        <v>2717</v>
      </c>
    </row>
    <row r="11" customFormat="false" ht="17.15" hidden="false" customHeight="false" outlineLevel="0" collapsed="false">
      <c r="A11" s="10" t="s">
        <v>2719</v>
      </c>
      <c r="C11" s="16" t="n">
        <f aca="false">C8+C9+C10</f>
        <v>134.689359843138</v>
      </c>
      <c r="D11" s="16" t="n">
        <f aca="false">D8+D9+D10</f>
        <v>165.9</v>
      </c>
      <c r="E11" s="16" t="n">
        <f aca="false">E8+E9+E10</f>
        <v>200.700266382522</v>
      </c>
      <c r="F11" s="16" t="n">
        <f aca="false">F8+F9+F10</f>
        <v>229.3832982</v>
      </c>
      <c r="G11" s="16" t="n">
        <f aca="false">G8+G9+G10</f>
        <v>247.733962056</v>
      </c>
    </row>
    <row r="13" customFormat="false" ht="17.15" hidden="false" customHeight="false" outlineLevel="0" collapsed="false">
      <c r="A13" s="10" t="s">
        <v>2720</v>
      </c>
    </row>
    <row r="14" customFormat="false" ht="15" hidden="false" customHeight="false" outlineLevel="0" collapsed="false">
      <c r="A14" s="6" t="s">
        <v>2721</v>
      </c>
      <c r="B14" s="0" t="s">
        <v>36</v>
      </c>
      <c r="D14" s="22" t="n">
        <f aca="false">(Units!C4*ts_tt_bw+Units!C5*ts_tt_rb+Units!C6*ts_tt_ru+Units!C7*ts_tt_hp+Units!C8*ts_tt_amd+Units!C9*ts_tt_tpu+Units!C10*ts_tt_trn+Units!C11*ts_tt_oth)</f>
        <v>14.885</v>
      </c>
      <c r="E14" s="22" t="n">
        <f aca="false">(Units!D4*ts_tt_bw+Units!D5*ts_tt_rb+Units!D6*ts_tt_ru+Units!D7*ts_tt_hp+Units!D8*ts_tt_amd+Units!D9*ts_tt_tpu+Units!D10*ts_tt_trn+Units!D11*ts_tt_oth)</f>
        <v>24.31</v>
      </c>
      <c r="F14" s="22" t="n">
        <f aca="false">(Units!E4*ts_tt_bw+Units!E5*ts_tt_rb+Units!E6*ts_tt_ru+Units!E7*ts_tt_hp+Units!E8*ts_tt_amd+Units!E9*ts_tt_tpu+Units!E10*ts_tt_trn+Units!E11*ts_tt_oth)*um28_A</f>
        <v>28.1</v>
      </c>
      <c r="G14" s="22" t="n">
        <f aca="false">(Units!F4*ts_tt_bw+Units!F5*ts_tt_rb+Units!F6*ts_tt_ru+Units!F7*ts_tt_hp+Units!F8*ts_tt_amd+Units!F9*ts_tt_tpu+Units!F10*ts_tt_trn+Units!F11*ts_tt_oth)*um29_A</f>
        <v>31.99</v>
      </c>
    </row>
    <row r="15" customFormat="false" ht="15" hidden="false" customHeight="false" outlineLevel="0" collapsed="false">
      <c r="A15" s="6" t="s">
        <v>2721</v>
      </c>
      <c r="B15" s="0" t="s">
        <v>41</v>
      </c>
      <c r="D15" s="22" t="n">
        <f aca="false">(Units!C4*ts_tt_bw+Units!C5*ts_tt_rb+Units!C6*ts_tt_ru+Units!C7*ts_tt_hp+Units!C8*ts_tt_amd+Units!C9*ts_tt_tpu+Units!C10*ts_tt_trn+Units!C11*ts_tt_oth)</f>
        <v>14.885</v>
      </c>
      <c r="E15" s="22" t="n">
        <f aca="false">(Units!D4*ts_tt_bw+Units!D5*ts_tt_rb+Units!D6*ts_tt_ru+Units!D7*ts_tt_hp+Units!D8*ts_tt_amd+Units!D9*ts_tt_tpu+Units!D10*ts_tt_trn+Units!D11*ts_tt_oth)</f>
        <v>24.31</v>
      </c>
      <c r="F15" s="22" t="n">
        <f aca="false">(Units!E4*ts_tt_bw+Units!E5*ts_tt_rb+Units!E6*ts_tt_ru+Units!E7*ts_tt_hp+Units!E8*ts_tt_amd+Units!E9*ts_tt_tpu+Units!E10*ts_tt_trn+Units!E11*ts_tt_oth)*um28_B</f>
        <v>22.48</v>
      </c>
      <c r="G15" s="22" t="n">
        <f aca="false">(Units!F4*ts_tt_bw+Units!F5*ts_tt_rb+Units!F6*ts_tt_ru+Units!F7*ts_tt_hp+Units!F8*ts_tt_amd+Units!F9*ts_tt_tpu+Units!F10*ts_tt_trn+Units!F11*ts_tt_oth)*um29_B</f>
        <v>27.1915</v>
      </c>
    </row>
    <row r="16" customFormat="false" ht="15" hidden="false" customHeight="false" outlineLevel="0" collapsed="false">
      <c r="A16" s="6" t="s">
        <v>2721</v>
      </c>
      <c r="B16" s="0" t="s">
        <v>45</v>
      </c>
      <c r="D16" s="22" t="n">
        <f aca="false">(Units!C4*ts_tt_bw+Units!C5*ts_tt_rb+Units!C6*ts_tt_ru+Units!C7*ts_tt_hp+Units!C8*ts_tt_amd+Units!C9*ts_tt_tpu+Units!C10*ts_tt_trn+Units!C11*ts_tt_oth)</f>
        <v>14.885</v>
      </c>
      <c r="E16" s="22" t="n">
        <f aca="false">(Units!D4*ts_tt_bw+Units!D5*ts_tt_rb+Units!D6*ts_tt_ru+Units!D7*ts_tt_hp+Units!D8*ts_tt_amd+Units!D9*ts_tt_tpu+Units!D10*ts_tt_trn+Units!D11*ts_tt_oth)</f>
        <v>24.31</v>
      </c>
      <c r="F16" s="22" t="n">
        <f aca="false">(Units!E4*ts_tt_bw+Units!E5*ts_tt_rb+Units!E6*ts_tt_ru+Units!E7*ts_tt_hp+Units!E8*ts_tt_amd+Units!E9*ts_tt_tpu+Units!E10*ts_tt_trn+Units!E11*ts_tt_oth)*um28_C</f>
        <v>16.86</v>
      </c>
      <c r="G16" s="22" t="n">
        <f aca="false">(Units!F4*ts_tt_bw+Units!F5*ts_tt_rb+Units!F6*ts_tt_ru+Units!F7*ts_tt_hp+Units!F8*ts_tt_amd+Units!F9*ts_tt_tpu+Units!F10*ts_tt_trn+Units!F11*ts_tt_oth)*um29_C</f>
        <v>19.194</v>
      </c>
    </row>
    <row r="17" customFormat="false" ht="17.15" hidden="false" customHeight="false" outlineLevel="0" collapsed="false">
      <c r="A17" s="6" t="s">
        <v>2722</v>
      </c>
      <c r="D17" s="33" t="n">
        <f aca="false">(ts_mk_soc26-ts_nonai26)/D14</f>
        <v>0.483708431306685</v>
      </c>
      <c r="H17" s="6" t="s">
        <v>2723</v>
      </c>
    </row>
    <row r="18" customFormat="false" ht="17.15" hidden="false" customHeight="false" outlineLevel="0" collapsed="false">
      <c r="A18" s="6" t="s">
        <v>2724</v>
      </c>
      <c r="D18" s="14" t="n">
        <f aca="false">ts_nonai26*(1+ts_g_nonai)^0</f>
        <v>4.3</v>
      </c>
      <c r="E18" s="14" t="n">
        <f aca="false">ts_nonai26*(1+ts_g_nonai)^1</f>
        <v>4.472</v>
      </c>
      <c r="F18" s="14" t="n">
        <f aca="false">ts_nonai26*(1+ts_g_nonai)^2</f>
        <v>4.65088</v>
      </c>
      <c r="G18" s="14" t="n">
        <f aca="false">ts_nonai26*(1+ts_g_nonai)^3</f>
        <v>4.8369152</v>
      </c>
    </row>
    <row r="19" customFormat="false" ht="17.15" hidden="false" customHeight="false" outlineLevel="0" collapsed="false">
      <c r="A19" s="10" t="s">
        <v>2725</v>
      </c>
      <c r="B19" s="12" t="s">
        <v>36</v>
      </c>
      <c r="C19" s="14" t="n">
        <f aca="false">ts_mk_soc25</f>
        <v>6.9</v>
      </c>
      <c r="D19" s="16" t="n">
        <f aca="false">$D$17*D14+D18</f>
        <v>11.5</v>
      </c>
      <c r="E19" s="16" t="n">
        <f aca="false">$D$17*E14+E18</f>
        <v>16.2309519650655</v>
      </c>
      <c r="F19" s="16" t="n">
        <f aca="false">$D$17*F14+F18</f>
        <v>18.2430869197178</v>
      </c>
      <c r="G19" s="16" t="n">
        <f aca="false">$D$17*G14+G18</f>
        <v>20.3107479175008</v>
      </c>
    </row>
    <row r="20" customFormat="false" ht="17.15" hidden="false" customHeight="false" outlineLevel="0" collapsed="false">
      <c r="A20" s="10" t="s">
        <v>2725</v>
      </c>
      <c r="B20" s="12" t="s">
        <v>41</v>
      </c>
      <c r="C20" s="14" t="n">
        <f aca="false">ts_mk_soc25</f>
        <v>6.9</v>
      </c>
      <c r="D20" s="16" t="n">
        <f aca="false">$D$17*D15+D18</f>
        <v>11.5</v>
      </c>
      <c r="E20" s="16" t="n">
        <f aca="false">$D$17*E15+E18</f>
        <v>16.2309519650655</v>
      </c>
      <c r="F20" s="16" t="n">
        <f aca="false">$D$17*F15+F18</f>
        <v>15.5246455357743</v>
      </c>
      <c r="G20" s="16" t="n">
        <f aca="false">$D$17*G15+G18</f>
        <v>17.9896730098757</v>
      </c>
    </row>
    <row r="21" customFormat="false" ht="17.15" hidden="false" customHeight="false" outlineLevel="0" collapsed="false">
      <c r="A21" s="10" t="s">
        <v>2725</v>
      </c>
      <c r="B21" s="12" t="s">
        <v>45</v>
      </c>
      <c r="C21" s="14" t="n">
        <f aca="false">ts_mk_soc25</f>
        <v>6.9</v>
      </c>
      <c r="D21" s="16" t="n">
        <f aca="false">$D$17*D16+D18</f>
        <v>11.5</v>
      </c>
      <c r="E21" s="16" t="n">
        <f aca="false">$D$17*E16+E18</f>
        <v>16.2309519650655</v>
      </c>
      <c r="F21" s="16" t="n">
        <f aca="false">$D$17*F16+F18</f>
        <v>12.8062041518307</v>
      </c>
      <c r="G21" s="16" t="n">
        <f aca="false">$D$17*G16+G18</f>
        <v>14.1212148305005</v>
      </c>
    </row>
    <row r="23" customFormat="false" ht="17.15" hidden="false" customHeight="false" outlineLevel="0" collapsed="false">
      <c r="A23" s="10" t="s">
        <v>2726</v>
      </c>
    </row>
    <row r="24" customFormat="false" ht="17.15" hidden="false" customHeight="false" outlineLevel="0" collapsed="false">
      <c r="A24" s="0" t="s">
        <v>2727</v>
      </c>
      <c r="C24" s="17" t="n">
        <f aca="false">C9/C8</f>
        <v>0.0999119405439528</v>
      </c>
      <c r="D24" s="17" t="n">
        <f aca="false">D9/D8</f>
        <v>0.10632383599722</v>
      </c>
      <c r="E24" s="17" t="n">
        <f aca="false">E9/E8</f>
        <v>0.101781606324305</v>
      </c>
      <c r="F24" s="17" t="n">
        <f aca="false">F9/F8</f>
        <v>0.104008685661331</v>
      </c>
      <c r="G24" s="17" t="n">
        <f aca="false">G9/G8</f>
        <v>0.104008685661331</v>
      </c>
    </row>
    <row r="25" customFormat="false" ht="17.15" hidden="false" customHeight="false" outlineLevel="0" collapsed="false">
      <c r="A25" s="0" t="s">
        <v>2728</v>
      </c>
      <c r="C25" s="17" t="n">
        <f aca="false">C19/C8</f>
        <v>0.0590264072272411</v>
      </c>
      <c r="D25" s="17" t="n">
        <f aca="false">D19/D8</f>
        <v>0.0799166087560806</v>
      </c>
      <c r="E25" s="17" t="n">
        <f aca="false">E19/E8</f>
        <v>0.0926053143378937</v>
      </c>
      <c r="F25" s="17" t="n">
        <f aca="false">F19/F8</f>
        <v>0.0912230525444841</v>
      </c>
      <c r="G25" s="17" t="n">
        <f aca="false">G19/G8</f>
        <v>0.0940390934694567</v>
      </c>
    </row>
    <row r="26" customFormat="false" ht="17.15" hidden="false" customHeight="false" outlineLevel="0" collapsed="false">
      <c r="A26" s="6" t="s">
        <v>2729</v>
      </c>
      <c r="D26" s="26" t="str">
        <f aca="false">TEXT(ts_tw_lo,"0%")&amp;"–"&amp;TEXT(ts_tw_hi,"0%")</f>
        <v>7%–9%</v>
      </c>
    </row>
    <row r="28" customFormat="false" ht="17.15" hidden="false" customHeight="false" outlineLevel="0" collapsed="false">
      <c r="A28" s="10" t="s">
        <v>2730</v>
      </c>
    </row>
    <row r="29" customFormat="false" ht="17.15" hidden="false" customHeight="false" outlineLevel="0" collapsed="false">
      <c r="A29" s="6" t="s">
        <v>2731</v>
      </c>
      <c r="B29" s="0" t="s">
        <v>36</v>
      </c>
      <c r="C29" s="17" t="n">
        <f aca="false">hbm_hbp_25</f>
        <v>0</v>
      </c>
      <c r="D29" s="17" t="n">
        <f aca="false">hbm_hbp_26</f>
        <v>0</v>
      </c>
      <c r="E29" s="17" t="n">
        <f aca="false">hbm_hbp_27</f>
        <v>0</v>
      </c>
      <c r="F29" s="17" t="n">
        <f aca="false">hbm_hbp_28_hi</f>
        <v>0.15</v>
      </c>
      <c r="G29" s="17" t="n">
        <f aca="false">hbm_hbp_29_hi</f>
        <v>0.3</v>
      </c>
    </row>
    <row r="30" customFormat="false" ht="17.15" hidden="false" customHeight="false" outlineLevel="0" collapsed="false">
      <c r="A30" s="6" t="s">
        <v>2731</v>
      </c>
      <c r="B30" s="0" t="s">
        <v>41</v>
      </c>
      <c r="C30" s="17" t="n">
        <f aca="false">hbm_hbp_25</f>
        <v>0</v>
      </c>
      <c r="D30" s="17" t="n">
        <f aca="false">hbm_hbp_26</f>
        <v>0</v>
      </c>
      <c r="E30" s="17" t="n">
        <f aca="false">hbm_hbp_27</f>
        <v>0</v>
      </c>
      <c r="F30" s="17" t="n">
        <f aca="false">hbm_hbp_28</f>
        <v>0.05</v>
      </c>
      <c r="G30" s="17" t="n">
        <f aca="false">hbm_hbp_29</f>
        <v>0.15</v>
      </c>
    </row>
    <row r="31" customFormat="false" ht="17.15" hidden="false" customHeight="false" outlineLevel="0" collapsed="false">
      <c r="A31" s="6" t="s">
        <v>2731</v>
      </c>
      <c r="B31" s="0" t="s">
        <v>45</v>
      </c>
      <c r="C31" s="17" t="n">
        <f aca="false">hbm_hbp_25</f>
        <v>0</v>
      </c>
      <c r="D31" s="17" t="n">
        <f aca="false">hbm_hbp_26</f>
        <v>0</v>
      </c>
      <c r="E31" s="17" t="n">
        <f aca="false">hbm_hbp_27</f>
        <v>0</v>
      </c>
      <c r="F31" s="17" t="n">
        <f aca="false">hbm_hbp_28_lo</f>
        <v>0</v>
      </c>
      <c r="G31" s="17" t="n">
        <f aca="false">hbm_hbp_29_lo</f>
        <v>0.05</v>
      </c>
    </row>
    <row r="32" customFormat="false" ht="17.15" hidden="false" customHeight="false" outlineLevel="0" collapsed="false">
      <c r="A32" s="0" t="s">
        <v>2732</v>
      </c>
      <c r="C32" s="23" t="n">
        <f aca="false">hbm_stk_25</f>
        <v>10</v>
      </c>
      <c r="D32" s="23" t="n">
        <f aca="false">hbm_stk_26</f>
        <v>12</v>
      </c>
      <c r="E32" s="23" t="n">
        <f aca="false">hbm_stk_27</f>
        <v>12.5</v>
      </c>
      <c r="F32" s="23" t="n">
        <f aca="false">hbm_stk_28</f>
        <v>14</v>
      </c>
      <c r="G32" s="23" t="n">
        <f aca="false">hbm_stk_29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7.15" hidden="false" customHeight="false" outlineLevel="0" collapsed="false">
      <c r="A1" s="0" t="s">
        <v>2733</v>
      </c>
    </row>
    <row r="3" customFormat="false" ht="15" hidden="false" customHeight="false" outlineLevel="0" collapsed="false">
      <c r="A3" s="4" t="s">
        <v>2734</v>
      </c>
      <c r="B3" s="4" t="s">
        <v>29</v>
      </c>
      <c r="C3" s="5" t="s">
        <v>2735</v>
      </c>
      <c r="D3" s="5" t="s">
        <v>2736</v>
      </c>
      <c r="E3" s="5" t="s">
        <v>2737</v>
      </c>
      <c r="F3" s="5" t="s">
        <v>2738</v>
      </c>
      <c r="G3" s="5" t="s">
        <v>2739</v>
      </c>
      <c r="H3" s="5" t="s">
        <v>2740</v>
      </c>
      <c r="I3" s="5" t="s">
        <v>2741</v>
      </c>
      <c r="J3" s="5" t="s">
        <v>2742</v>
      </c>
      <c r="K3" s="5" t="s">
        <v>2743</v>
      </c>
      <c r="L3" s="5" t="s">
        <v>2744</v>
      </c>
      <c r="M3" s="5" t="s">
        <v>2745</v>
      </c>
      <c r="N3" s="5" t="s">
        <v>2746</v>
      </c>
      <c r="O3" s="5" t="s">
        <v>2747</v>
      </c>
      <c r="P3" s="5" t="s">
        <v>2748</v>
      </c>
      <c r="Q3" s="5" t="s">
        <v>2749</v>
      </c>
      <c r="R3" s="5" t="s">
        <v>2750</v>
      </c>
      <c r="S3" s="5" t="s">
        <v>2751</v>
      </c>
      <c r="T3" s="5" t="s">
        <v>2752</v>
      </c>
      <c r="U3" s="5" t="s">
        <v>2753</v>
      </c>
      <c r="V3" s="5" t="s">
        <v>2754</v>
      </c>
    </row>
    <row r="4" customFormat="false" ht="17.15" hidden="false" customHeight="false" outlineLevel="0" collapsed="false">
      <c r="A4" s="6" t="s">
        <v>2755</v>
      </c>
      <c r="B4" s="0" t="s">
        <v>36</v>
      </c>
      <c r="C4" s="0" t="n">
        <v>1</v>
      </c>
      <c r="D4" s="14" t="n">
        <f aca="false">C4*(1+cq_1)</f>
        <v>0.975</v>
      </c>
      <c r="E4" s="14" t="n">
        <f aca="false">D4*(1+cq_2)</f>
        <v>1.096875</v>
      </c>
      <c r="F4" s="14" t="n">
        <f aca="false">E4*(1+cq_3)</f>
        <v>1.617890625</v>
      </c>
      <c r="G4" s="14" t="n">
        <f aca="false">F4*(1+cq_4)</f>
        <v>3.15488671875</v>
      </c>
      <c r="H4" s="14" t="n">
        <f aca="false">G4*(1+cq_5)</f>
        <v>5.06359318359375</v>
      </c>
      <c r="I4" s="14" t="n">
        <f aca="false">H4*(1+cq_6)</f>
        <v>5.84845012705078</v>
      </c>
      <c r="J4" s="14" t="n">
        <f aca="false">I4*(1+cq_7)</f>
        <v>6.57950639293213</v>
      </c>
      <c r="K4" s="14" t="n">
        <f aca="false">J4*(1+cqA_8)</f>
        <v>6.77689158472009</v>
      </c>
      <c r="L4" s="14" t="n">
        <f aca="false">K4*(1+cqA_9)</f>
        <v>6.77689158472009</v>
      </c>
      <c r="M4" s="14" t="n">
        <f aca="false">L4*(1+cqA_10)</f>
        <v>6.64135375302569</v>
      </c>
      <c r="N4" s="14" t="n">
        <f aca="false">M4*(1+cqA_11)</f>
        <v>6.44211314043492</v>
      </c>
      <c r="O4" s="14" t="n">
        <f aca="false">N4*(1+cqA_12)</f>
        <v>6.24884974622187</v>
      </c>
      <c r="P4" s="14" t="n">
        <f aca="false">O4*(1+cqA_13)</f>
        <v>6.06138425383522</v>
      </c>
      <c r="Q4" s="14" t="n">
        <f aca="false">P4*(1+cqA_14)</f>
        <v>5.94015656875851</v>
      </c>
      <c r="R4" s="14" t="n">
        <f aca="false">Q4*(1+cqA_15)</f>
        <v>5.82135343738334</v>
      </c>
      <c r="S4" s="14" t="n">
        <f aca="false">R4*(1+cqA_16)</f>
        <v>5.64671283426184</v>
      </c>
      <c r="T4" s="14" t="n">
        <f aca="false">S4*(1+cqA_17)</f>
        <v>5.47731144923399</v>
      </c>
      <c r="U4" s="14" t="n">
        <f aca="false">T4*(1+cqA_18)</f>
        <v>5.36776522024931</v>
      </c>
      <c r="V4" s="14" t="n">
        <f aca="false">U4*(1+cqA_19)</f>
        <v>5.26040991584432</v>
      </c>
    </row>
    <row r="5" customFormat="false" ht="17.15" hidden="false" customHeight="false" outlineLevel="0" collapsed="false">
      <c r="A5" s="6" t="s">
        <v>2755</v>
      </c>
      <c r="B5" s="0" t="s">
        <v>41</v>
      </c>
      <c r="C5" s="0" t="n">
        <v>1</v>
      </c>
      <c r="D5" s="14" t="n">
        <f aca="false">C5*(1+cq_1)</f>
        <v>0.975</v>
      </c>
      <c r="E5" s="14" t="n">
        <f aca="false">D5*(1+cq_2)</f>
        <v>1.096875</v>
      </c>
      <c r="F5" s="14" t="n">
        <f aca="false">E5*(1+cq_3)</f>
        <v>1.617890625</v>
      </c>
      <c r="G5" s="14" t="n">
        <f aca="false">F5*(1+cq_4)</f>
        <v>3.15488671875</v>
      </c>
      <c r="H5" s="14" t="n">
        <f aca="false">G5*(1+cq_5)</f>
        <v>5.06359318359375</v>
      </c>
      <c r="I5" s="14" t="n">
        <f aca="false">H5*(1+cq_6)</f>
        <v>5.84845012705078</v>
      </c>
      <c r="J5" s="14" t="n">
        <f aca="false">I5*(1+cq_7)</f>
        <v>6.57950639293213</v>
      </c>
      <c r="K5" s="14" t="n">
        <f aca="false">J5*(1+cqB_8)</f>
        <v>6.90848171257874</v>
      </c>
      <c r="L5" s="14" t="n">
        <f aca="false">K5*(1+cqB_9)</f>
        <v>7.04665134683031</v>
      </c>
      <c r="M5" s="14" t="n">
        <f aca="false">L5*(1+cqB_10)</f>
        <v>6.48291923908389</v>
      </c>
      <c r="N5" s="14" t="n">
        <f aca="false">M5*(1+cqB_11)</f>
        <v>5.5104813532213</v>
      </c>
      <c r="O5" s="14" t="n">
        <f aca="false">N5*(1+cqB_12)</f>
        <v>4.13286101491598</v>
      </c>
      <c r="P5" s="14" t="n">
        <f aca="false">O5*(1+cqB_13)</f>
        <v>3.51293186267858</v>
      </c>
      <c r="Q5" s="14" t="n">
        <f aca="false">P5*(1+cqB_14)</f>
        <v>3.16163867641072</v>
      </c>
      <c r="R5" s="14" t="n">
        <f aca="false">Q5*(1+cqB_15)</f>
        <v>3.00355674259019</v>
      </c>
      <c r="S5" s="14" t="n">
        <f aca="false">R5*(1+cqB_16)</f>
        <v>3.1537345797197</v>
      </c>
      <c r="T5" s="14" t="n">
        <f aca="false">S5*(1+cqB_17)</f>
        <v>3.31142130870568</v>
      </c>
      <c r="U5" s="14" t="n">
        <f aca="false">T5*(1+cqB_18)</f>
        <v>3.41076394796685</v>
      </c>
      <c r="V5" s="14" t="n">
        <f aca="false">U5*(1+cqB_19)</f>
        <v>3.51308686640586</v>
      </c>
    </row>
    <row r="6" customFormat="false" ht="17.15" hidden="false" customHeight="false" outlineLevel="0" collapsed="false">
      <c r="A6" s="6" t="s">
        <v>2755</v>
      </c>
      <c r="B6" s="0" t="s">
        <v>45</v>
      </c>
      <c r="C6" s="0" t="n">
        <v>1</v>
      </c>
      <c r="D6" s="14" t="n">
        <f aca="false">C6*(1+cq_1)</f>
        <v>0.975</v>
      </c>
      <c r="E6" s="14" t="n">
        <f aca="false">D6*(1+cq_2)</f>
        <v>1.096875</v>
      </c>
      <c r="F6" s="14" t="n">
        <f aca="false">E6*(1+cq_3)</f>
        <v>1.617890625</v>
      </c>
      <c r="G6" s="14" t="n">
        <f aca="false">F6*(1+cq_4)</f>
        <v>3.15488671875</v>
      </c>
      <c r="H6" s="14" t="n">
        <f aca="false">G6*(1+cq_5)</f>
        <v>5.06359318359375</v>
      </c>
      <c r="I6" s="14" t="n">
        <f aca="false">H6*(1+cq_6)</f>
        <v>5.84845012705078</v>
      </c>
      <c r="J6" s="14" t="n">
        <f aca="false">I6*(1+cq_7)</f>
        <v>6.57950639293213</v>
      </c>
      <c r="K6" s="14" t="n">
        <f aca="false">J6*(1+cqC_8)</f>
        <v>6.90848171257874</v>
      </c>
      <c r="L6" s="14" t="n">
        <f aca="false">K6*(1+cqC_9)</f>
        <v>7.04665134683031</v>
      </c>
      <c r="M6" s="14" t="n">
        <f aca="false">L6*(1+cqC_10)</f>
        <v>6.48291923908389</v>
      </c>
      <c r="N6" s="14" t="n">
        <f aca="false">M6*(1+cqC_11)</f>
        <v>5.5104813532213</v>
      </c>
      <c r="O6" s="14" t="n">
        <f aca="false">N6*(1+cqC_12)</f>
        <v>3.58181287959385</v>
      </c>
      <c r="P6" s="14" t="n">
        <f aca="false">O6*(1+cqC_13)</f>
        <v>2.50726901571569</v>
      </c>
      <c r="Q6" s="14" t="n">
        <f aca="false">P6*(1+cqC_14)</f>
        <v>1.88045176178677</v>
      </c>
      <c r="R6" s="14" t="n">
        <f aca="false">Q6*(1+cqC_15)</f>
        <v>1.50436140942942</v>
      </c>
      <c r="S6" s="14" t="n">
        <f aca="false">R6*(1+cqC_16)</f>
        <v>1.50436140942942</v>
      </c>
      <c r="T6" s="14" t="n">
        <f aca="false">S6*(1+cqC_17)</f>
        <v>1.57957947990089</v>
      </c>
      <c r="U6" s="14" t="n">
        <f aca="false">T6*(1+cqC_18)</f>
        <v>1.70594583829296</v>
      </c>
      <c r="V6" s="14" t="n">
        <f aca="false">U6*(1+cqC_19)</f>
        <v>1.87654042212225</v>
      </c>
    </row>
    <row r="8" customFormat="false" ht="15" hidden="false" customHeight="false" outlineLevel="0" collapsed="false">
      <c r="A8" s="0" t="s">
        <v>2756</v>
      </c>
      <c r="B8" s="0" t="s">
        <v>36</v>
      </c>
      <c r="C8" s="0" t="n">
        <v>1</v>
      </c>
      <c r="D8" s="14" t="n">
        <f aca="false">C8*(1+nq_1)</f>
        <v>1</v>
      </c>
      <c r="E8" s="14" t="n">
        <f aca="false">D8*(1+nq_2)</f>
        <v>1.05</v>
      </c>
      <c r="F8" s="14" t="n">
        <f aca="false">E8*(1+nq_3)</f>
        <v>1.365</v>
      </c>
      <c r="G8" s="14" t="n">
        <f aca="false">F8*(1+nq_4)</f>
        <v>2.559375</v>
      </c>
      <c r="H8" s="14" t="n">
        <f aca="false">G8*(1+nq_5)</f>
        <v>4.414921875</v>
      </c>
      <c r="I8" s="14" t="n">
        <f aca="false">H8*(1+nq_6)</f>
        <v>5.51865234375</v>
      </c>
      <c r="J8" s="14" t="n">
        <f aca="false">I8*(1+nq_7)</f>
        <v>5.96566318359375</v>
      </c>
      <c r="K8" s="14" t="n">
        <f aca="false">J8*(1+nqA_8)</f>
        <v>6.14463307910156</v>
      </c>
      <c r="L8" s="14" t="n">
        <f aca="false">K8*(1+nqA_9)</f>
        <v>6.14463307910156</v>
      </c>
      <c r="M8" s="14" t="n">
        <f aca="false">L8*(1+nqA_10)</f>
        <v>5.83740142514648</v>
      </c>
      <c r="N8" s="14" t="n">
        <f aca="false">M8*(1+nqA_11)</f>
        <v>5.42878332538623</v>
      </c>
      <c r="O8" s="14" t="n">
        <f aca="false">N8*(1+nqA_12)</f>
        <v>5.15734415911692</v>
      </c>
      <c r="P8" s="14" t="n">
        <f aca="false">O8*(1+nqA_13)</f>
        <v>4.89947695116107</v>
      </c>
      <c r="Q8" s="14" t="n">
        <f aca="false">P8*(1+nqA_14)</f>
        <v>4.65450310360302</v>
      </c>
      <c r="R8" s="14" t="n">
        <f aca="false">Q8*(1+nqA_15)</f>
        <v>4.42177794842287</v>
      </c>
      <c r="S8" s="14" t="n">
        <f aca="false">R8*(1+nqA_16)</f>
        <v>4.28912460997018</v>
      </c>
      <c r="T8" s="14" t="n">
        <f aca="false">S8*(1+nqA_17)</f>
        <v>4.16045087167108</v>
      </c>
      <c r="U8" s="14" t="n">
        <f aca="false">T8*(1+nqA_18)</f>
        <v>4.03563734552094</v>
      </c>
      <c r="V8" s="14" t="n">
        <f aca="false">U8*(1+nqA_19)</f>
        <v>3.91456822515532</v>
      </c>
    </row>
    <row r="9" customFormat="false" ht="15" hidden="false" customHeight="false" outlineLevel="0" collapsed="false">
      <c r="A9" s="0" t="s">
        <v>2756</v>
      </c>
      <c r="B9" s="0" t="s">
        <v>41</v>
      </c>
      <c r="C9" s="0" t="n">
        <v>1</v>
      </c>
      <c r="D9" s="14" t="n">
        <f aca="false">C9*(1+nq_1)</f>
        <v>1</v>
      </c>
      <c r="E9" s="14" t="n">
        <f aca="false">D9*(1+nq_2)</f>
        <v>1.05</v>
      </c>
      <c r="F9" s="14" t="n">
        <f aca="false">E9*(1+nq_3)</f>
        <v>1.365</v>
      </c>
      <c r="G9" s="14" t="n">
        <f aca="false">F9*(1+nq_4)</f>
        <v>2.559375</v>
      </c>
      <c r="H9" s="14" t="n">
        <f aca="false">G9*(1+nq_5)</f>
        <v>4.414921875</v>
      </c>
      <c r="I9" s="14" t="n">
        <f aca="false">H9*(1+nq_6)</f>
        <v>5.51865234375</v>
      </c>
      <c r="J9" s="14" t="n">
        <f aca="false">I9*(1+nq_7)</f>
        <v>5.96566318359375</v>
      </c>
      <c r="K9" s="14" t="n">
        <f aca="false">J9*(1+nqB_8)</f>
        <v>6.26394634277344</v>
      </c>
      <c r="L9" s="14" t="n">
        <f aca="false">K9*(1+nqB_9)</f>
        <v>6.38922526962891</v>
      </c>
      <c r="M9" s="14" t="n">
        <f aca="false">L9*(1+nqB_10)</f>
        <v>5.75030274266602</v>
      </c>
      <c r="N9" s="14" t="n">
        <f aca="false">M9*(1+nqB_11)</f>
        <v>4.60024219413281</v>
      </c>
      <c r="O9" s="14" t="n">
        <f aca="false">N9*(1+nqB_12)</f>
        <v>3.22016953589297</v>
      </c>
      <c r="P9" s="14" t="n">
        <f aca="false">O9*(1+nqB_13)</f>
        <v>2.41512715191973</v>
      </c>
      <c r="Q9" s="14" t="n">
        <f aca="false">P9*(1+nqB_14)</f>
        <v>1.93210172153578</v>
      </c>
      <c r="R9" s="14" t="n">
        <f aca="false">Q9*(1+nqB_15)</f>
        <v>1.7388915493822</v>
      </c>
      <c r="S9" s="14" t="n">
        <f aca="false">R9*(1+nqB_16)</f>
        <v>1.82583612685131</v>
      </c>
      <c r="T9" s="14" t="n">
        <f aca="false">S9*(1+nqB_17)</f>
        <v>1.91712793319388</v>
      </c>
      <c r="U9" s="14" t="n">
        <f aca="false">T9*(1+nqB_18)</f>
        <v>1.9746417711897</v>
      </c>
      <c r="V9" s="14" t="n">
        <f aca="false">U9*(1+nqB_19)</f>
        <v>2.03388102432539</v>
      </c>
    </row>
    <row r="10" customFormat="false" ht="15" hidden="false" customHeight="false" outlineLevel="0" collapsed="false">
      <c r="A10" s="0" t="s">
        <v>2756</v>
      </c>
      <c r="B10" s="0" t="s">
        <v>45</v>
      </c>
      <c r="C10" s="0" t="n">
        <v>1</v>
      </c>
      <c r="D10" s="14" t="n">
        <f aca="false">C10*(1+nq_1)</f>
        <v>1</v>
      </c>
      <c r="E10" s="14" t="n">
        <f aca="false">D10*(1+nq_2)</f>
        <v>1.05</v>
      </c>
      <c r="F10" s="14" t="n">
        <f aca="false">E10*(1+nq_3)</f>
        <v>1.365</v>
      </c>
      <c r="G10" s="14" t="n">
        <f aca="false">F10*(1+nq_4)</f>
        <v>2.559375</v>
      </c>
      <c r="H10" s="14" t="n">
        <f aca="false">G10*(1+nq_5)</f>
        <v>4.414921875</v>
      </c>
      <c r="I10" s="14" t="n">
        <f aca="false">H10*(1+nq_6)</f>
        <v>5.51865234375</v>
      </c>
      <c r="J10" s="14" t="n">
        <f aca="false">I10*(1+nq_7)</f>
        <v>5.96566318359375</v>
      </c>
      <c r="K10" s="14" t="n">
        <f aca="false">J10*(1+nqC_8)</f>
        <v>6.26394634277344</v>
      </c>
      <c r="L10" s="14" t="n">
        <f aca="false">K10*(1+nqC_9)</f>
        <v>6.38922526962891</v>
      </c>
      <c r="M10" s="14" t="n">
        <f aca="false">L10*(1+nqC_10)</f>
        <v>5.75030274266602</v>
      </c>
      <c r="N10" s="14" t="n">
        <f aca="false">M10*(1+nqC_11)</f>
        <v>4.60024219413281</v>
      </c>
      <c r="O10" s="14" t="n">
        <f aca="false">N10*(1+nqC_12)</f>
        <v>2.99015742618633</v>
      </c>
      <c r="P10" s="14" t="n">
        <f aca="false">O10*(1+nqC_13)</f>
        <v>1.94360232702111</v>
      </c>
      <c r="Q10" s="14" t="n">
        <f aca="false">P10*(1+nqC_14)</f>
        <v>1.45770174526584</v>
      </c>
      <c r="R10" s="14" t="n">
        <f aca="false">Q10*(1+nqC_15)</f>
        <v>1.16616139621267</v>
      </c>
      <c r="S10" s="14" t="n">
        <f aca="false">R10*(1+nqC_16)</f>
        <v>1.16616139621267</v>
      </c>
      <c r="T10" s="14" t="n">
        <f aca="false">S10*(1+nqC_17)</f>
        <v>1.2244694660233</v>
      </c>
      <c r="U10" s="14" t="n">
        <f aca="false">T10*(1+nqC_18)</f>
        <v>1.32242702330517</v>
      </c>
      <c r="V10" s="14" t="n">
        <f aca="false">U10*(1+nqC_19)</f>
        <v>1.45466972563568</v>
      </c>
    </row>
    <row r="12" customFormat="false" ht="15" hidden="false" customHeight="false" outlineLevel="0" collapsed="false">
      <c r="A12" s="9" t="s">
        <v>2757</v>
      </c>
    </row>
    <row r="13" customFormat="false" ht="15" hidden="false" customHeight="false" outlineLevel="0" collapsed="false">
      <c r="A13" s="4" t="s">
        <v>2734</v>
      </c>
      <c r="B13" s="4" t="s">
        <v>29</v>
      </c>
      <c r="C13" s="5" t="s">
        <v>2710</v>
      </c>
      <c r="D13" s="5" t="s">
        <v>2509</v>
      </c>
      <c r="E13" s="5" t="s">
        <v>2510</v>
      </c>
      <c r="F13" s="5" t="s">
        <v>2511</v>
      </c>
      <c r="G13" s="5" t="s">
        <v>2512</v>
      </c>
      <c r="H13" s="5" t="s">
        <v>2758</v>
      </c>
      <c r="I13" s="5" t="s">
        <v>2759</v>
      </c>
      <c r="J13" s="5" t="s">
        <v>2760</v>
      </c>
      <c r="K13" s="5" t="s">
        <v>2761</v>
      </c>
    </row>
    <row r="14" customFormat="false" ht="17.15" hidden="false" customHeight="false" outlineLevel="0" collapsed="false">
      <c r="A14" s="6" t="s">
        <v>2755</v>
      </c>
      <c r="B14" s="0" t="s">
        <v>36</v>
      </c>
      <c r="C14" s="14" t="n">
        <f aca="false">AVERAGE(C4:F4)</f>
        <v>1.17244140625</v>
      </c>
      <c r="D14" s="14" t="n">
        <f aca="false">AVERAGE(G4:J4)</f>
        <v>5.16160910558167</v>
      </c>
      <c r="E14" s="14" t="n">
        <f aca="false">AVERAGE(K4:N4)</f>
        <v>6.6593125157252</v>
      </c>
      <c r="F14" s="14" t="n">
        <f aca="false">AVERAGE(O4:R4)</f>
        <v>6.01793600154974</v>
      </c>
      <c r="G14" s="14" t="n">
        <f aca="false">AVERAGE(S4:V4)</f>
        <v>5.43804985489736</v>
      </c>
      <c r="H14" s="15" t="n">
        <f aca="false">D14/C14-1</f>
        <v>3.40244525488982</v>
      </c>
      <c r="I14" s="15" t="n">
        <f aca="false">E14/D14-1</f>
        <v>0.290162114082592</v>
      </c>
      <c r="J14" s="15" t="n">
        <f aca="false">F14/E14-1</f>
        <v>-0.0963127218704524</v>
      </c>
      <c r="K14" s="15" t="n">
        <f aca="false">G14/F14-1</f>
        <v>-0.0963596400000002</v>
      </c>
    </row>
    <row r="15" customFormat="false" ht="17.15" hidden="false" customHeight="false" outlineLevel="0" collapsed="false">
      <c r="A15" s="6" t="s">
        <v>2755</v>
      </c>
      <c r="B15" s="0" t="s">
        <v>41</v>
      </c>
      <c r="C15" s="14" t="n">
        <f aca="false">AVERAGE(C5:F5)</f>
        <v>1.17244140625</v>
      </c>
      <c r="D15" s="14" t="n">
        <f aca="false">AVERAGE(G5:J5)</f>
        <v>5.16160910558167</v>
      </c>
      <c r="E15" s="14" t="n">
        <f aca="false">AVERAGE(K5:N5)</f>
        <v>6.48713341292856</v>
      </c>
      <c r="F15" s="14" t="n">
        <f aca="false">AVERAGE(O5:R5)</f>
        <v>3.45274707414887</v>
      </c>
      <c r="G15" s="14" t="n">
        <f aca="false">AVERAGE(S5:V5)</f>
        <v>3.34725167569952</v>
      </c>
      <c r="H15" s="15" t="n">
        <f aca="false">D15/C15-1</f>
        <v>3.40244525488982</v>
      </c>
      <c r="I15" s="15" t="n">
        <f aca="false">E15/D15-1</f>
        <v>0.25680447322396</v>
      </c>
      <c r="J15" s="15" t="n">
        <f aca="false">F15/E15-1</f>
        <v>-0.467754575962982</v>
      </c>
      <c r="K15" s="15" t="n">
        <f aca="false">G15/F15-1</f>
        <v>-0.0305540475985635</v>
      </c>
    </row>
    <row r="16" customFormat="false" ht="17.15" hidden="false" customHeight="false" outlineLevel="0" collapsed="false">
      <c r="A16" s="6" t="s">
        <v>2755</v>
      </c>
      <c r="B16" s="0" t="s">
        <v>45</v>
      </c>
      <c r="C16" s="14" t="n">
        <f aca="false">AVERAGE(C6:F6)</f>
        <v>1.17244140625</v>
      </c>
      <c r="D16" s="14" t="n">
        <f aca="false">AVERAGE(G6:J6)</f>
        <v>5.16160910558167</v>
      </c>
      <c r="E16" s="14" t="n">
        <f aca="false">AVERAGE(K6:N6)</f>
        <v>6.48713341292856</v>
      </c>
      <c r="F16" s="14" t="n">
        <f aca="false">AVERAGE(O6:R6)</f>
        <v>2.36847376663143</v>
      </c>
      <c r="G16" s="14" t="n">
        <f aca="false">AVERAGE(S6:V6)</f>
        <v>1.66660678743638</v>
      </c>
      <c r="H16" s="15" t="n">
        <f aca="false">D16/C16-1</f>
        <v>3.40244525488982</v>
      </c>
      <c r="I16" s="15" t="n">
        <f aca="false">E16/D16-1</f>
        <v>0.25680447322396</v>
      </c>
      <c r="J16" s="15" t="n">
        <f aca="false">F16/E16-1</f>
        <v>-0.634896707702793</v>
      </c>
      <c r="K16" s="15" t="n">
        <f aca="false">G16/F16-1</f>
        <v>-0.296337240075614</v>
      </c>
    </row>
    <row r="17" customFormat="false" ht="15" hidden="false" customHeight="false" outlineLevel="0" collapsed="false">
      <c r="A17" s="0" t="s">
        <v>2756</v>
      </c>
      <c r="B17" s="0" t="s">
        <v>36</v>
      </c>
      <c r="C17" s="14" t="n">
        <f aca="false">AVERAGE(C8:F8)</f>
        <v>1.10375</v>
      </c>
      <c r="D17" s="14" t="n">
        <f aca="false">AVERAGE(G8:J8)</f>
        <v>4.61465310058594</v>
      </c>
      <c r="E17" s="14" t="n">
        <f aca="false">AVERAGE(K8:N8)</f>
        <v>5.88886272718396</v>
      </c>
      <c r="F17" s="14" t="n">
        <f aca="false">AVERAGE(O8:R8)</f>
        <v>4.78327554057597</v>
      </c>
      <c r="G17" s="14" t="n">
        <f aca="false">AVERAGE(S8:V8)</f>
        <v>4.09994526307938</v>
      </c>
      <c r="H17" s="15" t="n">
        <f aca="false">D17/C17-1</f>
        <v>3.18088616134626</v>
      </c>
      <c r="I17" s="15" t="n">
        <f aca="false">E17/D17-1</f>
        <v>0.276122516432759</v>
      </c>
      <c r="J17" s="15" t="n">
        <f aca="false">F17/E17-1</f>
        <v>-0.187742054421547</v>
      </c>
      <c r="K17" s="15" t="n">
        <f aca="false">G17/F17-1</f>
        <v>-0.142858230035042</v>
      </c>
    </row>
    <row r="18" customFormat="false" ht="15" hidden="false" customHeight="false" outlineLevel="0" collapsed="false">
      <c r="A18" s="0" t="s">
        <v>2756</v>
      </c>
      <c r="B18" s="0" t="s">
        <v>41</v>
      </c>
      <c r="C18" s="14" t="n">
        <f aca="false">AVERAGE(C9:F9)</f>
        <v>1.10375</v>
      </c>
      <c r="D18" s="14" t="n">
        <f aca="false">AVERAGE(G9:J9)</f>
        <v>4.61465310058594</v>
      </c>
      <c r="E18" s="14" t="n">
        <f aca="false">AVERAGE(K9:N9)</f>
        <v>5.75092913730029</v>
      </c>
      <c r="F18" s="14" t="n">
        <f aca="false">AVERAGE(O9:R9)</f>
        <v>2.32657248968267</v>
      </c>
      <c r="G18" s="14" t="n">
        <f aca="false">AVERAGE(S9:V9)</f>
        <v>1.93787171389007</v>
      </c>
      <c r="H18" s="15" t="n">
        <f aca="false">D18/C18-1</f>
        <v>3.18088616134626</v>
      </c>
      <c r="I18" s="15" t="n">
        <f aca="false">E18/D18-1</f>
        <v>0.24623216782429</v>
      </c>
      <c r="J18" s="15" t="n">
        <f aca="false">F18/E18-1</f>
        <v>-0.5954440692735</v>
      </c>
      <c r="K18" s="15" t="n">
        <f aca="false">G18/F18-1</f>
        <v>-0.167070133217993</v>
      </c>
    </row>
    <row r="19" customFormat="false" ht="15" hidden="false" customHeight="false" outlineLevel="0" collapsed="false">
      <c r="A19" s="0" t="s">
        <v>2756</v>
      </c>
      <c r="B19" s="0" t="s">
        <v>45</v>
      </c>
      <c r="C19" s="14" t="n">
        <f aca="false">AVERAGE(C10:F10)</f>
        <v>1.10375</v>
      </c>
      <c r="D19" s="14" t="n">
        <f aca="false">AVERAGE(G10:J10)</f>
        <v>4.61465310058594</v>
      </c>
      <c r="E19" s="14" t="n">
        <f aca="false">AVERAGE(K10:N10)</f>
        <v>5.75092913730029</v>
      </c>
      <c r="F19" s="14" t="n">
        <f aca="false">AVERAGE(O10:R10)</f>
        <v>1.88940572367149</v>
      </c>
      <c r="G19" s="14" t="n">
        <f aca="false">AVERAGE(S10:V10)</f>
        <v>1.29193190279421</v>
      </c>
      <c r="H19" s="15" t="n">
        <f aca="false">D19/C19-1</f>
        <v>3.18088616134626</v>
      </c>
      <c r="I19" s="15" t="n">
        <f aca="false">E19/D19-1</f>
        <v>0.24623216782429</v>
      </c>
      <c r="J19" s="15" t="n">
        <f aca="false">F19/E19-1</f>
        <v>-0.671460788585121</v>
      </c>
      <c r="K19" s="15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7.15" hidden="false" customHeight="false" outlineLevel="0" collapsed="false">
      <c r="A1" s="0" t="s">
        <v>2762</v>
      </c>
    </row>
    <row r="2" customFormat="false" ht="17.15" hidden="false" customHeight="false" outlineLevel="0" collapsed="false">
      <c r="A2" s="6" t="s">
        <v>2763</v>
      </c>
    </row>
    <row r="3" customFormat="false" ht="15" hidden="false" customHeight="false" outlineLevel="0" collapsed="false">
      <c r="A3" s="4" t="s">
        <v>54</v>
      </c>
      <c r="B3" s="4" t="s">
        <v>55</v>
      </c>
      <c r="C3" s="5" t="s">
        <v>2710</v>
      </c>
      <c r="D3" s="5" t="s">
        <v>2509</v>
      </c>
      <c r="E3" s="5" t="s">
        <v>2510</v>
      </c>
      <c r="F3" s="5" t="s">
        <v>2511</v>
      </c>
      <c r="G3" s="5" t="s">
        <v>2512</v>
      </c>
      <c r="H3" s="4" t="s">
        <v>49</v>
      </c>
    </row>
    <row r="4" customFormat="false" ht="17.15" hidden="false" customHeight="false" outlineLevel="0" collapsed="false">
      <c r="A4" s="9" t="s">
        <v>2764</v>
      </c>
    </row>
    <row r="5" customFormat="false" ht="17.15" hidden="false" customHeight="false" outlineLevel="0" collapsed="false">
      <c r="A5" s="0" t="s">
        <v>2765</v>
      </c>
      <c r="B5" s="0" t="s">
        <v>2766</v>
      </c>
      <c r="D5" s="34" t="n">
        <f aca="false">u_bw_26*g_bw_26</f>
        <v>1404</v>
      </c>
      <c r="E5" s="34" t="n">
        <f aca="false">u_bw_27*g_bw_27</f>
        <v>672</v>
      </c>
      <c r="F5" s="34" t="n">
        <f aca="false">u_bw_28*g_bw_28</f>
        <v>144</v>
      </c>
    </row>
    <row r="6" customFormat="false" ht="15" hidden="false" customHeight="false" outlineLevel="0" collapsed="false">
      <c r="A6" s="0" t="s">
        <v>2767</v>
      </c>
      <c r="B6" s="0" t="s">
        <v>2766</v>
      </c>
      <c r="D6" s="34" t="n">
        <f aca="false">u_rb_26*g_rb_26</f>
        <v>489.6</v>
      </c>
      <c r="E6" s="34" t="n">
        <f aca="false">u_rb_27*g_rb_27</f>
        <v>2016</v>
      </c>
      <c r="F6" s="34" t="n">
        <f aca="false">u_rb_28*g_rb_28</f>
        <v>2016</v>
      </c>
    </row>
    <row r="7" customFormat="false" ht="15" hidden="false" customHeight="false" outlineLevel="0" collapsed="false">
      <c r="A7" s="0" t="s">
        <v>2768</v>
      </c>
      <c r="B7" s="0" t="s">
        <v>2766</v>
      </c>
      <c r="D7" s="34" t="n">
        <f aca="false">u_ru_26*g_ru_26</f>
        <v>0</v>
      </c>
      <c r="E7" s="34" t="n">
        <f aca="false">u_ru_27*g_ru_27</f>
        <v>307.2</v>
      </c>
      <c r="F7" s="34" t="n">
        <f aca="false">u_ru_28*g_ru_28</f>
        <v>2048</v>
      </c>
    </row>
    <row r="8" customFormat="false" ht="17.15" hidden="false" customHeight="false" outlineLevel="0" collapsed="false">
      <c r="A8" s="0" t="s">
        <v>2769</v>
      </c>
      <c r="B8" s="0" t="s">
        <v>2766</v>
      </c>
      <c r="D8" s="34" t="n">
        <f aca="false">u_hp_26*g_hp_26</f>
        <v>70.5</v>
      </c>
      <c r="E8" s="34" t="n">
        <f aca="false">u_hp_27*g_hp_27</f>
        <v>0</v>
      </c>
      <c r="F8" s="34" t="n">
        <f aca="false">u_hp_28*g_hp_28</f>
        <v>0</v>
      </c>
    </row>
    <row r="9" customFormat="false" ht="15" hidden="false" customHeight="false" outlineLevel="0" collapsed="false">
      <c r="A9" s="0" t="s">
        <v>2770</v>
      </c>
      <c r="B9" s="0" t="s">
        <v>2766</v>
      </c>
      <c r="D9" s="34" t="n">
        <f aca="false">u_amd_26*g_amd_26</f>
        <v>216</v>
      </c>
      <c r="E9" s="34" t="n">
        <f aca="false">u_amd_27*g_amd_27</f>
        <v>540</v>
      </c>
      <c r="F9" s="34" t="n">
        <f aca="false">u_amd_28*g_amd_28</f>
        <v>864</v>
      </c>
    </row>
    <row r="10" customFormat="false" ht="15" hidden="false" customHeight="false" outlineLevel="0" collapsed="false">
      <c r="A10" s="0" t="s">
        <v>2771</v>
      </c>
      <c r="B10" s="0" t="s">
        <v>2766</v>
      </c>
      <c r="D10" s="34" t="n">
        <f aca="false">u_tpu_26*g_tpu_26</f>
        <v>739.2</v>
      </c>
      <c r="E10" s="34" t="n">
        <f aca="false">u_tpu_27*g_tpu_27</f>
        <v>1375</v>
      </c>
      <c r="F10" s="34" t="n">
        <f aca="false">u_tpu_28*g_tpu_28</f>
        <v>2016</v>
      </c>
    </row>
    <row r="11" customFormat="false" ht="15" hidden="false" customHeight="false" outlineLevel="0" collapsed="false">
      <c r="A11" s="0" t="s">
        <v>2772</v>
      </c>
      <c r="B11" s="0" t="s">
        <v>2766</v>
      </c>
      <c r="D11" s="34" t="n">
        <f aca="false">u_trn_26*g_trn_26</f>
        <v>220</v>
      </c>
      <c r="E11" s="34" t="n">
        <f aca="false">u_trn_27*g_trn_27</f>
        <v>360</v>
      </c>
      <c r="F11" s="34" t="n">
        <f aca="false">u_trn_28*g_trn_28</f>
        <v>600</v>
      </c>
    </row>
    <row r="12" customFormat="false" ht="17.15" hidden="false" customHeight="false" outlineLevel="0" collapsed="false">
      <c r="A12" s="6" t="s">
        <v>2773</v>
      </c>
      <c r="B12" s="0" t="s">
        <v>2766</v>
      </c>
      <c r="D12" s="34" t="n">
        <f aca="false">u_oth_26*g_oth_26</f>
        <v>150</v>
      </c>
      <c r="E12" s="34" t="n">
        <f aca="false">u_oth_27*g_oth_27</f>
        <v>900</v>
      </c>
      <c r="F12" s="34" t="n">
        <f aca="false">u_oth_28*g_oth_28</f>
        <v>1250</v>
      </c>
    </row>
    <row r="13" customFormat="false" ht="15" hidden="false" customHeight="false" outlineLevel="0" collapsed="false">
      <c r="A13" s="6" t="s">
        <v>2774</v>
      </c>
      <c r="B13" s="0" t="s">
        <v>2121</v>
      </c>
      <c r="D13" s="14" t="n">
        <f aca="false">SUM(D5:D12)/1000</f>
        <v>3.2893</v>
      </c>
      <c r="E13" s="14" t="n">
        <f aca="false">SUM(E5:E12)/1000</f>
        <v>6.1702</v>
      </c>
      <c r="F13" s="14" t="n">
        <f aca="false">SUM(F5:F12)/1000</f>
        <v>8.938</v>
      </c>
      <c r="G13" s="14" t="n">
        <f aca="false">F13*(1+hbm_dem29)</f>
        <v>11.6194</v>
      </c>
    </row>
    <row r="14" customFormat="false" ht="17.15" hidden="false" customHeight="false" outlineLevel="0" collapsed="false">
      <c r="A14" s="6" t="s">
        <v>2775</v>
      </c>
      <c r="B14" s="0" t="s">
        <v>2121</v>
      </c>
      <c r="D14" s="14" t="n">
        <f aca="false">D13*hbm_gross</f>
        <v>3.782695</v>
      </c>
      <c r="E14" s="14" t="n">
        <f aca="false">E13*hbm_gross</f>
        <v>7.09573</v>
      </c>
      <c r="F14" s="14" t="n">
        <f aca="false">F13*hbm_gross</f>
        <v>10.2787</v>
      </c>
      <c r="G14" s="14" t="n">
        <f aca="false">G13*hbm_gross</f>
        <v>13.36231</v>
      </c>
    </row>
    <row r="15" customFormat="false" ht="17.15" hidden="false" customHeight="false" outlineLevel="0" collapsed="false">
      <c r="A15" s="6" t="s">
        <v>2776</v>
      </c>
      <c r="B15" s="6" t="s">
        <v>342</v>
      </c>
      <c r="D15" s="23" t="n">
        <f aca="false">u_bw_26+u_rb_26+u_ru_26+u_hp_26+u_amd_26+u_tpu_26+u_trn_26+u_oth_26</f>
        <v>15.2</v>
      </c>
      <c r="E15" s="23" t="n">
        <f aca="false">u_bw_27+u_rb_27+u_ru_27+u_hp_27+u_amd_27+u_tpu_27+u_trn_27+u_oth_27</f>
        <v>23.7</v>
      </c>
      <c r="F15" s="23" t="n">
        <f aca="false">u_bw_28+u_rb_28+u_ru_28+u_hp_28+u_amd_28+u_tpu_28+u_trn_28+u_oth_28</f>
        <v>26.5</v>
      </c>
      <c r="H15" s="12" t="s">
        <v>2777</v>
      </c>
    </row>
    <row r="16" customFormat="false" ht="17.15" hidden="false" customHeight="false" outlineLevel="0" collapsed="false">
      <c r="A16" s="6" t="s">
        <v>2778</v>
      </c>
      <c r="B16" s="0" t="s">
        <v>353</v>
      </c>
      <c r="D16" s="34" t="n">
        <f aca="false">D13*1000/D15</f>
        <v>216.401315789474</v>
      </c>
      <c r="E16" s="34" t="n">
        <f aca="false">E13*1000/E15</f>
        <v>260.345991561181</v>
      </c>
      <c r="F16" s="34" t="n">
        <f aca="false">F13*1000/F15</f>
        <v>337.283018867925</v>
      </c>
    </row>
    <row r="17" customFormat="false" ht="17.15" hidden="false" customHeight="false" outlineLevel="0" collapsed="false">
      <c r="A17" s="6" t="s">
        <v>2779</v>
      </c>
      <c r="B17" s="0" t="s">
        <v>2121</v>
      </c>
      <c r="C17" s="14" t="n">
        <f aca="false">D17/(1+hbm_g26)</f>
        <v>2.22511470588235</v>
      </c>
      <c r="D17" s="14" t="n">
        <f aca="false">D14</f>
        <v>3.782695</v>
      </c>
      <c r="E17" s="14" t="n">
        <f aca="false">D17*(1+hbm_sup27)</f>
        <v>5.86317725</v>
      </c>
      <c r="F17" s="14" t="n">
        <f aca="false">E17*(1+hbm_sup28)</f>
        <v>8.5016070125</v>
      </c>
      <c r="G17" s="14" t="n">
        <f aca="false">F17*(1+hbm_sup29)</f>
        <v>11.477169466875</v>
      </c>
      <c r="H17" s="12" t="s">
        <v>2780</v>
      </c>
    </row>
    <row r="18" customFormat="false" ht="17.15" hidden="false" customHeight="false" outlineLevel="0" collapsed="false">
      <c r="A18" s="6" t="s">
        <v>2781</v>
      </c>
      <c r="B18" s="0" t="s">
        <v>500</v>
      </c>
      <c r="D18" s="14" t="n">
        <v>1</v>
      </c>
      <c r="E18" s="14" t="n">
        <v>1</v>
      </c>
      <c r="F18" s="14" t="n">
        <f aca="false">um28_A</f>
        <v>1</v>
      </c>
      <c r="G18" s="14" t="n">
        <f aca="false">um29_A</f>
        <v>1</v>
      </c>
      <c r="H18" s="12" t="s">
        <v>2782</v>
      </c>
    </row>
    <row r="19" customFormat="false" ht="17.15" hidden="false" customHeight="false" outlineLevel="0" collapsed="false">
      <c r="A19" s="6" t="s">
        <v>2783</v>
      </c>
      <c r="B19" s="0" t="s">
        <v>500</v>
      </c>
      <c r="D19" s="14" t="n">
        <v>1</v>
      </c>
      <c r="E19" s="14" t="n">
        <v>1</v>
      </c>
      <c r="F19" s="14" t="n">
        <f aca="false">um28_B</f>
        <v>0.8</v>
      </c>
      <c r="G19" s="14" t="n">
        <f aca="false">um29_B</f>
        <v>0.85</v>
      </c>
      <c r="H19" s="12" t="s">
        <v>2782</v>
      </c>
    </row>
    <row r="20" customFormat="false" ht="17.15" hidden="false" customHeight="false" outlineLevel="0" collapsed="false">
      <c r="A20" s="6" t="s">
        <v>2784</v>
      </c>
      <c r="B20" s="0" t="s">
        <v>500</v>
      </c>
      <c r="D20" s="14" t="n">
        <v>1</v>
      </c>
      <c r="E20" s="14" t="n">
        <v>1</v>
      </c>
      <c r="F20" s="14" t="n">
        <f aca="false">um28_C</f>
        <v>0.6</v>
      </c>
      <c r="G20" s="14" t="n">
        <f aca="false">um29_C</f>
        <v>0.6</v>
      </c>
      <c r="H20" s="12" t="s">
        <v>2782</v>
      </c>
    </row>
    <row r="21" customFormat="false" ht="17.15" hidden="false" customHeight="false" outlineLevel="0" collapsed="false">
      <c r="A21" s="6" t="s">
        <v>2785</v>
      </c>
      <c r="B21" s="0" t="s">
        <v>2121</v>
      </c>
      <c r="D21" s="14" t="n">
        <f aca="false">D14*D18</f>
        <v>3.782695</v>
      </c>
      <c r="E21" s="14" t="n">
        <f aca="false">E14*E18</f>
        <v>7.09573</v>
      </c>
      <c r="F21" s="14" t="n">
        <f aca="false">F14*F18</f>
        <v>10.2787</v>
      </c>
      <c r="G21" s="14" t="n">
        <f aca="false">G14*G18</f>
        <v>13.36231</v>
      </c>
    </row>
    <row r="22" customFormat="false" ht="17.15" hidden="false" customHeight="false" outlineLevel="0" collapsed="false">
      <c r="A22" s="6" t="s">
        <v>2786</v>
      </c>
      <c r="B22" s="0" t="s">
        <v>2121</v>
      </c>
      <c r="D22" s="14" t="n">
        <f aca="false">D14*D19</f>
        <v>3.782695</v>
      </c>
      <c r="E22" s="14" t="n">
        <f aca="false">E14*E19</f>
        <v>7.09573</v>
      </c>
      <c r="F22" s="14" t="n">
        <f aca="false">F14*F19</f>
        <v>8.22296</v>
      </c>
      <c r="G22" s="14" t="n">
        <f aca="false">G14*G19</f>
        <v>11.3579635</v>
      </c>
    </row>
    <row r="23" customFormat="false" ht="17.15" hidden="false" customHeight="false" outlineLevel="0" collapsed="false">
      <c r="A23" s="6" t="s">
        <v>2787</v>
      </c>
      <c r="B23" s="0" t="s">
        <v>2121</v>
      </c>
      <c r="D23" s="14" t="n">
        <f aca="false">D14*D20</f>
        <v>3.782695</v>
      </c>
      <c r="E23" s="14" t="n">
        <f aca="false">E14*E20</f>
        <v>7.09573</v>
      </c>
      <c r="F23" s="14" t="n">
        <f aca="false">F14*F20</f>
        <v>6.16722</v>
      </c>
      <c r="G23" s="14" t="n">
        <f aca="false">G14*G20</f>
        <v>8.017386</v>
      </c>
    </row>
    <row r="24" customFormat="false" ht="17.15" hidden="false" customHeight="false" outlineLevel="0" collapsed="false">
      <c r="A24" s="6" t="s">
        <v>2788</v>
      </c>
      <c r="B24" s="0" t="s">
        <v>2121</v>
      </c>
      <c r="C24" s="14" t="n">
        <f aca="false">C17</f>
        <v>2.22511470588235</v>
      </c>
      <c r="D24" s="14" t="n">
        <f aca="false">MIN(D21,D17)</f>
        <v>3.782695</v>
      </c>
      <c r="E24" s="14" t="n">
        <f aca="false">MIN(E21,E17)</f>
        <v>5.86317725</v>
      </c>
      <c r="F24" s="14" t="n">
        <f aca="false">MIN(F21,F17)</f>
        <v>8.5016070125</v>
      </c>
      <c r="G24" s="14" t="n">
        <f aca="false">MIN(G21,G17)</f>
        <v>11.477169466875</v>
      </c>
      <c r="H24" s="6" t="s">
        <v>2789</v>
      </c>
    </row>
    <row r="25" customFormat="false" ht="17.15" hidden="false" customHeight="false" outlineLevel="0" collapsed="false">
      <c r="A25" s="6" t="s">
        <v>2790</v>
      </c>
      <c r="B25" s="0" t="s">
        <v>2121</v>
      </c>
      <c r="C25" s="14" t="n">
        <f aca="false">C17</f>
        <v>2.22511470588235</v>
      </c>
      <c r="D25" s="14" t="n">
        <f aca="false">MIN(D22,D17)</f>
        <v>3.782695</v>
      </c>
      <c r="E25" s="14" t="n">
        <f aca="false">MIN(E22,E17)</f>
        <v>5.86317725</v>
      </c>
      <c r="F25" s="14" t="n">
        <f aca="false">MIN(F22,F17)</f>
        <v>8.22296</v>
      </c>
      <c r="G25" s="14" t="n">
        <f aca="false">MIN(G22,G17)</f>
        <v>11.3579635</v>
      </c>
    </row>
    <row r="26" customFormat="false" ht="17.15" hidden="false" customHeight="false" outlineLevel="0" collapsed="false">
      <c r="A26" s="6" t="s">
        <v>2791</v>
      </c>
      <c r="B26" s="0" t="s">
        <v>2121</v>
      </c>
      <c r="C26" s="14" t="n">
        <f aca="false">C17</f>
        <v>2.22511470588235</v>
      </c>
      <c r="D26" s="14" t="n">
        <f aca="false">MIN(D23,D17)</f>
        <v>3.782695</v>
      </c>
      <c r="E26" s="14" t="n">
        <f aca="false">MIN(E23,E17)</f>
        <v>5.86317725</v>
      </c>
      <c r="F26" s="14" t="n">
        <f aca="false">MIN(F23,F17)</f>
        <v>6.16722</v>
      </c>
      <c r="G26" s="14" t="n">
        <f aca="false">MIN(G23,G17)</f>
        <v>8.017386</v>
      </c>
    </row>
    <row r="27" customFormat="false" ht="17.15" hidden="false" customHeight="false" outlineLevel="0" collapsed="false">
      <c r="A27" s="6" t="s">
        <v>2792</v>
      </c>
      <c r="B27" s="0" t="s">
        <v>2121</v>
      </c>
      <c r="D27" s="14" t="n">
        <f aca="false">D21-D17</f>
        <v>0</v>
      </c>
      <c r="E27" s="14" t="n">
        <f aca="false">E21-E17</f>
        <v>1.23255275</v>
      </c>
      <c r="F27" s="14" t="n">
        <f aca="false">F21-F17</f>
        <v>1.7770929875</v>
      </c>
      <c r="G27" s="14" t="n">
        <f aca="false">G21-G17</f>
        <v>1.885140533125</v>
      </c>
    </row>
    <row r="28" customFormat="false" ht="17.15" hidden="false" customHeight="false" outlineLevel="0" collapsed="false">
      <c r="A28" s="6" t="s">
        <v>2793</v>
      </c>
      <c r="B28" s="0" t="s">
        <v>2121</v>
      </c>
      <c r="D28" s="14" t="n">
        <f aca="false">D22-D17</f>
        <v>0</v>
      </c>
      <c r="E28" s="14" t="n">
        <f aca="false">E22-E17</f>
        <v>1.23255275</v>
      </c>
      <c r="F28" s="14" t="n">
        <f aca="false">F22-F17</f>
        <v>-0.278647012499999</v>
      </c>
      <c r="G28" s="14" t="n">
        <f aca="false">G22-G17</f>
        <v>-0.119205966875001</v>
      </c>
    </row>
    <row r="29" customFormat="false" ht="17.15" hidden="false" customHeight="false" outlineLevel="0" collapsed="false">
      <c r="A29" s="6" t="s">
        <v>2794</v>
      </c>
      <c r="B29" s="0" t="s">
        <v>2121</v>
      </c>
      <c r="D29" s="14" t="n">
        <f aca="false">D23-D17</f>
        <v>0</v>
      </c>
      <c r="E29" s="14" t="n">
        <f aca="false">E23-E17</f>
        <v>1.23255275</v>
      </c>
      <c r="F29" s="14" t="n">
        <f aca="false">F23-F17</f>
        <v>-2.3343870125</v>
      </c>
      <c r="G29" s="14" t="n">
        <f aca="false">G23-G17</f>
        <v>-3.459783466875</v>
      </c>
    </row>
    <row r="30" customFormat="false" ht="17.15" hidden="false" customHeight="false" outlineLevel="0" collapsed="false">
      <c r="A30" s="0" t="s">
        <v>2795</v>
      </c>
      <c r="B30" s="0" t="s">
        <v>542</v>
      </c>
      <c r="C30" s="14" t="n">
        <f aca="false">hbm_mkt25/C24</f>
        <v>15.7295261711557</v>
      </c>
      <c r="D30" s="14" t="n">
        <f aca="false">hbm_p26</f>
        <v>14.6</v>
      </c>
      <c r="E30" s="14" t="n">
        <f aca="false">D30*(1+hbm_p27)</f>
        <v>26.28</v>
      </c>
      <c r="F30" s="14" t="n">
        <f aca="false">E30*(1+hbm_p28_A)</f>
        <v>28.908</v>
      </c>
      <c r="G30" s="12" t="n">
        <f aca="false">F30*(1+hbm_p29_A)</f>
        <v>27.4626</v>
      </c>
    </row>
    <row r="31" customFormat="false" ht="17.15" hidden="false" customHeight="false" outlineLevel="0" collapsed="false">
      <c r="A31" s="0" t="s">
        <v>2796</v>
      </c>
      <c r="B31" s="0" t="s">
        <v>542</v>
      </c>
      <c r="C31" s="14" t="n">
        <f aca="false">hbm_mkt25/C24</f>
        <v>15.7295261711557</v>
      </c>
      <c r="D31" s="14" t="n">
        <f aca="false">hbm_p26</f>
        <v>14.6</v>
      </c>
      <c r="E31" s="14" t="n">
        <f aca="false">D31*(1+hbm_p27)</f>
        <v>26.28</v>
      </c>
      <c r="F31" s="14" t="n">
        <f aca="false">E31*(1+hbm_p28_B)</f>
        <v>19.71</v>
      </c>
      <c r="G31" s="12" t="n">
        <f aca="false">F31*(1+hbm_p29_B)</f>
        <v>19.71</v>
      </c>
    </row>
    <row r="32" customFormat="false" ht="17.15" hidden="false" customHeight="false" outlineLevel="0" collapsed="false">
      <c r="A32" s="0" t="s">
        <v>2797</v>
      </c>
      <c r="B32" s="0" t="s">
        <v>542</v>
      </c>
      <c r="C32" s="14" t="n">
        <f aca="false">hbm_mkt25/C24</f>
        <v>15.7295261711557</v>
      </c>
      <c r="D32" s="14" t="n">
        <f aca="false">hbm_p26</f>
        <v>14.6</v>
      </c>
      <c r="E32" s="14" t="n">
        <f aca="false">D32*(1+hbm_p27)</f>
        <v>26.28</v>
      </c>
      <c r="F32" s="14" t="n">
        <f aca="false">E32*(1+hbm_p28_C)</f>
        <v>15.768</v>
      </c>
      <c r="G32" s="12" t="n">
        <f aca="false">F32*(1+hbm_p29_C)</f>
        <v>16.5564</v>
      </c>
    </row>
    <row r="33" customFormat="false" ht="17.15" hidden="false" customHeight="false" outlineLevel="0" collapsed="false">
      <c r="A33" s="0" t="s">
        <v>2798</v>
      </c>
      <c r="B33" s="0" t="s">
        <v>521</v>
      </c>
      <c r="C33" s="23" t="n">
        <f aca="false">C24*C30</f>
        <v>35</v>
      </c>
      <c r="D33" s="23" t="n">
        <f aca="false">D24*D30</f>
        <v>55.227347</v>
      </c>
      <c r="E33" s="23" t="n">
        <f aca="false">E24*E30</f>
        <v>154.08429813</v>
      </c>
      <c r="F33" s="23" t="n">
        <f aca="false">F24*F30</f>
        <v>245.76445551735</v>
      </c>
      <c r="G33" s="23" t="n">
        <f aca="false">G24*G30</f>
        <v>315.192914201001</v>
      </c>
    </row>
    <row r="34" customFormat="false" ht="17.15" hidden="false" customHeight="false" outlineLevel="0" collapsed="false">
      <c r="A34" s="0" t="s">
        <v>2799</v>
      </c>
      <c r="B34" s="0" t="s">
        <v>521</v>
      </c>
      <c r="C34" s="23" t="n">
        <f aca="false">C25*C31</f>
        <v>35</v>
      </c>
      <c r="D34" s="23" t="n">
        <f aca="false">D25*D31</f>
        <v>55.227347</v>
      </c>
      <c r="E34" s="23" t="n">
        <f aca="false">E25*E31</f>
        <v>154.08429813</v>
      </c>
      <c r="F34" s="23" t="n">
        <f aca="false">F25*F31</f>
        <v>162.0745416</v>
      </c>
      <c r="G34" s="23" t="n">
        <f aca="false">G25*G31</f>
        <v>223.865460585</v>
      </c>
    </row>
    <row r="35" customFormat="false" ht="17.15" hidden="false" customHeight="false" outlineLevel="0" collapsed="false">
      <c r="A35" s="0" t="s">
        <v>2800</v>
      </c>
      <c r="B35" s="0" t="s">
        <v>521</v>
      </c>
      <c r="C35" s="23" t="n">
        <f aca="false">C26*C32</f>
        <v>35</v>
      </c>
      <c r="D35" s="23" t="n">
        <f aca="false">D26*D32</f>
        <v>55.227347</v>
      </c>
      <c r="E35" s="23" t="n">
        <f aca="false">E26*E32</f>
        <v>154.08429813</v>
      </c>
      <c r="F35" s="23" t="n">
        <f aca="false">F26*F32</f>
        <v>97.24472496</v>
      </c>
      <c r="G35" s="23" t="n">
        <f aca="false">G26*G32</f>
        <v>132.7390495704</v>
      </c>
    </row>
    <row r="37" customFormat="false" ht="17.15" hidden="false" customHeight="false" outlineLevel="0" collapsed="false">
      <c r="A37" s="9" t="s">
        <v>2801</v>
      </c>
    </row>
    <row r="38" customFormat="false" ht="17.15" hidden="false" customHeight="false" outlineLevel="0" collapsed="false">
      <c r="A38" s="6" t="s">
        <v>2802</v>
      </c>
      <c r="B38" s="0" t="s">
        <v>521</v>
      </c>
      <c r="D38" s="23" t="n">
        <f aca="false">(D5+D6+D7+D8)/1000*hbm_p26</f>
        <v>28.67586</v>
      </c>
    </row>
    <row r="39" customFormat="false" ht="17.15" hidden="false" customHeight="false" outlineLevel="0" collapsed="false">
      <c r="A39" s="6" t="s">
        <v>2803</v>
      </c>
      <c r="B39" s="0" t="s">
        <v>521</v>
      </c>
      <c r="D39" s="23" t="n">
        <f aca="false">nv_dc26*nv_hbm/nv_content</f>
        <v>38.9728971962617</v>
      </c>
      <c r="H39" s="6" t="s">
        <v>2804</v>
      </c>
    </row>
    <row r="40" customFormat="false" ht="15" hidden="false" customHeight="false" outlineLevel="0" collapsed="false">
      <c r="A40" s="6" t="s">
        <v>2805</v>
      </c>
      <c r="B40" s="0" t="s">
        <v>66</v>
      </c>
      <c r="D40" s="15" t="n">
        <f aca="false">D38/D39-1</f>
        <v>-0.264210205990264</v>
      </c>
    </row>
    <row r="41" customFormat="false" ht="17.15" hidden="false" customHeight="false" outlineLevel="0" collapsed="false">
      <c r="A41" s="6" t="s">
        <v>2806</v>
      </c>
      <c r="B41" s="6" t="s">
        <v>342</v>
      </c>
      <c r="D41" s="23" t="n">
        <f aca="false">nv_dc26/nv_content</f>
        <v>8.73831775700935</v>
      </c>
      <c r="E41" s="23" t="n">
        <f aca="false">u_bw_26+u_rb_26+u_hp_26</f>
        <v>7.6</v>
      </c>
      <c r="H41" s="12" t="s">
        <v>2807</v>
      </c>
    </row>
    <row r="42" customFormat="false" ht="17.15" hidden="false" customHeight="false" outlineLevel="0" collapsed="false">
      <c r="A42" s="6" t="s">
        <v>2808</v>
      </c>
      <c r="B42" s="0" t="s">
        <v>521</v>
      </c>
      <c r="D42" s="23" t="n">
        <f aca="false">pub26_lo</f>
        <v>54.6</v>
      </c>
      <c r="E42" s="23" t="n">
        <f aca="false">pub26_hi</f>
        <v>77.4</v>
      </c>
      <c r="F42" s="23" t="n">
        <f aca="false">pub27</f>
        <v>152.8</v>
      </c>
    </row>
    <row r="43" customFormat="false" ht="17.15" hidden="false" customHeight="false" outlineLevel="0" collapsed="false">
      <c r="A43" s="6" t="s">
        <v>2809</v>
      </c>
      <c r="B43" s="0" t="s">
        <v>66</v>
      </c>
      <c r="D43" s="15" t="n">
        <f aca="false">D33/pub26_lo-1</f>
        <v>0.0114898717948717</v>
      </c>
      <c r="F43" s="15" t="n">
        <f aca="false">E33/pub27-1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6" min="4" style="0" width="9"/>
    <col collapsed="false" customWidth="true" hidden="false" outlineLevel="0" max="7" min="7" style="0" width="10"/>
    <col collapsed="false" customWidth="true" hidden="false" outlineLevel="0" max="8" min="8" style="0" width="20"/>
    <col collapsed="false" customWidth="true" hidden="false" outlineLevel="0" max="9" min="9" style="0" width="34"/>
    <col collapsed="false" customWidth="true" hidden="false" outlineLevel="0" max="12" min="10" style="0" width="9"/>
    <col collapsed="false" customWidth="true" hidden="false" outlineLevel="0" max="13" min="13" style="0" width="8"/>
  </cols>
  <sheetData>
    <row r="1" customFormat="false" ht="17.15" hidden="false" customHeight="false" outlineLevel="0" collapsed="false">
      <c r="A1" s="0" t="s">
        <v>2810</v>
      </c>
    </row>
    <row r="2" customFormat="false" ht="17.15" hidden="false" customHeight="false" outlineLevel="0" collapsed="false">
      <c r="A2" s="6" t="s">
        <v>2811</v>
      </c>
    </row>
    <row r="4" customFormat="false" ht="17.15" hidden="false" customHeight="false" outlineLevel="0" collapsed="false">
      <c r="A4" s="4" t="s">
        <v>2812</v>
      </c>
      <c r="B4" s="4" t="s">
        <v>2813</v>
      </c>
      <c r="C4" s="4" t="s">
        <v>2814</v>
      </c>
      <c r="D4" s="4" t="s">
        <v>56</v>
      </c>
      <c r="E4" s="4" t="s">
        <v>57</v>
      </c>
      <c r="F4" s="4" t="s">
        <v>58</v>
      </c>
      <c r="G4" s="4" t="s">
        <v>55</v>
      </c>
      <c r="H4" s="5" t="s">
        <v>2815</v>
      </c>
      <c r="I4" s="4" t="s">
        <v>2816</v>
      </c>
      <c r="J4" s="4" t="s">
        <v>2817</v>
      </c>
      <c r="K4" s="4" t="s">
        <v>2818</v>
      </c>
      <c r="L4" s="4" t="s">
        <v>2819</v>
      </c>
      <c r="M4" s="4" t="s">
        <v>2820</v>
      </c>
    </row>
    <row r="5" customFormat="false" ht="17.15" hidden="false" customHeight="false" outlineLevel="0" collapsed="false">
      <c r="A5" s="0" t="s">
        <v>2821</v>
      </c>
      <c r="B5" s="0" t="s">
        <v>2822</v>
      </c>
      <c r="C5" s="0" t="s">
        <v>2823</v>
      </c>
      <c r="D5" s="35" t="n">
        <v>22439</v>
      </c>
      <c r="E5" s="35" t="n">
        <v>22439</v>
      </c>
      <c r="F5" s="35" t="n">
        <v>22439</v>
      </c>
      <c r="G5" s="6" t="s">
        <v>2824</v>
      </c>
      <c r="H5" s="12" t="s">
        <v>2825</v>
      </c>
      <c r="I5" s="12" t="s">
        <v>2826</v>
      </c>
      <c r="J5" s="0" t="n">
        <v>22439</v>
      </c>
      <c r="K5" s="0" t="n">
        <v>22439</v>
      </c>
      <c r="L5" s="0" t="n">
        <v>22439</v>
      </c>
      <c r="M5" s="12" t="n">
        <f aca="false">(ABS(D5-J5)&gt;0.000000001)+(ABS(E5-K5)&gt;0.000000001)+(ABS(F5-L5)&gt;0.000000001)</f>
        <v>0</v>
      </c>
    </row>
    <row r="6" customFormat="false" ht="17.15" hidden="false" customHeight="false" outlineLevel="0" collapsed="false">
      <c r="A6" s="0" t="s">
        <v>2821</v>
      </c>
      <c r="B6" s="0" t="s">
        <v>2827</v>
      </c>
      <c r="C6" s="0" t="s">
        <v>2828</v>
      </c>
      <c r="D6" s="35" t="n">
        <v>6969</v>
      </c>
      <c r="E6" s="35" t="n">
        <v>6969</v>
      </c>
      <c r="F6" s="35" t="n">
        <v>6969</v>
      </c>
      <c r="G6" s="6" t="s">
        <v>2824</v>
      </c>
      <c r="H6" s="12" t="s">
        <v>2825</v>
      </c>
      <c r="I6" s="12" t="s">
        <v>2826</v>
      </c>
      <c r="J6" s="0" t="n">
        <v>6969</v>
      </c>
      <c r="K6" s="0" t="n">
        <v>6969</v>
      </c>
      <c r="L6" s="0" t="n">
        <v>6969</v>
      </c>
      <c r="M6" s="12" t="n">
        <f aca="false">(ABS(D6-J6)&gt;0.000000001)+(ABS(E6-K6)&gt;0.000000001)+(ABS(F6-L6)&gt;0.000000001)</f>
        <v>0</v>
      </c>
    </row>
    <row r="7" customFormat="false" ht="17.15" hidden="false" customHeight="false" outlineLevel="0" collapsed="false">
      <c r="A7" s="0" t="s">
        <v>2821</v>
      </c>
      <c r="B7" s="0" t="s">
        <v>2829</v>
      </c>
      <c r="C7" s="0" t="s">
        <v>2830</v>
      </c>
      <c r="D7" s="35" t="n">
        <v>6764</v>
      </c>
      <c r="E7" s="35" t="n">
        <v>6764</v>
      </c>
      <c r="F7" s="35" t="n">
        <v>6764</v>
      </c>
      <c r="G7" s="6" t="s">
        <v>2824</v>
      </c>
      <c r="H7" s="12" t="s">
        <v>2825</v>
      </c>
      <c r="I7" s="12" t="s">
        <v>2826</v>
      </c>
      <c r="J7" s="0" t="n">
        <v>6764</v>
      </c>
      <c r="K7" s="0" t="n">
        <v>6764</v>
      </c>
      <c r="L7" s="0" t="n">
        <v>6764</v>
      </c>
      <c r="M7" s="12" t="n">
        <f aca="false">(ABS(D7-J7)&gt;0.000000001)+(ABS(E7-K7)&gt;0.000000001)+(ABS(F7-L7)&gt;0.000000001)</f>
        <v>0</v>
      </c>
    </row>
    <row r="8" customFormat="false" ht="17.15" hidden="false" customHeight="false" outlineLevel="0" collapsed="false">
      <c r="A8" s="0" t="s">
        <v>2821</v>
      </c>
      <c r="B8" s="0" t="s">
        <v>2831</v>
      </c>
      <c r="C8" s="0" t="s">
        <v>2832</v>
      </c>
      <c r="D8" s="35" t="n">
        <v>4052</v>
      </c>
      <c r="E8" s="35" t="n">
        <v>4052</v>
      </c>
      <c r="F8" s="35" t="n">
        <v>4052</v>
      </c>
      <c r="G8" s="6" t="s">
        <v>2824</v>
      </c>
      <c r="H8" s="12" t="s">
        <v>2825</v>
      </c>
      <c r="I8" s="12" t="s">
        <v>2826</v>
      </c>
      <c r="J8" s="0" t="n">
        <v>4052</v>
      </c>
      <c r="K8" s="0" t="n">
        <v>4052</v>
      </c>
      <c r="L8" s="0" t="n">
        <v>4052</v>
      </c>
      <c r="M8" s="12" t="n">
        <f aca="false">(ABS(D8-J8)&gt;0.000000001)+(ABS(E8-K8)&gt;0.000000001)+(ABS(F8-L8)&gt;0.000000001)</f>
        <v>0</v>
      </c>
    </row>
    <row r="9" customFormat="false" ht="17.15" hidden="false" customHeight="false" outlineLevel="0" collapsed="false">
      <c r="A9" s="0" t="s">
        <v>2821</v>
      </c>
      <c r="B9" s="0" t="s">
        <v>2833</v>
      </c>
      <c r="C9" s="0" t="s">
        <v>2834</v>
      </c>
      <c r="D9" s="35" t="n">
        <v>2705</v>
      </c>
      <c r="E9" s="35" t="n">
        <v>2705</v>
      </c>
      <c r="F9" s="35" t="n">
        <v>2705</v>
      </c>
      <c r="G9" s="6" t="s">
        <v>2824</v>
      </c>
      <c r="H9" s="12" t="s">
        <v>2825</v>
      </c>
      <c r="I9" s="12" t="s">
        <v>2826</v>
      </c>
      <c r="J9" s="0" t="n">
        <v>2705</v>
      </c>
      <c r="K9" s="0" t="n">
        <v>2705</v>
      </c>
      <c r="L9" s="0" t="n">
        <v>2705</v>
      </c>
      <c r="M9" s="12" t="n">
        <f aca="false">(ABS(D9-J9)&gt;0.000000001)+(ABS(E9-K9)&gt;0.000000001)+(ABS(F9-L9)&gt;0.000000001)</f>
        <v>0</v>
      </c>
    </row>
    <row r="10" customFormat="false" ht="15" hidden="false" customHeight="false" outlineLevel="0" collapsed="false">
      <c r="A10" s="0" t="s">
        <v>2835</v>
      </c>
      <c r="B10" s="0" t="s">
        <v>2822</v>
      </c>
      <c r="C10" s="0" t="s">
        <v>2836</v>
      </c>
      <c r="D10" s="35" t="n">
        <v>718048</v>
      </c>
      <c r="E10" s="35" t="n">
        <v>718048</v>
      </c>
      <c r="F10" s="35" t="n">
        <v>718048</v>
      </c>
      <c r="G10" s="6" t="s">
        <v>2837</v>
      </c>
      <c r="H10" s="12" t="s">
        <v>2838</v>
      </c>
      <c r="I10" s="12" t="s">
        <v>2839</v>
      </c>
      <c r="J10" s="0" t="n">
        <v>718048</v>
      </c>
      <c r="K10" s="0" t="n">
        <v>718048</v>
      </c>
      <c r="L10" s="0" t="n">
        <v>718048</v>
      </c>
      <c r="M10" s="12" t="n">
        <f aca="false">(ABS(D10-J10)&gt;0.000000001)+(ABS(E10-K10)&gt;0.000000001)+(ABS(F10-L10)&gt;0.000000001)</f>
        <v>0</v>
      </c>
    </row>
    <row r="11" customFormat="false" ht="15" hidden="false" customHeight="false" outlineLevel="0" collapsed="false">
      <c r="A11" s="0" t="s">
        <v>2835</v>
      </c>
      <c r="B11" s="0" t="s">
        <v>2827</v>
      </c>
      <c r="C11" s="0" t="s">
        <v>2840</v>
      </c>
      <c r="D11" s="35" t="n">
        <v>501768</v>
      </c>
      <c r="E11" s="35" t="n">
        <v>501768</v>
      </c>
      <c r="F11" s="35" t="n">
        <v>501768</v>
      </c>
      <c r="G11" s="6" t="s">
        <v>2837</v>
      </c>
      <c r="H11" s="12" t="s">
        <v>2838</v>
      </c>
      <c r="I11" s="12" t="s">
        <v>2839</v>
      </c>
      <c r="J11" s="0" t="n">
        <v>501768</v>
      </c>
      <c r="K11" s="0" t="n">
        <v>501768</v>
      </c>
      <c r="L11" s="0" t="n">
        <v>501768</v>
      </c>
      <c r="M11" s="12" t="n">
        <f aca="false">(ABS(D11-J11)&gt;0.000000001)+(ABS(E11-K11)&gt;0.000000001)+(ABS(F11-L11)&gt;0.000000001)</f>
        <v>0</v>
      </c>
    </row>
    <row r="12" customFormat="false" ht="15" hidden="false" customHeight="false" outlineLevel="0" collapsed="false">
      <c r="A12" s="0" t="s">
        <v>2835</v>
      </c>
      <c r="B12" s="0" t="s">
        <v>2829</v>
      </c>
      <c r="C12" s="0" t="s">
        <v>2841</v>
      </c>
      <c r="D12" s="35" t="n">
        <v>487008</v>
      </c>
      <c r="E12" s="35" t="n">
        <v>487008</v>
      </c>
      <c r="F12" s="35" t="n">
        <v>487008</v>
      </c>
      <c r="G12" s="6" t="s">
        <v>2837</v>
      </c>
      <c r="H12" s="12" t="s">
        <v>2838</v>
      </c>
      <c r="I12" s="12" t="s">
        <v>2839</v>
      </c>
      <c r="J12" s="0" t="n">
        <v>487008</v>
      </c>
      <c r="K12" s="0" t="n">
        <v>487008</v>
      </c>
      <c r="L12" s="0" t="n">
        <v>487008</v>
      </c>
      <c r="M12" s="12" t="n">
        <f aca="false">(ABS(D12-J12)&gt;0.000000001)+(ABS(E12-K12)&gt;0.000000001)+(ABS(F12-L12)&gt;0.000000001)</f>
        <v>0</v>
      </c>
    </row>
    <row r="13" customFormat="false" ht="15" hidden="false" customHeight="false" outlineLevel="0" collapsed="false">
      <c r="A13" s="0" t="s">
        <v>2835</v>
      </c>
      <c r="B13" s="0" t="s">
        <v>2831</v>
      </c>
      <c r="C13" s="0" t="s">
        <v>2842</v>
      </c>
      <c r="D13" s="35" t="n">
        <v>291744</v>
      </c>
      <c r="E13" s="35" t="n">
        <v>291744</v>
      </c>
      <c r="F13" s="35" t="n">
        <v>291744</v>
      </c>
      <c r="G13" s="6" t="s">
        <v>2837</v>
      </c>
      <c r="H13" s="12" t="s">
        <v>2838</v>
      </c>
      <c r="I13" s="12" t="s">
        <v>2839</v>
      </c>
      <c r="J13" s="0" t="n">
        <v>291744</v>
      </c>
      <c r="K13" s="0" t="n">
        <v>291744</v>
      </c>
      <c r="L13" s="0" t="n">
        <v>291744</v>
      </c>
      <c r="M13" s="12" t="n">
        <f aca="false">(ABS(D13-J13)&gt;0.000000001)+(ABS(E13-K13)&gt;0.000000001)+(ABS(F13-L13)&gt;0.000000001)</f>
        <v>0</v>
      </c>
    </row>
    <row r="14" customFormat="false" ht="17.15" hidden="false" customHeight="false" outlineLevel="0" collapsed="false">
      <c r="A14" s="0" t="s">
        <v>2835</v>
      </c>
      <c r="B14" s="0" t="s">
        <v>2833</v>
      </c>
      <c r="C14" s="0" t="s">
        <v>2843</v>
      </c>
      <c r="D14" s="35" t="n">
        <v>194760</v>
      </c>
      <c r="E14" s="35" t="n">
        <v>194760</v>
      </c>
      <c r="F14" s="35" t="n">
        <v>194760</v>
      </c>
      <c r="G14" s="6" t="s">
        <v>2837</v>
      </c>
      <c r="H14" s="12" t="s">
        <v>2838</v>
      </c>
      <c r="I14" s="12" t="s">
        <v>2839</v>
      </c>
      <c r="J14" s="0" t="n">
        <v>194760</v>
      </c>
      <c r="K14" s="0" t="n">
        <v>194760</v>
      </c>
      <c r="L14" s="0" t="n">
        <v>194760</v>
      </c>
      <c r="M14" s="12" t="n">
        <f aca="false">(ABS(D14-J14)&gt;0.000000001)+(ABS(E14-K14)&gt;0.000000001)+(ABS(F14-L14)&gt;0.000000001)</f>
        <v>0</v>
      </c>
    </row>
    <row r="15" customFormat="false" ht="17.15" hidden="false" customHeight="false" outlineLevel="0" collapsed="false">
      <c r="A15" s="0" t="s">
        <v>2844</v>
      </c>
      <c r="B15" s="0" t="s">
        <v>2822</v>
      </c>
      <c r="C15" s="0" t="s">
        <v>2845</v>
      </c>
      <c r="D15" s="35" t="n">
        <v>21.4202694</v>
      </c>
      <c r="E15" s="35" t="n">
        <v>27.510214</v>
      </c>
      <c r="F15" s="35" t="n">
        <v>34.1207434</v>
      </c>
      <c r="G15" s="12" t="s">
        <v>521</v>
      </c>
      <c r="H15" s="12" t="s">
        <v>2846</v>
      </c>
      <c r="I15" s="12" t="s">
        <v>2847</v>
      </c>
      <c r="J15" s="0" t="n">
        <v>21.4202694</v>
      </c>
      <c r="K15" s="0" t="n">
        <v>27.510214</v>
      </c>
      <c r="L15" s="0" t="n">
        <v>34.1207434</v>
      </c>
      <c r="M15" s="12" t="n">
        <f aca="false">(ABS(D15-J15)&gt;0.000000001)+(ABS(E15-K15)&gt;0.000000001)+(ABS(F15-L15)&gt;0.000000001)</f>
        <v>0</v>
      </c>
    </row>
    <row r="16" customFormat="false" ht="17.15" hidden="false" customHeight="false" outlineLevel="0" collapsed="false">
      <c r="A16" s="0" t="s">
        <v>2844</v>
      </c>
      <c r="B16" s="0" t="s">
        <v>2827</v>
      </c>
      <c r="C16" s="0" t="s">
        <v>2848</v>
      </c>
      <c r="D16" s="35" t="n">
        <v>20.6393904</v>
      </c>
      <c r="E16" s="35" t="n">
        <v>24.015174</v>
      </c>
      <c r="F16" s="35" t="n">
        <v>27.6502044</v>
      </c>
      <c r="G16" s="12" t="s">
        <v>521</v>
      </c>
      <c r="H16" s="12" t="s">
        <v>2846</v>
      </c>
      <c r="I16" s="12" t="s">
        <v>2847</v>
      </c>
      <c r="J16" s="0" t="n">
        <v>20.6393904</v>
      </c>
      <c r="K16" s="0" t="n">
        <v>24.015174</v>
      </c>
      <c r="L16" s="0" t="n">
        <v>27.6502044</v>
      </c>
      <c r="M16" s="12" t="n">
        <f aca="false">(ABS(D16-J16)&gt;0.000000001)+(ABS(E16-K16)&gt;0.000000001)+(ABS(F16-L16)&gt;0.000000001)</f>
        <v>0</v>
      </c>
    </row>
    <row r="17" customFormat="false" ht="17.15" hidden="false" customHeight="false" outlineLevel="0" collapsed="false">
      <c r="A17" s="0" t="s">
        <v>2844</v>
      </c>
      <c r="B17" s="0" t="s">
        <v>2829</v>
      </c>
      <c r="C17" s="0" t="s">
        <v>2849</v>
      </c>
      <c r="D17" s="35" t="n">
        <v>28.5549024</v>
      </c>
      <c r="E17" s="35" t="n">
        <v>32.237224</v>
      </c>
      <c r="F17" s="35" t="n">
        <v>39.2826064</v>
      </c>
      <c r="G17" s="12" t="s">
        <v>521</v>
      </c>
      <c r="H17" s="12" t="s">
        <v>2846</v>
      </c>
      <c r="I17" s="12" t="s">
        <v>2847</v>
      </c>
      <c r="J17" s="0" t="n">
        <v>28.5549024</v>
      </c>
      <c r="K17" s="0" t="n">
        <v>32.237224</v>
      </c>
      <c r="L17" s="0" t="n">
        <v>39.2826064</v>
      </c>
      <c r="M17" s="12" t="n">
        <f aca="false">(ABS(D17-J17)&gt;0.000000001)+(ABS(E17-K17)&gt;0.000000001)+(ABS(F17-L17)&gt;0.000000001)</f>
        <v>0</v>
      </c>
    </row>
    <row r="18" customFormat="false" ht="17.15" hidden="false" customHeight="false" outlineLevel="0" collapsed="false">
      <c r="A18" s="0" t="s">
        <v>2844</v>
      </c>
      <c r="B18" s="0" t="s">
        <v>2831</v>
      </c>
      <c r="C18" s="0" t="s">
        <v>2850</v>
      </c>
      <c r="D18" s="35" t="n">
        <v>31.9970232</v>
      </c>
      <c r="E18" s="35" t="n">
        <v>37.586352</v>
      </c>
      <c r="F18" s="35" t="n">
        <v>42.6375752</v>
      </c>
      <c r="G18" s="12" t="s">
        <v>521</v>
      </c>
      <c r="H18" s="12" t="s">
        <v>2846</v>
      </c>
      <c r="I18" s="12" t="s">
        <v>2847</v>
      </c>
      <c r="J18" s="0" t="n">
        <v>31.9970232</v>
      </c>
      <c r="K18" s="0" t="n">
        <v>37.586352</v>
      </c>
      <c r="L18" s="0" t="n">
        <v>42.6375752</v>
      </c>
      <c r="M18" s="12" t="n">
        <f aca="false">(ABS(D18-J18)&gt;0.000000001)+(ABS(E18-K18)&gt;0.000000001)+(ABS(F18-L18)&gt;0.000000001)</f>
        <v>0</v>
      </c>
    </row>
    <row r="19" customFormat="false" ht="17.15" hidden="false" customHeight="false" outlineLevel="0" collapsed="false">
      <c r="A19" s="0" t="s">
        <v>2844</v>
      </c>
      <c r="B19" s="0" t="s">
        <v>2833</v>
      </c>
      <c r="C19" s="0" t="s">
        <v>2851</v>
      </c>
      <c r="D19" s="35" t="n">
        <v>35.845578</v>
      </c>
      <c r="E19" s="35" t="n">
        <v>50.08578</v>
      </c>
      <c r="F19" s="35" t="n">
        <v>65.481558</v>
      </c>
      <c r="G19" s="12" t="s">
        <v>521</v>
      </c>
      <c r="H19" s="12" t="s">
        <v>2846</v>
      </c>
      <c r="I19" s="12" t="s">
        <v>2847</v>
      </c>
      <c r="J19" s="0" t="n">
        <v>35.845578</v>
      </c>
      <c r="K19" s="0" t="n">
        <v>50.08578</v>
      </c>
      <c r="L19" s="0" t="n">
        <v>65.481558</v>
      </c>
      <c r="M19" s="12" t="n">
        <f aca="false">(ABS(D19-J19)&gt;0.000000001)+(ABS(E19-K19)&gt;0.000000001)+(ABS(F19-L19)&gt;0.000000001)</f>
        <v>0</v>
      </c>
    </row>
    <row r="20" customFormat="false" ht="15" hidden="false" customHeight="false" outlineLevel="0" collapsed="false">
      <c r="A20" s="0" t="s">
        <v>2852</v>
      </c>
      <c r="B20" s="0" t="s">
        <v>2822</v>
      </c>
      <c r="C20" s="0" t="s">
        <v>2853</v>
      </c>
      <c r="D20" s="35" t="n">
        <v>10.212</v>
      </c>
      <c r="E20" s="35" t="n">
        <v>12.67</v>
      </c>
      <c r="F20" s="35" t="n">
        <v>16.186</v>
      </c>
      <c r="G20" s="12" t="s">
        <v>521</v>
      </c>
      <c r="H20" s="12" t="s">
        <v>2854</v>
      </c>
      <c r="I20" s="12" t="s">
        <v>2839</v>
      </c>
      <c r="J20" s="0" t="n">
        <v>10.212</v>
      </c>
      <c r="K20" s="0" t="n">
        <v>12.67</v>
      </c>
      <c r="L20" s="0" t="n">
        <v>16.186</v>
      </c>
      <c r="M20" s="12" t="n">
        <f aca="false">(ABS(D20-J20)&gt;0.000000001)+(ABS(E20-K20)&gt;0.000000001)+(ABS(F20-L20)&gt;0.000000001)</f>
        <v>0</v>
      </c>
    </row>
    <row r="21" customFormat="false" ht="15" hidden="false" customHeight="false" outlineLevel="0" collapsed="false">
      <c r="A21" s="0" t="s">
        <v>2852</v>
      </c>
      <c r="B21" s="0" t="s">
        <v>2827</v>
      </c>
      <c r="C21" s="0" t="s">
        <v>2855</v>
      </c>
      <c r="D21" s="35" t="n">
        <v>10.212</v>
      </c>
      <c r="E21" s="35" t="n">
        <v>12.67</v>
      </c>
      <c r="F21" s="35" t="n">
        <v>16.186</v>
      </c>
      <c r="G21" s="12" t="s">
        <v>521</v>
      </c>
      <c r="H21" s="12" t="s">
        <v>2854</v>
      </c>
      <c r="I21" s="12" t="s">
        <v>2839</v>
      </c>
      <c r="J21" s="0" t="n">
        <v>10.212</v>
      </c>
      <c r="K21" s="0" t="n">
        <v>12.67</v>
      </c>
      <c r="L21" s="0" t="n">
        <v>16.186</v>
      </c>
      <c r="M21" s="12" t="n">
        <f aca="false">(ABS(D21-J21)&gt;0.000000001)+(ABS(E21-K21)&gt;0.000000001)+(ABS(F21-L21)&gt;0.000000001)</f>
        <v>0</v>
      </c>
    </row>
    <row r="22" customFormat="false" ht="15" hidden="false" customHeight="false" outlineLevel="0" collapsed="false">
      <c r="A22" s="0" t="s">
        <v>2852</v>
      </c>
      <c r="B22" s="0" t="s">
        <v>2829</v>
      </c>
      <c r="C22" s="0" t="s">
        <v>2856</v>
      </c>
      <c r="D22" s="35" t="n">
        <v>10.212</v>
      </c>
      <c r="E22" s="35" t="n">
        <v>12.67</v>
      </c>
      <c r="F22" s="35" t="n">
        <v>16.186</v>
      </c>
      <c r="G22" s="12" t="s">
        <v>521</v>
      </c>
      <c r="H22" s="12" t="s">
        <v>2854</v>
      </c>
      <c r="I22" s="12" t="s">
        <v>2839</v>
      </c>
      <c r="J22" s="0" t="n">
        <v>10.212</v>
      </c>
      <c r="K22" s="0" t="n">
        <v>12.67</v>
      </c>
      <c r="L22" s="0" t="n">
        <v>16.186</v>
      </c>
      <c r="M22" s="12" t="n">
        <f aca="false">(ABS(D22-J22)&gt;0.000000001)+(ABS(E22-K22)&gt;0.000000001)+(ABS(F22-L22)&gt;0.000000001)</f>
        <v>0</v>
      </c>
    </row>
    <row r="23" customFormat="false" ht="15" hidden="false" customHeight="false" outlineLevel="0" collapsed="false">
      <c r="A23" s="0" t="s">
        <v>2852</v>
      </c>
      <c r="B23" s="0" t="s">
        <v>2831</v>
      </c>
      <c r="C23" s="0" t="s">
        <v>2857</v>
      </c>
      <c r="D23" s="35" t="n">
        <v>10.212</v>
      </c>
      <c r="E23" s="35" t="n">
        <v>12.67</v>
      </c>
      <c r="F23" s="35" t="n">
        <v>16.186</v>
      </c>
      <c r="G23" s="12" t="s">
        <v>521</v>
      </c>
      <c r="H23" s="12" t="s">
        <v>2854</v>
      </c>
      <c r="I23" s="12" t="s">
        <v>2839</v>
      </c>
      <c r="J23" s="0" t="n">
        <v>10.212</v>
      </c>
      <c r="K23" s="0" t="n">
        <v>12.67</v>
      </c>
      <c r="L23" s="0" t="n">
        <v>16.186</v>
      </c>
      <c r="M23" s="12" t="n">
        <f aca="false">(ABS(D23-J23)&gt;0.000000001)+(ABS(E23-K23)&gt;0.000000001)+(ABS(F23-L23)&gt;0.000000001)</f>
        <v>0</v>
      </c>
    </row>
    <row r="24" customFormat="false" ht="17.15" hidden="false" customHeight="false" outlineLevel="0" collapsed="false">
      <c r="A24" s="0" t="s">
        <v>2852</v>
      </c>
      <c r="B24" s="0" t="s">
        <v>2833</v>
      </c>
      <c r="C24" s="0" t="s">
        <v>2858</v>
      </c>
      <c r="D24" s="35" t="n">
        <v>10.212</v>
      </c>
      <c r="E24" s="35" t="n">
        <v>12.67</v>
      </c>
      <c r="F24" s="35" t="n">
        <v>16.186</v>
      </c>
      <c r="G24" s="12" t="s">
        <v>521</v>
      </c>
      <c r="H24" s="12" t="s">
        <v>2854</v>
      </c>
      <c r="I24" s="12" t="s">
        <v>2839</v>
      </c>
      <c r="J24" s="0" t="n">
        <v>10.212</v>
      </c>
      <c r="K24" s="0" t="n">
        <v>12.67</v>
      </c>
      <c r="L24" s="0" t="n">
        <v>16.186</v>
      </c>
      <c r="M24" s="12" t="n">
        <f aca="false">(ABS(D24-J24)&gt;0.000000001)+(ABS(E24-K24)&gt;0.000000001)+(ABS(F24-L24)&gt;0.000000001)</f>
        <v>0</v>
      </c>
    </row>
    <row r="25" customFormat="false" ht="15" hidden="false" customHeight="false" outlineLevel="0" collapsed="false">
      <c r="A25" s="0" t="s">
        <v>2859</v>
      </c>
      <c r="B25" s="0" t="s">
        <v>2822</v>
      </c>
      <c r="C25" s="0" t="s">
        <v>2860</v>
      </c>
      <c r="D25" s="35" t="n">
        <v>31.6322694</v>
      </c>
      <c r="E25" s="35" t="n">
        <v>40.180214</v>
      </c>
      <c r="F25" s="35" t="n">
        <v>50.3067434</v>
      </c>
      <c r="G25" s="12" t="s">
        <v>521</v>
      </c>
      <c r="H25" s="12" t="s">
        <v>2861</v>
      </c>
      <c r="I25" s="12" t="s">
        <v>2839</v>
      </c>
      <c r="J25" s="0" t="n">
        <v>31.6322694</v>
      </c>
      <c r="K25" s="0" t="n">
        <v>40.180214</v>
      </c>
      <c r="L25" s="0" t="n">
        <v>50.3067434</v>
      </c>
      <c r="M25" s="12" t="n">
        <f aca="false">(ABS(D25-J25)&gt;0.000000001)+(ABS(E25-K25)&gt;0.000000001)+(ABS(F25-L25)&gt;0.000000001)</f>
        <v>0</v>
      </c>
    </row>
    <row r="26" customFormat="false" ht="15" hidden="false" customHeight="false" outlineLevel="0" collapsed="false">
      <c r="A26" s="0" t="s">
        <v>2859</v>
      </c>
      <c r="B26" s="0" t="s">
        <v>2827</v>
      </c>
      <c r="C26" s="0" t="s">
        <v>2862</v>
      </c>
      <c r="D26" s="35" t="n">
        <v>30.8513904</v>
      </c>
      <c r="E26" s="35" t="n">
        <v>36.685174</v>
      </c>
      <c r="F26" s="35" t="n">
        <v>43.8362044</v>
      </c>
      <c r="G26" s="12" t="s">
        <v>521</v>
      </c>
      <c r="H26" s="12" t="s">
        <v>2861</v>
      </c>
      <c r="I26" s="12" t="s">
        <v>2839</v>
      </c>
      <c r="J26" s="0" t="n">
        <v>30.8513904</v>
      </c>
      <c r="K26" s="0" t="n">
        <v>36.685174</v>
      </c>
      <c r="L26" s="0" t="n">
        <v>43.8362044</v>
      </c>
      <c r="M26" s="12" t="n">
        <f aca="false">(ABS(D26-J26)&gt;0.000000001)+(ABS(E26-K26)&gt;0.000000001)+(ABS(F26-L26)&gt;0.000000001)</f>
        <v>0</v>
      </c>
    </row>
    <row r="27" customFormat="false" ht="15" hidden="false" customHeight="false" outlineLevel="0" collapsed="false">
      <c r="A27" s="0" t="s">
        <v>2859</v>
      </c>
      <c r="B27" s="0" t="s">
        <v>2829</v>
      </c>
      <c r="C27" s="0" t="s">
        <v>2863</v>
      </c>
      <c r="D27" s="35" t="n">
        <v>38.7669024</v>
      </c>
      <c r="E27" s="35" t="n">
        <v>44.907224</v>
      </c>
      <c r="F27" s="35" t="n">
        <v>55.4686064</v>
      </c>
      <c r="G27" s="12" t="s">
        <v>521</v>
      </c>
      <c r="H27" s="12" t="s">
        <v>2861</v>
      </c>
      <c r="I27" s="12" t="s">
        <v>2839</v>
      </c>
      <c r="J27" s="0" t="n">
        <v>38.7669024</v>
      </c>
      <c r="K27" s="0" t="n">
        <v>44.907224</v>
      </c>
      <c r="L27" s="0" t="n">
        <v>55.4686064</v>
      </c>
      <c r="M27" s="12" t="n">
        <f aca="false">(ABS(D27-J27)&gt;0.000000001)+(ABS(E27-K27)&gt;0.000000001)+(ABS(F27-L27)&gt;0.000000001)</f>
        <v>0</v>
      </c>
    </row>
    <row r="28" customFormat="false" ht="15" hidden="false" customHeight="false" outlineLevel="0" collapsed="false">
      <c r="A28" s="0" t="s">
        <v>2859</v>
      </c>
      <c r="B28" s="0" t="s">
        <v>2831</v>
      </c>
      <c r="C28" s="0" t="s">
        <v>2864</v>
      </c>
      <c r="D28" s="35" t="n">
        <v>42.2090232</v>
      </c>
      <c r="E28" s="35" t="n">
        <v>50.256352</v>
      </c>
      <c r="F28" s="35" t="n">
        <v>58.8235752</v>
      </c>
      <c r="G28" s="12" t="s">
        <v>521</v>
      </c>
      <c r="H28" s="12" t="s">
        <v>2861</v>
      </c>
      <c r="I28" s="12" t="s">
        <v>2839</v>
      </c>
      <c r="J28" s="0" t="n">
        <v>42.2090232</v>
      </c>
      <c r="K28" s="0" t="n">
        <v>50.256352</v>
      </c>
      <c r="L28" s="0" t="n">
        <v>58.8235752</v>
      </c>
      <c r="M28" s="12" t="n">
        <f aca="false">(ABS(D28-J28)&gt;0.000000001)+(ABS(E28-K28)&gt;0.000000001)+(ABS(F28-L28)&gt;0.000000001)</f>
        <v>0</v>
      </c>
    </row>
    <row r="29" customFormat="false" ht="17.15" hidden="false" customHeight="false" outlineLevel="0" collapsed="false">
      <c r="A29" s="0" t="s">
        <v>2859</v>
      </c>
      <c r="B29" s="0" t="s">
        <v>2833</v>
      </c>
      <c r="C29" s="0" t="s">
        <v>2865</v>
      </c>
      <c r="D29" s="35" t="n">
        <v>46.057578</v>
      </c>
      <c r="E29" s="35" t="n">
        <v>62.75578</v>
      </c>
      <c r="F29" s="35" t="n">
        <v>81.667558</v>
      </c>
      <c r="G29" s="12" t="s">
        <v>521</v>
      </c>
      <c r="H29" s="12" t="s">
        <v>2861</v>
      </c>
      <c r="I29" s="12" t="s">
        <v>2839</v>
      </c>
      <c r="J29" s="0" t="n">
        <v>46.057578</v>
      </c>
      <c r="K29" s="0" t="n">
        <v>62.75578</v>
      </c>
      <c r="L29" s="0" t="n">
        <v>81.667558</v>
      </c>
      <c r="M29" s="12" t="n">
        <f aca="false">(ABS(D29-J29)&gt;0.000000001)+(ABS(E29-K29)&gt;0.000000001)+(ABS(F29-L29)&gt;0.000000001)</f>
        <v>0</v>
      </c>
    </row>
    <row r="30" customFormat="false" ht="17.15" hidden="false" customHeight="false" outlineLevel="0" collapsed="false">
      <c r="A30" s="0" t="s">
        <v>2866</v>
      </c>
      <c r="B30" s="0" t="s">
        <v>2822</v>
      </c>
      <c r="C30" s="0" t="s">
        <v>2867</v>
      </c>
      <c r="D30" s="35" t="n">
        <v>0.9</v>
      </c>
      <c r="E30" s="35" t="n">
        <v>1.1</v>
      </c>
      <c r="F30" s="35" t="n">
        <v>1.3</v>
      </c>
      <c r="G30" s="12" t="s">
        <v>2868</v>
      </c>
      <c r="H30" s="12" t="s">
        <v>2869</v>
      </c>
      <c r="I30" s="12" t="s">
        <v>2870</v>
      </c>
      <c r="J30" s="0" t="n">
        <v>0.9</v>
      </c>
      <c r="K30" s="0" t="n">
        <v>1.1</v>
      </c>
      <c r="L30" s="0" t="n">
        <v>1.3</v>
      </c>
      <c r="M30" s="12" t="n">
        <f aca="false">(ABS(D30-J30)&gt;0.000000001)+(ABS(E30-K30)&gt;0.000000001)+(ABS(F30-L30)&gt;0.000000001)</f>
        <v>0</v>
      </c>
    </row>
    <row r="31" customFormat="false" ht="17.15" hidden="false" customHeight="false" outlineLevel="0" collapsed="false">
      <c r="A31" s="0" t="s">
        <v>2866</v>
      </c>
      <c r="B31" s="0" t="s">
        <v>2827</v>
      </c>
      <c r="C31" s="0" t="s">
        <v>2871</v>
      </c>
      <c r="D31" s="35" t="n">
        <v>2.8</v>
      </c>
      <c r="E31" s="35" t="n">
        <v>3.1</v>
      </c>
      <c r="F31" s="35" t="n">
        <v>3.4</v>
      </c>
      <c r="G31" s="12" t="s">
        <v>2868</v>
      </c>
      <c r="H31" s="12" t="s">
        <v>2869</v>
      </c>
      <c r="I31" s="12" t="s">
        <v>2870</v>
      </c>
      <c r="J31" s="0" t="n">
        <v>2.8</v>
      </c>
      <c r="K31" s="0" t="n">
        <v>3.1</v>
      </c>
      <c r="L31" s="0" t="n">
        <v>3.4</v>
      </c>
      <c r="M31" s="12" t="n">
        <f aca="false">(ABS(D31-J31)&gt;0.000000001)+(ABS(E31-K31)&gt;0.000000001)+(ABS(F31-L31)&gt;0.000000001)</f>
        <v>0</v>
      </c>
    </row>
    <row r="32" customFormat="false" ht="17.15" hidden="false" customHeight="false" outlineLevel="0" collapsed="false">
      <c r="A32" s="0" t="s">
        <v>2866</v>
      </c>
      <c r="B32" s="0" t="s">
        <v>2829</v>
      </c>
      <c r="C32" s="0" t="s">
        <v>2872</v>
      </c>
      <c r="D32" s="35" t="n">
        <v>4</v>
      </c>
      <c r="E32" s="35" t="n">
        <v>4.3</v>
      </c>
      <c r="F32" s="35" t="n">
        <v>5</v>
      </c>
      <c r="G32" s="12" t="s">
        <v>2868</v>
      </c>
      <c r="H32" s="12" t="s">
        <v>2869</v>
      </c>
      <c r="I32" s="12" t="s">
        <v>2870</v>
      </c>
      <c r="J32" s="0" t="n">
        <v>4</v>
      </c>
      <c r="K32" s="0" t="n">
        <v>4.3</v>
      </c>
      <c r="L32" s="0" t="n">
        <v>5</v>
      </c>
      <c r="M32" s="12" t="n">
        <f aca="false">(ABS(D32-J32)&gt;0.000000001)+(ABS(E32-K32)&gt;0.000000001)+(ABS(F32-L32)&gt;0.000000001)</f>
        <v>0</v>
      </c>
    </row>
    <row r="33" customFormat="false" ht="17.15" hidden="false" customHeight="false" outlineLevel="0" collapsed="false">
      <c r="A33" s="0" t="s">
        <v>2866</v>
      </c>
      <c r="B33" s="0" t="s">
        <v>2831</v>
      </c>
      <c r="C33" s="0" t="s">
        <v>2873</v>
      </c>
      <c r="D33" s="35" t="n">
        <v>7.5</v>
      </c>
      <c r="E33" s="35" t="n">
        <v>8.4</v>
      </c>
      <c r="F33" s="35" t="n">
        <v>9.1</v>
      </c>
      <c r="G33" s="12" t="s">
        <v>2868</v>
      </c>
      <c r="H33" s="12" t="s">
        <v>2869</v>
      </c>
      <c r="I33" s="12" t="s">
        <v>2870</v>
      </c>
      <c r="J33" s="0" t="n">
        <v>7.5</v>
      </c>
      <c r="K33" s="0" t="n">
        <v>8.4</v>
      </c>
      <c r="L33" s="0" t="n">
        <v>9.1</v>
      </c>
      <c r="M33" s="12" t="n">
        <f aca="false">(ABS(D33-J33)&gt;0.000000001)+(ABS(E33-K33)&gt;0.000000001)+(ABS(F33-L33)&gt;0.000000001)</f>
        <v>0</v>
      </c>
    </row>
    <row r="34" customFormat="false" ht="17.15" hidden="false" customHeight="false" outlineLevel="0" collapsed="false">
      <c r="A34" s="0" t="s">
        <v>2866</v>
      </c>
      <c r="B34" s="0" t="s">
        <v>2833</v>
      </c>
      <c r="C34" s="0" t="s">
        <v>2874</v>
      </c>
      <c r="D34" s="35" t="n">
        <v>12.6</v>
      </c>
      <c r="E34" s="35" t="n">
        <v>16.8</v>
      </c>
      <c r="F34" s="35" t="n">
        <v>21</v>
      </c>
      <c r="G34" s="12" t="s">
        <v>2868</v>
      </c>
      <c r="H34" s="12" t="s">
        <v>2869</v>
      </c>
      <c r="I34" s="12" t="s">
        <v>2870</v>
      </c>
      <c r="J34" s="0" t="n">
        <v>12.6</v>
      </c>
      <c r="K34" s="0" t="n">
        <v>16.8</v>
      </c>
      <c r="L34" s="0" t="n">
        <v>21</v>
      </c>
      <c r="M34" s="12" t="n">
        <f aca="false">(ABS(D34-J34)&gt;0.000000001)+(ABS(E34-K34)&gt;0.000000001)+(ABS(F34-L34)&gt;0.000000001)</f>
        <v>0</v>
      </c>
    </row>
    <row r="35" customFormat="false" ht="17.15" hidden="false" customHeight="false" outlineLevel="0" collapsed="false">
      <c r="A35" s="0" t="s">
        <v>2875</v>
      </c>
      <c r="B35" s="0" t="s">
        <v>2822</v>
      </c>
      <c r="C35" s="0" t="s">
        <v>2876</v>
      </c>
      <c r="D35" s="35" t="n">
        <v>0.05</v>
      </c>
      <c r="E35" s="35" t="n">
        <v>0.1</v>
      </c>
      <c r="F35" s="35" t="n">
        <v>0.15</v>
      </c>
      <c r="G35" s="6" t="s">
        <v>2877</v>
      </c>
      <c r="H35" s="12" t="s">
        <v>2878</v>
      </c>
      <c r="I35" s="12" t="s">
        <v>2879</v>
      </c>
      <c r="J35" s="0" t="n">
        <v>0.05</v>
      </c>
      <c r="K35" s="0" t="n">
        <v>0.1</v>
      </c>
      <c r="L35" s="0" t="n">
        <v>0.15</v>
      </c>
      <c r="M35" s="12" t="n">
        <f aca="false">(ABS(D35-J35)&gt;0.000000001)+(ABS(E35-K35)&gt;0.000000001)+(ABS(F35-L35)&gt;0.000000001)</f>
        <v>0</v>
      </c>
    </row>
    <row r="36" customFormat="false" ht="17.15" hidden="false" customHeight="false" outlineLevel="0" collapsed="false">
      <c r="A36" s="0" t="s">
        <v>2875</v>
      </c>
      <c r="B36" s="0" t="s">
        <v>2827</v>
      </c>
      <c r="C36" s="0" t="s">
        <v>2880</v>
      </c>
      <c r="D36" s="35" t="n">
        <v>0.05</v>
      </c>
      <c r="E36" s="35" t="n">
        <v>0.1</v>
      </c>
      <c r="F36" s="35" t="n">
        <v>0.15</v>
      </c>
      <c r="G36" s="6" t="s">
        <v>2877</v>
      </c>
      <c r="H36" s="12" t="s">
        <v>2878</v>
      </c>
      <c r="I36" s="12" t="s">
        <v>2879</v>
      </c>
      <c r="J36" s="0" t="n">
        <v>0.05</v>
      </c>
      <c r="K36" s="0" t="n">
        <v>0.1</v>
      </c>
      <c r="L36" s="0" t="n">
        <v>0.15</v>
      </c>
      <c r="M36" s="12" t="n">
        <f aca="false">(ABS(D36-J36)&gt;0.000000001)+(ABS(E36-K36)&gt;0.000000001)+(ABS(F36-L36)&gt;0.000000001)</f>
        <v>0</v>
      </c>
    </row>
    <row r="37" customFormat="false" ht="17.15" hidden="false" customHeight="false" outlineLevel="0" collapsed="false">
      <c r="A37" s="0" t="s">
        <v>2875</v>
      </c>
      <c r="B37" s="0" t="s">
        <v>2829</v>
      </c>
      <c r="C37" s="0" t="s">
        <v>2881</v>
      </c>
      <c r="D37" s="35" t="n">
        <v>0.05</v>
      </c>
      <c r="E37" s="35" t="n">
        <v>0.1</v>
      </c>
      <c r="F37" s="35" t="n">
        <v>0.15</v>
      </c>
      <c r="G37" s="6" t="s">
        <v>2877</v>
      </c>
      <c r="H37" s="12" t="s">
        <v>2878</v>
      </c>
      <c r="I37" s="12" t="s">
        <v>2879</v>
      </c>
      <c r="J37" s="0" t="n">
        <v>0.05</v>
      </c>
      <c r="K37" s="0" t="n">
        <v>0.1</v>
      </c>
      <c r="L37" s="0" t="n">
        <v>0.15</v>
      </c>
      <c r="M37" s="12" t="n">
        <f aca="false">(ABS(D37-J37)&gt;0.000000001)+(ABS(E37-K37)&gt;0.000000001)+(ABS(F37-L37)&gt;0.000000001)</f>
        <v>0</v>
      </c>
    </row>
    <row r="38" customFormat="false" ht="17.15" hidden="false" customHeight="false" outlineLevel="0" collapsed="false">
      <c r="A38" s="0" t="s">
        <v>2875</v>
      </c>
      <c r="B38" s="0" t="s">
        <v>2831</v>
      </c>
      <c r="C38" s="0" t="s">
        <v>2882</v>
      </c>
      <c r="D38" s="35" t="n">
        <v>0.05</v>
      </c>
      <c r="E38" s="35" t="n">
        <v>0.1</v>
      </c>
      <c r="F38" s="35" t="n">
        <v>0.15</v>
      </c>
      <c r="G38" s="6" t="s">
        <v>2877</v>
      </c>
      <c r="H38" s="12" t="s">
        <v>2878</v>
      </c>
      <c r="I38" s="12" t="s">
        <v>2879</v>
      </c>
      <c r="J38" s="0" t="n">
        <v>0.05</v>
      </c>
      <c r="K38" s="0" t="n">
        <v>0.1</v>
      </c>
      <c r="L38" s="0" t="n">
        <v>0.15</v>
      </c>
      <c r="M38" s="12" t="n">
        <f aca="false">(ABS(D38-J38)&gt;0.000000001)+(ABS(E38-K38)&gt;0.000000001)+(ABS(F38-L38)&gt;0.000000001)</f>
        <v>0</v>
      </c>
    </row>
    <row r="39" customFormat="false" ht="17.15" hidden="false" customHeight="false" outlineLevel="0" collapsed="false">
      <c r="A39" s="0" t="s">
        <v>2875</v>
      </c>
      <c r="B39" s="0" t="s">
        <v>2833</v>
      </c>
      <c r="C39" s="0" t="s">
        <v>2883</v>
      </c>
      <c r="D39" s="35" t="n">
        <v>0.05</v>
      </c>
      <c r="E39" s="35" t="n">
        <v>0.1</v>
      </c>
      <c r="F39" s="35" t="n">
        <v>0.15</v>
      </c>
      <c r="G39" s="6" t="s">
        <v>2877</v>
      </c>
      <c r="H39" s="12" t="s">
        <v>2878</v>
      </c>
      <c r="I39" s="12" t="s">
        <v>2879</v>
      </c>
      <c r="J39" s="0" t="n">
        <v>0.05</v>
      </c>
      <c r="K39" s="0" t="n">
        <v>0.1</v>
      </c>
      <c r="L39" s="0" t="n">
        <v>0.15</v>
      </c>
      <c r="M39" s="12" t="n">
        <f aca="false">(ABS(D39-J39)&gt;0.000000001)+(ABS(E39-K39)&gt;0.000000001)+(ABS(F39-L39)&gt;0.000000001)</f>
        <v>0</v>
      </c>
    </row>
    <row r="40" customFormat="false" ht="17.15" hidden="false" customHeight="false" outlineLevel="0" collapsed="false">
      <c r="A40" s="0" t="s">
        <v>2884</v>
      </c>
      <c r="B40" s="0" t="s">
        <v>2822</v>
      </c>
      <c r="C40" s="0" t="s">
        <v>2885</v>
      </c>
      <c r="D40" s="35" t="n">
        <v>300</v>
      </c>
      <c r="E40" s="35" t="n">
        <v>500</v>
      </c>
      <c r="F40" s="35" t="n">
        <v>800</v>
      </c>
      <c r="G40" s="12" t="s">
        <v>2886</v>
      </c>
      <c r="H40" s="12" t="s">
        <v>2887</v>
      </c>
      <c r="I40" s="12" t="s">
        <v>2879</v>
      </c>
      <c r="J40" s="0" t="n">
        <v>300</v>
      </c>
      <c r="K40" s="0" t="n">
        <v>500</v>
      </c>
      <c r="L40" s="0" t="n">
        <v>800</v>
      </c>
      <c r="M40" s="12" t="n">
        <f aca="false">(ABS(D40-J40)&gt;0.000000001)+(ABS(E40-K40)&gt;0.000000001)+(ABS(F40-L40)&gt;0.000000001)</f>
        <v>0</v>
      </c>
    </row>
    <row r="41" customFormat="false" ht="17.15" hidden="false" customHeight="false" outlineLevel="0" collapsed="false">
      <c r="A41" s="0" t="s">
        <v>2884</v>
      </c>
      <c r="B41" s="0" t="s">
        <v>2827</v>
      </c>
      <c r="C41" s="0" t="s">
        <v>2888</v>
      </c>
      <c r="D41" s="35" t="n">
        <v>300</v>
      </c>
      <c r="E41" s="35" t="n">
        <v>500</v>
      </c>
      <c r="F41" s="35" t="n">
        <v>800</v>
      </c>
      <c r="G41" s="12" t="s">
        <v>2886</v>
      </c>
      <c r="H41" s="12" t="s">
        <v>2887</v>
      </c>
      <c r="I41" s="12" t="s">
        <v>2879</v>
      </c>
      <c r="J41" s="0" t="n">
        <v>300</v>
      </c>
      <c r="K41" s="0" t="n">
        <v>500</v>
      </c>
      <c r="L41" s="0" t="n">
        <v>800</v>
      </c>
      <c r="M41" s="12" t="n">
        <f aca="false">(ABS(D41-J41)&gt;0.000000001)+(ABS(E41-K41)&gt;0.000000001)+(ABS(F41-L41)&gt;0.000000001)</f>
        <v>0</v>
      </c>
    </row>
    <row r="42" customFormat="false" ht="17.15" hidden="false" customHeight="false" outlineLevel="0" collapsed="false">
      <c r="A42" s="0" t="s">
        <v>2884</v>
      </c>
      <c r="B42" s="0" t="s">
        <v>2829</v>
      </c>
      <c r="C42" s="0" t="s">
        <v>2889</v>
      </c>
      <c r="D42" s="35" t="n">
        <v>300</v>
      </c>
      <c r="E42" s="35" t="n">
        <v>500</v>
      </c>
      <c r="F42" s="35" t="n">
        <v>800</v>
      </c>
      <c r="G42" s="12" t="s">
        <v>2886</v>
      </c>
      <c r="H42" s="12" t="s">
        <v>2887</v>
      </c>
      <c r="I42" s="12" t="s">
        <v>2879</v>
      </c>
      <c r="J42" s="0" t="n">
        <v>300</v>
      </c>
      <c r="K42" s="0" t="n">
        <v>500</v>
      </c>
      <c r="L42" s="0" t="n">
        <v>800</v>
      </c>
      <c r="M42" s="12" t="n">
        <f aca="false">(ABS(D42-J42)&gt;0.000000001)+(ABS(E42-K42)&gt;0.000000001)+(ABS(F42-L42)&gt;0.000000001)</f>
        <v>0</v>
      </c>
    </row>
    <row r="43" customFormat="false" ht="17.15" hidden="false" customHeight="false" outlineLevel="0" collapsed="false">
      <c r="A43" s="0" t="s">
        <v>2884</v>
      </c>
      <c r="B43" s="0" t="s">
        <v>2831</v>
      </c>
      <c r="C43" s="0" t="s">
        <v>2890</v>
      </c>
      <c r="D43" s="35" t="n">
        <v>300</v>
      </c>
      <c r="E43" s="35" t="n">
        <v>500</v>
      </c>
      <c r="F43" s="35" t="n">
        <v>800</v>
      </c>
      <c r="G43" s="12" t="s">
        <v>2886</v>
      </c>
      <c r="H43" s="12" t="s">
        <v>2887</v>
      </c>
      <c r="I43" s="12" t="s">
        <v>2879</v>
      </c>
      <c r="J43" s="0" t="n">
        <v>300</v>
      </c>
      <c r="K43" s="0" t="n">
        <v>500</v>
      </c>
      <c r="L43" s="0" t="n">
        <v>800</v>
      </c>
      <c r="M43" s="12" t="n">
        <f aca="false">(ABS(D43-J43)&gt;0.000000001)+(ABS(E43-K43)&gt;0.000000001)+(ABS(F43-L43)&gt;0.000000001)</f>
        <v>0</v>
      </c>
    </row>
    <row r="44" customFormat="false" ht="17.15" hidden="false" customHeight="false" outlineLevel="0" collapsed="false">
      <c r="A44" s="0" t="s">
        <v>2884</v>
      </c>
      <c r="B44" s="0" t="s">
        <v>2833</v>
      </c>
      <c r="C44" s="0" t="s">
        <v>2891</v>
      </c>
      <c r="D44" s="35" t="n">
        <v>300</v>
      </c>
      <c r="E44" s="35" t="n">
        <v>500</v>
      </c>
      <c r="F44" s="35" t="n">
        <v>800</v>
      </c>
      <c r="G44" s="12" t="s">
        <v>2886</v>
      </c>
      <c r="H44" s="12" t="s">
        <v>2887</v>
      </c>
      <c r="I44" s="12" t="s">
        <v>2879</v>
      </c>
      <c r="J44" s="0" t="n">
        <v>300</v>
      </c>
      <c r="K44" s="0" t="n">
        <v>500</v>
      </c>
      <c r="L44" s="0" t="n">
        <v>800</v>
      </c>
      <c r="M44" s="12" t="n">
        <f aca="false">(ABS(D44-J44)&gt;0.000000001)+(ABS(E44-K44)&gt;0.000000001)+(ABS(F44-L44)&gt;0.000000001)</f>
        <v>0</v>
      </c>
    </row>
    <row r="45" customFormat="false" ht="17.15" hidden="false" customHeight="false" outlineLevel="0" collapsed="false">
      <c r="A45" s="0" t="s">
        <v>2892</v>
      </c>
      <c r="B45" s="0" t="s">
        <v>2893</v>
      </c>
      <c r="C45" s="0" t="s">
        <v>2894</v>
      </c>
      <c r="D45" s="35" t="n">
        <v>0.7</v>
      </c>
      <c r="E45" s="35" t="n">
        <v>0.8</v>
      </c>
      <c r="F45" s="35" t="n">
        <v>1.15</v>
      </c>
      <c r="G45" s="6" t="s">
        <v>2895</v>
      </c>
      <c r="H45" s="12" t="s">
        <v>2896</v>
      </c>
      <c r="I45" s="12" t="s">
        <v>2897</v>
      </c>
    </row>
    <row r="46" customFormat="false" ht="17.15" hidden="false" customHeight="false" outlineLevel="0" collapsed="false">
      <c r="A46" s="0" t="s">
        <v>2898</v>
      </c>
      <c r="B46" s="0" t="s">
        <v>2899</v>
      </c>
      <c r="C46" s="0" t="s">
        <v>2900</v>
      </c>
      <c r="D46" s="35" t="n">
        <v>0.6</v>
      </c>
      <c r="E46" s="35" t="n">
        <v>0.8</v>
      </c>
      <c r="F46" s="35" t="n">
        <v>1.1</v>
      </c>
      <c r="G46" s="6" t="s">
        <v>2895</v>
      </c>
      <c r="H46" s="12" t="s">
        <v>2901</v>
      </c>
      <c r="I46" s="12" t="s">
        <v>2897</v>
      </c>
    </row>
    <row r="47" customFormat="false" ht="17.15" hidden="false" customHeight="false" outlineLevel="0" collapsed="false">
      <c r="A47" s="0" t="s">
        <v>2902</v>
      </c>
      <c r="B47" s="0" t="s">
        <v>2903</v>
      </c>
      <c r="C47" s="0" t="s">
        <v>2904</v>
      </c>
      <c r="D47" s="35" t="n">
        <v>0.3</v>
      </c>
      <c r="E47" s="35" t="n">
        <v>0.5</v>
      </c>
      <c r="F47" s="35" t="n">
        <v>0.8</v>
      </c>
      <c r="G47" s="6" t="s">
        <v>2895</v>
      </c>
      <c r="H47" s="12" t="s">
        <v>2905</v>
      </c>
      <c r="I47" s="12" t="s">
        <v>2897</v>
      </c>
    </row>
    <row r="48" customFormat="false" ht="17.15" hidden="false" customHeight="false" outlineLevel="0" collapsed="false">
      <c r="A48" s="0" t="s">
        <v>2906</v>
      </c>
      <c r="B48" s="0" t="s">
        <v>2907</v>
      </c>
      <c r="C48" s="0" t="s">
        <v>2908</v>
      </c>
      <c r="D48" s="35" t="n">
        <v>0.2</v>
      </c>
      <c r="E48" s="35" t="n">
        <v>0.4</v>
      </c>
      <c r="F48" s="35" t="n">
        <v>0.8</v>
      </c>
      <c r="G48" s="6" t="s">
        <v>2895</v>
      </c>
      <c r="H48" s="12" t="s">
        <v>2909</v>
      </c>
      <c r="I48" s="12" t="s">
        <v>2897</v>
      </c>
    </row>
    <row r="49" customFormat="false" ht="17.15" hidden="false" customHeight="false" outlineLevel="0" collapsed="false">
      <c r="A49" s="0" t="s">
        <v>2910</v>
      </c>
      <c r="B49" s="0" t="s">
        <v>2911</v>
      </c>
      <c r="C49" s="0" t="s">
        <v>2912</v>
      </c>
      <c r="D49" s="35" t="n">
        <v>0.4</v>
      </c>
      <c r="E49" s="35" t="n">
        <v>0.6</v>
      </c>
      <c r="F49" s="35" t="n">
        <v>0.9</v>
      </c>
      <c r="G49" s="6" t="s">
        <v>2895</v>
      </c>
      <c r="H49" s="12" t="s">
        <v>2913</v>
      </c>
      <c r="I49" s="12" t="s">
        <v>2897</v>
      </c>
    </row>
    <row r="50" customFormat="false" ht="17.15" hidden="false" customHeight="false" outlineLevel="0" collapsed="false">
      <c r="A50" s="0" t="s">
        <v>2914</v>
      </c>
      <c r="B50" s="6" t="s">
        <v>2915</v>
      </c>
      <c r="C50" s="0" t="s">
        <v>2916</v>
      </c>
      <c r="D50" s="35" t="n">
        <v>0.05</v>
      </c>
      <c r="E50" s="35" t="n">
        <v>0.08</v>
      </c>
      <c r="F50" s="35" t="n">
        <v>0.15</v>
      </c>
      <c r="G50" s="6" t="s">
        <v>2895</v>
      </c>
      <c r="H50" s="12" t="s">
        <v>2917</v>
      </c>
      <c r="I50" s="12" t="s">
        <v>2897</v>
      </c>
    </row>
    <row r="51" customFormat="false" ht="17.15" hidden="false" customHeight="false" outlineLevel="0" collapsed="false">
      <c r="A51" s="0" t="s">
        <v>2918</v>
      </c>
      <c r="B51" s="0" t="s">
        <v>2919</v>
      </c>
      <c r="C51" s="0" t="s">
        <v>2920</v>
      </c>
      <c r="D51" s="35" t="n">
        <v>0.25</v>
      </c>
      <c r="E51" s="35" t="n">
        <v>0.55</v>
      </c>
      <c r="F51" s="35" t="n">
        <v>0.75</v>
      </c>
      <c r="G51" s="6" t="s">
        <v>2895</v>
      </c>
      <c r="H51" s="12" t="s">
        <v>2921</v>
      </c>
      <c r="I51" s="12" t="s">
        <v>2897</v>
      </c>
    </row>
    <row r="52" customFormat="false" ht="17.15" hidden="false" customHeight="false" outlineLevel="0" collapsed="false">
      <c r="A52" s="0" t="s">
        <v>2922</v>
      </c>
      <c r="B52" s="0" t="s">
        <v>2923</v>
      </c>
      <c r="C52" s="0" t="s">
        <v>2924</v>
      </c>
      <c r="D52" s="35" t="n">
        <v>0.67</v>
      </c>
      <c r="E52" s="35" t="n">
        <v>0.85</v>
      </c>
      <c r="F52" s="35" t="n">
        <v>1.12</v>
      </c>
      <c r="G52" s="6" t="s">
        <v>2895</v>
      </c>
      <c r="H52" s="12" t="s">
        <v>2925</v>
      </c>
      <c r="I52" s="12" t="s">
        <v>2897</v>
      </c>
    </row>
    <row r="53" customFormat="false" ht="17.15" hidden="false" customHeight="false" outlineLevel="0" collapsed="false">
      <c r="A53" s="0" t="s">
        <v>2926</v>
      </c>
      <c r="B53" s="0" t="s">
        <v>2927</v>
      </c>
      <c r="C53" s="0" t="s">
        <v>2928</v>
      </c>
      <c r="D53" s="35" t="n">
        <v>0.65</v>
      </c>
      <c r="E53" s="35" t="n">
        <v>0.7</v>
      </c>
      <c r="F53" s="35" t="n">
        <v>0.9</v>
      </c>
      <c r="G53" s="6" t="s">
        <v>2895</v>
      </c>
      <c r="H53" s="12" t="s">
        <v>2929</v>
      </c>
      <c r="I53" s="12" t="s">
        <v>2897</v>
      </c>
    </row>
    <row r="54" customFormat="false" ht="17.15" hidden="false" customHeight="false" outlineLevel="0" collapsed="false">
      <c r="A54" s="0" t="s">
        <v>2930</v>
      </c>
      <c r="B54" s="0" t="s">
        <v>2931</v>
      </c>
      <c r="C54" s="0" t="s">
        <v>2932</v>
      </c>
      <c r="D54" s="35" t="n">
        <v>0.45</v>
      </c>
      <c r="E54" s="35" t="n">
        <v>0.61</v>
      </c>
      <c r="F54" s="35" t="n">
        <v>0.7</v>
      </c>
      <c r="G54" s="6" t="s">
        <v>2895</v>
      </c>
      <c r="H54" s="12" t="s">
        <v>2933</v>
      </c>
      <c r="I54" s="12" t="s">
        <v>2897</v>
      </c>
    </row>
    <row r="55" customFormat="false" ht="17.15" hidden="false" customHeight="false" outlineLevel="0" collapsed="false">
      <c r="A55" s="0" t="s">
        <v>2934</v>
      </c>
      <c r="B55" s="0" t="s">
        <v>2935</v>
      </c>
      <c r="C55" s="0" t="s">
        <v>2936</v>
      </c>
      <c r="D55" s="35" t="n">
        <v>0.8</v>
      </c>
      <c r="E55" s="35" t="n">
        <v>1</v>
      </c>
      <c r="F55" s="35" t="n">
        <v>1.2</v>
      </c>
      <c r="G55" s="6" t="s">
        <v>2895</v>
      </c>
      <c r="H55" s="12" t="s">
        <v>2937</v>
      </c>
      <c r="I55" s="12" t="s">
        <v>2897</v>
      </c>
    </row>
    <row r="56" customFormat="false" ht="17.15" hidden="false" customHeight="false" outlineLevel="0" collapsed="false">
      <c r="A56" s="0" t="s">
        <v>2938</v>
      </c>
      <c r="B56" s="0" t="s">
        <v>2939</v>
      </c>
      <c r="C56" s="0" t="s">
        <v>2940</v>
      </c>
      <c r="D56" s="35" t="n">
        <v>0.7</v>
      </c>
      <c r="E56" s="35" t="n">
        <v>0.8</v>
      </c>
      <c r="F56" s="35" t="n">
        <v>1</v>
      </c>
      <c r="G56" s="6" t="s">
        <v>2895</v>
      </c>
      <c r="H56" s="12" t="s">
        <v>2941</v>
      </c>
      <c r="I56" s="12" t="s">
        <v>2897</v>
      </c>
    </row>
    <row r="57" customFormat="false" ht="17.15" hidden="false" customHeight="false" outlineLevel="0" collapsed="false">
      <c r="A57" s="0" t="s">
        <v>2942</v>
      </c>
      <c r="B57" s="6" t="s">
        <v>2943</v>
      </c>
      <c r="C57" s="0" t="s">
        <v>2944</v>
      </c>
      <c r="D57" s="35" t="n">
        <v>0.45</v>
      </c>
      <c r="E57" s="35" t="n">
        <v>0.55</v>
      </c>
      <c r="F57" s="35" t="n">
        <v>0.7</v>
      </c>
      <c r="G57" s="6" t="s">
        <v>2895</v>
      </c>
      <c r="H57" s="12" t="s">
        <v>2945</v>
      </c>
      <c r="I57" s="12" t="s">
        <v>2897</v>
      </c>
    </row>
    <row r="58" customFormat="false" ht="17.15" hidden="false" customHeight="false" outlineLevel="0" collapsed="false">
      <c r="A58" s="0" t="s">
        <v>2946</v>
      </c>
      <c r="B58" s="0" t="s">
        <v>2947</v>
      </c>
      <c r="C58" s="0" t="s">
        <v>2948</v>
      </c>
      <c r="D58" s="35" t="n">
        <v>0.4</v>
      </c>
      <c r="E58" s="35" t="n">
        <v>0.5</v>
      </c>
      <c r="F58" s="35" t="n">
        <v>0.6</v>
      </c>
      <c r="G58" s="6" t="s">
        <v>2895</v>
      </c>
      <c r="H58" s="12" t="s">
        <v>2949</v>
      </c>
      <c r="I58" s="12" t="s">
        <v>2897</v>
      </c>
    </row>
    <row r="60" customFormat="false" ht="17.15" hidden="false" customHeight="false" outlineLevel="0" collapsed="false">
      <c r="A60" s="9" t="s">
        <v>2950</v>
      </c>
      <c r="M60" s="36" t="n">
        <f aca="false">SUM(M5:M58)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9" min="8" style="0" width="12"/>
    <col collapsed="false" customWidth="true" hidden="false" outlineLevel="0" max="10" min="10" style="0" width="52"/>
    <col collapsed="false" customWidth="true" hidden="false" outlineLevel="0" max="11" min="11" style="0" width="9"/>
    <col collapsed="false" customWidth="true" hidden="false" outlineLevel="0" max="12" min="12" style="0" width="14"/>
    <col collapsed="false" customWidth="true" hidden="false" outlineLevel="0" max="13" min="13" style="0" width="22"/>
  </cols>
  <sheetData>
    <row r="1" customFormat="false" ht="17.15" hidden="false" customHeight="false" outlineLevel="0" collapsed="false">
      <c r="A1" s="0" t="s">
        <v>2951</v>
      </c>
    </row>
    <row r="3" customFormat="false" ht="15" hidden="false" customHeight="false" outlineLevel="0" collapsed="false">
      <c r="A3" s="5" t="s">
        <v>2952</v>
      </c>
      <c r="B3" s="4" t="s">
        <v>2953</v>
      </c>
      <c r="C3" s="4" t="s">
        <v>2954</v>
      </c>
      <c r="D3" s="4" t="s">
        <v>55</v>
      </c>
      <c r="E3" s="4" t="s">
        <v>2955</v>
      </c>
      <c r="F3" s="4" t="s">
        <v>2956</v>
      </c>
      <c r="G3" s="4" t="s">
        <v>2957</v>
      </c>
      <c r="H3" s="4" t="s">
        <v>2958</v>
      </c>
      <c r="I3" s="4" t="s">
        <v>2959</v>
      </c>
      <c r="J3" s="4" t="s">
        <v>2960</v>
      </c>
      <c r="K3" s="4" t="s">
        <v>2961</v>
      </c>
      <c r="L3" s="4" t="s">
        <v>2962</v>
      </c>
      <c r="M3" s="4" t="s">
        <v>2963</v>
      </c>
    </row>
    <row r="4" customFormat="false" ht="142.5" hidden="false" customHeight="false" outlineLevel="0" collapsed="false">
      <c r="A4" s="3" t="s">
        <v>2964</v>
      </c>
      <c r="B4" s="2" t="s">
        <v>2965</v>
      </c>
      <c r="C4" s="2" t="s">
        <v>2966</v>
      </c>
      <c r="D4" s="3" t="s">
        <v>2967</v>
      </c>
      <c r="E4" s="3" t="s">
        <v>2968</v>
      </c>
      <c r="F4" s="3" t="s">
        <v>2969</v>
      </c>
      <c r="G4" s="2" t="s">
        <v>2970</v>
      </c>
      <c r="H4" s="2" t="s">
        <v>2971</v>
      </c>
      <c r="I4" s="2" t="s">
        <v>2972</v>
      </c>
      <c r="J4" s="2" t="s">
        <v>2973</v>
      </c>
      <c r="K4" s="2" t="s">
        <v>2974</v>
      </c>
      <c r="L4" s="2" t="s">
        <v>2975</v>
      </c>
      <c r="M4" s="2" t="s">
        <v>2976</v>
      </c>
    </row>
    <row r="5" customFormat="false" ht="126.85" hidden="false" customHeight="false" outlineLevel="0" collapsed="false">
      <c r="A5" s="3" t="s">
        <v>2977</v>
      </c>
      <c r="B5" s="2" t="s">
        <v>2965</v>
      </c>
      <c r="C5" s="2" t="s">
        <v>2978</v>
      </c>
      <c r="D5" s="3" t="s">
        <v>2967</v>
      </c>
      <c r="E5" s="3" t="s">
        <v>2979</v>
      </c>
      <c r="F5" s="3" t="s">
        <v>2980</v>
      </c>
      <c r="G5" s="3" t="s">
        <v>2981</v>
      </c>
      <c r="H5" s="3" t="s">
        <v>2982</v>
      </c>
      <c r="I5" s="2" t="s">
        <v>2983</v>
      </c>
      <c r="J5" s="2" t="s">
        <v>2984</v>
      </c>
      <c r="K5" s="3" t="s">
        <v>2985</v>
      </c>
      <c r="L5" s="2" t="s">
        <v>2986</v>
      </c>
      <c r="M5" s="2" t="s">
        <v>2987</v>
      </c>
    </row>
    <row r="6" customFormat="false" ht="424.6" hidden="false" customHeight="false" outlineLevel="0" collapsed="false">
      <c r="A6" s="37" t="s">
        <v>2988</v>
      </c>
      <c r="B6" s="38" t="s">
        <v>2965</v>
      </c>
      <c r="C6" s="37" t="s">
        <v>2989</v>
      </c>
      <c r="D6" s="37" t="s">
        <v>66</v>
      </c>
      <c r="E6" s="37" t="s">
        <v>2990</v>
      </c>
      <c r="F6" s="37" t="s">
        <v>2991</v>
      </c>
      <c r="G6" s="37" t="s">
        <v>2992</v>
      </c>
      <c r="H6" s="38" t="s">
        <v>2993</v>
      </c>
      <c r="I6" s="38" t="s">
        <v>2994</v>
      </c>
      <c r="J6" s="38" t="s">
        <v>2995</v>
      </c>
      <c r="K6" s="37" t="s">
        <v>2985</v>
      </c>
      <c r="L6" s="38" t="s">
        <v>2996</v>
      </c>
      <c r="M6" s="38" t="s">
        <v>2997</v>
      </c>
    </row>
    <row r="7" customFormat="false" ht="173.85" hidden="false" customHeight="false" outlineLevel="0" collapsed="false">
      <c r="A7" s="3" t="s">
        <v>2998</v>
      </c>
      <c r="B7" s="2" t="s">
        <v>2999</v>
      </c>
      <c r="C7" s="2" t="s">
        <v>3000</v>
      </c>
      <c r="D7" s="3" t="s">
        <v>66</v>
      </c>
      <c r="E7" s="3" t="s">
        <v>3001</v>
      </c>
      <c r="F7" s="2" t="s">
        <v>3002</v>
      </c>
      <c r="G7" s="3" t="s">
        <v>3003</v>
      </c>
      <c r="H7" s="3" t="s">
        <v>3004</v>
      </c>
      <c r="I7" s="2" t="s">
        <v>3005</v>
      </c>
      <c r="J7" s="2" t="s">
        <v>3006</v>
      </c>
      <c r="K7" s="3" t="s">
        <v>3007</v>
      </c>
      <c r="L7" s="2" t="s">
        <v>3008</v>
      </c>
      <c r="M7" s="2" t="s">
        <v>3009</v>
      </c>
    </row>
    <row r="8" customFormat="false" ht="124.6" hidden="false" customHeight="false" outlineLevel="0" collapsed="false">
      <c r="A8" s="3" t="s">
        <v>3010</v>
      </c>
      <c r="B8" s="2" t="s">
        <v>3011</v>
      </c>
      <c r="C8" s="3" t="s">
        <v>3012</v>
      </c>
      <c r="D8" s="3" t="s">
        <v>684</v>
      </c>
      <c r="E8" s="3" t="s">
        <v>3013</v>
      </c>
      <c r="F8" s="3" t="s">
        <v>3014</v>
      </c>
      <c r="G8" s="3" t="s">
        <v>3015</v>
      </c>
      <c r="H8" s="3" t="s">
        <v>3016</v>
      </c>
      <c r="I8" s="2" t="s">
        <v>3017</v>
      </c>
      <c r="J8" s="3" t="s">
        <v>3018</v>
      </c>
      <c r="K8" s="3" t="s">
        <v>3019</v>
      </c>
      <c r="L8" s="2" t="s">
        <v>3020</v>
      </c>
      <c r="M8" s="2" t="s">
        <v>3021</v>
      </c>
    </row>
    <row r="9" customFormat="false" ht="126.85" hidden="false" customHeight="false" outlineLevel="0" collapsed="false">
      <c r="A9" s="3" t="s">
        <v>3022</v>
      </c>
      <c r="B9" s="2" t="s">
        <v>3023</v>
      </c>
      <c r="C9" s="3" t="s">
        <v>3024</v>
      </c>
      <c r="D9" s="3" t="s">
        <v>684</v>
      </c>
      <c r="E9" s="3" t="s">
        <v>3025</v>
      </c>
      <c r="F9" s="3" t="s">
        <v>3026</v>
      </c>
      <c r="G9" s="3" t="s">
        <v>3027</v>
      </c>
      <c r="H9" s="3" t="s">
        <v>3028</v>
      </c>
      <c r="I9" s="2" t="s">
        <v>3029</v>
      </c>
      <c r="J9" s="3" t="s">
        <v>3030</v>
      </c>
      <c r="K9" s="3" t="s">
        <v>3031</v>
      </c>
      <c r="L9" s="2" t="s">
        <v>3032</v>
      </c>
      <c r="M9" s="2" t="s">
        <v>3033</v>
      </c>
    </row>
    <row r="10" customFormat="false" ht="79.85" hidden="false" customHeight="false" outlineLevel="0" collapsed="false">
      <c r="A10" s="3" t="s">
        <v>3034</v>
      </c>
      <c r="B10" s="2" t="s">
        <v>3023</v>
      </c>
      <c r="C10" s="3" t="s">
        <v>3035</v>
      </c>
      <c r="D10" s="3" t="s">
        <v>684</v>
      </c>
      <c r="E10" s="3" t="s">
        <v>3036</v>
      </c>
      <c r="F10" s="3" t="s">
        <v>3037</v>
      </c>
      <c r="G10" s="3" t="s">
        <v>3038</v>
      </c>
      <c r="H10" s="2" t="s">
        <v>3039</v>
      </c>
      <c r="I10" s="2" t="s">
        <v>3040</v>
      </c>
      <c r="J10" s="3" t="s">
        <v>3041</v>
      </c>
      <c r="K10" s="3" t="s">
        <v>3042</v>
      </c>
      <c r="L10" s="2" t="s">
        <v>3043</v>
      </c>
      <c r="M10" s="2" t="s">
        <v>3044</v>
      </c>
    </row>
    <row r="11" customFormat="false" ht="79.85" hidden="false" customHeight="false" outlineLevel="0" collapsed="false">
      <c r="A11" s="3" t="s">
        <v>3045</v>
      </c>
      <c r="B11" s="2" t="s">
        <v>3023</v>
      </c>
      <c r="C11" s="3" t="s">
        <v>3046</v>
      </c>
      <c r="D11" s="3" t="s">
        <v>500</v>
      </c>
      <c r="E11" s="3" t="s">
        <v>3047</v>
      </c>
      <c r="F11" s="2" t="s">
        <v>3048</v>
      </c>
      <c r="G11" s="3" t="s">
        <v>3049</v>
      </c>
      <c r="H11" s="2" t="s">
        <v>3050</v>
      </c>
      <c r="I11" s="2" t="s">
        <v>3051</v>
      </c>
      <c r="J11" s="2" t="s">
        <v>3052</v>
      </c>
      <c r="K11" s="3" t="s">
        <v>3053</v>
      </c>
      <c r="L11" s="2" t="s">
        <v>3054</v>
      </c>
      <c r="M11" s="2" t="s">
        <v>3055</v>
      </c>
    </row>
    <row r="12" customFormat="false" ht="153.7" hidden="false" customHeight="false" outlineLevel="0" collapsed="false">
      <c r="A12" s="3" t="s">
        <v>3056</v>
      </c>
      <c r="B12" s="2" t="s">
        <v>3057</v>
      </c>
      <c r="C12" s="2" t="s">
        <v>3058</v>
      </c>
      <c r="D12" s="3" t="s">
        <v>3059</v>
      </c>
      <c r="E12" s="3" t="s">
        <v>3060</v>
      </c>
      <c r="F12" s="3" t="s">
        <v>3061</v>
      </c>
      <c r="G12" s="3" t="s">
        <v>3062</v>
      </c>
      <c r="H12" s="3" t="s">
        <v>3063</v>
      </c>
      <c r="I12" s="2" t="s">
        <v>3064</v>
      </c>
      <c r="J12" s="2" t="s">
        <v>3065</v>
      </c>
      <c r="K12" s="3" t="s">
        <v>3007</v>
      </c>
      <c r="L12" s="2" t="s">
        <v>3066</v>
      </c>
      <c r="M12" s="2" t="s">
        <v>3067</v>
      </c>
    </row>
    <row r="13" customFormat="false" ht="267.9" hidden="false" customHeight="false" outlineLevel="0" collapsed="false">
      <c r="A13" s="3" t="s">
        <v>3068</v>
      </c>
      <c r="B13" s="2" t="s">
        <v>3057</v>
      </c>
      <c r="C13" s="3" t="s">
        <v>3069</v>
      </c>
      <c r="D13" s="3" t="s">
        <v>1350</v>
      </c>
      <c r="E13" s="3" t="s">
        <v>3070</v>
      </c>
      <c r="F13" s="3" t="s">
        <v>3071</v>
      </c>
      <c r="G13" s="3" t="s">
        <v>3072</v>
      </c>
      <c r="H13" s="3" t="s">
        <v>3073</v>
      </c>
      <c r="I13" s="2" t="s">
        <v>3074</v>
      </c>
      <c r="J13" s="2" t="s">
        <v>3075</v>
      </c>
      <c r="K13" s="3" t="s">
        <v>3007</v>
      </c>
      <c r="L13" s="2" t="s">
        <v>3076</v>
      </c>
      <c r="M13" s="2" t="s">
        <v>3077</v>
      </c>
    </row>
    <row r="14" customFormat="false" ht="297" hidden="false" customHeight="false" outlineLevel="0" collapsed="false">
      <c r="A14" s="37" t="s">
        <v>3078</v>
      </c>
      <c r="B14" s="38" t="s">
        <v>3079</v>
      </c>
      <c r="C14" s="38" t="s">
        <v>3080</v>
      </c>
      <c r="D14" s="37" t="s">
        <v>66</v>
      </c>
      <c r="E14" s="37" t="s">
        <v>3081</v>
      </c>
      <c r="F14" s="38" t="s">
        <v>3082</v>
      </c>
      <c r="G14" s="37" t="s">
        <v>3083</v>
      </c>
      <c r="H14" s="37" t="s">
        <v>3084</v>
      </c>
      <c r="I14" s="38" t="s">
        <v>3085</v>
      </c>
      <c r="J14" s="38" t="s">
        <v>3086</v>
      </c>
      <c r="K14" s="37" t="s">
        <v>3007</v>
      </c>
      <c r="L14" s="38" t="s">
        <v>3087</v>
      </c>
      <c r="M14" s="38" t="s">
        <v>3088</v>
      </c>
    </row>
    <row r="15" customFormat="false" ht="330.55" hidden="false" customHeight="false" outlineLevel="0" collapsed="false">
      <c r="A15" s="3" t="s">
        <v>3089</v>
      </c>
      <c r="B15" s="2" t="s">
        <v>2999</v>
      </c>
      <c r="C15" s="2" t="s">
        <v>3090</v>
      </c>
      <c r="D15" s="3" t="s">
        <v>3091</v>
      </c>
      <c r="E15" s="2" t="s">
        <v>3092</v>
      </c>
      <c r="F15" s="3" t="s">
        <v>3093</v>
      </c>
      <c r="G15" s="3" t="s">
        <v>3094</v>
      </c>
      <c r="H15" s="3" t="s">
        <v>3095</v>
      </c>
      <c r="I15" s="2" t="s">
        <v>3096</v>
      </c>
      <c r="J15" s="2" t="s">
        <v>3097</v>
      </c>
      <c r="K15" s="3" t="s">
        <v>3007</v>
      </c>
      <c r="L15" s="2" t="s">
        <v>3098</v>
      </c>
      <c r="M15" s="2" t="s">
        <v>3099</v>
      </c>
    </row>
    <row r="16" customFormat="false" ht="111.15" hidden="false" customHeight="false" outlineLevel="0" collapsed="false">
      <c r="A16" s="37" t="s">
        <v>3100</v>
      </c>
      <c r="B16" s="38" t="s">
        <v>3011</v>
      </c>
      <c r="C16" s="37" t="s">
        <v>3101</v>
      </c>
      <c r="D16" s="37" t="s">
        <v>66</v>
      </c>
      <c r="E16" s="37" t="s">
        <v>3102</v>
      </c>
      <c r="F16" s="37" t="s">
        <v>3103</v>
      </c>
      <c r="G16" s="37" t="s">
        <v>3104</v>
      </c>
      <c r="H16" s="37" t="s">
        <v>3105</v>
      </c>
      <c r="I16" s="38" t="s">
        <v>3106</v>
      </c>
      <c r="J16" s="37" t="s">
        <v>3107</v>
      </c>
      <c r="K16" s="37" t="s">
        <v>3108</v>
      </c>
      <c r="L16" s="38" t="s">
        <v>3109</v>
      </c>
      <c r="M16" s="38" t="s">
        <v>3110</v>
      </c>
    </row>
    <row r="17" customFormat="false" ht="64.15" hidden="false" customHeight="false" outlineLevel="0" collapsed="false">
      <c r="A17" s="3" t="s">
        <v>3111</v>
      </c>
      <c r="B17" s="2" t="s">
        <v>3011</v>
      </c>
      <c r="C17" s="3" t="s">
        <v>3112</v>
      </c>
      <c r="D17" s="3" t="s">
        <v>3113</v>
      </c>
      <c r="E17" s="3" t="s">
        <v>3114</v>
      </c>
      <c r="F17" s="3" t="s">
        <v>3115</v>
      </c>
      <c r="G17" s="3" t="s">
        <v>3116</v>
      </c>
      <c r="H17" s="3" t="s">
        <v>3117</v>
      </c>
      <c r="I17" s="2" t="s">
        <v>3118</v>
      </c>
      <c r="J17" s="2" t="s">
        <v>3119</v>
      </c>
      <c r="K17" s="3" t="s">
        <v>3120</v>
      </c>
      <c r="L17" s="2" t="s">
        <v>3121</v>
      </c>
      <c r="M17" s="2" t="s">
        <v>3122</v>
      </c>
    </row>
    <row r="18" customFormat="false" ht="299.25" hidden="false" customHeight="false" outlineLevel="0" collapsed="false">
      <c r="A18" s="3" t="s">
        <v>3123</v>
      </c>
      <c r="B18" s="2" t="s">
        <v>3023</v>
      </c>
      <c r="C18" s="2" t="s">
        <v>3124</v>
      </c>
      <c r="D18" s="3" t="s">
        <v>66</v>
      </c>
      <c r="E18" s="3" t="s">
        <v>3125</v>
      </c>
      <c r="F18" s="3" t="s">
        <v>3126</v>
      </c>
      <c r="G18" s="2" t="s">
        <v>3127</v>
      </c>
      <c r="H18" s="3" t="s">
        <v>3128</v>
      </c>
      <c r="I18" s="2" t="s">
        <v>3129</v>
      </c>
      <c r="J18" s="2" t="s">
        <v>3130</v>
      </c>
      <c r="K18" s="3" t="s">
        <v>3131</v>
      </c>
      <c r="L18" s="2" t="s">
        <v>3132</v>
      </c>
      <c r="M18" s="2" t="s">
        <v>3133</v>
      </c>
    </row>
    <row r="19" customFormat="false" ht="95.5" hidden="false" customHeight="false" outlineLevel="0" collapsed="false">
      <c r="A19" s="3" t="s">
        <v>3134</v>
      </c>
      <c r="B19" s="2" t="s">
        <v>3135</v>
      </c>
      <c r="C19" s="2" t="s">
        <v>3136</v>
      </c>
      <c r="D19" s="3" t="s">
        <v>684</v>
      </c>
      <c r="E19" s="2" t="s">
        <v>3137</v>
      </c>
      <c r="F19" s="3" t="s">
        <v>3138</v>
      </c>
      <c r="G19" s="3" t="s">
        <v>3139</v>
      </c>
      <c r="H19" s="2" t="s">
        <v>3140</v>
      </c>
      <c r="I19" s="2" t="s">
        <v>3040</v>
      </c>
      <c r="J19" s="2" t="s">
        <v>3141</v>
      </c>
      <c r="K19" s="2" t="s">
        <v>3142</v>
      </c>
      <c r="L19" s="2" t="s">
        <v>3143</v>
      </c>
      <c r="M19" s="2" t="s">
        <v>3144</v>
      </c>
    </row>
    <row r="20" customFormat="false" ht="48.5" hidden="false" customHeight="false" outlineLevel="0" collapsed="false">
      <c r="A20" s="3" t="s">
        <v>3145</v>
      </c>
      <c r="B20" s="3" t="s">
        <v>3146</v>
      </c>
      <c r="C20" s="3" t="s">
        <v>3147</v>
      </c>
      <c r="D20" s="3" t="s">
        <v>3148</v>
      </c>
      <c r="E20" s="3" t="s">
        <v>3149</v>
      </c>
      <c r="F20" s="3" t="s">
        <v>3150</v>
      </c>
      <c r="G20" s="3" t="s">
        <v>3151</v>
      </c>
      <c r="H20" s="3" t="s">
        <v>3152</v>
      </c>
      <c r="I20" s="3" t="s">
        <v>3153</v>
      </c>
      <c r="J20" s="2" t="s">
        <v>3154</v>
      </c>
      <c r="K20" s="3" t="s">
        <v>3155</v>
      </c>
      <c r="L20" s="2" t="s">
        <v>3156</v>
      </c>
      <c r="M20" s="3" t="s">
        <v>3157</v>
      </c>
    </row>
    <row r="21" customFormat="false" ht="75.35" hidden="false" customHeight="false" outlineLevel="0" collapsed="false">
      <c r="A21" s="3" t="s">
        <v>3158</v>
      </c>
      <c r="B21" s="2" t="s">
        <v>3159</v>
      </c>
      <c r="C21" s="3" t="s">
        <v>3160</v>
      </c>
      <c r="D21" s="3" t="s">
        <v>66</v>
      </c>
      <c r="E21" s="3" t="s">
        <v>3161</v>
      </c>
      <c r="F21" s="3" t="s">
        <v>3162</v>
      </c>
      <c r="G21" s="3" t="s">
        <v>3163</v>
      </c>
      <c r="H21" s="3" t="s">
        <v>3164</v>
      </c>
      <c r="I21" s="2" t="s">
        <v>3165</v>
      </c>
      <c r="J21" s="3" t="s">
        <v>3166</v>
      </c>
      <c r="K21" s="3" t="s">
        <v>3120</v>
      </c>
      <c r="L21" s="2" t="s">
        <v>3167</v>
      </c>
      <c r="M21" s="3" t="s">
        <v>3168</v>
      </c>
    </row>
    <row r="22" customFormat="false" ht="111.15" hidden="false" customHeight="false" outlineLevel="0" collapsed="false">
      <c r="A22" s="3" t="s">
        <v>3169</v>
      </c>
      <c r="B22" s="2" t="s">
        <v>3170</v>
      </c>
      <c r="C22" s="3" t="s">
        <v>3171</v>
      </c>
      <c r="D22" s="3" t="s">
        <v>66</v>
      </c>
      <c r="E22" s="3" t="s">
        <v>3172</v>
      </c>
      <c r="F22" s="2" t="s">
        <v>3173</v>
      </c>
      <c r="G22" s="2" t="s">
        <v>3174</v>
      </c>
      <c r="H22" s="2" t="s">
        <v>3175</v>
      </c>
      <c r="I22" s="2" t="s">
        <v>3176</v>
      </c>
      <c r="J22" s="3" t="s">
        <v>3177</v>
      </c>
      <c r="K22" s="3" t="s">
        <v>3155</v>
      </c>
      <c r="L22" s="2" t="s">
        <v>3178</v>
      </c>
      <c r="M22" s="3" t="s">
        <v>3179</v>
      </c>
    </row>
    <row r="23" customFormat="false" ht="236.55" hidden="false" customHeight="false" outlineLevel="0" collapsed="false">
      <c r="A23" s="3" t="s">
        <v>3180</v>
      </c>
      <c r="B23" s="2" t="s">
        <v>2965</v>
      </c>
      <c r="C23" s="3" t="s">
        <v>3181</v>
      </c>
      <c r="D23" s="3" t="s">
        <v>66</v>
      </c>
      <c r="E23" s="3" t="s">
        <v>3182</v>
      </c>
      <c r="F23" s="3" t="s">
        <v>3183</v>
      </c>
      <c r="G23" s="3" t="s">
        <v>3184</v>
      </c>
      <c r="H23" s="2" t="s">
        <v>3185</v>
      </c>
      <c r="I23" s="2" t="s">
        <v>3186</v>
      </c>
      <c r="J23" s="2" t="s">
        <v>3187</v>
      </c>
      <c r="K23" s="3" t="s">
        <v>2985</v>
      </c>
      <c r="L23" s="2" t="s">
        <v>3188</v>
      </c>
      <c r="M23" s="3" t="s">
        <v>3189</v>
      </c>
    </row>
    <row r="24" customFormat="false" ht="220.85" hidden="false" customHeight="false" outlineLevel="0" collapsed="false">
      <c r="A24" s="3" t="s">
        <v>3190</v>
      </c>
      <c r="B24" s="2" t="s">
        <v>3191</v>
      </c>
      <c r="C24" s="3" t="s">
        <v>3192</v>
      </c>
      <c r="D24" s="3" t="s">
        <v>66</v>
      </c>
      <c r="E24" s="3" t="s">
        <v>3193</v>
      </c>
      <c r="F24" s="2" t="s">
        <v>3194</v>
      </c>
      <c r="G24" s="3" t="s">
        <v>3195</v>
      </c>
      <c r="H24" s="3" t="s">
        <v>3196</v>
      </c>
      <c r="I24" s="2" t="s">
        <v>3197</v>
      </c>
      <c r="J24" s="2" t="s">
        <v>3198</v>
      </c>
      <c r="K24" s="3" t="s">
        <v>3199</v>
      </c>
      <c r="L24" s="2" t="s">
        <v>3200</v>
      </c>
      <c r="M24" s="3" t="s">
        <v>3201</v>
      </c>
    </row>
    <row r="25" customFormat="false" ht="64.15" hidden="false" customHeight="false" outlineLevel="0" collapsed="false">
      <c r="A25" s="3" t="s">
        <v>3202</v>
      </c>
      <c r="B25" s="2" t="s">
        <v>3203</v>
      </c>
      <c r="C25" s="3" t="s">
        <v>3204</v>
      </c>
      <c r="D25" s="3" t="s">
        <v>3205</v>
      </c>
      <c r="E25" s="3" t="s">
        <v>3206</v>
      </c>
      <c r="F25" s="3" t="s">
        <v>3207</v>
      </c>
      <c r="G25" s="3" t="s">
        <v>3208</v>
      </c>
      <c r="H25" s="3" t="s">
        <v>3209</v>
      </c>
      <c r="I25" s="2" t="s">
        <v>3210</v>
      </c>
      <c r="J25" s="3" t="s">
        <v>3211</v>
      </c>
      <c r="K25" s="3" t="s">
        <v>3120</v>
      </c>
      <c r="L25" s="2" t="s">
        <v>3156</v>
      </c>
      <c r="M25" s="3" t="s">
        <v>3168</v>
      </c>
    </row>
    <row r="26" customFormat="false" ht="64.15" hidden="false" customHeight="false" outlineLevel="0" collapsed="false">
      <c r="A26" s="37" t="s">
        <v>3212</v>
      </c>
      <c r="B26" s="38" t="s">
        <v>3057</v>
      </c>
      <c r="C26" s="38" t="s">
        <v>3213</v>
      </c>
      <c r="D26" s="37" t="s">
        <v>66</v>
      </c>
      <c r="E26" s="37" t="s">
        <v>3214</v>
      </c>
      <c r="F26" s="37" t="s">
        <v>3215</v>
      </c>
      <c r="G26" s="37" t="s">
        <v>3216</v>
      </c>
      <c r="H26" s="37" t="s">
        <v>3217</v>
      </c>
      <c r="I26" s="38" t="s">
        <v>3218</v>
      </c>
      <c r="J26" s="38" t="s">
        <v>3219</v>
      </c>
      <c r="K26" s="38" t="s">
        <v>3109</v>
      </c>
      <c r="L26" s="38" t="s">
        <v>3220</v>
      </c>
      <c r="M26" s="37" t="s">
        <v>3221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9"/>
    <col collapsed="false" customWidth="true" hidden="false" outlineLevel="0" max="7" min="4" style="0" width="10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17.15" hidden="false" customHeight="false" outlineLevel="0" collapsed="false">
      <c r="A1" s="0" t="s">
        <v>3222</v>
      </c>
    </row>
    <row r="2" customFormat="false" ht="17.15" hidden="false" customHeight="false" outlineLevel="0" collapsed="false">
      <c r="A2" s="6" t="s">
        <v>3223</v>
      </c>
    </row>
    <row r="4" customFormat="false" ht="15" hidden="false" customHeight="false" outlineLevel="0" collapsed="false">
      <c r="A4" s="4" t="s">
        <v>30</v>
      </c>
      <c r="B4" s="4" t="s">
        <v>54</v>
      </c>
      <c r="C4" s="4" t="s">
        <v>55</v>
      </c>
      <c r="D4" s="4" t="s">
        <v>56</v>
      </c>
      <c r="E4" s="4" t="s">
        <v>57</v>
      </c>
      <c r="F4" s="4" t="s">
        <v>58</v>
      </c>
      <c r="G4" s="4" t="s">
        <v>59</v>
      </c>
      <c r="H4" s="4" t="s">
        <v>3224</v>
      </c>
    </row>
    <row r="5" customFormat="false" ht="17.15" hidden="false" customHeight="false" outlineLevel="0" collapsed="false">
      <c r="A5" s="10" t="s">
        <v>3225</v>
      </c>
    </row>
    <row r="6" customFormat="false" ht="17.15" hidden="false" customHeight="false" outlineLevel="0" collapsed="false">
      <c r="A6" s="0" t="s">
        <v>69</v>
      </c>
      <c r="B6" s="6" t="s">
        <v>65</v>
      </c>
      <c r="C6" s="0" t="s">
        <v>66</v>
      </c>
      <c r="E6" s="20" t="n">
        <f aca="false">In!E6</f>
        <v>-0.025</v>
      </c>
      <c r="G6" s="0" t="str">
        <f aca="false">In!G6</f>
        <v>Interested-party</v>
      </c>
      <c r="H6" s="12" t="s">
        <v>3226</v>
      </c>
    </row>
    <row r="7" customFormat="false" ht="17.15" hidden="false" customHeight="false" outlineLevel="0" collapsed="false">
      <c r="A7" s="0" t="s">
        <v>73</v>
      </c>
      <c r="B7" s="6" t="s">
        <v>71</v>
      </c>
      <c r="C7" s="0" t="s">
        <v>66</v>
      </c>
      <c r="E7" s="20" t="n">
        <f aca="false">In!E7</f>
        <v>0.125</v>
      </c>
      <c r="G7" s="0" t="str">
        <f aca="false">In!G7</f>
        <v>Interested-party</v>
      </c>
      <c r="H7" s="12" t="s">
        <v>3227</v>
      </c>
    </row>
    <row r="8" customFormat="false" ht="17.15" hidden="false" customHeight="false" outlineLevel="0" collapsed="false">
      <c r="A8" s="0" t="s">
        <v>76</v>
      </c>
      <c r="B8" s="6" t="s">
        <v>75</v>
      </c>
      <c r="C8" s="0" t="s">
        <v>66</v>
      </c>
      <c r="E8" s="20" t="n">
        <f aca="false">In!E8</f>
        <v>0.475</v>
      </c>
      <c r="G8" s="0" t="str">
        <f aca="false">In!G8</f>
        <v>Interested-party</v>
      </c>
      <c r="H8" s="12" t="s">
        <v>3228</v>
      </c>
    </row>
    <row r="9" customFormat="false" ht="17.15" hidden="false" customHeight="false" outlineLevel="0" collapsed="false">
      <c r="A9" s="0" t="s">
        <v>79</v>
      </c>
      <c r="B9" s="6" t="s">
        <v>78</v>
      </c>
      <c r="C9" s="0" t="s">
        <v>66</v>
      </c>
      <c r="E9" s="20" t="n">
        <f aca="false">In!E9</f>
        <v>0.95</v>
      </c>
      <c r="G9" s="0" t="str">
        <f aca="false">In!G9</f>
        <v>Interested-party</v>
      </c>
      <c r="H9" s="12" t="s">
        <v>3229</v>
      </c>
    </row>
    <row r="10" customFormat="false" ht="17.15" hidden="false" customHeight="false" outlineLevel="0" collapsed="false">
      <c r="A10" s="0" t="s">
        <v>82</v>
      </c>
      <c r="B10" s="6" t="s">
        <v>81</v>
      </c>
      <c r="C10" s="0" t="s">
        <v>66</v>
      </c>
      <c r="E10" s="20" t="n">
        <f aca="false">In!E10</f>
        <v>0.605</v>
      </c>
      <c r="G10" s="0" t="str">
        <f aca="false">In!G10</f>
        <v>Interested-party</v>
      </c>
      <c r="H10" s="12" t="s">
        <v>3230</v>
      </c>
    </row>
    <row r="11" customFormat="false" ht="17.15" hidden="false" customHeight="false" outlineLevel="0" collapsed="false">
      <c r="A11" s="0" t="s">
        <v>85</v>
      </c>
      <c r="B11" s="6" t="s">
        <v>84</v>
      </c>
      <c r="C11" s="0" t="s">
        <v>66</v>
      </c>
      <c r="E11" s="20" t="n">
        <f aca="false">In!E11</f>
        <v>0.155</v>
      </c>
      <c r="G11" s="0" t="str">
        <f aca="false">In!G11</f>
        <v>Interested-party</v>
      </c>
      <c r="H11" s="12" t="s">
        <v>3231</v>
      </c>
    </row>
    <row r="12" customFormat="false" ht="17.15" hidden="false" customHeight="false" outlineLevel="0" collapsed="false">
      <c r="A12" s="0" t="s">
        <v>88</v>
      </c>
      <c r="B12" s="6" t="s">
        <v>87</v>
      </c>
      <c r="C12" s="0" t="s">
        <v>66</v>
      </c>
      <c r="E12" s="20" t="n">
        <f aca="false">In!E12</f>
        <v>0.125</v>
      </c>
      <c r="G12" s="0" t="str">
        <f aca="false">In!G12</f>
        <v>Interested-party</v>
      </c>
      <c r="H12" s="12" t="s">
        <v>3232</v>
      </c>
    </row>
    <row r="13" customFormat="false" ht="17.15" hidden="false" customHeight="false" outlineLevel="0" collapsed="false">
      <c r="A13" s="0" t="s">
        <v>93</v>
      </c>
      <c r="B13" s="6" t="s">
        <v>90</v>
      </c>
      <c r="C13" s="0" t="s">
        <v>66</v>
      </c>
      <c r="E13" s="20" t="n">
        <f aca="false">In!E13</f>
        <v>0.03</v>
      </c>
      <c r="G13" s="0" t="str">
        <f aca="false">In!G13</f>
        <v>Derived</v>
      </c>
      <c r="H13" s="12" t="s">
        <v>3233</v>
      </c>
    </row>
    <row r="14" customFormat="false" ht="17.15" hidden="false" customHeight="false" outlineLevel="0" collapsed="false">
      <c r="A14" s="0" t="s">
        <v>96</v>
      </c>
      <c r="B14" s="6" t="s">
        <v>95</v>
      </c>
      <c r="C14" s="0" t="s">
        <v>66</v>
      </c>
      <c r="E14" s="20" t="n">
        <f aca="false">In!E14</f>
        <v>0</v>
      </c>
      <c r="G14" s="0" t="str">
        <f aca="false">In!G14</f>
        <v>Derived</v>
      </c>
      <c r="H14" s="12" t="s">
        <v>3234</v>
      </c>
    </row>
    <row r="15" customFormat="false" ht="17.15" hidden="false" customHeight="false" outlineLevel="0" collapsed="false">
      <c r="A15" s="0" t="s">
        <v>99</v>
      </c>
      <c r="B15" s="6" t="s">
        <v>98</v>
      </c>
      <c r="C15" s="0" t="s">
        <v>66</v>
      </c>
      <c r="E15" s="20" t="n">
        <f aca="false">In!E15</f>
        <v>-0.02</v>
      </c>
      <c r="G15" s="0" t="str">
        <f aca="false">In!G15</f>
        <v>Derived</v>
      </c>
      <c r="H15" s="12" t="s">
        <v>3235</v>
      </c>
    </row>
    <row r="16" customFormat="false" ht="17.15" hidden="false" customHeight="false" outlineLevel="0" collapsed="false">
      <c r="A16" s="0" t="s">
        <v>102</v>
      </c>
      <c r="B16" s="6" t="s">
        <v>101</v>
      </c>
      <c r="C16" s="0" t="s">
        <v>66</v>
      </c>
      <c r="E16" s="20" t="n">
        <f aca="false">In!E16</f>
        <v>-0.03</v>
      </c>
      <c r="G16" s="0" t="str">
        <f aca="false">In!G16</f>
        <v>Derived</v>
      </c>
      <c r="H16" s="12" t="s">
        <v>3236</v>
      </c>
    </row>
    <row r="17" customFormat="false" ht="17.15" hidden="false" customHeight="false" outlineLevel="0" collapsed="false">
      <c r="A17" s="0" t="s">
        <v>105</v>
      </c>
      <c r="B17" s="6" t="s">
        <v>104</v>
      </c>
      <c r="C17" s="0" t="s">
        <v>66</v>
      </c>
      <c r="E17" s="20" t="n">
        <f aca="false">In!E17</f>
        <v>-0.03</v>
      </c>
      <c r="G17" s="0" t="str">
        <f aca="false">In!G17</f>
        <v>Derived</v>
      </c>
      <c r="H17" s="12" t="s">
        <v>3237</v>
      </c>
    </row>
    <row r="18" customFormat="false" ht="17.15" hidden="false" customHeight="false" outlineLevel="0" collapsed="false">
      <c r="A18" s="0" t="s">
        <v>108</v>
      </c>
      <c r="B18" s="6" t="s">
        <v>107</v>
      </c>
      <c r="C18" s="0" t="s">
        <v>66</v>
      </c>
      <c r="E18" s="20" t="n">
        <f aca="false">In!E18</f>
        <v>-0.03</v>
      </c>
      <c r="G18" s="0" t="str">
        <f aca="false">In!G18</f>
        <v>Derived</v>
      </c>
      <c r="H18" s="12" t="s">
        <v>3238</v>
      </c>
    </row>
    <row r="19" customFormat="false" ht="17.15" hidden="false" customHeight="false" outlineLevel="0" collapsed="false">
      <c r="A19" s="0" t="s">
        <v>111</v>
      </c>
      <c r="B19" s="6" t="s">
        <v>110</v>
      </c>
      <c r="C19" s="0" t="s">
        <v>66</v>
      </c>
      <c r="E19" s="20" t="n">
        <f aca="false">In!E19</f>
        <v>-0.02</v>
      </c>
      <c r="G19" s="0" t="str">
        <f aca="false">In!G19</f>
        <v>Derived</v>
      </c>
      <c r="H19" s="12" t="s">
        <v>3239</v>
      </c>
    </row>
    <row r="20" customFormat="false" ht="17.15" hidden="false" customHeight="false" outlineLevel="0" collapsed="false">
      <c r="A20" s="0" t="s">
        <v>114</v>
      </c>
      <c r="B20" s="6" t="s">
        <v>113</v>
      </c>
      <c r="C20" s="0" t="s">
        <v>66</v>
      </c>
      <c r="E20" s="20" t="n">
        <f aca="false">In!E20</f>
        <v>-0.02</v>
      </c>
      <c r="G20" s="0" t="str">
        <f aca="false">In!G20</f>
        <v>Derived</v>
      </c>
      <c r="H20" s="12" t="s">
        <v>3240</v>
      </c>
    </row>
    <row r="21" customFormat="false" ht="17.15" hidden="false" customHeight="false" outlineLevel="0" collapsed="false">
      <c r="A21" s="0" t="s">
        <v>119</v>
      </c>
      <c r="B21" s="6" t="s">
        <v>116</v>
      </c>
      <c r="C21" s="0" t="s">
        <v>66</v>
      </c>
      <c r="D21" s="20" t="n">
        <f aca="false">In!D21</f>
        <v>-0.03</v>
      </c>
      <c r="E21" s="20" t="n">
        <f aca="false">In!E21</f>
        <v>-0.03</v>
      </c>
      <c r="F21" s="20" t="n">
        <f aca="false">In!F21</f>
        <v>0.05</v>
      </c>
      <c r="G21" s="0" t="str">
        <f aca="false">In!G21</f>
        <v>Assumed</v>
      </c>
      <c r="H21" s="12" t="s">
        <v>3241</v>
      </c>
    </row>
    <row r="22" customFormat="false" ht="17.15" hidden="false" customHeight="false" outlineLevel="0" collapsed="false">
      <c r="A22" s="0" t="s">
        <v>122</v>
      </c>
      <c r="B22" s="6" t="s">
        <v>121</v>
      </c>
      <c r="C22" s="0" t="s">
        <v>66</v>
      </c>
      <c r="D22" s="20" t="n">
        <f aca="false">In!D22</f>
        <v>-0.03</v>
      </c>
      <c r="E22" s="20" t="n">
        <f aca="false">In!E22</f>
        <v>-0.03</v>
      </c>
      <c r="F22" s="20" t="n">
        <f aca="false">In!F22</f>
        <v>0.05</v>
      </c>
      <c r="G22" s="0" t="str">
        <f aca="false">In!G22</f>
        <v>Assumed</v>
      </c>
      <c r="H22" s="12" t="s">
        <v>3242</v>
      </c>
    </row>
    <row r="23" customFormat="false" ht="17.15" hidden="false" customHeight="false" outlineLevel="0" collapsed="false">
      <c r="A23" s="0" t="s">
        <v>125</v>
      </c>
      <c r="B23" s="6" t="s">
        <v>124</v>
      </c>
      <c r="C23" s="0" t="s">
        <v>66</v>
      </c>
      <c r="D23" s="20" t="n">
        <f aca="false">In!D23</f>
        <v>-0.02</v>
      </c>
      <c r="E23" s="20" t="n">
        <f aca="false">In!E23</f>
        <v>-0.02</v>
      </c>
      <c r="F23" s="20" t="n">
        <f aca="false">In!F23</f>
        <v>0.03</v>
      </c>
      <c r="G23" s="0" t="str">
        <f aca="false">In!G23</f>
        <v>Assumed</v>
      </c>
      <c r="H23" s="12" t="s">
        <v>3243</v>
      </c>
    </row>
    <row r="24" customFormat="false" ht="17.15" hidden="false" customHeight="false" outlineLevel="0" collapsed="false">
      <c r="A24" s="0" t="s">
        <v>128</v>
      </c>
      <c r="B24" s="6" t="s">
        <v>127</v>
      </c>
      <c r="C24" s="0" t="s">
        <v>66</v>
      </c>
      <c r="D24" s="20" t="n">
        <f aca="false">In!D24</f>
        <v>-0.02</v>
      </c>
      <c r="E24" s="20" t="n">
        <f aca="false">In!E24</f>
        <v>-0.02</v>
      </c>
      <c r="F24" s="20" t="n">
        <f aca="false">In!F24</f>
        <v>0.03</v>
      </c>
      <c r="G24" s="0" t="str">
        <f aca="false">In!G24</f>
        <v>Assumed</v>
      </c>
      <c r="H24" s="12" t="s">
        <v>3244</v>
      </c>
    </row>
    <row r="25" customFormat="false" ht="17.15" hidden="false" customHeight="false" outlineLevel="0" collapsed="false">
      <c r="A25" s="0" t="s">
        <v>132</v>
      </c>
      <c r="B25" s="6" t="s">
        <v>130</v>
      </c>
      <c r="C25" s="0" t="s">
        <v>66</v>
      </c>
      <c r="E25" s="20" t="n">
        <f aca="false">In!E25</f>
        <v>0.05</v>
      </c>
      <c r="G25" s="0" t="str">
        <f aca="false">In!G25</f>
        <v>Derived</v>
      </c>
      <c r="H25" s="12" t="s">
        <v>3245</v>
      </c>
    </row>
    <row r="26" customFormat="false" ht="17.15" hidden="false" customHeight="false" outlineLevel="0" collapsed="false">
      <c r="A26" s="0" t="s">
        <v>135</v>
      </c>
      <c r="B26" s="6" t="s">
        <v>134</v>
      </c>
      <c r="C26" s="0" t="s">
        <v>66</v>
      </c>
      <c r="E26" s="20" t="n">
        <f aca="false">In!E26</f>
        <v>0.02</v>
      </c>
      <c r="G26" s="0" t="str">
        <f aca="false">In!G26</f>
        <v>Derived</v>
      </c>
      <c r="H26" s="12" t="s">
        <v>3246</v>
      </c>
    </row>
    <row r="27" customFormat="false" ht="17.15" hidden="false" customHeight="false" outlineLevel="0" collapsed="false">
      <c r="A27" s="0" t="s">
        <v>138</v>
      </c>
      <c r="B27" s="6" t="s">
        <v>137</v>
      </c>
      <c r="C27" s="0" t="s">
        <v>66</v>
      </c>
      <c r="E27" s="20" t="n">
        <f aca="false">In!E27</f>
        <v>-0.08</v>
      </c>
      <c r="G27" s="0" t="str">
        <f aca="false">In!G27</f>
        <v>Derived</v>
      </c>
      <c r="H27" s="12" t="s">
        <v>3247</v>
      </c>
    </row>
    <row r="28" customFormat="false" ht="17.15" hidden="false" customHeight="false" outlineLevel="0" collapsed="false">
      <c r="A28" s="0" t="s">
        <v>141</v>
      </c>
      <c r="B28" s="6" t="s">
        <v>140</v>
      </c>
      <c r="C28" s="0" t="s">
        <v>66</v>
      </c>
      <c r="E28" s="20" t="n">
        <f aca="false">In!E28</f>
        <v>-0.15</v>
      </c>
      <c r="G28" s="0" t="str">
        <f aca="false">In!G28</f>
        <v>Derived</v>
      </c>
      <c r="H28" s="12" t="s">
        <v>3248</v>
      </c>
    </row>
    <row r="29" customFormat="false" ht="17.15" hidden="false" customHeight="false" outlineLevel="0" collapsed="false">
      <c r="A29" s="0" t="s">
        <v>144</v>
      </c>
      <c r="B29" s="6" t="s">
        <v>143</v>
      </c>
      <c r="C29" s="0" t="s">
        <v>66</v>
      </c>
      <c r="E29" s="20" t="n">
        <f aca="false">In!E29</f>
        <v>-0.25</v>
      </c>
      <c r="G29" s="0" t="str">
        <f aca="false">In!G29</f>
        <v>Derived</v>
      </c>
      <c r="H29" s="12" t="s">
        <v>3249</v>
      </c>
    </row>
    <row r="30" customFormat="false" ht="17.15" hidden="false" customHeight="false" outlineLevel="0" collapsed="false">
      <c r="A30" s="0" t="s">
        <v>147</v>
      </c>
      <c r="B30" s="6" t="s">
        <v>146</v>
      </c>
      <c r="C30" s="0" t="s">
        <v>66</v>
      </c>
      <c r="E30" s="20" t="n">
        <f aca="false">In!E30</f>
        <v>-0.15</v>
      </c>
      <c r="G30" s="0" t="str">
        <f aca="false">In!G30</f>
        <v>Derived</v>
      </c>
      <c r="H30" s="12" t="s">
        <v>3250</v>
      </c>
    </row>
    <row r="31" customFormat="false" ht="17.15" hidden="false" customHeight="false" outlineLevel="0" collapsed="false">
      <c r="A31" s="0" t="s">
        <v>150</v>
      </c>
      <c r="B31" s="6" t="s">
        <v>149</v>
      </c>
      <c r="C31" s="0" t="s">
        <v>66</v>
      </c>
      <c r="E31" s="20" t="n">
        <f aca="false">In!E31</f>
        <v>-0.1</v>
      </c>
      <c r="G31" s="0" t="str">
        <f aca="false">In!G31</f>
        <v>Derived</v>
      </c>
      <c r="H31" s="12" t="s">
        <v>3251</v>
      </c>
    </row>
    <row r="32" customFormat="false" ht="17.15" hidden="false" customHeight="false" outlineLevel="0" collapsed="false">
      <c r="A32" s="0" t="s">
        <v>153</v>
      </c>
      <c r="B32" s="6" t="s">
        <v>152</v>
      </c>
      <c r="C32" s="0" t="s">
        <v>66</v>
      </c>
      <c r="E32" s="20" t="n">
        <f aca="false">In!E32</f>
        <v>-0.05</v>
      </c>
      <c r="G32" s="0" t="str">
        <f aca="false">In!G32</f>
        <v>Derived</v>
      </c>
      <c r="H32" s="12" t="s">
        <v>3252</v>
      </c>
    </row>
    <row r="33" customFormat="false" ht="17.15" hidden="false" customHeight="false" outlineLevel="0" collapsed="false">
      <c r="A33" s="0" t="s">
        <v>156</v>
      </c>
      <c r="B33" s="6" t="s">
        <v>155</v>
      </c>
      <c r="C33" s="0" t="s">
        <v>66</v>
      </c>
      <c r="D33" s="20" t="n">
        <f aca="false">In!D33</f>
        <v>-0.03</v>
      </c>
      <c r="E33" s="20" t="n">
        <f aca="false">In!E33</f>
        <v>0.05</v>
      </c>
      <c r="F33" s="20" t="n">
        <f aca="false">In!F33</f>
        <v>0.05</v>
      </c>
      <c r="G33" s="0" t="str">
        <f aca="false">In!G33</f>
        <v>Assumed</v>
      </c>
      <c r="H33" s="12" t="s">
        <v>3253</v>
      </c>
    </row>
    <row r="34" customFormat="false" ht="17.15" hidden="false" customHeight="false" outlineLevel="0" collapsed="false">
      <c r="A34" s="0" t="s">
        <v>159</v>
      </c>
      <c r="B34" s="6" t="s">
        <v>158</v>
      </c>
      <c r="C34" s="0" t="s">
        <v>66</v>
      </c>
      <c r="D34" s="20" t="n">
        <f aca="false">In!D34</f>
        <v>-0.03</v>
      </c>
      <c r="E34" s="20" t="n">
        <f aca="false">In!E34</f>
        <v>0.05</v>
      </c>
      <c r="F34" s="20" t="n">
        <f aca="false">In!F34</f>
        <v>0.05</v>
      </c>
      <c r="G34" s="0" t="str">
        <f aca="false">In!G34</f>
        <v>Assumed</v>
      </c>
      <c r="H34" s="12" t="s">
        <v>3254</v>
      </c>
    </row>
    <row r="35" customFormat="false" ht="17.15" hidden="false" customHeight="false" outlineLevel="0" collapsed="false">
      <c r="A35" s="0" t="s">
        <v>162</v>
      </c>
      <c r="B35" s="6" t="s">
        <v>161</v>
      </c>
      <c r="C35" s="0" t="s">
        <v>66</v>
      </c>
      <c r="D35" s="20" t="n">
        <f aca="false">In!D35</f>
        <v>-0.02</v>
      </c>
      <c r="E35" s="20" t="n">
        <f aca="false">In!E35</f>
        <v>0.03</v>
      </c>
      <c r="F35" s="20" t="n">
        <f aca="false">In!F35</f>
        <v>0.03</v>
      </c>
      <c r="G35" s="0" t="str">
        <f aca="false">In!G35</f>
        <v>Assumed</v>
      </c>
      <c r="H35" s="12" t="s">
        <v>3255</v>
      </c>
    </row>
    <row r="36" customFormat="false" ht="17.15" hidden="false" customHeight="false" outlineLevel="0" collapsed="false">
      <c r="A36" s="0" t="s">
        <v>165</v>
      </c>
      <c r="B36" s="6" t="s">
        <v>164</v>
      </c>
      <c r="C36" s="0" t="s">
        <v>66</v>
      </c>
      <c r="D36" s="20" t="n">
        <f aca="false">In!D36</f>
        <v>-0.02</v>
      </c>
      <c r="E36" s="20" t="n">
        <f aca="false">In!E36</f>
        <v>0.03</v>
      </c>
      <c r="F36" s="20" t="n">
        <f aca="false">In!F36</f>
        <v>0.03</v>
      </c>
      <c r="G36" s="0" t="str">
        <f aca="false">In!G36</f>
        <v>Assumed</v>
      </c>
      <c r="H36" s="12" t="s">
        <v>3256</v>
      </c>
    </row>
    <row r="37" customFormat="false" ht="17.15" hidden="false" customHeight="false" outlineLevel="0" collapsed="false">
      <c r="A37" s="0" t="s">
        <v>169</v>
      </c>
      <c r="B37" s="6" t="s">
        <v>167</v>
      </c>
      <c r="C37" s="0" t="s">
        <v>66</v>
      </c>
      <c r="D37" s="20" t="n">
        <f aca="false">In!D37</f>
        <v>0</v>
      </c>
      <c r="E37" s="20" t="n">
        <f aca="false">In!E37</f>
        <v>0.05</v>
      </c>
      <c r="F37" s="20" t="n">
        <f aca="false">In!F37</f>
        <v>0.1</v>
      </c>
      <c r="G37" s="0" t="str">
        <f aca="false">In!G37</f>
        <v>Assumed</v>
      </c>
      <c r="H37" s="12" t="s">
        <v>3257</v>
      </c>
    </row>
    <row r="38" customFormat="false" ht="17.15" hidden="false" customHeight="false" outlineLevel="0" collapsed="false">
      <c r="A38" s="0" t="s">
        <v>172</v>
      </c>
      <c r="B38" s="6" t="s">
        <v>171</v>
      </c>
      <c r="C38" s="0" t="s">
        <v>66</v>
      </c>
      <c r="D38" s="20" t="n">
        <f aca="false">In!D38</f>
        <v>-0.03</v>
      </c>
      <c r="E38" s="20" t="n">
        <f aca="false">In!E38</f>
        <v>0.02</v>
      </c>
      <c r="F38" s="20" t="n">
        <f aca="false">In!F38</f>
        <v>0.07</v>
      </c>
      <c r="G38" s="0" t="str">
        <f aca="false">In!G38</f>
        <v>Assumed</v>
      </c>
      <c r="H38" s="12" t="s">
        <v>3258</v>
      </c>
    </row>
    <row r="39" customFormat="false" ht="17.15" hidden="false" customHeight="false" outlineLevel="0" collapsed="false">
      <c r="A39" s="0" t="s">
        <v>175</v>
      </c>
      <c r="B39" s="6" t="s">
        <v>174</v>
      </c>
      <c r="C39" s="0" t="s">
        <v>66</v>
      </c>
      <c r="D39" s="20" t="n">
        <f aca="false">In!D39</f>
        <v>-0.13</v>
      </c>
      <c r="E39" s="20" t="n">
        <f aca="false">In!E39</f>
        <v>-0.08</v>
      </c>
      <c r="F39" s="20" t="n">
        <f aca="false">In!F39</f>
        <v>-0.03</v>
      </c>
      <c r="G39" s="0" t="str">
        <f aca="false">In!G39</f>
        <v>Assumed</v>
      </c>
      <c r="H39" s="12" t="s">
        <v>3259</v>
      </c>
    </row>
    <row r="40" customFormat="false" ht="17.15" hidden="false" customHeight="false" outlineLevel="0" collapsed="false">
      <c r="A40" s="0" t="s">
        <v>178</v>
      </c>
      <c r="B40" s="6" t="s">
        <v>177</v>
      </c>
      <c r="C40" s="0" t="s">
        <v>66</v>
      </c>
      <c r="D40" s="20" t="n">
        <f aca="false">In!D40</f>
        <v>-0.2</v>
      </c>
      <c r="E40" s="20" t="n">
        <f aca="false">In!E40</f>
        <v>-0.15</v>
      </c>
      <c r="F40" s="20" t="n">
        <f aca="false">In!F40</f>
        <v>-0.1</v>
      </c>
      <c r="G40" s="0" t="str">
        <f aca="false">In!G40</f>
        <v>Assumed</v>
      </c>
      <c r="H40" s="12" t="s">
        <v>3260</v>
      </c>
    </row>
    <row r="41" customFormat="false" ht="17.15" hidden="false" customHeight="false" outlineLevel="0" collapsed="false">
      <c r="A41" s="0" t="s">
        <v>181</v>
      </c>
      <c r="B41" s="6" t="s">
        <v>180</v>
      </c>
      <c r="C41" s="0" t="s">
        <v>66</v>
      </c>
      <c r="D41" s="20" t="n">
        <f aca="false">In!D41</f>
        <v>-0.45</v>
      </c>
      <c r="E41" s="20" t="n">
        <f aca="false">In!E41</f>
        <v>-0.35</v>
      </c>
      <c r="F41" s="20" t="n">
        <f aca="false">In!F41</f>
        <v>-0.25</v>
      </c>
      <c r="G41" s="0" t="str">
        <f aca="false">In!G41</f>
        <v>Assumed</v>
      </c>
      <c r="H41" s="12" t="s">
        <v>3261</v>
      </c>
    </row>
    <row r="42" customFormat="false" ht="17.15" hidden="false" customHeight="false" outlineLevel="0" collapsed="false">
      <c r="A42" s="0" t="s">
        <v>184</v>
      </c>
      <c r="B42" s="6" t="s">
        <v>183</v>
      </c>
      <c r="C42" s="0" t="s">
        <v>66</v>
      </c>
      <c r="D42" s="20" t="n">
        <f aca="false">In!D42</f>
        <v>-0.4</v>
      </c>
      <c r="E42" s="20" t="n">
        <f aca="false">In!E42</f>
        <v>-0.3</v>
      </c>
      <c r="F42" s="20" t="n">
        <f aca="false">In!F42</f>
        <v>-0.2</v>
      </c>
      <c r="G42" s="0" t="str">
        <f aca="false">In!G42</f>
        <v>Assumed</v>
      </c>
      <c r="H42" s="12" t="s">
        <v>3262</v>
      </c>
    </row>
    <row r="43" customFormat="false" ht="17.15" hidden="false" customHeight="false" outlineLevel="0" collapsed="false">
      <c r="A43" s="0" t="s">
        <v>187</v>
      </c>
      <c r="B43" s="6" t="s">
        <v>186</v>
      </c>
      <c r="C43" s="0" t="s">
        <v>66</v>
      </c>
      <c r="D43" s="20" t="n">
        <f aca="false">In!D43</f>
        <v>-0.35</v>
      </c>
      <c r="E43" s="20" t="n">
        <f aca="false">In!E43</f>
        <v>-0.25</v>
      </c>
      <c r="F43" s="20" t="n">
        <f aca="false">In!F43</f>
        <v>-0.15</v>
      </c>
      <c r="G43" s="0" t="str">
        <f aca="false">In!G43</f>
        <v>Assumed</v>
      </c>
      <c r="H43" s="12" t="s">
        <v>3263</v>
      </c>
    </row>
    <row r="44" customFormat="false" ht="17.15" hidden="false" customHeight="false" outlineLevel="0" collapsed="false">
      <c r="A44" s="0" t="s">
        <v>190</v>
      </c>
      <c r="B44" s="6" t="s">
        <v>189</v>
      </c>
      <c r="C44" s="0" t="s">
        <v>66</v>
      </c>
      <c r="D44" s="20" t="n">
        <f aca="false">In!D44</f>
        <v>-0.3</v>
      </c>
      <c r="E44" s="20" t="n">
        <f aca="false">In!E44</f>
        <v>-0.2</v>
      </c>
      <c r="F44" s="20" t="n">
        <f aca="false">In!F44</f>
        <v>-0.1</v>
      </c>
      <c r="G44" s="0" t="str">
        <f aca="false">In!G44</f>
        <v>Assumed</v>
      </c>
      <c r="H44" s="12" t="s">
        <v>3264</v>
      </c>
    </row>
    <row r="45" customFormat="false" ht="17.15" hidden="false" customHeight="false" outlineLevel="0" collapsed="false">
      <c r="A45" s="0" t="s">
        <v>193</v>
      </c>
      <c r="B45" s="6" t="s">
        <v>192</v>
      </c>
      <c r="C45" s="0" t="s">
        <v>66</v>
      </c>
      <c r="D45" s="20" t="n">
        <f aca="false">In!D45</f>
        <v>-0.1</v>
      </c>
      <c r="E45" s="20" t="n">
        <f aca="false">In!E45</f>
        <v>0</v>
      </c>
      <c r="F45" s="20" t="n">
        <f aca="false">In!F45</f>
        <v>0.1</v>
      </c>
      <c r="G45" s="0" t="str">
        <f aca="false">In!G45</f>
        <v>Assumed</v>
      </c>
      <c r="H45" s="12" t="s">
        <v>3265</v>
      </c>
    </row>
    <row r="46" customFormat="false" ht="17.15" hidden="false" customHeight="false" outlineLevel="0" collapsed="false">
      <c r="A46" s="0" t="s">
        <v>196</v>
      </c>
      <c r="B46" s="6" t="s">
        <v>195</v>
      </c>
      <c r="C46" s="0" t="s">
        <v>66</v>
      </c>
      <c r="D46" s="20" t="n">
        <f aca="false">In!D46</f>
        <v>-0.05</v>
      </c>
      <c r="E46" s="20" t="n">
        <f aca="false">In!E46</f>
        <v>0.05</v>
      </c>
      <c r="F46" s="20" t="n">
        <f aca="false">In!F46</f>
        <v>0.15</v>
      </c>
      <c r="G46" s="0" t="str">
        <f aca="false">In!G46</f>
        <v>Assumed</v>
      </c>
      <c r="H46" s="12" t="s">
        <v>3266</v>
      </c>
    </row>
    <row r="47" customFormat="false" ht="17.15" hidden="false" customHeight="false" outlineLevel="0" collapsed="false">
      <c r="A47" s="0" t="s">
        <v>199</v>
      </c>
      <c r="B47" s="6" t="s">
        <v>198</v>
      </c>
      <c r="C47" s="0" t="s">
        <v>66</v>
      </c>
      <c r="D47" s="20" t="n">
        <f aca="false">In!D47</f>
        <v>-0.02</v>
      </c>
      <c r="E47" s="20" t="n">
        <f aca="false">In!E47</f>
        <v>0.08</v>
      </c>
      <c r="F47" s="20" t="n">
        <f aca="false">In!F47</f>
        <v>0.18</v>
      </c>
      <c r="G47" s="0" t="str">
        <f aca="false">In!G47</f>
        <v>Assumed</v>
      </c>
      <c r="H47" s="12" t="s">
        <v>3267</v>
      </c>
    </row>
    <row r="48" customFormat="false" ht="17.15" hidden="false" customHeight="false" outlineLevel="0" collapsed="false">
      <c r="A48" s="0" t="s">
        <v>202</v>
      </c>
      <c r="B48" s="6" t="s">
        <v>201</v>
      </c>
      <c r="C48" s="0" t="s">
        <v>66</v>
      </c>
      <c r="D48" s="20" t="n">
        <f aca="false">In!D48</f>
        <v>0</v>
      </c>
      <c r="E48" s="20" t="n">
        <f aca="false">In!E48</f>
        <v>0.1</v>
      </c>
      <c r="F48" s="20" t="n">
        <f aca="false">In!F48</f>
        <v>0.2</v>
      </c>
      <c r="G48" s="0" t="str">
        <f aca="false">In!G48</f>
        <v>Assumed</v>
      </c>
      <c r="H48" s="12" t="s">
        <v>3268</v>
      </c>
    </row>
    <row r="49" customFormat="false" ht="17.15" hidden="false" customHeight="false" outlineLevel="0" collapsed="false">
      <c r="A49" s="0" t="s">
        <v>206</v>
      </c>
      <c r="B49" s="0" t="s">
        <v>204</v>
      </c>
      <c r="C49" s="0" t="s">
        <v>66</v>
      </c>
      <c r="E49" s="20" t="n">
        <f aca="false">In!E49</f>
        <v>0</v>
      </c>
      <c r="G49" s="0" t="str">
        <f aca="false">In!G49</f>
        <v>Interested-party</v>
      </c>
      <c r="H49" s="12" t="s">
        <v>3269</v>
      </c>
    </row>
    <row r="50" customFormat="false" ht="17.15" hidden="false" customHeight="false" outlineLevel="0" collapsed="false">
      <c r="A50" s="0" t="s">
        <v>209</v>
      </c>
      <c r="B50" s="0" t="s">
        <v>208</v>
      </c>
      <c r="C50" s="0" t="s">
        <v>66</v>
      </c>
      <c r="E50" s="20" t="n">
        <f aca="false">In!E50</f>
        <v>0.05</v>
      </c>
      <c r="G50" s="0" t="str">
        <f aca="false">In!G50</f>
        <v>Interested-party</v>
      </c>
      <c r="H50" s="12" t="s">
        <v>3270</v>
      </c>
    </row>
    <row r="51" customFormat="false" ht="17.15" hidden="false" customHeight="false" outlineLevel="0" collapsed="false">
      <c r="A51" s="0" t="s">
        <v>212</v>
      </c>
      <c r="B51" s="0" t="s">
        <v>211</v>
      </c>
      <c r="C51" s="0" t="s">
        <v>66</v>
      </c>
      <c r="E51" s="20" t="n">
        <f aca="false">In!E51</f>
        <v>0.3</v>
      </c>
      <c r="G51" s="0" t="str">
        <f aca="false">In!G51</f>
        <v>Interested-party</v>
      </c>
      <c r="H51" s="12" t="s">
        <v>3271</v>
      </c>
    </row>
    <row r="52" customFormat="false" ht="17.15" hidden="false" customHeight="false" outlineLevel="0" collapsed="false">
      <c r="A52" s="0" t="s">
        <v>215</v>
      </c>
      <c r="B52" s="0" t="s">
        <v>214</v>
      </c>
      <c r="C52" s="0" t="s">
        <v>66</v>
      </c>
      <c r="E52" s="20" t="n">
        <f aca="false">In!E52</f>
        <v>0.875</v>
      </c>
      <c r="G52" s="0" t="str">
        <f aca="false">In!G52</f>
        <v>Interested-party</v>
      </c>
      <c r="H52" s="12" t="s">
        <v>3272</v>
      </c>
    </row>
    <row r="53" customFormat="false" ht="17.15" hidden="false" customHeight="false" outlineLevel="0" collapsed="false">
      <c r="A53" s="0" t="s">
        <v>218</v>
      </c>
      <c r="B53" s="0" t="s">
        <v>217</v>
      </c>
      <c r="C53" s="0" t="s">
        <v>66</v>
      </c>
      <c r="E53" s="20" t="n">
        <f aca="false">In!E53</f>
        <v>0.725</v>
      </c>
      <c r="G53" s="0" t="str">
        <f aca="false">In!G53</f>
        <v>Interested-party</v>
      </c>
      <c r="H53" s="12" t="s">
        <v>3273</v>
      </c>
    </row>
    <row r="54" customFormat="false" ht="17.15" hidden="false" customHeight="false" outlineLevel="0" collapsed="false">
      <c r="A54" s="0" t="s">
        <v>223</v>
      </c>
      <c r="B54" s="0" t="s">
        <v>220</v>
      </c>
      <c r="C54" s="0" t="s">
        <v>66</v>
      </c>
      <c r="E54" s="20" t="n">
        <f aca="false">In!E54</f>
        <v>0.25</v>
      </c>
      <c r="G54" s="0" t="str">
        <f aca="false">In!G54</f>
        <v>Verified</v>
      </c>
      <c r="H54" s="12" t="s">
        <v>3274</v>
      </c>
    </row>
    <row r="55" customFormat="false" ht="17.15" hidden="false" customHeight="false" outlineLevel="0" collapsed="false">
      <c r="A55" s="0" t="s">
        <v>227</v>
      </c>
      <c r="B55" s="0" t="s">
        <v>225</v>
      </c>
      <c r="C55" s="0" t="s">
        <v>66</v>
      </c>
      <c r="D55" s="20" t="n">
        <f aca="false">In!D55</f>
        <v>0.032</v>
      </c>
      <c r="E55" s="20" t="n">
        <f aca="false">In!E55</f>
        <v>0.081</v>
      </c>
      <c r="F55" s="20" t="n">
        <f aca="false">In!F55</f>
        <v>0.175</v>
      </c>
      <c r="G55" s="0" t="str">
        <f aca="false">In!G55</f>
        <v>Derived</v>
      </c>
      <c r="H55" s="12" t="s">
        <v>3275</v>
      </c>
    </row>
    <row r="56" customFormat="false" ht="17.15" hidden="false" customHeight="false" outlineLevel="0" collapsed="false">
      <c r="A56" s="0" t="s">
        <v>231</v>
      </c>
      <c r="B56" s="0" t="s">
        <v>229</v>
      </c>
      <c r="C56" s="0" t="s">
        <v>66</v>
      </c>
      <c r="E56" s="20" t="n">
        <f aca="false">In!E56</f>
        <v>0.03</v>
      </c>
      <c r="G56" s="0" t="str">
        <f aca="false">In!G56</f>
        <v>Derived</v>
      </c>
      <c r="H56" s="12" t="s">
        <v>3276</v>
      </c>
    </row>
    <row r="57" customFormat="false" ht="17.15" hidden="false" customHeight="false" outlineLevel="0" collapsed="false">
      <c r="A57" s="0" t="s">
        <v>234</v>
      </c>
      <c r="B57" s="0" t="s">
        <v>233</v>
      </c>
      <c r="C57" s="0" t="s">
        <v>66</v>
      </c>
      <c r="E57" s="20" t="n">
        <f aca="false">In!E57</f>
        <v>0</v>
      </c>
      <c r="G57" s="0" t="str">
        <f aca="false">In!G57</f>
        <v>Derived</v>
      </c>
      <c r="H57" s="12" t="s">
        <v>3277</v>
      </c>
    </row>
    <row r="58" customFormat="false" ht="17.15" hidden="false" customHeight="false" outlineLevel="0" collapsed="false">
      <c r="A58" s="0" t="s">
        <v>237</v>
      </c>
      <c r="B58" s="0" t="s">
        <v>236</v>
      </c>
      <c r="C58" s="0" t="s">
        <v>66</v>
      </c>
      <c r="E58" s="20" t="n">
        <f aca="false">In!E58</f>
        <v>-0.05</v>
      </c>
      <c r="G58" s="0" t="str">
        <f aca="false">In!G58</f>
        <v>Derived</v>
      </c>
      <c r="H58" s="12" t="s">
        <v>3278</v>
      </c>
    </row>
    <row r="59" customFormat="false" ht="17.15" hidden="false" customHeight="false" outlineLevel="0" collapsed="false">
      <c r="A59" s="0" t="s">
        <v>240</v>
      </c>
      <c r="B59" s="0" t="s">
        <v>239</v>
      </c>
      <c r="C59" s="0" t="s">
        <v>66</v>
      </c>
      <c r="E59" s="20" t="n">
        <f aca="false">In!E59</f>
        <v>-0.07</v>
      </c>
      <c r="G59" s="0" t="str">
        <f aca="false">In!G59</f>
        <v>Derived</v>
      </c>
      <c r="H59" s="12" t="s">
        <v>3279</v>
      </c>
    </row>
    <row r="60" customFormat="false" ht="17.15" hidden="false" customHeight="false" outlineLevel="0" collapsed="false">
      <c r="A60" s="0" t="s">
        <v>243</v>
      </c>
      <c r="B60" s="0" t="s">
        <v>242</v>
      </c>
      <c r="C60" s="0" t="s">
        <v>66</v>
      </c>
      <c r="E60" s="20" t="n">
        <f aca="false">In!E60</f>
        <v>-0.05</v>
      </c>
      <c r="G60" s="0" t="str">
        <f aca="false">In!G60</f>
        <v>Derived</v>
      </c>
      <c r="H60" s="12" t="s">
        <v>3280</v>
      </c>
    </row>
    <row r="61" customFormat="false" ht="17.15" hidden="false" customHeight="false" outlineLevel="0" collapsed="false">
      <c r="A61" s="0" t="s">
        <v>246</v>
      </c>
      <c r="B61" s="0" t="s">
        <v>245</v>
      </c>
      <c r="C61" s="0" t="s">
        <v>66</v>
      </c>
      <c r="E61" s="20" t="n">
        <f aca="false">In!E61</f>
        <v>-0.05</v>
      </c>
      <c r="G61" s="0" t="str">
        <f aca="false">In!G61</f>
        <v>Derived</v>
      </c>
      <c r="H61" s="12" t="s">
        <v>3281</v>
      </c>
    </row>
    <row r="62" customFormat="false" ht="17.15" hidden="false" customHeight="false" outlineLevel="0" collapsed="false">
      <c r="A62" s="0" t="s">
        <v>249</v>
      </c>
      <c r="B62" s="0" t="s">
        <v>248</v>
      </c>
      <c r="C62" s="0" t="s">
        <v>66</v>
      </c>
      <c r="E62" s="20" t="n">
        <f aca="false">In!E62</f>
        <v>-0.05</v>
      </c>
      <c r="G62" s="0" t="str">
        <f aca="false">In!G62</f>
        <v>Derived</v>
      </c>
      <c r="H62" s="12" t="s">
        <v>3282</v>
      </c>
    </row>
    <row r="63" customFormat="false" ht="17.15" hidden="false" customHeight="false" outlineLevel="0" collapsed="false">
      <c r="A63" s="0" t="s">
        <v>252</v>
      </c>
      <c r="B63" s="0" t="s">
        <v>251</v>
      </c>
      <c r="C63" s="0" t="s">
        <v>66</v>
      </c>
      <c r="E63" s="20" t="n">
        <f aca="false">In!E63</f>
        <v>-0.05</v>
      </c>
      <c r="G63" s="0" t="str">
        <f aca="false">In!G63</f>
        <v>Derived</v>
      </c>
      <c r="H63" s="12" t="s">
        <v>3283</v>
      </c>
    </row>
    <row r="64" customFormat="false" ht="17.15" hidden="false" customHeight="false" outlineLevel="0" collapsed="false">
      <c r="A64" s="0" t="s">
        <v>255</v>
      </c>
      <c r="B64" s="0" t="s">
        <v>254</v>
      </c>
      <c r="C64" s="0" t="s">
        <v>66</v>
      </c>
      <c r="D64" s="20" t="n">
        <f aca="false">In!D64</f>
        <v>-0.03</v>
      </c>
      <c r="E64" s="20" t="n">
        <f aca="false">In!E64</f>
        <v>-0.03</v>
      </c>
      <c r="F64" s="20" t="n">
        <f aca="false">In!F64</f>
        <v>0.05</v>
      </c>
      <c r="G64" s="0" t="str">
        <f aca="false">In!G64</f>
        <v>Assumed</v>
      </c>
      <c r="H64" s="12" t="s">
        <v>3284</v>
      </c>
    </row>
    <row r="65" customFormat="false" ht="17.15" hidden="false" customHeight="false" outlineLevel="0" collapsed="false">
      <c r="A65" s="0" t="s">
        <v>258</v>
      </c>
      <c r="B65" s="0" t="s">
        <v>257</v>
      </c>
      <c r="C65" s="0" t="s">
        <v>66</v>
      </c>
      <c r="D65" s="20" t="n">
        <f aca="false">In!D65</f>
        <v>-0.03</v>
      </c>
      <c r="E65" s="20" t="n">
        <f aca="false">In!E65</f>
        <v>-0.03</v>
      </c>
      <c r="F65" s="20" t="n">
        <f aca="false">In!F65</f>
        <v>0.05</v>
      </c>
      <c r="G65" s="0" t="str">
        <f aca="false">In!G65</f>
        <v>Assumed</v>
      </c>
      <c r="H65" s="12" t="s">
        <v>3285</v>
      </c>
    </row>
    <row r="66" customFormat="false" ht="17.15" hidden="false" customHeight="false" outlineLevel="0" collapsed="false">
      <c r="A66" s="0" t="s">
        <v>261</v>
      </c>
      <c r="B66" s="0" t="s">
        <v>260</v>
      </c>
      <c r="C66" s="0" t="s">
        <v>66</v>
      </c>
      <c r="D66" s="20" t="n">
        <f aca="false">In!D66</f>
        <v>-0.03</v>
      </c>
      <c r="E66" s="20" t="n">
        <f aca="false">In!E66</f>
        <v>-0.03</v>
      </c>
      <c r="F66" s="20" t="n">
        <f aca="false">In!F66</f>
        <v>0.03</v>
      </c>
      <c r="G66" s="0" t="str">
        <f aca="false">In!G66</f>
        <v>Assumed</v>
      </c>
      <c r="H66" s="12" t="s">
        <v>3286</v>
      </c>
    </row>
    <row r="67" customFormat="false" ht="17.15" hidden="false" customHeight="false" outlineLevel="0" collapsed="false">
      <c r="A67" s="0" t="s">
        <v>264</v>
      </c>
      <c r="B67" s="0" t="s">
        <v>263</v>
      </c>
      <c r="C67" s="0" t="s">
        <v>66</v>
      </c>
      <c r="D67" s="20" t="n">
        <f aca="false">In!D67</f>
        <v>-0.03</v>
      </c>
      <c r="E67" s="20" t="n">
        <f aca="false">In!E67</f>
        <v>-0.03</v>
      </c>
      <c r="F67" s="20" t="n">
        <f aca="false">In!F67</f>
        <v>0.03</v>
      </c>
      <c r="G67" s="0" t="str">
        <f aca="false">In!G67</f>
        <v>Assumed</v>
      </c>
      <c r="H67" s="12" t="s">
        <v>3287</v>
      </c>
    </row>
    <row r="68" customFormat="false" ht="17.15" hidden="false" customHeight="false" outlineLevel="0" collapsed="false">
      <c r="A68" s="0" t="s">
        <v>268</v>
      </c>
      <c r="B68" s="0" t="s">
        <v>266</v>
      </c>
      <c r="C68" s="0" t="s">
        <v>66</v>
      </c>
      <c r="E68" s="20" t="n">
        <f aca="false">In!E68</f>
        <v>0.05</v>
      </c>
      <c r="G68" s="0" t="str">
        <f aca="false">In!G68</f>
        <v>Derived</v>
      </c>
      <c r="H68" s="12" t="s">
        <v>3288</v>
      </c>
    </row>
    <row r="69" customFormat="false" ht="17.15" hidden="false" customHeight="false" outlineLevel="0" collapsed="false">
      <c r="A69" s="0" t="s">
        <v>271</v>
      </c>
      <c r="B69" s="0" t="s">
        <v>270</v>
      </c>
      <c r="C69" s="0" t="s">
        <v>66</v>
      </c>
      <c r="E69" s="20" t="n">
        <f aca="false">In!E69</f>
        <v>0.02</v>
      </c>
      <c r="G69" s="0" t="str">
        <f aca="false">In!G69</f>
        <v>Derived</v>
      </c>
      <c r="H69" s="12" t="s">
        <v>3289</v>
      </c>
    </row>
    <row r="70" customFormat="false" ht="17.15" hidden="false" customHeight="false" outlineLevel="0" collapsed="false">
      <c r="A70" s="0" t="s">
        <v>274</v>
      </c>
      <c r="B70" s="0" t="s">
        <v>273</v>
      </c>
      <c r="C70" s="0" t="s">
        <v>66</v>
      </c>
      <c r="E70" s="20" t="n">
        <f aca="false">In!E70</f>
        <v>-0.1</v>
      </c>
      <c r="G70" s="0" t="str">
        <f aca="false">In!G70</f>
        <v>Derived</v>
      </c>
      <c r="H70" s="12" t="s">
        <v>3290</v>
      </c>
    </row>
    <row r="71" customFormat="false" ht="17.15" hidden="false" customHeight="false" outlineLevel="0" collapsed="false">
      <c r="A71" s="0" t="s">
        <v>277</v>
      </c>
      <c r="B71" s="0" t="s">
        <v>276</v>
      </c>
      <c r="C71" s="0" t="s">
        <v>66</v>
      </c>
      <c r="E71" s="20" t="n">
        <f aca="false">In!E71</f>
        <v>-0.2</v>
      </c>
      <c r="G71" s="0" t="str">
        <f aca="false">In!G71</f>
        <v>Derived</v>
      </c>
      <c r="H71" s="12" t="s">
        <v>3291</v>
      </c>
    </row>
    <row r="72" customFormat="false" ht="17.15" hidden="false" customHeight="false" outlineLevel="0" collapsed="false">
      <c r="A72" s="0" t="s">
        <v>280</v>
      </c>
      <c r="B72" s="0" t="s">
        <v>279</v>
      </c>
      <c r="C72" s="0" t="s">
        <v>66</v>
      </c>
      <c r="E72" s="20" t="n">
        <f aca="false">In!E72</f>
        <v>-0.3</v>
      </c>
      <c r="G72" s="0" t="str">
        <f aca="false">In!G72</f>
        <v>Derived</v>
      </c>
      <c r="H72" s="12" t="s">
        <v>3292</v>
      </c>
    </row>
    <row r="73" customFormat="false" ht="17.15" hidden="false" customHeight="false" outlineLevel="0" collapsed="false">
      <c r="A73" s="0" t="s">
        <v>283</v>
      </c>
      <c r="B73" s="0" t="s">
        <v>282</v>
      </c>
      <c r="C73" s="0" t="s">
        <v>66</v>
      </c>
      <c r="E73" s="20" t="n">
        <f aca="false">In!E73</f>
        <v>-0.25</v>
      </c>
      <c r="G73" s="0" t="str">
        <f aca="false">In!G73</f>
        <v>Derived</v>
      </c>
      <c r="H73" s="12" t="s">
        <v>3293</v>
      </c>
    </row>
    <row r="74" customFormat="false" ht="17.15" hidden="false" customHeight="false" outlineLevel="0" collapsed="false">
      <c r="A74" s="0" t="s">
        <v>286</v>
      </c>
      <c r="B74" s="0" t="s">
        <v>285</v>
      </c>
      <c r="C74" s="0" t="s">
        <v>66</v>
      </c>
      <c r="E74" s="20" t="n">
        <f aca="false">In!E74</f>
        <v>-0.2</v>
      </c>
      <c r="G74" s="0" t="str">
        <f aca="false">In!G74</f>
        <v>Derived</v>
      </c>
      <c r="H74" s="12" t="s">
        <v>3294</v>
      </c>
    </row>
    <row r="75" customFormat="false" ht="17.15" hidden="false" customHeight="false" outlineLevel="0" collapsed="false">
      <c r="A75" s="0" t="s">
        <v>289</v>
      </c>
      <c r="B75" s="0" t="s">
        <v>288</v>
      </c>
      <c r="C75" s="0" t="s">
        <v>66</v>
      </c>
      <c r="E75" s="20" t="n">
        <f aca="false">In!E75</f>
        <v>-0.1</v>
      </c>
      <c r="G75" s="0" t="str">
        <f aca="false">In!G75</f>
        <v>Derived</v>
      </c>
      <c r="H75" s="12" t="s">
        <v>3295</v>
      </c>
    </row>
    <row r="76" customFormat="false" ht="17.15" hidden="false" customHeight="false" outlineLevel="0" collapsed="false">
      <c r="A76" s="0" t="s">
        <v>292</v>
      </c>
      <c r="B76" s="0" t="s">
        <v>291</v>
      </c>
      <c r="C76" s="0" t="s">
        <v>66</v>
      </c>
      <c r="D76" s="20" t="n">
        <f aca="false">In!D76</f>
        <v>-0.03</v>
      </c>
      <c r="E76" s="20" t="n">
        <f aca="false">In!E76</f>
        <v>0.05</v>
      </c>
      <c r="F76" s="20" t="n">
        <f aca="false">In!F76</f>
        <v>0.05</v>
      </c>
      <c r="G76" s="0" t="str">
        <f aca="false">In!G76</f>
        <v>Assumed</v>
      </c>
      <c r="H76" s="12" t="s">
        <v>3296</v>
      </c>
    </row>
    <row r="77" customFormat="false" ht="17.15" hidden="false" customHeight="false" outlineLevel="0" collapsed="false">
      <c r="A77" s="0" t="s">
        <v>295</v>
      </c>
      <c r="B77" s="0" t="s">
        <v>294</v>
      </c>
      <c r="C77" s="0" t="s">
        <v>66</v>
      </c>
      <c r="D77" s="20" t="n">
        <f aca="false">In!D77</f>
        <v>-0.03</v>
      </c>
      <c r="E77" s="20" t="n">
        <f aca="false">In!E77</f>
        <v>0.05</v>
      </c>
      <c r="F77" s="20" t="n">
        <f aca="false">In!F77</f>
        <v>0.05</v>
      </c>
      <c r="G77" s="0" t="str">
        <f aca="false">In!G77</f>
        <v>Assumed</v>
      </c>
      <c r="H77" s="12" t="s">
        <v>3297</v>
      </c>
    </row>
    <row r="78" customFormat="false" ht="17.15" hidden="false" customHeight="false" outlineLevel="0" collapsed="false">
      <c r="A78" s="0" t="s">
        <v>298</v>
      </c>
      <c r="B78" s="0" t="s">
        <v>297</v>
      </c>
      <c r="C78" s="0" t="s">
        <v>66</v>
      </c>
      <c r="D78" s="20" t="n">
        <f aca="false">In!D78</f>
        <v>-0.03</v>
      </c>
      <c r="E78" s="20" t="n">
        <f aca="false">In!E78</f>
        <v>0.03</v>
      </c>
      <c r="F78" s="20" t="n">
        <f aca="false">In!F78</f>
        <v>0.03</v>
      </c>
      <c r="G78" s="0" t="str">
        <f aca="false">In!G78</f>
        <v>Assumed</v>
      </c>
      <c r="H78" s="12" t="s">
        <v>3298</v>
      </c>
    </row>
    <row r="79" customFormat="false" ht="17.15" hidden="false" customHeight="false" outlineLevel="0" collapsed="false">
      <c r="A79" s="0" t="s">
        <v>301</v>
      </c>
      <c r="B79" s="0" t="s">
        <v>300</v>
      </c>
      <c r="C79" s="0" t="s">
        <v>66</v>
      </c>
      <c r="D79" s="20" t="n">
        <f aca="false">In!D79</f>
        <v>-0.03</v>
      </c>
      <c r="E79" s="20" t="n">
        <f aca="false">In!E79</f>
        <v>0.03</v>
      </c>
      <c r="F79" s="20" t="n">
        <f aca="false">In!F79</f>
        <v>0.03</v>
      </c>
      <c r="G79" s="0" t="str">
        <f aca="false">In!G79</f>
        <v>Assumed</v>
      </c>
      <c r="H79" s="12" t="s">
        <v>3299</v>
      </c>
    </row>
    <row r="80" customFormat="false" ht="17.15" hidden="false" customHeight="false" outlineLevel="0" collapsed="false">
      <c r="A80" s="0" t="s">
        <v>305</v>
      </c>
      <c r="B80" s="0" t="s">
        <v>303</v>
      </c>
      <c r="C80" s="0" t="s">
        <v>66</v>
      </c>
      <c r="D80" s="20" t="n">
        <f aca="false">In!D80</f>
        <v>0</v>
      </c>
      <c r="E80" s="20" t="n">
        <f aca="false">In!E80</f>
        <v>0.05</v>
      </c>
      <c r="F80" s="20" t="n">
        <f aca="false">In!F80</f>
        <v>0.1</v>
      </c>
      <c r="G80" s="0" t="str">
        <f aca="false">In!G80</f>
        <v>Assumed</v>
      </c>
      <c r="H80" s="12" t="s">
        <v>3300</v>
      </c>
    </row>
    <row r="81" customFormat="false" ht="17.15" hidden="false" customHeight="false" outlineLevel="0" collapsed="false">
      <c r="A81" s="0" t="s">
        <v>308</v>
      </c>
      <c r="B81" s="0" t="s">
        <v>307</v>
      </c>
      <c r="C81" s="0" t="s">
        <v>66</v>
      </c>
      <c r="D81" s="20" t="n">
        <f aca="false">In!D81</f>
        <v>-0.03</v>
      </c>
      <c r="E81" s="20" t="n">
        <f aca="false">In!E81</f>
        <v>0.02</v>
      </c>
      <c r="F81" s="20" t="n">
        <f aca="false">In!F81</f>
        <v>0.07</v>
      </c>
      <c r="G81" s="0" t="str">
        <f aca="false">In!G81</f>
        <v>Assumed</v>
      </c>
      <c r="H81" s="12" t="s">
        <v>3301</v>
      </c>
    </row>
    <row r="82" customFormat="false" ht="17.15" hidden="false" customHeight="false" outlineLevel="0" collapsed="false">
      <c r="A82" s="0" t="s">
        <v>311</v>
      </c>
      <c r="B82" s="0" t="s">
        <v>310</v>
      </c>
      <c r="C82" s="0" t="s">
        <v>66</v>
      </c>
      <c r="D82" s="20" t="n">
        <f aca="false">In!D82</f>
        <v>-0.15</v>
      </c>
      <c r="E82" s="20" t="n">
        <f aca="false">In!E82</f>
        <v>-0.1</v>
      </c>
      <c r="F82" s="20" t="n">
        <f aca="false">In!F82</f>
        <v>-0.05</v>
      </c>
      <c r="G82" s="0" t="str">
        <f aca="false">In!G82</f>
        <v>Assumed</v>
      </c>
      <c r="H82" s="12" t="s">
        <v>3302</v>
      </c>
    </row>
    <row r="83" customFormat="false" ht="17.15" hidden="false" customHeight="false" outlineLevel="0" collapsed="false">
      <c r="A83" s="0" t="s">
        <v>314</v>
      </c>
      <c r="B83" s="0" t="s">
        <v>313</v>
      </c>
      <c r="C83" s="0" t="s">
        <v>66</v>
      </c>
      <c r="D83" s="20" t="n">
        <f aca="false">In!D83</f>
        <v>-0.25</v>
      </c>
      <c r="E83" s="20" t="n">
        <f aca="false">In!E83</f>
        <v>-0.2</v>
      </c>
      <c r="F83" s="20" t="n">
        <f aca="false">In!F83</f>
        <v>-0.15</v>
      </c>
      <c r="G83" s="0" t="str">
        <f aca="false">In!G83</f>
        <v>Assumed</v>
      </c>
      <c r="H83" s="12" t="s">
        <v>3303</v>
      </c>
    </row>
    <row r="84" customFormat="false" ht="17.15" hidden="false" customHeight="false" outlineLevel="0" collapsed="false">
      <c r="A84" s="0" t="s">
        <v>317</v>
      </c>
      <c r="B84" s="0" t="s">
        <v>316</v>
      </c>
      <c r="C84" s="0" t="s">
        <v>66</v>
      </c>
      <c r="D84" s="20" t="n">
        <f aca="false">In!D84</f>
        <v>-0.45</v>
      </c>
      <c r="E84" s="20" t="n">
        <f aca="false">In!E84</f>
        <v>-0.35</v>
      </c>
      <c r="F84" s="20" t="n">
        <f aca="false">In!F84</f>
        <v>-0.25</v>
      </c>
      <c r="G84" s="0" t="str">
        <f aca="false">In!G84</f>
        <v>Assumed</v>
      </c>
      <c r="H84" s="12" t="s">
        <v>3304</v>
      </c>
    </row>
    <row r="85" customFormat="false" ht="17.15" hidden="false" customHeight="false" outlineLevel="0" collapsed="false">
      <c r="A85" s="0" t="s">
        <v>320</v>
      </c>
      <c r="B85" s="0" t="s">
        <v>319</v>
      </c>
      <c r="C85" s="0" t="s">
        <v>66</v>
      </c>
      <c r="D85" s="20" t="n">
        <f aca="false">In!D85</f>
        <v>-0.45</v>
      </c>
      <c r="E85" s="20" t="n">
        <f aca="false">In!E85</f>
        <v>-0.35</v>
      </c>
      <c r="F85" s="20" t="n">
        <f aca="false">In!F85</f>
        <v>-0.25</v>
      </c>
      <c r="G85" s="0" t="str">
        <f aca="false">In!G85</f>
        <v>Assumed</v>
      </c>
      <c r="H85" s="12" t="s">
        <v>3305</v>
      </c>
    </row>
    <row r="86" customFormat="false" ht="17.15" hidden="false" customHeight="false" outlineLevel="0" collapsed="false">
      <c r="A86" s="0" t="s">
        <v>323</v>
      </c>
      <c r="B86" s="0" t="s">
        <v>322</v>
      </c>
      <c r="C86" s="0" t="s">
        <v>66</v>
      </c>
      <c r="D86" s="20" t="n">
        <f aca="false">In!D86</f>
        <v>-0.35</v>
      </c>
      <c r="E86" s="20" t="n">
        <f aca="false">In!E86</f>
        <v>-0.25</v>
      </c>
      <c r="F86" s="20" t="n">
        <f aca="false">In!F86</f>
        <v>-0.15</v>
      </c>
      <c r="G86" s="0" t="str">
        <f aca="false">In!G86</f>
        <v>Assumed</v>
      </c>
      <c r="H86" s="12" t="s">
        <v>3306</v>
      </c>
    </row>
    <row r="87" customFormat="false" ht="17.15" hidden="false" customHeight="false" outlineLevel="0" collapsed="false">
      <c r="A87" s="0" t="s">
        <v>326</v>
      </c>
      <c r="B87" s="0" t="s">
        <v>325</v>
      </c>
      <c r="C87" s="0" t="s">
        <v>66</v>
      </c>
      <c r="D87" s="20" t="n">
        <f aca="false">In!D87</f>
        <v>-0.3</v>
      </c>
      <c r="E87" s="20" t="n">
        <f aca="false">In!E87</f>
        <v>-0.2</v>
      </c>
      <c r="F87" s="20" t="n">
        <f aca="false">In!F87</f>
        <v>-0.1</v>
      </c>
      <c r="G87" s="0" t="str">
        <f aca="false">In!G87</f>
        <v>Assumed</v>
      </c>
      <c r="H87" s="12" t="s">
        <v>3307</v>
      </c>
    </row>
    <row r="88" customFormat="false" ht="17.15" hidden="false" customHeight="false" outlineLevel="0" collapsed="false">
      <c r="A88" s="0" t="s">
        <v>329</v>
      </c>
      <c r="B88" s="0" t="s">
        <v>328</v>
      </c>
      <c r="C88" s="0" t="s">
        <v>66</v>
      </c>
      <c r="D88" s="20" t="n">
        <f aca="false">In!D88</f>
        <v>-0.1</v>
      </c>
      <c r="E88" s="20" t="n">
        <f aca="false">In!E88</f>
        <v>0</v>
      </c>
      <c r="F88" s="20" t="n">
        <f aca="false">In!F88</f>
        <v>0.1</v>
      </c>
      <c r="G88" s="0" t="str">
        <f aca="false">In!G88</f>
        <v>Assumed</v>
      </c>
      <c r="H88" s="12" t="s">
        <v>3308</v>
      </c>
    </row>
    <row r="89" customFormat="false" ht="17.15" hidden="false" customHeight="false" outlineLevel="0" collapsed="false">
      <c r="A89" s="0" t="s">
        <v>332</v>
      </c>
      <c r="B89" s="0" t="s">
        <v>331</v>
      </c>
      <c r="C89" s="0" t="s">
        <v>66</v>
      </c>
      <c r="D89" s="20" t="n">
        <f aca="false">In!D89</f>
        <v>-0.05</v>
      </c>
      <c r="E89" s="20" t="n">
        <f aca="false">In!E89</f>
        <v>0.05</v>
      </c>
      <c r="F89" s="20" t="n">
        <f aca="false">In!F89</f>
        <v>0.15</v>
      </c>
      <c r="G89" s="0" t="str">
        <f aca="false">In!G89</f>
        <v>Assumed</v>
      </c>
      <c r="H89" s="12" t="s">
        <v>3309</v>
      </c>
    </row>
    <row r="90" customFormat="false" ht="17.15" hidden="false" customHeight="false" outlineLevel="0" collapsed="false">
      <c r="A90" s="0" t="s">
        <v>335</v>
      </c>
      <c r="B90" s="0" t="s">
        <v>334</v>
      </c>
      <c r="C90" s="0" t="s">
        <v>66</v>
      </c>
      <c r="D90" s="20" t="n">
        <f aca="false">In!D90</f>
        <v>-0.02</v>
      </c>
      <c r="E90" s="20" t="n">
        <f aca="false">In!E90</f>
        <v>0.08</v>
      </c>
      <c r="F90" s="20" t="n">
        <f aca="false">In!F90</f>
        <v>0.18</v>
      </c>
      <c r="G90" s="0" t="str">
        <f aca="false">In!G90</f>
        <v>Assumed</v>
      </c>
      <c r="H90" s="12" t="s">
        <v>3310</v>
      </c>
    </row>
    <row r="91" customFormat="false" ht="17.15" hidden="false" customHeight="false" outlineLevel="0" collapsed="false">
      <c r="A91" s="0" t="s">
        <v>338</v>
      </c>
      <c r="B91" s="0" t="s">
        <v>337</v>
      </c>
      <c r="C91" s="0" t="s">
        <v>66</v>
      </c>
      <c r="D91" s="20" t="n">
        <f aca="false">In!D91</f>
        <v>0</v>
      </c>
      <c r="E91" s="20" t="n">
        <f aca="false">In!E91</f>
        <v>0.1</v>
      </c>
      <c r="F91" s="20" t="n">
        <f aca="false">In!F91</f>
        <v>0.2</v>
      </c>
      <c r="G91" s="0" t="str">
        <f aca="false">In!G91</f>
        <v>Assumed</v>
      </c>
      <c r="H91" s="12" t="s">
        <v>3311</v>
      </c>
    </row>
    <row r="92" customFormat="false" ht="17.15" hidden="false" customHeight="false" outlineLevel="0" collapsed="false">
      <c r="A92" s="0" t="s">
        <v>344</v>
      </c>
      <c r="B92" s="0" t="s">
        <v>341</v>
      </c>
      <c r="C92" s="6" t="s">
        <v>342</v>
      </c>
      <c r="E92" s="35" t="n">
        <f aca="false">In!E93</f>
        <v>5.4</v>
      </c>
      <c r="G92" s="0" t="str">
        <f aca="false">In!G93</f>
        <v>Interested-party</v>
      </c>
      <c r="H92" s="12" t="s">
        <v>3312</v>
      </c>
    </row>
    <row r="93" customFormat="false" ht="17.15" hidden="false" customHeight="false" outlineLevel="0" collapsed="false">
      <c r="A93" s="0" t="s">
        <v>347</v>
      </c>
      <c r="B93" s="0" t="s">
        <v>346</v>
      </c>
      <c r="C93" s="6" t="s">
        <v>342</v>
      </c>
      <c r="E93" s="35" t="n">
        <f aca="false">In!E94</f>
        <v>2.4</v>
      </c>
      <c r="G93" s="0" t="str">
        <f aca="false">In!G94</f>
        <v>Interested-party</v>
      </c>
      <c r="H93" s="12" t="s">
        <v>3313</v>
      </c>
    </row>
    <row r="94" customFormat="false" ht="17.15" hidden="false" customHeight="false" outlineLevel="0" collapsed="false">
      <c r="A94" s="0" t="s">
        <v>350</v>
      </c>
      <c r="B94" s="0" t="s">
        <v>349</v>
      </c>
      <c r="C94" s="6" t="s">
        <v>342</v>
      </c>
      <c r="E94" s="35" t="n">
        <f aca="false">In!E95</f>
        <v>0.5</v>
      </c>
      <c r="G94" s="0" t="str">
        <f aca="false">In!G95</f>
        <v>Interested-party</v>
      </c>
      <c r="H94" s="12" t="s">
        <v>3314</v>
      </c>
    </row>
    <row r="95" customFormat="false" ht="17.15" hidden="false" customHeight="false" outlineLevel="0" collapsed="false">
      <c r="A95" s="0" t="s">
        <v>354</v>
      </c>
      <c r="B95" s="0" t="s">
        <v>352</v>
      </c>
      <c r="C95" s="0" t="s">
        <v>353</v>
      </c>
      <c r="E95" s="35" t="n">
        <f aca="false">In!E96</f>
        <v>260</v>
      </c>
      <c r="G95" s="0" t="str">
        <f aca="false">In!G96</f>
        <v>Interested-party</v>
      </c>
      <c r="H95" s="12" t="s">
        <v>3315</v>
      </c>
    </row>
    <row r="96" customFormat="false" ht="17.15" hidden="false" customHeight="false" outlineLevel="0" collapsed="false">
      <c r="A96" s="0" t="s">
        <v>357</v>
      </c>
      <c r="B96" s="0" t="s">
        <v>356</v>
      </c>
      <c r="C96" s="0" t="s">
        <v>353</v>
      </c>
      <c r="E96" s="35" t="n">
        <f aca="false">In!E97</f>
        <v>280</v>
      </c>
      <c r="G96" s="0" t="str">
        <f aca="false">In!G97</f>
        <v>Interested-party</v>
      </c>
      <c r="H96" s="12" t="s">
        <v>3316</v>
      </c>
    </row>
    <row r="97" customFormat="false" ht="17.15" hidden="false" customHeight="false" outlineLevel="0" collapsed="false">
      <c r="A97" s="0" t="s">
        <v>360</v>
      </c>
      <c r="B97" s="0" t="s">
        <v>359</v>
      </c>
      <c r="C97" s="0" t="s">
        <v>353</v>
      </c>
      <c r="E97" s="35" t="n">
        <f aca="false">In!E98</f>
        <v>288</v>
      </c>
      <c r="G97" s="0" t="str">
        <f aca="false">In!G98</f>
        <v>Interested-party</v>
      </c>
      <c r="H97" s="12" t="s">
        <v>3317</v>
      </c>
    </row>
    <row r="98" customFormat="false" ht="17.15" hidden="false" customHeight="false" outlineLevel="0" collapsed="false">
      <c r="A98" s="0" t="s">
        <v>364</v>
      </c>
      <c r="B98" s="0" t="s">
        <v>362</v>
      </c>
      <c r="C98" s="6" t="s">
        <v>342</v>
      </c>
      <c r="E98" s="35" t="n">
        <f aca="false">In!E99</f>
        <v>1.7</v>
      </c>
      <c r="G98" s="0" t="str">
        <f aca="false">In!G99</f>
        <v>Interested-party</v>
      </c>
      <c r="H98" s="12" t="s">
        <v>3318</v>
      </c>
    </row>
    <row r="99" customFormat="false" ht="17.15" hidden="false" customHeight="false" outlineLevel="0" collapsed="false">
      <c r="A99" s="0" t="s">
        <v>367</v>
      </c>
      <c r="B99" s="0" t="s">
        <v>366</v>
      </c>
      <c r="C99" s="6" t="s">
        <v>342</v>
      </c>
      <c r="E99" s="35" t="n">
        <f aca="false">In!E100</f>
        <v>7</v>
      </c>
      <c r="G99" s="0" t="str">
        <f aca="false">In!G100</f>
        <v>Interested-party</v>
      </c>
      <c r="H99" s="12" t="s">
        <v>3319</v>
      </c>
    </row>
    <row r="100" customFormat="false" ht="17.15" hidden="false" customHeight="false" outlineLevel="0" collapsed="false">
      <c r="A100" s="0" t="s">
        <v>370</v>
      </c>
      <c r="B100" s="0" t="s">
        <v>369</v>
      </c>
      <c r="C100" s="6" t="s">
        <v>342</v>
      </c>
      <c r="E100" s="35" t="n">
        <f aca="false">In!E101</f>
        <v>7</v>
      </c>
      <c r="G100" s="0" t="str">
        <f aca="false">In!G101</f>
        <v>Interested-party</v>
      </c>
      <c r="H100" s="12" t="s">
        <v>3320</v>
      </c>
    </row>
    <row r="101" customFormat="false" ht="17.15" hidden="false" customHeight="false" outlineLevel="0" collapsed="false">
      <c r="A101" s="0" t="s">
        <v>373</v>
      </c>
      <c r="B101" s="0" t="s">
        <v>372</v>
      </c>
      <c r="C101" s="0" t="s">
        <v>353</v>
      </c>
      <c r="E101" s="35" t="n">
        <f aca="false">In!E102</f>
        <v>288</v>
      </c>
      <c r="G101" s="0" t="str">
        <f aca="false">In!G102</f>
        <v>Interested-party</v>
      </c>
      <c r="H101" s="12" t="s">
        <v>3321</v>
      </c>
    </row>
    <row r="102" customFormat="false" ht="17.15" hidden="false" customHeight="false" outlineLevel="0" collapsed="false">
      <c r="A102" s="0" t="s">
        <v>376</v>
      </c>
      <c r="B102" s="0" t="s">
        <v>375</v>
      </c>
      <c r="C102" s="0" t="s">
        <v>353</v>
      </c>
      <c r="E102" s="35" t="n">
        <f aca="false">In!E103</f>
        <v>288</v>
      </c>
      <c r="G102" s="0" t="str">
        <f aca="false">In!G103</f>
        <v>Interested-party</v>
      </c>
      <c r="H102" s="12" t="s">
        <v>3322</v>
      </c>
    </row>
    <row r="103" customFormat="false" ht="17.15" hidden="false" customHeight="false" outlineLevel="0" collapsed="false">
      <c r="A103" s="0" t="s">
        <v>379</v>
      </c>
      <c r="B103" s="0" t="s">
        <v>378</v>
      </c>
      <c r="C103" s="0" t="s">
        <v>353</v>
      </c>
      <c r="E103" s="35" t="n">
        <f aca="false">In!E104</f>
        <v>288</v>
      </c>
      <c r="G103" s="0" t="str">
        <f aca="false">In!G104</f>
        <v>Interested-party</v>
      </c>
      <c r="H103" s="12" t="s">
        <v>3323</v>
      </c>
    </row>
    <row r="104" customFormat="false" ht="17.15" hidden="false" customHeight="false" outlineLevel="0" collapsed="false">
      <c r="A104" s="0" t="s">
        <v>383</v>
      </c>
      <c r="B104" s="0" t="s">
        <v>381</v>
      </c>
      <c r="C104" s="6" t="s">
        <v>342</v>
      </c>
      <c r="D104" s="35" t="n">
        <f aca="false">In!D105</f>
        <v>0</v>
      </c>
      <c r="E104" s="35" t="n">
        <f aca="false">In!E105</f>
        <v>0</v>
      </c>
      <c r="F104" s="35" t="n">
        <f aca="false">In!F105</f>
        <v>0</v>
      </c>
      <c r="G104" s="0" t="str">
        <f aca="false">In!G105</f>
        <v>Assumed</v>
      </c>
      <c r="H104" s="12" t="s">
        <v>3324</v>
      </c>
    </row>
    <row r="105" customFormat="false" ht="17.15" hidden="false" customHeight="false" outlineLevel="0" collapsed="false">
      <c r="A105" s="0" t="s">
        <v>386</v>
      </c>
      <c r="B105" s="0" t="s">
        <v>385</v>
      </c>
      <c r="C105" s="6" t="s">
        <v>342</v>
      </c>
      <c r="D105" s="35" t="n">
        <f aca="false">In!D106</f>
        <v>0</v>
      </c>
      <c r="E105" s="35" t="n">
        <f aca="false">In!E106</f>
        <v>0.3</v>
      </c>
      <c r="F105" s="35" t="n">
        <f aca="false">In!F106</f>
        <v>0.6</v>
      </c>
      <c r="G105" s="0" t="str">
        <f aca="false">In!G106</f>
        <v>Assumed</v>
      </c>
      <c r="H105" s="12" t="s">
        <v>3325</v>
      </c>
    </row>
    <row r="106" customFormat="false" ht="17.15" hidden="false" customHeight="false" outlineLevel="0" collapsed="false">
      <c r="A106" s="0" t="s">
        <v>389</v>
      </c>
      <c r="B106" s="0" t="s">
        <v>388</v>
      </c>
      <c r="C106" s="6" t="s">
        <v>342</v>
      </c>
      <c r="D106" s="35" t="n">
        <f aca="false">In!D107</f>
        <v>1</v>
      </c>
      <c r="E106" s="35" t="n">
        <f aca="false">In!E107</f>
        <v>2</v>
      </c>
      <c r="F106" s="35" t="n">
        <f aca="false">In!F107</f>
        <v>3</v>
      </c>
      <c r="G106" s="0" t="str">
        <f aca="false">In!G107</f>
        <v>Assumed</v>
      </c>
      <c r="H106" s="12" t="s">
        <v>3326</v>
      </c>
    </row>
    <row r="107" customFormat="false" ht="17.15" hidden="false" customHeight="false" outlineLevel="0" collapsed="false">
      <c r="A107" s="0" t="s">
        <v>393</v>
      </c>
      <c r="B107" s="0" t="s">
        <v>391</v>
      </c>
      <c r="C107" s="0" t="s">
        <v>353</v>
      </c>
      <c r="E107" s="35" t="n">
        <f aca="false">In!E108</f>
        <v>1024</v>
      </c>
      <c r="G107" s="0" t="str">
        <f aca="false">In!G108</f>
        <v>Interested-party</v>
      </c>
      <c r="H107" s="12" t="s">
        <v>3327</v>
      </c>
    </row>
    <row r="108" customFormat="false" ht="17.15" hidden="false" customHeight="false" outlineLevel="0" collapsed="false">
      <c r="A108" s="0" t="s">
        <v>396</v>
      </c>
      <c r="B108" s="0" t="s">
        <v>395</v>
      </c>
      <c r="C108" s="0" t="s">
        <v>353</v>
      </c>
      <c r="E108" s="35" t="n">
        <f aca="false">In!E109</f>
        <v>1024</v>
      </c>
      <c r="G108" s="0" t="str">
        <f aca="false">In!G109</f>
        <v>Interested-party</v>
      </c>
      <c r="H108" s="12" t="s">
        <v>3328</v>
      </c>
    </row>
    <row r="109" customFormat="false" ht="17.15" hidden="false" customHeight="false" outlineLevel="0" collapsed="false">
      <c r="A109" s="0" t="s">
        <v>399</v>
      </c>
      <c r="B109" s="0" t="s">
        <v>398</v>
      </c>
      <c r="C109" s="0" t="s">
        <v>353</v>
      </c>
      <c r="E109" s="35" t="n">
        <f aca="false">In!E110</f>
        <v>1024</v>
      </c>
      <c r="G109" s="0" t="str">
        <f aca="false">In!G110</f>
        <v>Interested-party</v>
      </c>
      <c r="H109" s="12" t="s">
        <v>3329</v>
      </c>
    </row>
    <row r="110" customFormat="false" ht="17.15" hidden="false" customHeight="false" outlineLevel="0" collapsed="false">
      <c r="A110" s="0" t="s">
        <v>403</v>
      </c>
      <c r="B110" s="0" t="s">
        <v>401</v>
      </c>
      <c r="C110" s="6" t="s">
        <v>342</v>
      </c>
      <c r="E110" s="35" t="n">
        <f aca="false">In!E111</f>
        <v>0.5</v>
      </c>
      <c r="G110" s="0" t="str">
        <f aca="false">In!G111</f>
        <v>Interested-party</v>
      </c>
      <c r="H110" s="12" t="s">
        <v>3330</v>
      </c>
    </row>
    <row r="111" customFormat="false" ht="17.15" hidden="false" customHeight="false" outlineLevel="0" collapsed="false">
      <c r="A111" s="0" t="s">
        <v>406</v>
      </c>
      <c r="B111" s="0" t="s">
        <v>405</v>
      </c>
      <c r="C111" s="6" t="s">
        <v>342</v>
      </c>
      <c r="E111" s="35" t="n">
        <f aca="false">In!E112</f>
        <v>0</v>
      </c>
      <c r="G111" s="0" t="str">
        <f aca="false">In!G112</f>
        <v>Interested-party</v>
      </c>
      <c r="H111" s="12" t="s">
        <v>3331</v>
      </c>
    </row>
    <row r="112" customFormat="false" ht="17.15" hidden="false" customHeight="false" outlineLevel="0" collapsed="false">
      <c r="A112" s="0" t="s">
        <v>409</v>
      </c>
      <c r="B112" s="0" t="s">
        <v>408</v>
      </c>
      <c r="C112" s="6" t="s">
        <v>342</v>
      </c>
      <c r="E112" s="35" t="n">
        <f aca="false">In!E113</f>
        <v>0</v>
      </c>
      <c r="G112" s="0" t="str">
        <f aca="false">In!G113</f>
        <v>Interested-party</v>
      </c>
      <c r="H112" s="12" t="s">
        <v>3332</v>
      </c>
    </row>
    <row r="113" customFormat="false" ht="17.15" hidden="false" customHeight="false" outlineLevel="0" collapsed="false">
      <c r="A113" s="0" t="s">
        <v>412</v>
      </c>
      <c r="B113" s="0" t="s">
        <v>411</v>
      </c>
      <c r="C113" s="0" t="s">
        <v>353</v>
      </c>
      <c r="E113" s="35" t="n">
        <f aca="false">In!E114</f>
        <v>141</v>
      </c>
      <c r="G113" s="0" t="str">
        <f aca="false">In!G114</f>
        <v>Interested-party</v>
      </c>
      <c r="H113" s="12" t="s">
        <v>3333</v>
      </c>
    </row>
    <row r="114" customFormat="false" ht="17.15" hidden="false" customHeight="false" outlineLevel="0" collapsed="false">
      <c r="A114" s="0" t="s">
        <v>415</v>
      </c>
      <c r="B114" s="0" t="s">
        <v>414</v>
      </c>
      <c r="C114" s="0" t="s">
        <v>353</v>
      </c>
      <c r="E114" s="35" t="n">
        <f aca="false">In!E115</f>
        <v>141</v>
      </c>
      <c r="G114" s="0" t="str">
        <f aca="false">In!G115</f>
        <v>Interested-party</v>
      </c>
      <c r="H114" s="12" t="s">
        <v>3334</v>
      </c>
    </row>
    <row r="115" customFormat="false" ht="17.15" hidden="false" customHeight="false" outlineLevel="0" collapsed="false">
      <c r="A115" s="0" t="s">
        <v>418</v>
      </c>
      <c r="B115" s="0" t="s">
        <v>417</v>
      </c>
      <c r="C115" s="0" t="s">
        <v>353</v>
      </c>
      <c r="E115" s="35" t="n">
        <f aca="false">In!E116</f>
        <v>141</v>
      </c>
      <c r="G115" s="0" t="str">
        <f aca="false">In!G116</f>
        <v>Interested-party</v>
      </c>
      <c r="H115" s="12" t="s">
        <v>3335</v>
      </c>
    </row>
    <row r="116" customFormat="false" ht="17.15" hidden="false" customHeight="false" outlineLevel="0" collapsed="false">
      <c r="A116" s="0" t="s">
        <v>423</v>
      </c>
      <c r="B116" s="0" t="s">
        <v>420</v>
      </c>
      <c r="C116" s="6" t="s">
        <v>342</v>
      </c>
      <c r="D116" s="35" t="n">
        <f aca="false">In!D117</f>
        <v>0.6</v>
      </c>
      <c r="E116" s="35" t="n">
        <f aca="false">In!E117</f>
        <v>0.75</v>
      </c>
      <c r="F116" s="35" t="n">
        <f aca="false">In!F117</f>
        <v>0.9</v>
      </c>
      <c r="G116" s="0" t="str">
        <f aca="false">In!G117</f>
        <v>Interested-party／Assumed</v>
      </c>
      <c r="H116" s="12" t="s">
        <v>3336</v>
      </c>
    </row>
    <row r="117" customFormat="false" ht="17.15" hidden="false" customHeight="false" outlineLevel="0" collapsed="false">
      <c r="A117" s="0" t="s">
        <v>426</v>
      </c>
      <c r="B117" s="0" t="s">
        <v>425</v>
      </c>
      <c r="C117" s="6" t="s">
        <v>342</v>
      </c>
      <c r="D117" s="35" t="n">
        <f aca="false">In!D118</f>
        <v>1.2</v>
      </c>
      <c r="E117" s="35" t="n">
        <f aca="false">In!E118</f>
        <v>1.5</v>
      </c>
      <c r="F117" s="35" t="n">
        <f aca="false">In!F118</f>
        <v>1.8</v>
      </c>
      <c r="G117" s="0" t="str">
        <f aca="false">In!G118</f>
        <v>Interested-party／Assumed</v>
      </c>
      <c r="H117" s="12" t="s">
        <v>3337</v>
      </c>
    </row>
    <row r="118" customFormat="false" ht="17.15" hidden="false" customHeight="false" outlineLevel="0" collapsed="false">
      <c r="A118" s="0" t="s">
        <v>429</v>
      </c>
      <c r="B118" s="0" t="s">
        <v>428</v>
      </c>
      <c r="C118" s="6" t="s">
        <v>342</v>
      </c>
      <c r="D118" s="35" t="n">
        <f aca="false">In!D119</f>
        <v>1.5</v>
      </c>
      <c r="E118" s="35" t="n">
        <f aca="false">In!E119</f>
        <v>2</v>
      </c>
      <c r="F118" s="35" t="n">
        <f aca="false">In!F119</f>
        <v>2.5</v>
      </c>
      <c r="G118" s="0" t="str">
        <f aca="false">In!G119</f>
        <v>Interested-party／Assumed</v>
      </c>
      <c r="H118" s="12" t="s">
        <v>3338</v>
      </c>
    </row>
    <row r="119" customFormat="false" ht="17.15" hidden="false" customHeight="false" outlineLevel="0" collapsed="false">
      <c r="A119" s="0" t="s">
        <v>432</v>
      </c>
      <c r="B119" s="0" t="s">
        <v>431</v>
      </c>
      <c r="C119" s="0" t="s">
        <v>353</v>
      </c>
      <c r="D119" s="35" t="n">
        <f aca="false">In!D120</f>
        <v>288</v>
      </c>
      <c r="E119" s="35" t="n">
        <f aca="false">In!E120</f>
        <v>288</v>
      </c>
      <c r="F119" s="35" t="n">
        <f aca="false">In!F120</f>
        <v>288</v>
      </c>
      <c r="G119" s="0" t="str">
        <f aca="false">In!G120</f>
        <v>Interested-party／Assumed</v>
      </c>
      <c r="H119" s="12" t="s">
        <v>3339</v>
      </c>
    </row>
    <row r="120" customFormat="false" ht="17.15" hidden="false" customHeight="false" outlineLevel="0" collapsed="false">
      <c r="A120" s="0" t="s">
        <v>435</v>
      </c>
      <c r="B120" s="0" t="s">
        <v>434</v>
      </c>
      <c r="C120" s="0" t="s">
        <v>353</v>
      </c>
      <c r="D120" s="35" t="n">
        <f aca="false">In!D121</f>
        <v>288</v>
      </c>
      <c r="E120" s="35" t="n">
        <f aca="false">In!E121</f>
        <v>360</v>
      </c>
      <c r="F120" s="35" t="n">
        <f aca="false">In!F121</f>
        <v>432</v>
      </c>
      <c r="G120" s="0" t="str">
        <f aca="false">In!G121</f>
        <v>Interested-party／Assumed</v>
      </c>
      <c r="H120" s="12" t="s">
        <v>3340</v>
      </c>
    </row>
    <row r="121" customFormat="false" ht="17.15" hidden="false" customHeight="false" outlineLevel="0" collapsed="false">
      <c r="A121" s="0" t="s">
        <v>438</v>
      </c>
      <c r="B121" s="0" t="s">
        <v>437</v>
      </c>
      <c r="C121" s="0" t="s">
        <v>353</v>
      </c>
      <c r="D121" s="35" t="n">
        <f aca="false">In!D122</f>
        <v>432</v>
      </c>
      <c r="E121" s="35" t="n">
        <f aca="false">In!E122</f>
        <v>432</v>
      </c>
      <c r="F121" s="35" t="n">
        <f aca="false">In!F122</f>
        <v>432</v>
      </c>
      <c r="G121" s="0" t="str">
        <f aca="false">In!G122</f>
        <v>Interested-party／Assumed</v>
      </c>
      <c r="H121" s="12" t="s">
        <v>3341</v>
      </c>
    </row>
    <row r="122" customFormat="false" ht="17.15" hidden="false" customHeight="false" outlineLevel="0" collapsed="false">
      <c r="A122" s="0" t="s">
        <v>442</v>
      </c>
      <c r="B122" s="0" t="s">
        <v>440</v>
      </c>
      <c r="C122" s="6" t="s">
        <v>342</v>
      </c>
      <c r="E122" s="35" t="n">
        <f aca="false">In!E123</f>
        <v>3.85</v>
      </c>
      <c r="G122" s="0" t="str">
        <f aca="false">In!G123</f>
        <v>Interested-party</v>
      </c>
      <c r="H122" s="12" t="s">
        <v>3342</v>
      </c>
    </row>
    <row r="123" customFormat="false" ht="17.15" hidden="false" customHeight="false" outlineLevel="0" collapsed="false">
      <c r="A123" s="0" t="s">
        <v>445</v>
      </c>
      <c r="B123" s="0" t="s">
        <v>444</v>
      </c>
      <c r="C123" s="6" t="s">
        <v>342</v>
      </c>
      <c r="E123" s="35" t="n">
        <f aca="false">In!E124</f>
        <v>5.5</v>
      </c>
      <c r="G123" s="0" t="str">
        <f aca="false">In!G124</f>
        <v>Interested-party</v>
      </c>
      <c r="H123" s="12" t="s">
        <v>3343</v>
      </c>
    </row>
    <row r="124" customFormat="false" ht="17.15" hidden="false" customHeight="false" outlineLevel="0" collapsed="false">
      <c r="A124" s="0" t="s">
        <v>448</v>
      </c>
      <c r="B124" s="0" t="s">
        <v>447</v>
      </c>
      <c r="C124" s="6" t="s">
        <v>342</v>
      </c>
      <c r="E124" s="35" t="n">
        <f aca="false">In!E125</f>
        <v>7</v>
      </c>
      <c r="G124" s="0" t="str">
        <f aca="false">In!G125</f>
        <v>Interested-party</v>
      </c>
      <c r="H124" s="12" t="s">
        <v>3344</v>
      </c>
    </row>
    <row r="125" customFormat="false" ht="17.15" hidden="false" customHeight="false" outlineLevel="0" collapsed="false">
      <c r="A125" s="0" t="s">
        <v>451</v>
      </c>
      <c r="B125" s="0" t="s">
        <v>450</v>
      </c>
      <c r="C125" s="0" t="s">
        <v>353</v>
      </c>
      <c r="E125" s="35" t="n">
        <f aca="false">In!E126</f>
        <v>192</v>
      </c>
      <c r="G125" s="0" t="str">
        <f aca="false">In!G126</f>
        <v>Interested-party</v>
      </c>
      <c r="H125" s="12" t="s">
        <v>3345</v>
      </c>
    </row>
    <row r="126" customFormat="false" ht="17.15" hidden="false" customHeight="false" outlineLevel="0" collapsed="false">
      <c r="A126" s="0" t="s">
        <v>454</v>
      </c>
      <c r="B126" s="0" t="s">
        <v>453</v>
      </c>
      <c r="C126" s="0" t="s">
        <v>353</v>
      </c>
      <c r="E126" s="35" t="n">
        <f aca="false">In!E127</f>
        <v>250</v>
      </c>
      <c r="G126" s="0" t="str">
        <f aca="false">In!G127</f>
        <v>Interested-party</v>
      </c>
      <c r="H126" s="12" t="s">
        <v>3346</v>
      </c>
    </row>
    <row r="127" customFormat="false" ht="17.15" hidden="false" customHeight="false" outlineLevel="0" collapsed="false">
      <c r="A127" s="0" t="s">
        <v>457</v>
      </c>
      <c r="B127" s="0" t="s">
        <v>456</v>
      </c>
      <c r="C127" s="0" t="s">
        <v>353</v>
      </c>
      <c r="E127" s="35" t="n">
        <f aca="false">In!E128</f>
        <v>288</v>
      </c>
      <c r="G127" s="0" t="str">
        <f aca="false">In!G128</f>
        <v>Interested-party</v>
      </c>
      <c r="H127" s="12" t="s">
        <v>3347</v>
      </c>
    </row>
    <row r="128" customFormat="false" ht="17.15" hidden="false" customHeight="false" outlineLevel="0" collapsed="false">
      <c r="A128" s="0" t="s">
        <v>461</v>
      </c>
      <c r="B128" s="0" t="s">
        <v>459</v>
      </c>
      <c r="C128" s="6" t="s">
        <v>342</v>
      </c>
      <c r="D128" s="35" t="n">
        <f aca="false">In!D129</f>
        <v>1.5</v>
      </c>
      <c r="E128" s="35" t="n">
        <f aca="false">In!E129</f>
        <v>2</v>
      </c>
      <c r="F128" s="35" t="n">
        <f aca="false">In!F129</f>
        <v>2.5</v>
      </c>
      <c r="G128" s="0" t="str">
        <f aca="false">In!G129</f>
        <v>Assumed</v>
      </c>
      <c r="H128" s="12" t="s">
        <v>3348</v>
      </c>
    </row>
    <row r="129" customFormat="false" ht="17.15" hidden="false" customHeight="false" outlineLevel="0" collapsed="false">
      <c r="A129" s="0" t="s">
        <v>464</v>
      </c>
      <c r="B129" s="0" t="s">
        <v>463</v>
      </c>
      <c r="C129" s="6" t="s">
        <v>342</v>
      </c>
      <c r="D129" s="35" t="n">
        <f aca="false">In!D130</f>
        <v>2</v>
      </c>
      <c r="E129" s="35" t="n">
        <f aca="false">In!E130</f>
        <v>2.5</v>
      </c>
      <c r="F129" s="35" t="n">
        <f aca="false">In!F130</f>
        <v>3.5</v>
      </c>
      <c r="G129" s="0" t="str">
        <f aca="false">In!G130</f>
        <v>Assumed</v>
      </c>
      <c r="H129" s="12" t="s">
        <v>3349</v>
      </c>
    </row>
    <row r="130" customFormat="false" ht="17.15" hidden="false" customHeight="false" outlineLevel="0" collapsed="false">
      <c r="A130" s="0" t="s">
        <v>467</v>
      </c>
      <c r="B130" s="0" t="s">
        <v>466</v>
      </c>
      <c r="C130" s="6" t="s">
        <v>342</v>
      </c>
      <c r="D130" s="35" t="n">
        <f aca="false">In!D131</f>
        <v>2</v>
      </c>
      <c r="E130" s="35" t="n">
        <f aca="false">In!E131</f>
        <v>3</v>
      </c>
      <c r="F130" s="35" t="n">
        <f aca="false">In!F131</f>
        <v>4</v>
      </c>
      <c r="G130" s="0" t="str">
        <f aca="false">In!G131</f>
        <v>Assumed</v>
      </c>
      <c r="H130" s="12" t="s">
        <v>3350</v>
      </c>
    </row>
    <row r="131" customFormat="false" ht="17.15" hidden="false" customHeight="false" outlineLevel="0" collapsed="false">
      <c r="A131" s="0" t="s">
        <v>470</v>
      </c>
      <c r="B131" s="0" t="s">
        <v>469</v>
      </c>
      <c r="C131" s="0" t="s">
        <v>353</v>
      </c>
      <c r="D131" s="35" t="n">
        <f aca="false">In!D132</f>
        <v>96</v>
      </c>
      <c r="E131" s="35" t="n">
        <f aca="false">In!E132</f>
        <v>110</v>
      </c>
      <c r="F131" s="35" t="n">
        <f aca="false">In!F132</f>
        <v>144</v>
      </c>
      <c r="G131" s="0" t="str">
        <f aca="false">In!G132</f>
        <v>Assumed</v>
      </c>
      <c r="H131" s="12" t="s">
        <v>3351</v>
      </c>
    </row>
    <row r="132" customFormat="false" ht="17.15" hidden="false" customHeight="false" outlineLevel="0" collapsed="false">
      <c r="A132" s="0" t="s">
        <v>473</v>
      </c>
      <c r="B132" s="0" t="s">
        <v>472</v>
      </c>
      <c r="C132" s="0" t="s">
        <v>353</v>
      </c>
      <c r="D132" s="35" t="n">
        <f aca="false">In!D133</f>
        <v>120</v>
      </c>
      <c r="E132" s="35" t="n">
        <f aca="false">In!E133</f>
        <v>144</v>
      </c>
      <c r="F132" s="35" t="n">
        <f aca="false">In!F133</f>
        <v>144</v>
      </c>
      <c r="G132" s="0" t="str">
        <f aca="false">In!G133</f>
        <v>Assumed</v>
      </c>
      <c r="H132" s="12" t="s">
        <v>3352</v>
      </c>
    </row>
    <row r="133" customFormat="false" ht="17.15" hidden="false" customHeight="false" outlineLevel="0" collapsed="false">
      <c r="A133" s="0" t="s">
        <v>476</v>
      </c>
      <c r="B133" s="0" t="s">
        <v>475</v>
      </c>
      <c r="C133" s="0" t="s">
        <v>353</v>
      </c>
      <c r="D133" s="35" t="n">
        <f aca="false">In!D134</f>
        <v>144</v>
      </c>
      <c r="E133" s="35" t="n">
        <f aca="false">In!E134</f>
        <v>200</v>
      </c>
      <c r="F133" s="35" t="n">
        <f aca="false">In!F134</f>
        <v>256</v>
      </c>
      <c r="G133" s="0" t="str">
        <f aca="false">In!G134</f>
        <v>Assumed</v>
      </c>
      <c r="H133" s="12" t="s">
        <v>3353</v>
      </c>
    </row>
    <row r="134" customFormat="false" ht="17.15" hidden="false" customHeight="false" outlineLevel="0" collapsed="false">
      <c r="A134" s="0" t="s">
        <v>481</v>
      </c>
      <c r="B134" s="6" t="s">
        <v>478</v>
      </c>
      <c r="C134" s="6" t="s">
        <v>342</v>
      </c>
      <c r="D134" s="35" t="n">
        <f aca="false">In!D135</f>
        <v>0.5</v>
      </c>
      <c r="E134" s="35" t="n">
        <f aca="false">In!E135</f>
        <v>1</v>
      </c>
      <c r="F134" s="35" t="n">
        <f aca="false">In!F135</f>
        <v>1.5</v>
      </c>
      <c r="G134" s="0" t="str">
        <f aca="false">In!G135</f>
        <v>Derived／Assumed</v>
      </c>
      <c r="H134" s="12" t="s">
        <v>3354</v>
      </c>
    </row>
    <row r="135" customFormat="false" ht="17.15" hidden="false" customHeight="false" outlineLevel="0" collapsed="false">
      <c r="A135" s="0" t="s">
        <v>484</v>
      </c>
      <c r="B135" s="6" t="s">
        <v>483</v>
      </c>
      <c r="C135" s="6" t="s">
        <v>342</v>
      </c>
      <c r="D135" s="35" t="n">
        <f aca="false">In!D136</f>
        <v>3</v>
      </c>
      <c r="E135" s="35" t="n">
        <f aca="false">In!E136</f>
        <v>4.5</v>
      </c>
      <c r="F135" s="35" t="n">
        <f aca="false">In!F136</f>
        <v>6</v>
      </c>
      <c r="G135" s="0" t="str">
        <f aca="false">In!G136</f>
        <v>Derived／Assumed</v>
      </c>
      <c r="H135" s="12" t="s">
        <v>3355</v>
      </c>
    </row>
    <row r="136" customFormat="false" ht="17.15" hidden="false" customHeight="false" outlineLevel="0" collapsed="false">
      <c r="A136" s="0" t="s">
        <v>487</v>
      </c>
      <c r="B136" s="6" t="s">
        <v>486</v>
      </c>
      <c r="C136" s="6" t="s">
        <v>342</v>
      </c>
      <c r="D136" s="35" t="n">
        <f aca="false">In!D137</f>
        <v>3.5</v>
      </c>
      <c r="E136" s="35" t="n">
        <f aca="false">In!E137</f>
        <v>5</v>
      </c>
      <c r="F136" s="35" t="n">
        <f aca="false">In!F137</f>
        <v>7</v>
      </c>
      <c r="G136" s="0" t="str">
        <f aca="false">In!G137</f>
        <v>Derived／Assumed</v>
      </c>
      <c r="H136" s="12" t="s">
        <v>3356</v>
      </c>
    </row>
    <row r="137" customFormat="false" ht="17.15" hidden="false" customHeight="false" outlineLevel="0" collapsed="false">
      <c r="A137" s="0" t="s">
        <v>490</v>
      </c>
      <c r="B137" s="6" t="s">
        <v>489</v>
      </c>
      <c r="C137" s="0" t="s">
        <v>353</v>
      </c>
      <c r="D137" s="35" t="n">
        <f aca="false">In!D138</f>
        <v>100</v>
      </c>
      <c r="E137" s="35" t="n">
        <f aca="false">In!E138</f>
        <v>150</v>
      </c>
      <c r="F137" s="35" t="n">
        <f aca="false">In!F138</f>
        <v>200</v>
      </c>
      <c r="G137" s="0" t="str">
        <f aca="false">In!G138</f>
        <v>Derived／Assumed</v>
      </c>
      <c r="H137" s="12" t="s">
        <v>3357</v>
      </c>
    </row>
    <row r="138" customFormat="false" ht="17.15" hidden="false" customHeight="false" outlineLevel="0" collapsed="false">
      <c r="A138" s="0" t="s">
        <v>493</v>
      </c>
      <c r="B138" s="6" t="s">
        <v>492</v>
      </c>
      <c r="C138" s="0" t="s">
        <v>353</v>
      </c>
      <c r="D138" s="35" t="n">
        <f aca="false">In!D139</f>
        <v>150</v>
      </c>
      <c r="E138" s="35" t="n">
        <f aca="false">In!E139</f>
        <v>200</v>
      </c>
      <c r="F138" s="35" t="n">
        <f aca="false">In!F139</f>
        <v>250</v>
      </c>
      <c r="G138" s="0" t="str">
        <f aca="false">In!G139</f>
        <v>Derived／Assumed</v>
      </c>
      <c r="H138" s="12" t="s">
        <v>3358</v>
      </c>
    </row>
    <row r="139" customFormat="false" ht="17.15" hidden="false" customHeight="false" outlineLevel="0" collapsed="false">
      <c r="A139" s="0" t="s">
        <v>496</v>
      </c>
      <c r="B139" s="6" t="s">
        <v>495</v>
      </c>
      <c r="C139" s="0" t="s">
        <v>353</v>
      </c>
      <c r="D139" s="35" t="n">
        <f aca="false">In!D140</f>
        <v>200</v>
      </c>
      <c r="E139" s="35" t="n">
        <f aca="false">In!E140</f>
        <v>250</v>
      </c>
      <c r="F139" s="35" t="n">
        <f aca="false">In!F140</f>
        <v>300</v>
      </c>
      <c r="G139" s="0" t="str">
        <f aca="false">In!G140</f>
        <v>Derived／Assumed</v>
      </c>
      <c r="H139" s="12" t="s">
        <v>3359</v>
      </c>
    </row>
    <row r="140" customFormat="false" ht="17.15" hidden="false" customHeight="false" outlineLevel="0" collapsed="false">
      <c r="A140" s="0" t="s">
        <v>502</v>
      </c>
      <c r="B140" s="6" t="s">
        <v>499</v>
      </c>
      <c r="C140" s="0" t="s">
        <v>500</v>
      </c>
      <c r="E140" s="35" t="n">
        <f aca="false">In!E142</f>
        <v>1</v>
      </c>
      <c r="G140" s="0" t="str">
        <f aca="false">In!G142</f>
        <v>Derived</v>
      </c>
      <c r="H140" s="12" t="s">
        <v>3360</v>
      </c>
    </row>
    <row r="141" customFormat="false" ht="17.15" hidden="false" customHeight="false" outlineLevel="0" collapsed="false">
      <c r="A141" s="0" t="s">
        <v>505</v>
      </c>
      <c r="B141" s="6" t="s">
        <v>504</v>
      </c>
      <c r="C141" s="0" t="s">
        <v>500</v>
      </c>
      <c r="E141" s="35" t="n">
        <f aca="false">In!E143</f>
        <v>1</v>
      </c>
      <c r="G141" s="0" t="str">
        <f aca="false">In!G143</f>
        <v>Derived</v>
      </c>
      <c r="H141" s="12" t="s">
        <v>3361</v>
      </c>
    </row>
    <row r="142" customFormat="false" ht="17.15" hidden="false" customHeight="false" outlineLevel="0" collapsed="false">
      <c r="A142" s="0" t="s">
        <v>508</v>
      </c>
      <c r="B142" s="6" t="s">
        <v>507</v>
      </c>
      <c r="C142" s="0" t="s">
        <v>500</v>
      </c>
      <c r="D142" s="35" t="n">
        <f aca="false">In!D144</f>
        <v>0.7</v>
      </c>
      <c r="E142" s="35" t="n">
        <f aca="false">In!E144</f>
        <v>0.8</v>
      </c>
      <c r="F142" s="35" t="n">
        <f aca="false">In!F144</f>
        <v>0.9</v>
      </c>
      <c r="G142" s="0" t="str">
        <f aca="false">In!G144</f>
        <v>Assumed</v>
      </c>
      <c r="H142" s="12" t="s">
        <v>3362</v>
      </c>
    </row>
    <row r="143" customFormat="false" ht="17.15" hidden="false" customHeight="false" outlineLevel="0" collapsed="false">
      <c r="A143" s="0" t="s">
        <v>511</v>
      </c>
      <c r="B143" s="6" t="s">
        <v>510</v>
      </c>
      <c r="C143" s="0" t="s">
        <v>500</v>
      </c>
      <c r="D143" s="35" t="n">
        <f aca="false">In!D145</f>
        <v>0.75</v>
      </c>
      <c r="E143" s="35" t="n">
        <f aca="false">In!E145</f>
        <v>0.85</v>
      </c>
      <c r="F143" s="35" t="n">
        <f aca="false">In!F145</f>
        <v>0.95</v>
      </c>
      <c r="G143" s="0" t="str">
        <f aca="false">In!G145</f>
        <v>Assumed</v>
      </c>
      <c r="H143" s="12" t="s">
        <v>3363</v>
      </c>
    </row>
    <row r="144" customFormat="false" ht="17.15" hidden="false" customHeight="false" outlineLevel="0" collapsed="false">
      <c r="A144" s="0" t="s">
        <v>514</v>
      </c>
      <c r="B144" s="6" t="s">
        <v>513</v>
      </c>
      <c r="C144" s="0" t="s">
        <v>500</v>
      </c>
      <c r="D144" s="35" t="n">
        <f aca="false">In!D146</f>
        <v>0.5</v>
      </c>
      <c r="E144" s="35" t="n">
        <f aca="false">In!E146</f>
        <v>0.6</v>
      </c>
      <c r="F144" s="35" t="n">
        <f aca="false">In!F146</f>
        <v>0.7</v>
      </c>
      <c r="G144" s="0" t="str">
        <f aca="false">In!G146</f>
        <v>Assumed</v>
      </c>
      <c r="H144" s="12" t="s">
        <v>3364</v>
      </c>
    </row>
    <row r="145" customFormat="false" ht="17.15" hidden="false" customHeight="false" outlineLevel="0" collapsed="false">
      <c r="A145" s="0" t="s">
        <v>517</v>
      </c>
      <c r="B145" s="6" t="s">
        <v>516</v>
      </c>
      <c r="C145" s="0" t="s">
        <v>500</v>
      </c>
      <c r="D145" s="35" t="n">
        <f aca="false">In!D147</f>
        <v>0.5</v>
      </c>
      <c r="E145" s="35" t="n">
        <f aca="false">In!E147</f>
        <v>0.6</v>
      </c>
      <c r="F145" s="35" t="n">
        <f aca="false">In!F147</f>
        <v>0.7</v>
      </c>
      <c r="G145" s="0" t="str">
        <f aca="false">In!G147</f>
        <v>Assumed</v>
      </c>
      <c r="H145" s="12" t="s">
        <v>3365</v>
      </c>
    </row>
    <row r="146" customFormat="false" ht="17.15" hidden="false" customHeight="false" outlineLevel="0" collapsed="false">
      <c r="A146" s="0" t="s">
        <v>523</v>
      </c>
      <c r="B146" s="0" t="s">
        <v>520</v>
      </c>
      <c r="C146" s="0" t="s">
        <v>521</v>
      </c>
      <c r="D146" s="35" t="n">
        <f aca="false">In!D149</f>
        <v>34</v>
      </c>
      <c r="E146" s="35" t="n">
        <f aca="false">In!E149</f>
        <v>35</v>
      </c>
      <c r="F146" s="35" t="n">
        <f aca="false">In!F149</f>
        <v>35</v>
      </c>
      <c r="G146" s="0" t="str">
        <f aca="false">In!G149</f>
        <v>Verified</v>
      </c>
      <c r="H146" s="12" t="s">
        <v>3366</v>
      </c>
    </row>
    <row r="147" customFormat="false" ht="17.15" hidden="false" customHeight="false" outlineLevel="0" collapsed="false">
      <c r="A147" s="0" t="s">
        <v>527</v>
      </c>
      <c r="B147" s="0" t="s">
        <v>525</v>
      </c>
      <c r="C147" s="0" t="s">
        <v>66</v>
      </c>
      <c r="D147" s="20" t="n">
        <f aca="false">In!D150</f>
        <v>0.6</v>
      </c>
      <c r="E147" s="20" t="n">
        <f aca="false">In!E150</f>
        <v>0.7</v>
      </c>
      <c r="F147" s="20" t="n">
        <f aca="false">In!F150</f>
        <v>0.8</v>
      </c>
      <c r="G147" s="0" t="str">
        <f aca="false">In!G150</f>
        <v>Interested-party</v>
      </c>
      <c r="H147" s="12" t="s">
        <v>3367</v>
      </c>
    </row>
    <row r="148" customFormat="false" ht="17.15" hidden="false" customHeight="false" outlineLevel="0" collapsed="false">
      <c r="A148" s="0" t="s">
        <v>531</v>
      </c>
      <c r="B148" s="6" t="s">
        <v>529</v>
      </c>
      <c r="C148" s="0" t="s">
        <v>500</v>
      </c>
      <c r="D148" s="35" t="n">
        <f aca="false">In!D151</f>
        <v>1</v>
      </c>
      <c r="E148" s="35" t="n">
        <f aca="false">In!E151</f>
        <v>1.15</v>
      </c>
      <c r="F148" s="35" t="n">
        <f aca="false">In!F151</f>
        <v>1.3</v>
      </c>
      <c r="G148" s="0" t="str">
        <f aca="false">In!G151</f>
        <v>Assumed</v>
      </c>
      <c r="H148" s="12" t="s">
        <v>3368</v>
      </c>
    </row>
    <row r="149" customFormat="false" ht="17.15" hidden="false" customHeight="false" outlineLevel="0" collapsed="false">
      <c r="A149" s="0" t="s">
        <v>535</v>
      </c>
      <c r="B149" s="0" t="s">
        <v>533</v>
      </c>
      <c r="C149" s="0" t="s">
        <v>66</v>
      </c>
      <c r="D149" s="20" t="n">
        <f aca="false">In!D152</f>
        <v>0.5</v>
      </c>
      <c r="E149" s="20" t="n">
        <f aca="false">In!E152</f>
        <v>0.55</v>
      </c>
      <c r="F149" s="20" t="n">
        <f aca="false">In!F152</f>
        <v>0.63</v>
      </c>
      <c r="G149" s="0" t="str">
        <f aca="false">In!G152</f>
        <v>Interested-party</v>
      </c>
      <c r="H149" s="12" t="s">
        <v>3369</v>
      </c>
    </row>
    <row r="150" customFormat="false" ht="17.15" hidden="false" customHeight="false" outlineLevel="0" collapsed="false">
      <c r="A150" s="0" t="s">
        <v>539</v>
      </c>
      <c r="B150" s="0" t="s">
        <v>537</v>
      </c>
      <c r="C150" s="0" t="s">
        <v>66</v>
      </c>
      <c r="D150" s="20" t="n">
        <f aca="false">In!D153</f>
        <v>0.3</v>
      </c>
      <c r="E150" s="20" t="n">
        <f aca="false">In!E153</f>
        <v>0.45</v>
      </c>
      <c r="F150" s="20" t="n">
        <f aca="false">In!F153</f>
        <v>0.63</v>
      </c>
      <c r="G150" s="0" t="str">
        <f aca="false">In!G153</f>
        <v>Assumed</v>
      </c>
      <c r="H150" s="12" t="s">
        <v>3370</v>
      </c>
    </row>
    <row r="151" customFormat="false" ht="17.15" hidden="false" customHeight="false" outlineLevel="0" collapsed="false">
      <c r="A151" s="0" t="s">
        <v>544</v>
      </c>
      <c r="B151" s="0" t="s">
        <v>541</v>
      </c>
      <c r="C151" s="0" t="s">
        <v>542</v>
      </c>
      <c r="D151" s="35" t="n">
        <f aca="false">In!D154</f>
        <v>12.5</v>
      </c>
      <c r="E151" s="35" t="n">
        <f aca="false">In!E154</f>
        <v>14.6</v>
      </c>
      <c r="F151" s="35" t="n">
        <f aca="false">In!F154</f>
        <v>16</v>
      </c>
      <c r="G151" s="0" t="str">
        <f aca="false">In!G154</f>
        <v>Interested-party</v>
      </c>
      <c r="H151" s="12" t="s">
        <v>3371</v>
      </c>
    </row>
    <row r="152" customFormat="false" ht="17.15" hidden="false" customHeight="false" outlineLevel="0" collapsed="false">
      <c r="A152" s="0" t="s">
        <v>548</v>
      </c>
      <c r="B152" s="0" t="s">
        <v>546</v>
      </c>
      <c r="C152" s="0" t="s">
        <v>66</v>
      </c>
      <c r="D152" s="20" t="n">
        <f aca="false">In!D155</f>
        <v>0.38</v>
      </c>
      <c r="E152" s="20" t="n">
        <f aca="false">In!E155</f>
        <v>0.8</v>
      </c>
      <c r="F152" s="20" t="n">
        <f aca="false">In!F155</f>
        <v>1.21</v>
      </c>
      <c r="G152" s="0" t="str">
        <f aca="false">In!G155</f>
        <v>Interested-party</v>
      </c>
      <c r="H152" s="12" t="s">
        <v>3372</v>
      </c>
    </row>
    <row r="153" customFormat="false" ht="17.15" hidden="false" customHeight="false" outlineLevel="0" collapsed="false">
      <c r="A153" s="0" t="s">
        <v>552</v>
      </c>
      <c r="B153" s="0" t="s">
        <v>550</v>
      </c>
      <c r="C153" s="0" t="s">
        <v>66</v>
      </c>
      <c r="D153" s="20" t="n">
        <f aca="false">In!D156</f>
        <v>0</v>
      </c>
      <c r="E153" s="20" t="n">
        <f aca="false">In!E156</f>
        <v>0.1</v>
      </c>
      <c r="F153" s="20" t="n">
        <f aca="false">In!F156</f>
        <v>0.25</v>
      </c>
      <c r="G153" s="0" t="str">
        <f aca="false">In!G156</f>
        <v>Interested-party</v>
      </c>
      <c r="H153" s="12" t="s">
        <v>3373</v>
      </c>
    </row>
    <row r="154" customFormat="false" ht="17.15" hidden="false" customHeight="false" outlineLevel="0" collapsed="false">
      <c r="A154" s="0" t="s">
        <v>556</v>
      </c>
      <c r="B154" s="0" t="s">
        <v>554</v>
      </c>
      <c r="C154" s="0" t="s">
        <v>66</v>
      </c>
      <c r="D154" s="20" t="n">
        <f aca="false">In!D157</f>
        <v>-0.4</v>
      </c>
      <c r="E154" s="20" t="n">
        <f aca="false">In!E157</f>
        <v>-0.25</v>
      </c>
      <c r="F154" s="20" t="n">
        <f aca="false">In!F157</f>
        <v>-0.1</v>
      </c>
      <c r="G154" s="0" t="str">
        <f aca="false">In!G157</f>
        <v>Assumed</v>
      </c>
      <c r="H154" s="12" t="s">
        <v>3374</v>
      </c>
    </row>
    <row r="155" customFormat="false" ht="17.15" hidden="false" customHeight="false" outlineLevel="0" collapsed="false">
      <c r="A155" s="0" t="s">
        <v>560</v>
      </c>
      <c r="B155" s="0" t="s">
        <v>558</v>
      </c>
      <c r="C155" s="0" t="s">
        <v>66</v>
      </c>
      <c r="D155" s="20" t="n">
        <f aca="false">In!D158</f>
        <v>-0.55</v>
      </c>
      <c r="E155" s="20" t="n">
        <f aca="false">In!E158</f>
        <v>-0.4</v>
      </c>
      <c r="F155" s="20" t="n">
        <f aca="false">In!F158</f>
        <v>-0.25</v>
      </c>
      <c r="G155" s="0" t="str">
        <f aca="false">In!G158</f>
        <v>Assumed</v>
      </c>
      <c r="H155" s="12" t="s">
        <v>3375</v>
      </c>
    </row>
    <row r="156" customFormat="false" ht="17.15" hidden="false" customHeight="false" outlineLevel="0" collapsed="false">
      <c r="A156" s="0" t="s">
        <v>564</v>
      </c>
      <c r="B156" s="0" t="s">
        <v>562</v>
      </c>
      <c r="C156" s="0" t="s">
        <v>66</v>
      </c>
      <c r="D156" s="20" t="n">
        <f aca="false">In!D159</f>
        <v>0.2</v>
      </c>
      <c r="E156" s="20" t="n">
        <f aca="false">In!E159</f>
        <v>0.3</v>
      </c>
      <c r="F156" s="20" t="n">
        <f aca="false">In!F159</f>
        <v>0.45</v>
      </c>
      <c r="G156" s="0" t="str">
        <f aca="false">In!G159</f>
        <v>Assumed</v>
      </c>
      <c r="H156" s="12" t="s">
        <v>3376</v>
      </c>
    </row>
    <row r="157" customFormat="false" ht="17.15" hidden="false" customHeight="false" outlineLevel="0" collapsed="false">
      <c r="A157" s="0" t="s">
        <v>568</v>
      </c>
      <c r="B157" s="0" t="s">
        <v>566</v>
      </c>
      <c r="C157" s="0" t="s">
        <v>66</v>
      </c>
      <c r="D157" s="20" t="n">
        <f aca="false">In!D160</f>
        <v>0.25</v>
      </c>
      <c r="E157" s="20" t="n">
        <f aca="false">In!E160</f>
        <v>0.35</v>
      </c>
      <c r="F157" s="20" t="n">
        <f aca="false">In!F160</f>
        <v>0.5</v>
      </c>
      <c r="G157" s="0" t="str">
        <f aca="false">In!G160</f>
        <v>Assumed</v>
      </c>
      <c r="H157" s="12" t="s">
        <v>3377</v>
      </c>
    </row>
    <row r="158" customFormat="false" ht="17.15" hidden="false" customHeight="false" outlineLevel="0" collapsed="false">
      <c r="A158" s="0" t="s">
        <v>572</v>
      </c>
      <c r="B158" s="0" t="s">
        <v>570</v>
      </c>
      <c r="C158" s="0" t="s">
        <v>66</v>
      </c>
      <c r="D158" s="20" t="n">
        <f aca="false">In!D161</f>
        <v>-0.15</v>
      </c>
      <c r="E158" s="20" t="n">
        <f aca="false">In!E161</f>
        <v>-0.05</v>
      </c>
      <c r="F158" s="20" t="n">
        <f aca="false">In!F161</f>
        <v>0.05</v>
      </c>
      <c r="G158" s="0" t="str">
        <f aca="false">In!G161</f>
        <v>Assumed</v>
      </c>
      <c r="H158" s="12" t="s">
        <v>3378</v>
      </c>
    </row>
    <row r="159" customFormat="false" ht="17.15" hidden="false" customHeight="false" outlineLevel="0" collapsed="false">
      <c r="A159" s="0" t="s">
        <v>576</v>
      </c>
      <c r="B159" s="0" t="s">
        <v>574</v>
      </c>
      <c r="C159" s="0" t="s">
        <v>66</v>
      </c>
      <c r="D159" s="20" t="n">
        <f aca="false">In!D162</f>
        <v>-0.1</v>
      </c>
      <c r="E159" s="20" t="n">
        <f aca="false">In!E162</f>
        <v>0</v>
      </c>
      <c r="F159" s="20" t="n">
        <f aca="false">In!F162</f>
        <v>0.1</v>
      </c>
      <c r="G159" s="0" t="str">
        <f aca="false">In!G162</f>
        <v>Assumed</v>
      </c>
      <c r="H159" s="12" t="s">
        <v>3379</v>
      </c>
    </row>
    <row r="160" customFormat="false" ht="17.15" hidden="false" customHeight="false" outlineLevel="0" collapsed="false">
      <c r="A160" s="0" t="s">
        <v>580</v>
      </c>
      <c r="B160" s="0" t="s">
        <v>578</v>
      </c>
      <c r="C160" s="0" t="s">
        <v>66</v>
      </c>
      <c r="D160" s="20" t="n">
        <f aca="false">In!D163</f>
        <v>-0.1</v>
      </c>
      <c r="E160" s="20" t="n">
        <f aca="false">In!E163</f>
        <v>0.05</v>
      </c>
      <c r="F160" s="20" t="n">
        <f aca="false">In!F163</f>
        <v>0.15</v>
      </c>
      <c r="G160" s="0" t="str">
        <f aca="false">In!G163</f>
        <v>Assumed</v>
      </c>
      <c r="H160" s="12" t="s">
        <v>3380</v>
      </c>
    </row>
    <row r="161" customFormat="false" ht="17.15" hidden="false" customHeight="false" outlineLevel="0" collapsed="false">
      <c r="A161" s="0" t="s">
        <v>586</v>
      </c>
      <c r="B161" s="0" t="s">
        <v>583</v>
      </c>
      <c r="C161" s="0" t="s">
        <v>521</v>
      </c>
      <c r="D161" s="35" t="n">
        <f aca="false">In!D165</f>
        <v>340</v>
      </c>
      <c r="E161" s="35" t="n">
        <f aca="false">In!E165</f>
        <v>374</v>
      </c>
      <c r="F161" s="35" t="n">
        <f aca="false">In!F165</f>
        <v>400</v>
      </c>
      <c r="G161" s="0" t="str">
        <f aca="false">In!G165</f>
        <v>Verified／Assumed</v>
      </c>
      <c r="H161" s="12" t="s">
        <v>3381</v>
      </c>
    </row>
    <row r="162" customFormat="false" ht="17.15" hidden="false" customHeight="false" outlineLevel="0" collapsed="false">
      <c r="A162" s="0" t="s">
        <v>591</v>
      </c>
      <c r="B162" s="6" t="s">
        <v>588</v>
      </c>
      <c r="C162" s="0" t="s">
        <v>589</v>
      </c>
      <c r="D162" s="35" t="n">
        <f aca="false">In!D166</f>
        <v>38</v>
      </c>
      <c r="E162" s="35" t="n">
        <f aca="false">In!E166</f>
        <v>42.8</v>
      </c>
      <c r="F162" s="35" t="n">
        <f aca="false">In!F166</f>
        <v>48</v>
      </c>
      <c r="G162" s="0" t="str">
        <f aca="false">In!G166</f>
        <v>Derived</v>
      </c>
      <c r="H162" s="12" t="s">
        <v>3382</v>
      </c>
    </row>
    <row r="163" customFormat="false" ht="17.15" hidden="false" customHeight="false" outlineLevel="0" collapsed="false">
      <c r="A163" s="0" t="s">
        <v>595</v>
      </c>
      <c r="B163" s="6" t="s">
        <v>593</v>
      </c>
      <c r="C163" s="0" t="s">
        <v>589</v>
      </c>
      <c r="D163" s="35" t="n">
        <f aca="false">In!D167</f>
        <v>3.5</v>
      </c>
      <c r="E163" s="35" t="n">
        <f aca="false">In!E167</f>
        <v>4.46</v>
      </c>
      <c r="F163" s="35" t="n">
        <f aca="false">In!F167</f>
        <v>4.9</v>
      </c>
      <c r="G163" s="0" t="str">
        <f aca="false">In!G167</f>
        <v>Derived</v>
      </c>
      <c r="H163" s="12" t="s">
        <v>3383</v>
      </c>
    </row>
    <row r="164" customFormat="false" ht="17.15" hidden="false" customHeight="false" outlineLevel="0" collapsed="false">
      <c r="A164" s="0" t="s">
        <v>599</v>
      </c>
      <c r="B164" s="6" t="s">
        <v>597</v>
      </c>
      <c r="C164" s="0" t="s">
        <v>521</v>
      </c>
      <c r="E164" s="35" t="n">
        <f aca="false">In!E168</f>
        <v>54.6</v>
      </c>
      <c r="G164" s="0" t="str">
        <f aca="false">In!G168</f>
        <v>Interested-party</v>
      </c>
      <c r="H164" s="12" t="s">
        <v>3384</v>
      </c>
    </row>
    <row r="165" customFormat="false" ht="17.15" hidden="false" customHeight="false" outlineLevel="0" collapsed="false">
      <c r="A165" s="0" t="s">
        <v>603</v>
      </c>
      <c r="B165" s="6" t="s">
        <v>601</v>
      </c>
      <c r="C165" s="0" t="s">
        <v>521</v>
      </c>
      <c r="E165" s="35" t="n">
        <f aca="false">In!E169</f>
        <v>77.4</v>
      </c>
      <c r="G165" s="0" t="str">
        <f aca="false">In!G169</f>
        <v>Interested-party</v>
      </c>
      <c r="H165" s="12" t="s">
        <v>3385</v>
      </c>
    </row>
    <row r="166" customFormat="false" ht="17.15" hidden="false" customHeight="false" outlineLevel="0" collapsed="false">
      <c r="A166" s="0" t="s">
        <v>607</v>
      </c>
      <c r="B166" s="6" t="s">
        <v>605</v>
      </c>
      <c r="C166" s="0" t="s">
        <v>521</v>
      </c>
      <c r="E166" s="35" t="n">
        <f aca="false">In!E170</f>
        <v>152.8</v>
      </c>
      <c r="G166" s="0" t="str">
        <f aca="false">In!G170</f>
        <v>Interested-party</v>
      </c>
      <c r="H166" s="12" t="s">
        <v>3386</v>
      </c>
    </row>
    <row r="167" customFormat="false" ht="17.15" hidden="false" customHeight="false" outlineLevel="0" collapsed="false">
      <c r="A167" s="0" t="s">
        <v>612</v>
      </c>
      <c r="B167" s="0" t="s">
        <v>610</v>
      </c>
      <c r="C167" s="0" t="s">
        <v>66</v>
      </c>
      <c r="D167" s="20" t="n">
        <f aca="false">In!D172</f>
        <v>-0.7</v>
      </c>
      <c r="E167" s="20" t="n">
        <f aca="false">In!E172</f>
        <v>-0.5</v>
      </c>
      <c r="F167" s="20" t="n">
        <f aca="false">In!F172</f>
        <v>-0.3</v>
      </c>
      <c r="G167" s="0" t="str">
        <f aca="false">In!G172</f>
        <v>Assumed</v>
      </c>
      <c r="H167" s="12" t="s">
        <v>3387</v>
      </c>
    </row>
    <row r="168" customFormat="false" ht="17.15" hidden="false" customHeight="false" outlineLevel="0" collapsed="false">
      <c r="A168" s="0" t="s">
        <v>615</v>
      </c>
      <c r="B168" s="0" t="s">
        <v>614</v>
      </c>
      <c r="C168" s="0" t="s">
        <v>66</v>
      </c>
      <c r="D168" s="20" t="n">
        <f aca="false">In!D173</f>
        <v>0.05</v>
      </c>
      <c r="E168" s="20" t="n">
        <f aca="false">In!E173</f>
        <v>0.15</v>
      </c>
      <c r="F168" s="20" t="n">
        <f aca="false">In!F173</f>
        <v>0.25</v>
      </c>
      <c r="G168" s="0" t="str">
        <f aca="false">In!G173</f>
        <v>Assumed</v>
      </c>
      <c r="H168" s="12" t="s">
        <v>3388</v>
      </c>
    </row>
    <row r="169" customFormat="false" ht="17.15" hidden="false" customHeight="false" outlineLevel="0" collapsed="false">
      <c r="A169" s="0" t="s">
        <v>618</v>
      </c>
      <c r="B169" s="0" t="s">
        <v>617</v>
      </c>
      <c r="C169" s="0" t="s">
        <v>66</v>
      </c>
      <c r="D169" s="20" t="n">
        <f aca="false">In!D174</f>
        <v>0.05</v>
      </c>
      <c r="E169" s="20" t="n">
        <f aca="false">In!E174</f>
        <v>0.15</v>
      </c>
      <c r="F169" s="20" t="n">
        <f aca="false">In!F174</f>
        <v>0.25</v>
      </c>
      <c r="G169" s="0" t="str">
        <f aca="false">In!G174</f>
        <v>Assumed</v>
      </c>
      <c r="H169" s="12" t="s">
        <v>3389</v>
      </c>
    </row>
    <row r="170" customFormat="false" ht="17.15" hidden="false" customHeight="false" outlineLevel="0" collapsed="false">
      <c r="A170" s="0" t="s">
        <v>621</v>
      </c>
      <c r="B170" s="0" t="s">
        <v>620</v>
      </c>
      <c r="C170" s="0" t="s">
        <v>66</v>
      </c>
      <c r="D170" s="20" t="n">
        <f aca="false">In!D175</f>
        <v>0</v>
      </c>
      <c r="E170" s="20" t="n">
        <f aca="false">In!E175</f>
        <v>0</v>
      </c>
      <c r="F170" s="20" t="n">
        <f aca="false">In!F175</f>
        <v>0</v>
      </c>
      <c r="G170" s="0" t="str">
        <f aca="false">In!G175</f>
        <v>Assumed</v>
      </c>
      <c r="H170" s="12" t="s">
        <v>3390</v>
      </c>
    </row>
    <row r="171" customFormat="false" ht="17.15" hidden="false" customHeight="false" outlineLevel="0" collapsed="false">
      <c r="A171" s="0" t="s">
        <v>624</v>
      </c>
      <c r="B171" s="0" t="s">
        <v>623</v>
      </c>
      <c r="C171" s="0" t="s">
        <v>66</v>
      </c>
      <c r="D171" s="20" t="n">
        <f aca="false">In!D176</f>
        <v>0.05</v>
      </c>
      <c r="E171" s="20" t="n">
        <f aca="false">In!E176</f>
        <v>0.15</v>
      </c>
      <c r="F171" s="20" t="n">
        <f aca="false">In!F176</f>
        <v>0.25</v>
      </c>
      <c r="G171" s="0" t="str">
        <f aca="false">In!G176</f>
        <v>Assumed</v>
      </c>
      <c r="H171" s="12" t="s">
        <v>3391</v>
      </c>
    </row>
    <row r="172" customFormat="false" ht="17.15" hidden="false" customHeight="false" outlineLevel="0" collapsed="false">
      <c r="A172" s="0" t="s">
        <v>627</v>
      </c>
      <c r="B172" s="0" t="s">
        <v>626</v>
      </c>
      <c r="C172" s="0" t="s">
        <v>66</v>
      </c>
      <c r="D172" s="20" t="n">
        <f aca="false">In!D177</f>
        <v>0.05</v>
      </c>
      <c r="E172" s="20" t="n">
        <f aca="false">In!E177</f>
        <v>0.15</v>
      </c>
      <c r="F172" s="20" t="n">
        <f aca="false">In!F177</f>
        <v>0.25</v>
      </c>
      <c r="G172" s="0" t="str">
        <f aca="false">In!G177</f>
        <v>Assumed</v>
      </c>
      <c r="H172" s="12" t="s">
        <v>3392</v>
      </c>
    </row>
    <row r="173" customFormat="false" ht="17.15" hidden="false" customHeight="false" outlineLevel="0" collapsed="false">
      <c r="A173" s="0" t="s">
        <v>630</v>
      </c>
      <c r="B173" s="0" t="s">
        <v>629</v>
      </c>
      <c r="C173" s="0" t="s">
        <v>66</v>
      </c>
      <c r="D173" s="20" t="n">
        <f aca="false">In!D178</f>
        <v>0.05</v>
      </c>
      <c r="E173" s="20" t="n">
        <f aca="false">In!E178</f>
        <v>0.15</v>
      </c>
      <c r="F173" s="20" t="n">
        <f aca="false">In!F178</f>
        <v>0.25</v>
      </c>
      <c r="G173" s="0" t="str">
        <f aca="false">In!G178</f>
        <v>Assumed</v>
      </c>
      <c r="H173" s="12" t="s">
        <v>3393</v>
      </c>
    </row>
    <row r="174" customFormat="false" ht="17.15" hidden="false" customHeight="false" outlineLevel="0" collapsed="false">
      <c r="A174" s="0" t="s">
        <v>633</v>
      </c>
      <c r="B174" s="6" t="s">
        <v>632</v>
      </c>
      <c r="C174" s="0" t="s">
        <v>66</v>
      </c>
      <c r="D174" s="20" t="n">
        <f aca="false">In!D179</f>
        <v>0.05</v>
      </c>
      <c r="E174" s="20" t="n">
        <f aca="false">In!E179</f>
        <v>0.15</v>
      </c>
      <c r="F174" s="20" t="n">
        <f aca="false">In!F179</f>
        <v>0.25</v>
      </c>
      <c r="G174" s="0" t="str">
        <f aca="false">In!G179</f>
        <v>Assumed</v>
      </c>
      <c r="H174" s="12" t="s">
        <v>3394</v>
      </c>
    </row>
    <row r="175" customFormat="false" ht="17.15" hidden="false" customHeight="false" outlineLevel="0" collapsed="false">
      <c r="A175" s="0" t="s">
        <v>639</v>
      </c>
      <c r="B175" s="0" t="s">
        <v>636</v>
      </c>
      <c r="C175" s="0" t="s">
        <v>637</v>
      </c>
      <c r="D175" s="35" t="n">
        <f aca="false">In!D181</f>
        <v>20</v>
      </c>
      <c r="E175" s="35" t="n">
        <f aca="false">In!E181</f>
        <v>30</v>
      </c>
      <c r="F175" s="35" t="n">
        <f aca="false">In!F181</f>
        <v>45</v>
      </c>
      <c r="G175" s="0" t="str">
        <f aca="false">In!G181</f>
        <v>Interested-party</v>
      </c>
      <c r="H175" s="12" t="s">
        <v>3395</v>
      </c>
    </row>
    <row r="176" customFormat="false" ht="17.15" hidden="false" customHeight="false" outlineLevel="0" collapsed="false">
      <c r="A176" s="0" t="s">
        <v>644</v>
      </c>
      <c r="B176" s="0" t="s">
        <v>642</v>
      </c>
      <c r="C176" s="0" t="s">
        <v>637</v>
      </c>
      <c r="D176" s="35" t="n">
        <f aca="false">In!D182</f>
        <v>8</v>
      </c>
      <c r="E176" s="35" t="n">
        <f aca="false">In!E182</f>
        <v>12</v>
      </c>
      <c r="F176" s="35" t="n">
        <f aca="false">In!F182</f>
        <v>18</v>
      </c>
      <c r="G176" s="0" t="str">
        <f aca="false">In!G182</f>
        <v>Assumed</v>
      </c>
      <c r="H176" s="12" t="s">
        <v>3396</v>
      </c>
    </row>
    <row r="177" customFormat="false" ht="17.15" hidden="false" customHeight="false" outlineLevel="0" collapsed="false">
      <c r="A177" s="0" t="s">
        <v>649</v>
      </c>
      <c r="B177" s="0" t="s">
        <v>647</v>
      </c>
      <c r="C177" s="0" t="s">
        <v>637</v>
      </c>
      <c r="D177" s="35" t="n">
        <f aca="false">In!D183</f>
        <v>5</v>
      </c>
      <c r="E177" s="35" t="n">
        <f aca="false">In!E183</f>
        <v>8</v>
      </c>
      <c r="F177" s="35" t="n">
        <f aca="false">In!F183</f>
        <v>12</v>
      </c>
      <c r="G177" s="0" t="str">
        <f aca="false">In!G183</f>
        <v>Assumed</v>
      </c>
      <c r="H177" s="12" t="s">
        <v>3397</v>
      </c>
    </row>
    <row r="178" customFormat="false" ht="17.15" hidden="false" customHeight="false" outlineLevel="0" collapsed="false">
      <c r="A178" s="0" t="s">
        <v>654</v>
      </c>
      <c r="B178" s="6" t="s">
        <v>652</v>
      </c>
      <c r="C178" s="0" t="s">
        <v>637</v>
      </c>
      <c r="D178" s="35" t="n">
        <f aca="false">In!D184</f>
        <v>5</v>
      </c>
      <c r="E178" s="35" t="n">
        <f aca="false">In!E184</f>
        <v>8</v>
      </c>
      <c r="F178" s="35" t="n">
        <f aca="false">In!F184</f>
        <v>12</v>
      </c>
      <c r="G178" s="0" t="str">
        <f aca="false">In!G184</f>
        <v>Assumed</v>
      </c>
      <c r="H178" s="12" t="s">
        <v>3398</v>
      </c>
    </row>
    <row r="179" customFormat="false" ht="17.15" hidden="false" customHeight="false" outlineLevel="0" collapsed="false">
      <c r="A179" s="0" t="s">
        <v>658</v>
      </c>
      <c r="B179" s="0" t="s">
        <v>656</v>
      </c>
      <c r="C179" s="0" t="s">
        <v>637</v>
      </c>
      <c r="D179" s="35" t="n">
        <f aca="false">In!D185</f>
        <v>6</v>
      </c>
      <c r="E179" s="35" t="n">
        <f aca="false">In!E185</f>
        <v>8</v>
      </c>
      <c r="F179" s="35" t="n">
        <f aca="false">In!F185</f>
        <v>11</v>
      </c>
      <c r="G179" s="0" t="str">
        <f aca="false">In!G185</f>
        <v>Assumed</v>
      </c>
      <c r="H179" s="12" t="s">
        <v>3399</v>
      </c>
    </row>
    <row r="180" customFormat="false" ht="17.15" hidden="false" customHeight="false" outlineLevel="0" collapsed="false">
      <c r="A180" s="0" t="s">
        <v>663</v>
      </c>
      <c r="B180" s="6" t="s">
        <v>661</v>
      </c>
      <c r="C180" s="0" t="s">
        <v>637</v>
      </c>
      <c r="D180" s="35" t="n">
        <f aca="false">In!D186</f>
        <v>4</v>
      </c>
      <c r="E180" s="35" t="n">
        <f aca="false">In!E186</f>
        <v>6</v>
      </c>
      <c r="F180" s="35" t="n">
        <f aca="false">In!F186</f>
        <v>9</v>
      </c>
      <c r="G180" s="0" t="str">
        <f aca="false">In!G186</f>
        <v>Assumed</v>
      </c>
      <c r="H180" s="12" t="s">
        <v>3400</v>
      </c>
    </row>
    <row r="181" customFormat="false" ht="17.15" hidden="false" customHeight="false" outlineLevel="0" collapsed="false">
      <c r="A181" s="0" t="s">
        <v>668</v>
      </c>
      <c r="B181" s="0" t="s">
        <v>666</v>
      </c>
      <c r="C181" s="0" t="s">
        <v>500</v>
      </c>
      <c r="D181" s="35" t="n">
        <f aca="false">In!D187</f>
        <v>0.3</v>
      </c>
      <c r="E181" s="35" t="n">
        <f aca="false">In!E187</f>
        <v>0.6</v>
      </c>
      <c r="F181" s="35" t="n">
        <f aca="false">In!F187</f>
        <v>1</v>
      </c>
      <c r="G181" s="0" t="str">
        <f aca="false">In!G187</f>
        <v>Assumed</v>
      </c>
      <c r="H181" s="12" t="s">
        <v>3401</v>
      </c>
    </row>
    <row r="182" customFormat="false" ht="17.15" hidden="false" customHeight="false" outlineLevel="0" collapsed="false">
      <c r="A182" s="0" t="s">
        <v>674</v>
      </c>
      <c r="B182" s="0" t="s">
        <v>672</v>
      </c>
      <c r="C182" s="0" t="s">
        <v>66</v>
      </c>
      <c r="D182" s="20" t="n">
        <f aca="false">In!D189</f>
        <v>0.8</v>
      </c>
      <c r="E182" s="20" t="n">
        <f aca="false">In!E189</f>
        <v>0.9</v>
      </c>
      <c r="F182" s="20" t="n">
        <f aca="false">In!F189</f>
        <v>1</v>
      </c>
      <c r="G182" s="0" t="str">
        <f aca="false">In!G189</f>
        <v>Assumed</v>
      </c>
      <c r="H182" s="12" t="s">
        <v>3402</v>
      </c>
    </row>
    <row r="183" customFormat="false" ht="17.15" hidden="false" customHeight="false" outlineLevel="0" collapsed="false">
      <c r="A183" s="0" t="s">
        <v>679</v>
      </c>
      <c r="B183" s="0" t="s">
        <v>677</v>
      </c>
      <c r="C183" s="0" t="s">
        <v>66</v>
      </c>
      <c r="D183" s="20" t="n">
        <f aca="false">In!D190</f>
        <v>0.6</v>
      </c>
      <c r="E183" s="20" t="n">
        <f aca="false">In!E190</f>
        <v>0.8</v>
      </c>
      <c r="F183" s="20" t="n">
        <f aca="false">In!F190</f>
        <v>0.9</v>
      </c>
      <c r="G183" s="0" t="str">
        <f aca="false">In!G190</f>
        <v>Assumed</v>
      </c>
      <c r="H183" s="12" t="s">
        <v>3403</v>
      </c>
    </row>
    <row r="184" customFormat="false" ht="17.15" hidden="false" customHeight="false" outlineLevel="0" collapsed="false">
      <c r="A184" s="0" t="s">
        <v>683</v>
      </c>
      <c r="B184" s="0" t="s">
        <v>682</v>
      </c>
      <c r="C184" s="0" t="s">
        <v>66</v>
      </c>
      <c r="D184" s="20" t="n">
        <f aca="false">In!D191</f>
        <v>0.5</v>
      </c>
      <c r="E184" s="20" t="n">
        <f aca="false">In!E191</f>
        <v>0.75</v>
      </c>
      <c r="F184" s="20" t="n">
        <f aca="false">In!F191</f>
        <v>0.9</v>
      </c>
      <c r="G184" s="0" t="str">
        <f aca="false">In!G191</f>
        <v>Assumed</v>
      </c>
      <c r="H184" s="12" t="s">
        <v>3404</v>
      </c>
    </row>
    <row r="185" customFormat="false" ht="17.15" hidden="false" customHeight="false" outlineLevel="0" collapsed="false">
      <c r="A185" s="0" t="s">
        <v>688</v>
      </c>
      <c r="B185" s="0" t="s">
        <v>686</v>
      </c>
      <c r="C185" s="0" t="s">
        <v>66</v>
      </c>
      <c r="D185" s="20" t="n">
        <f aca="false">In!D192</f>
        <v>0.2</v>
      </c>
      <c r="E185" s="20" t="n">
        <f aca="false">In!E192</f>
        <v>0.35</v>
      </c>
      <c r="F185" s="20" t="n">
        <f aca="false">In!F192</f>
        <v>0.5</v>
      </c>
      <c r="G185" s="0" t="str">
        <f aca="false">In!G192</f>
        <v>Assumed</v>
      </c>
      <c r="H185" s="12" t="s">
        <v>3405</v>
      </c>
    </row>
    <row r="186" customFormat="false" ht="17.15" hidden="false" customHeight="false" outlineLevel="0" collapsed="false">
      <c r="A186" s="0" t="s">
        <v>693</v>
      </c>
      <c r="B186" s="0" t="s">
        <v>691</v>
      </c>
      <c r="C186" s="0" t="s">
        <v>66</v>
      </c>
      <c r="D186" s="20" t="n">
        <f aca="false">In!D193</f>
        <v>0.4</v>
      </c>
      <c r="E186" s="20" t="n">
        <f aca="false">In!E193</f>
        <v>0.55</v>
      </c>
      <c r="F186" s="20" t="n">
        <f aca="false">In!F193</f>
        <v>0.7</v>
      </c>
      <c r="G186" s="0" t="str">
        <f aca="false">In!G193</f>
        <v>Assumed</v>
      </c>
      <c r="H186" s="12" t="s">
        <v>3406</v>
      </c>
    </row>
    <row r="187" customFormat="false" ht="17.15" hidden="false" customHeight="false" outlineLevel="0" collapsed="false">
      <c r="A187" s="0" t="s">
        <v>697</v>
      </c>
      <c r="B187" s="0" t="s">
        <v>695</v>
      </c>
      <c r="C187" s="0" t="s">
        <v>66</v>
      </c>
      <c r="D187" s="20" t="n">
        <f aca="false">In!D194</f>
        <v>0.4</v>
      </c>
      <c r="E187" s="20" t="n">
        <f aca="false">In!E194</f>
        <v>0.55</v>
      </c>
      <c r="F187" s="20" t="n">
        <f aca="false">In!F194</f>
        <v>0.7</v>
      </c>
      <c r="G187" s="0" t="str">
        <f aca="false">In!G194</f>
        <v>Assumed</v>
      </c>
      <c r="H187" s="12" t="s">
        <v>3407</v>
      </c>
    </row>
    <row r="188" customFormat="false" ht="17.15" hidden="false" customHeight="false" outlineLevel="0" collapsed="false">
      <c r="A188" s="0" t="s">
        <v>701</v>
      </c>
      <c r="B188" s="0" t="s">
        <v>699</v>
      </c>
      <c r="C188" s="0" t="s">
        <v>66</v>
      </c>
      <c r="D188" s="20" t="n">
        <f aca="false">In!D195</f>
        <v>0.05</v>
      </c>
      <c r="E188" s="20" t="n">
        <f aca="false">In!E195</f>
        <v>0.1</v>
      </c>
      <c r="F188" s="20" t="n">
        <f aca="false">In!F195</f>
        <v>0.2</v>
      </c>
      <c r="G188" s="0" t="str">
        <f aca="false">In!G195</f>
        <v>Assumed</v>
      </c>
      <c r="H188" s="12" t="s">
        <v>3408</v>
      </c>
    </row>
    <row r="189" customFormat="false" ht="17.15" hidden="false" customHeight="false" outlineLevel="0" collapsed="false">
      <c r="A189" s="0" t="s">
        <v>705</v>
      </c>
      <c r="B189" s="0" t="s">
        <v>704</v>
      </c>
      <c r="C189" s="0" t="s">
        <v>66</v>
      </c>
      <c r="D189" s="20" t="n">
        <f aca="false">In!D196</f>
        <v>0.05</v>
      </c>
      <c r="E189" s="20" t="n">
        <f aca="false">In!E196</f>
        <v>0.1</v>
      </c>
      <c r="F189" s="20" t="n">
        <f aca="false">In!F196</f>
        <v>0.2</v>
      </c>
      <c r="G189" s="0" t="str">
        <f aca="false">In!G196</f>
        <v>Assumed</v>
      </c>
      <c r="H189" s="12" t="s">
        <v>3409</v>
      </c>
    </row>
    <row r="190" customFormat="false" ht="17.15" hidden="false" customHeight="false" outlineLevel="0" collapsed="false">
      <c r="A190" s="0" t="s">
        <v>708</v>
      </c>
      <c r="B190" s="0" t="s">
        <v>707</v>
      </c>
      <c r="C190" s="0" t="s">
        <v>66</v>
      </c>
      <c r="D190" s="20" t="n">
        <f aca="false">In!D197</f>
        <v>0</v>
      </c>
      <c r="E190" s="20" t="n">
        <f aca="false">In!E197</f>
        <v>0.08</v>
      </c>
      <c r="F190" s="20" t="n">
        <f aca="false">In!F197</f>
        <v>0.2</v>
      </c>
      <c r="G190" s="0" t="str">
        <f aca="false">In!G197</f>
        <v>Assumed</v>
      </c>
      <c r="H190" s="12" t="s">
        <v>3410</v>
      </c>
    </row>
    <row r="191" customFormat="false" ht="17.15" hidden="false" customHeight="false" outlineLevel="0" collapsed="false">
      <c r="A191" s="0" t="s">
        <v>712</v>
      </c>
      <c r="B191" s="0" t="s">
        <v>710</v>
      </c>
      <c r="C191" s="0" t="s">
        <v>66</v>
      </c>
      <c r="D191" s="20" t="n">
        <f aca="false">In!D198</f>
        <v>0.02</v>
      </c>
      <c r="E191" s="20" t="n">
        <f aca="false">In!E198</f>
        <v>0.05</v>
      </c>
      <c r="F191" s="20" t="n">
        <f aca="false">In!F198</f>
        <v>0.1</v>
      </c>
      <c r="G191" s="0" t="str">
        <f aca="false">In!G198</f>
        <v>Assumed</v>
      </c>
      <c r="H191" s="12" t="s">
        <v>3411</v>
      </c>
    </row>
    <row r="192" customFormat="false" ht="17.15" hidden="false" customHeight="false" outlineLevel="0" collapsed="false">
      <c r="A192" s="0" t="s">
        <v>716</v>
      </c>
      <c r="B192" s="0" t="s">
        <v>715</v>
      </c>
      <c r="C192" s="0" t="s">
        <v>66</v>
      </c>
      <c r="D192" s="20" t="n">
        <f aca="false">In!D199</f>
        <v>0.03</v>
      </c>
      <c r="E192" s="20" t="n">
        <f aca="false">In!E199</f>
        <v>0.06</v>
      </c>
      <c r="F192" s="20" t="n">
        <f aca="false">In!F199</f>
        <v>0.12</v>
      </c>
      <c r="G192" s="0" t="str">
        <f aca="false">In!G199</f>
        <v>Assumed</v>
      </c>
      <c r="H192" s="12" t="s">
        <v>3412</v>
      </c>
    </row>
    <row r="193" customFormat="false" ht="17.15" hidden="false" customHeight="false" outlineLevel="0" collapsed="false">
      <c r="A193" s="0" t="s">
        <v>719</v>
      </c>
      <c r="B193" s="0" t="s">
        <v>718</v>
      </c>
      <c r="C193" s="0" t="s">
        <v>66</v>
      </c>
      <c r="D193" s="20" t="n">
        <f aca="false">In!D200</f>
        <v>0.08</v>
      </c>
      <c r="E193" s="20" t="n">
        <f aca="false">In!E200</f>
        <v>0.15</v>
      </c>
      <c r="F193" s="20" t="n">
        <f aca="false">In!F200</f>
        <v>0.25</v>
      </c>
      <c r="G193" s="0" t="str">
        <f aca="false">In!G200</f>
        <v>Assumed</v>
      </c>
      <c r="H193" s="12" t="s">
        <v>3413</v>
      </c>
    </row>
    <row r="194" customFormat="false" ht="17.15" hidden="false" customHeight="false" outlineLevel="0" collapsed="false">
      <c r="A194" s="0" t="s">
        <v>723</v>
      </c>
      <c r="B194" s="0" t="s">
        <v>721</v>
      </c>
      <c r="C194" s="0" t="s">
        <v>66</v>
      </c>
      <c r="D194" s="20" t="n">
        <f aca="false">In!D201</f>
        <v>0</v>
      </c>
      <c r="E194" s="20" t="n">
        <f aca="false">In!E201</f>
        <v>0</v>
      </c>
      <c r="F194" s="20" t="n">
        <f aca="false">In!F201</f>
        <v>0.02</v>
      </c>
      <c r="G194" s="0" t="str">
        <f aca="false">In!G201</f>
        <v>Assumed</v>
      </c>
      <c r="H194" s="12" t="s">
        <v>3414</v>
      </c>
    </row>
    <row r="195" customFormat="false" ht="17.15" hidden="false" customHeight="false" outlineLevel="0" collapsed="false">
      <c r="A195" s="0" t="s">
        <v>727</v>
      </c>
      <c r="B195" s="0" t="s">
        <v>726</v>
      </c>
      <c r="C195" s="0" t="s">
        <v>66</v>
      </c>
      <c r="D195" s="20" t="n">
        <f aca="false">In!D202</f>
        <v>0</v>
      </c>
      <c r="E195" s="20" t="n">
        <f aca="false">In!E202</f>
        <v>0</v>
      </c>
      <c r="F195" s="20" t="n">
        <f aca="false">In!F202</f>
        <v>0.05</v>
      </c>
      <c r="G195" s="0" t="str">
        <f aca="false">In!G202</f>
        <v>Assumed</v>
      </c>
      <c r="H195" s="12" t="s">
        <v>3415</v>
      </c>
    </row>
    <row r="196" customFormat="false" ht="17.15" hidden="false" customHeight="false" outlineLevel="0" collapsed="false">
      <c r="A196" s="0" t="s">
        <v>730</v>
      </c>
      <c r="B196" s="0" t="s">
        <v>729</v>
      </c>
      <c r="C196" s="0" t="s">
        <v>66</v>
      </c>
      <c r="D196" s="20" t="n">
        <f aca="false">In!D203</f>
        <v>0</v>
      </c>
      <c r="E196" s="20" t="n">
        <f aca="false">In!E203</f>
        <v>0.05</v>
      </c>
      <c r="F196" s="20" t="n">
        <f aca="false">In!F203</f>
        <v>0.15</v>
      </c>
      <c r="G196" s="0" t="str">
        <f aca="false">In!G203</f>
        <v>Assumed</v>
      </c>
      <c r="H196" s="12" t="s">
        <v>3416</v>
      </c>
    </row>
    <row r="197" customFormat="false" ht="17.15" hidden="false" customHeight="false" outlineLevel="0" collapsed="false">
      <c r="A197" s="0" t="s">
        <v>734</v>
      </c>
      <c r="B197" s="6" t="s">
        <v>732</v>
      </c>
      <c r="C197" s="0" t="s">
        <v>66</v>
      </c>
      <c r="D197" s="20" t="n">
        <f aca="false">In!D204</f>
        <v>0.03</v>
      </c>
      <c r="E197" s="20" t="n">
        <f aca="false">In!E204</f>
        <v>0.05</v>
      </c>
      <c r="F197" s="20" t="n">
        <f aca="false">In!F204</f>
        <v>0.1</v>
      </c>
      <c r="G197" s="0" t="str">
        <f aca="false">In!G204</f>
        <v>Assumed</v>
      </c>
      <c r="H197" s="12" t="s">
        <v>3417</v>
      </c>
    </row>
    <row r="198" customFormat="false" ht="17.15" hidden="false" customHeight="false" outlineLevel="0" collapsed="false">
      <c r="A198" s="0" t="s">
        <v>738</v>
      </c>
      <c r="B198" s="6" t="s">
        <v>737</v>
      </c>
      <c r="C198" s="0" t="s">
        <v>66</v>
      </c>
      <c r="D198" s="20" t="n">
        <f aca="false">In!D205</f>
        <v>0.08</v>
      </c>
      <c r="E198" s="20" t="n">
        <f aca="false">In!E205</f>
        <v>0.15</v>
      </c>
      <c r="F198" s="20" t="n">
        <f aca="false">In!F205</f>
        <v>0.2</v>
      </c>
      <c r="G198" s="0" t="str">
        <f aca="false">In!G205</f>
        <v>Assumed</v>
      </c>
      <c r="H198" s="12" t="s">
        <v>3418</v>
      </c>
    </row>
    <row r="199" customFormat="false" ht="17.15" hidden="false" customHeight="false" outlineLevel="0" collapsed="false">
      <c r="A199" s="0" t="s">
        <v>741</v>
      </c>
      <c r="B199" s="6" t="s">
        <v>740</v>
      </c>
      <c r="C199" s="0" t="s">
        <v>66</v>
      </c>
      <c r="D199" s="20" t="n">
        <f aca="false">In!D206</f>
        <v>0.1</v>
      </c>
      <c r="E199" s="20" t="n">
        <f aca="false">In!E206</f>
        <v>0.18</v>
      </c>
      <c r="F199" s="20" t="n">
        <f aca="false">In!F206</f>
        <v>0.2</v>
      </c>
      <c r="G199" s="0" t="str">
        <f aca="false">In!G206</f>
        <v>Assumed</v>
      </c>
      <c r="H199" s="12" t="s">
        <v>3419</v>
      </c>
    </row>
    <row r="200" customFormat="false" ht="17.15" hidden="false" customHeight="false" outlineLevel="0" collapsed="false">
      <c r="A200" s="0" t="s">
        <v>745</v>
      </c>
      <c r="B200" s="6" t="s">
        <v>743</v>
      </c>
      <c r="C200" s="0" t="s">
        <v>66</v>
      </c>
      <c r="D200" s="20" t="n">
        <f aca="false">In!D207</f>
        <v>0</v>
      </c>
      <c r="E200" s="20" t="n">
        <f aca="false">In!E207</f>
        <v>0</v>
      </c>
      <c r="F200" s="20" t="n">
        <f aca="false">In!F207</f>
        <v>0.02</v>
      </c>
      <c r="G200" s="0" t="str">
        <f aca="false">In!G207</f>
        <v>Assumed</v>
      </c>
      <c r="H200" s="12" t="s">
        <v>3420</v>
      </c>
    </row>
    <row r="201" customFormat="false" ht="17.15" hidden="false" customHeight="false" outlineLevel="0" collapsed="false">
      <c r="A201" s="0" t="s">
        <v>749</v>
      </c>
      <c r="B201" s="6" t="s">
        <v>748</v>
      </c>
      <c r="C201" s="0" t="s">
        <v>66</v>
      </c>
      <c r="D201" s="20" t="n">
        <f aca="false">In!D208</f>
        <v>0</v>
      </c>
      <c r="E201" s="20" t="n">
        <f aca="false">In!E208</f>
        <v>0</v>
      </c>
      <c r="F201" s="20" t="n">
        <f aca="false">In!F208</f>
        <v>0.03</v>
      </c>
      <c r="G201" s="0" t="str">
        <f aca="false">In!G208</f>
        <v>Assumed</v>
      </c>
      <c r="H201" s="12" t="s">
        <v>3421</v>
      </c>
    </row>
    <row r="202" customFormat="false" ht="17.15" hidden="false" customHeight="false" outlineLevel="0" collapsed="false">
      <c r="A202" s="0" t="s">
        <v>752</v>
      </c>
      <c r="B202" s="6" t="s">
        <v>751</v>
      </c>
      <c r="C202" s="0" t="s">
        <v>66</v>
      </c>
      <c r="D202" s="20" t="n">
        <f aca="false">In!D209</f>
        <v>0</v>
      </c>
      <c r="E202" s="20" t="n">
        <f aca="false">In!E209</f>
        <v>0</v>
      </c>
      <c r="F202" s="20" t="n">
        <f aca="false">In!F209</f>
        <v>0.05</v>
      </c>
      <c r="G202" s="0" t="str">
        <f aca="false">In!G209</f>
        <v>Assumed</v>
      </c>
      <c r="H202" s="12" t="s">
        <v>3422</v>
      </c>
    </row>
    <row r="203" customFormat="false" ht="17.15" hidden="false" customHeight="false" outlineLevel="0" collapsed="false">
      <c r="A203" s="0" t="s">
        <v>756</v>
      </c>
      <c r="B203" s="6" t="s">
        <v>754</v>
      </c>
      <c r="C203" s="0" t="s">
        <v>66</v>
      </c>
      <c r="D203" s="20" t="n">
        <f aca="false">In!D210</f>
        <v>0.2</v>
      </c>
      <c r="E203" s="20" t="n">
        <f aca="false">In!E210</f>
        <v>0.3</v>
      </c>
      <c r="F203" s="20" t="n">
        <f aca="false">In!F210</f>
        <v>0.4</v>
      </c>
      <c r="G203" s="0" t="str">
        <f aca="false">In!G210</f>
        <v>Assumed</v>
      </c>
      <c r="H203" s="12" t="s">
        <v>3423</v>
      </c>
    </row>
    <row r="204" customFormat="false" ht="17.15" hidden="false" customHeight="false" outlineLevel="0" collapsed="false">
      <c r="A204" s="0" t="s">
        <v>760</v>
      </c>
      <c r="B204" s="6" t="s">
        <v>759</v>
      </c>
      <c r="C204" s="0" t="s">
        <v>66</v>
      </c>
      <c r="D204" s="20" t="n">
        <f aca="false">In!D211</f>
        <v>0.4</v>
      </c>
      <c r="E204" s="20" t="n">
        <f aca="false">In!E211</f>
        <v>0.55</v>
      </c>
      <c r="F204" s="20" t="n">
        <f aca="false">In!F211</f>
        <v>0.75</v>
      </c>
      <c r="G204" s="0" t="str">
        <f aca="false">In!G211</f>
        <v>Assumed</v>
      </c>
      <c r="H204" s="12" t="s">
        <v>3424</v>
      </c>
    </row>
    <row r="205" customFormat="false" ht="17.15" hidden="false" customHeight="false" outlineLevel="0" collapsed="false">
      <c r="A205" s="0" t="s">
        <v>763</v>
      </c>
      <c r="B205" s="6" t="s">
        <v>762</v>
      </c>
      <c r="C205" s="0" t="s">
        <v>66</v>
      </c>
      <c r="D205" s="20" t="n">
        <f aca="false">In!D212</f>
        <v>0.4</v>
      </c>
      <c r="E205" s="20" t="n">
        <f aca="false">In!E212</f>
        <v>0.5</v>
      </c>
      <c r="F205" s="20" t="n">
        <f aca="false">In!F212</f>
        <v>0.75</v>
      </c>
      <c r="G205" s="0" t="str">
        <f aca="false">In!G212</f>
        <v>Assumed</v>
      </c>
      <c r="H205" s="12" t="s">
        <v>3425</v>
      </c>
    </row>
    <row r="206" customFormat="false" ht="17.15" hidden="false" customHeight="false" outlineLevel="0" collapsed="false">
      <c r="A206" s="0" t="s">
        <v>766</v>
      </c>
      <c r="B206" s="6" t="s">
        <v>765</v>
      </c>
      <c r="C206" s="0" t="s">
        <v>66</v>
      </c>
      <c r="D206" s="20" t="n">
        <f aca="false">In!D213</f>
        <v>0.3</v>
      </c>
      <c r="E206" s="20" t="n">
        <f aca="false">In!E213</f>
        <v>0.4</v>
      </c>
      <c r="F206" s="20" t="n">
        <f aca="false">In!F213</f>
        <v>0.75</v>
      </c>
      <c r="G206" s="0" t="str">
        <f aca="false">In!G213</f>
        <v>Assumed</v>
      </c>
      <c r="H206" s="12" t="s">
        <v>3426</v>
      </c>
    </row>
    <row r="207" customFormat="false" ht="17.15" hidden="false" customHeight="false" outlineLevel="0" collapsed="false">
      <c r="A207" s="0" t="s">
        <v>769</v>
      </c>
      <c r="B207" s="6" t="s">
        <v>768</v>
      </c>
      <c r="C207" s="0" t="s">
        <v>66</v>
      </c>
      <c r="D207" s="20" t="n">
        <f aca="false">In!D214</f>
        <v>0.35</v>
      </c>
      <c r="E207" s="20" t="n">
        <f aca="false">In!E214</f>
        <v>0.55</v>
      </c>
      <c r="F207" s="20" t="n">
        <f aca="false">In!F214</f>
        <v>0.85</v>
      </c>
      <c r="G207" s="0" t="str">
        <f aca="false">In!G214</f>
        <v>Assumed</v>
      </c>
      <c r="H207" s="12" t="s">
        <v>3427</v>
      </c>
    </row>
    <row r="208" customFormat="false" ht="17.15" hidden="false" customHeight="false" outlineLevel="0" collapsed="false">
      <c r="A208" s="0" t="s">
        <v>772</v>
      </c>
      <c r="B208" s="6" t="s">
        <v>771</v>
      </c>
      <c r="C208" s="0" t="s">
        <v>66</v>
      </c>
      <c r="D208" s="20" t="n">
        <f aca="false">In!D215</f>
        <v>0.3</v>
      </c>
      <c r="E208" s="20" t="n">
        <f aca="false">In!E215</f>
        <v>0.45</v>
      </c>
      <c r="F208" s="20" t="n">
        <f aca="false">In!F215</f>
        <v>0.85</v>
      </c>
      <c r="G208" s="0" t="str">
        <f aca="false">In!G215</f>
        <v>Assumed</v>
      </c>
      <c r="H208" s="12" t="s">
        <v>3428</v>
      </c>
    </row>
    <row r="209" customFormat="false" ht="17.15" hidden="false" customHeight="false" outlineLevel="0" collapsed="false">
      <c r="A209" s="0" t="s">
        <v>776</v>
      </c>
      <c r="B209" s="6" t="s">
        <v>775</v>
      </c>
      <c r="C209" s="0" t="s">
        <v>66</v>
      </c>
      <c r="D209" s="20" t="n">
        <f aca="false">In!D216</f>
        <v>0.2</v>
      </c>
      <c r="E209" s="20" t="n">
        <f aca="false">In!E216</f>
        <v>0.35</v>
      </c>
      <c r="F209" s="20" t="n">
        <f aca="false">In!F216</f>
        <v>0.85</v>
      </c>
      <c r="G209" s="0" t="str">
        <f aca="false">In!G216</f>
        <v>Assumed</v>
      </c>
      <c r="H209" s="12" t="s">
        <v>3429</v>
      </c>
    </row>
    <row r="210" customFormat="false" ht="17.15" hidden="false" customHeight="false" outlineLevel="0" collapsed="false">
      <c r="A210" s="0" t="s">
        <v>782</v>
      </c>
      <c r="B210" s="0" t="s">
        <v>779</v>
      </c>
      <c r="C210" s="0" t="s">
        <v>780</v>
      </c>
      <c r="D210" s="35" t="n">
        <f aca="false">In!D218</f>
        <v>1194</v>
      </c>
      <c r="E210" s="35" t="n">
        <f aca="false">In!E218</f>
        <v>1493</v>
      </c>
      <c r="F210" s="35" t="n">
        <f aca="false">In!F218</f>
        <v>1792</v>
      </c>
      <c r="G210" s="0" t="str">
        <f aca="false">In!G218</f>
        <v>Derived</v>
      </c>
      <c r="H210" s="12" t="s">
        <v>3430</v>
      </c>
    </row>
    <row r="211" customFormat="false" ht="17.15" hidden="false" customHeight="false" outlineLevel="0" collapsed="false">
      <c r="A211" s="0" t="s">
        <v>785</v>
      </c>
      <c r="B211" s="0" t="s">
        <v>784</v>
      </c>
      <c r="C211" s="0" t="s">
        <v>780</v>
      </c>
      <c r="D211" s="35" t="n">
        <f aca="false">In!D219</f>
        <v>1194</v>
      </c>
      <c r="E211" s="35" t="n">
        <f aca="false">In!E219</f>
        <v>1493</v>
      </c>
      <c r="F211" s="35" t="n">
        <f aca="false">In!F219</f>
        <v>1792</v>
      </c>
      <c r="G211" s="0" t="str">
        <f aca="false">In!G219</f>
        <v>Derived</v>
      </c>
      <c r="H211" s="12" t="s">
        <v>3431</v>
      </c>
    </row>
    <row r="212" customFormat="false" ht="17.15" hidden="false" customHeight="false" outlineLevel="0" collapsed="false">
      <c r="A212" s="0" t="s">
        <v>788</v>
      </c>
      <c r="B212" s="0" t="s">
        <v>787</v>
      </c>
      <c r="C212" s="0" t="s">
        <v>780</v>
      </c>
      <c r="D212" s="35" t="n">
        <f aca="false">In!D220</f>
        <v>2150</v>
      </c>
      <c r="E212" s="35" t="n">
        <f aca="false">In!E220</f>
        <v>2688</v>
      </c>
      <c r="F212" s="35" t="n">
        <f aca="false">In!F220</f>
        <v>3226</v>
      </c>
      <c r="G212" s="0" t="str">
        <f aca="false">In!G220</f>
        <v>Derived</v>
      </c>
      <c r="H212" s="12" t="s">
        <v>3432</v>
      </c>
    </row>
    <row r="213" customFormat="false" ht="17.15" hidden="false" customHeight="false" outlineLevel="0" collapsed="false">
      <c r="A213" s="0" t="s">
        <v>791</v>
      </c>
      <c r="B213" s="0" t="s">
        <v>790</v>
      </c>
      <c r="C213" s="0" t="s">
        <v>780</v>
      </c>
      <c r="D213" s="35" t="n">
        <f aca="false">In!D221</f>
        <v>1672</v>
      </c>
      <c r="E213" s="35" t="n">
        <f aca="false">In!E221</f>
        <v>2090</v>
      </c>
      <c r="F213" s="35" t="n">
        <f aca="false">In!F221</f>
        <v>2508</v>
      </c>
      <c r="G213" s="0" t="str">
        <f aca="false">In!G221</f>
        <v>Derived</v>
      </c>
      <c r="H213" s="12" t="s">
        <v>3433</v>
      </c>
    </row>
    <row r="214" customFormat="false" ht="17.15" hidden="false" customHeight="false" outlineLevel="0" collapsed="false">
      <c r="A214" s="0" t="s">
        <v>794</v>
      </c>
      <c r="B214" s="0" t="s">
        <v>793</v>
      </c>
      <c r="C214" s="0" t="s">
        <v>780</v>
      </c>
      <c r="D214" s="35" t="n">
        <f aca="false">In!D222</f>
        <v>956</v>
      </c>
      <c r="E214" s="35" t="n">
        <f aca="false">In!E222</f>
        <v>1195</v>
      </c>
      <c r="F214" s="35" t="n">
        <f aca="false">In!F222</f>
        <v>1434</v>
      </c>
      <c r="G214" s="0" t="str">
        <f aca="false">In!G222</f>
        <v>Derived</v>
      </c>
      <c r="H214" s="12" t="s">
        <v>3434</v>
      </c>
    </row>
    <row r="215" customFormat="false" ht="17.15" hidden="false" customHeight="false" outlineLevel="0" collapsed="false">
      <c r="A215" s="0" t="s">
        <v>797</v>
      </c>
      <c r="B215" s="0" t="s">
        <v>796</v>
      </c>
      <c r="C215" s="0" t="s">
        <v>780</v>
      </c>
      <c r="D215" s="35" t="n">
        <f aca="false">In!D223</f>
        <v>2099</v>
      </c>
      <c r="E215" s="35" t="n">
        <f aca="false">In!E223</f>
        <v>2624</v>
      </c>
      <c r="F215" s="35" t="n">
        <f aca="false">In!F223</f>
        <v>3149</v>
      </c>
      <c r="G215" s="0" t="str">
        <f aca="false">In!G223</f>
        <v>Derived</v>
      </c>
      <c r="H215" s="12" t="s">
        <v>3435</v>
      </c>
    </row>
    <row r="216" customFormat="false" ht="17.15" hidden="false" customHeight="false" outlineLevel="0" collapsed="false">
      <c r="A216" s="0" t="s">
        <v>801</v>
      </c>
      <c r="B216" s="0" t="s">
        <v>799</v>
      </c>
      <c r="C216" s="0" t="s">
        <v>780</v>
      </c>
      <c r="D216" s="35" t="n">
        <f aca="false">In!D224</f>
        <v>2334</v>
      </c>
      <c r="E216" s="35" t="n">
        <f aca="false">In!E224</f>
        <v>2917</v>
      </c>
      <c r="F216" s="35" t="n">
        <f aca="false">In!F224</f>
        <v>3500</v>
      </c>
      <c r="G216" s="0" t="str">
        <f aca="false">In!G224</f>
        <v>Derived</v>
      </c>
      <c r="H216" s="12" t="s">
        <v>3436</v>
      </c>
    </row>
    <row r="217" customFormat="false" ht="17.15" hidden="false" customHeight="false" outlineLevel="0" collapsed="false">
      <c r="A217" s="0" t="s">
        <v>804</v>
      </c>
      <c r="B217" s="0" t="s">
        <v>803</v>
      </c>
      <c r="C217" s="0" t="s">
        <v>780</v>
      </c>
      <c r="D217" s="35" t="n">
        <f aca="false">In!D225</f>
        <v>2334</v>
      </c>
      <c r="E217" s="35" t="n">
        <f aca="false">In!E225</f>
        <v>2917</v>
      </c>
      <c r="F217" s="35" t="n">
        <f aca="false">In!F225</f>
        <v>3500</v>
      </c>
      <c r="G217" s="0" t="str">
        <f aca="false">In!G225</f>
        <v>Derived</v>
      </c>
      <c r="H217" s="12" t="s">
        <v>3437</v>
      </c>
    </row>
    <row r="218" customFormat="false" ht="17.15" hidden="false" customHeight="false" outlineLevel="0" collapsed="false">
      <c r="A218" s="0" t="s">
        <v>807</v>
      </c>
      <c r="B218" s="0" t="s">
        <v>806</v>
      </c>
      <c r="C218" s="0" t="s">
        <v>780</v>
      </c>
      <c r="D218" s="35" t="n">
        <f aca="false">In!D226</f>
        <v>4201</v>
      </c>
      <c r="E218" s="35" t="n">
        <f aca="false">In!E226</f>
        <v>5251</v>
      </c>
      <c r="F218" s="35" t="n">
        <f aca="false">In!F226</f>
        <v>6301</v>
      </c>
      <c r="G218" s="0" t="str">
        <f aca="false">In!G226</f>
        <v>Derived</v>
      </c>
      <c r="H218" s="12" t="s">
        <v>3438</v>
      </c>
    </row>
    <row r="219" customFormat="false" ht="17.15" hidden="false" customHeight="false" outlineLevel="0" collapsed="false">
      <c r="A219" s="0" t="s">
        <v>810</v>
      </c>
      <c r="B219" s="0" t="s">
        <v>809</v>
      </c>
      <c r="C219" s="0" t="s">
        <v>780</v>
      </c>
      <c r="D219" s="35" t="n">
        <f aca="false">In!D227</f>
        <v>3267</v>
      </c>
      <c r="E219" s="35" t="n">
        <f aca="false">In!E227</f>
        <v>4084</v>
      </c>
      <c r="F219" s="35" t="n">
        <f aca="false">In!F227</f>
        <v>4901</v>
      </c>
      <c r="G219" s="0" t="str">
        <f aca="false">In!G227</f>
        <v>Derived</v>
      </c>
      <c r="H219" s="12" t="s">
        <v>3439</v>
      </c>
    </row>
    <row r="220" customFormat="false" ht="17.15" hidden="false" customHeight="false" outlineLevel="0" collapsed="false">
      <c r="A220" s="0" t="s">
        <v>813</v>
      </c>
      <c r="B220" s="0" t="s">
        <v>812</v>
      </c>
      <c r="C220" s="0" t="s">
        <v>780</v>
      </c>
      <c r="D220" s="35" t="n">
        <f aca="false">In!D228</f>
        <v>1867</v>
      </c>
      <c r="E220" s="35" t="n">
        <f aca="false">In!E228</f>
        <v>2334</v>
      </c>
      <c r="F220" s="35" t="n">
        <f aca="false">In!F228</f>
        <v>2801</v>
      </c>
      <c r="G220" s="0" t="str">
        <f aca="false">In!G228</f>
        <v>Derived</v>
      </c>
      <c r="H220" s="12" t="s">
        <v>3440</v>
      </c>
    </row>
    <row r="221" customFormat="false" ht="17.15" hidden="false" customHeight="false" outlineLevel="0" collapsed="false">
      <c r="A221" s="0" t="s">
        <v>816</v>
      </c>
      <c r="B221" s="0" t="s">
        <v>815</v>
      </c>
      <c r="C221" s="0" t="s">
        <v>780</v>
      </c>
      <c r="D221" s="35" t="n">
        <f aca="false">In!D229</f>
        <v>5600</v>
      </c>
      <c r="E221" s="35" t="n">
        <f aca="false">In!E229</f>
        <v>7000</v>
      </c>
      <c r="F221" s="35" t="n">
        <f aca="false">In!F229</f>
        <v>8400</v>
      </c>
      <c r="G221" s="0" t="str">
        <f aca="false">In!G229</f>
        <v>Derived</v>
      </c>
      <c r="H221" s="12" t="s">
        <v>3441</v>
      </c>
    </row>
    <row r="222" customFormat="false" ht="17.15" hidden="false" customHeight="false" outlineLevel="0" collapsed="false">
      <c r="A222" s="0" t="s">
        <v>820</v>
      </c>
      <c r="B222" s="0" t="s">
        <v>818</v>
      </c>
      <c r="C222" s="0" t="s">
        <v>780</v>
      </c>
      <c r="D222" s="35" t="n">
        <f aca="false">In!D230</f>
        <v>3500</v>
      </c>
      <c r="E222" s="35" t="n">
        <f aca="false">In!E230</f>
        <v>4375</v>
      </c>
      <c r="F222" s="35" t="n">
        <f aca="false">In!F230</f>
        <v>5250</v>
      </c>
      <c r="G222" s="0" t="str">
        <f aca="false">In!G230</f>
        <v>Assumed</v>
      </c>
      <c r="H222" s="12" t="s">
        <v>3442</v>
      </c>
    </row>
    <row r="223" customFormat="false" ht="17.15" hidden="false" customHeight="false" outlineLevel="0" collapsed="false">
      <c r="A223" s="0" t="s">
        <v>823</v>
      </c>
      <c r="B223" s="0" t="s">
        <v>822</v>
      </c>
      <c r="C223" s="0" t="s">
        <v>780</v>
      </c>
      <c r="D223" s="35" t="n">
        <f aca="false">In!D231</f>
        <v>3500</v>
      </c>
      <c r="E223" s="35" t="n">
        <f aca="false">In!E231</f>
        <v>4375</v>
      </c>
      <c r="F223" s="35" t="n">
        <f aca="false">In!F231</f>
        <v>5250</v>
      </c>
      <c r="G223" s="0" t="str">
        <f aca="false">In!G231</f>
        <v>Assumed</v>
      </c>
      <c r="H223" s="12" t="s">
        <v>3443</v>
      </c>
    </row>
    <row r="224" customFormat="false" ht="17.15" hidden="false" customHeight="false" outlineLevel="0" collapsed="false">
      <c r="A224" s="0" t="s">
        <v>826</v>
      </c>
      <c r="B224" s="0" t="s">
        <v>825</v>
      </c>
      <c r="C224" s="0" t="s">
        <v>780</v>
      </c>
      <c r="D224" s="35" t="n">
        <f aca="false">In!D232</f>
        <v>4201</v>
      </c>
      <c r="E224" s="35" t="n">
        <f aca="false">In!E232</f>
        <v>5251</v>
      </c>
      <c r="F224" s="35" t="n">
        <f aca="false">In!F232</f>
        <v>6301</v>
      </c>
      <c r="G224" s="0" t="str">
        <f aca="false">In!G232</f>
        <v>Assumed</v>
      </c>
      <c r="H224" s="12" t="s">
        <v>3444</v>
      </c>
    </row>
    <row r="225" customFormat="false" ht="17.15" hidden="false" customHeight="false" outlineLevel="0" collapsed="false">
      <c r="A225" s="0" t="s">
        <v>829</v>
      </c>
      <c r="B225" s="0" t="s">
        <v>828</v>
      </c>
      <c r="C225" s="0" t="s">
        <v>780</v>
      </c>
      <c r="D225" s="35" t="n">
        <f aca="false">In!D233</f>
        <v>3267</v>
      </c>
      <c r="E225" s="35" t="n">
        <f aca="false">In!E233</f>
        <v>4084</v>
      </c>
      <c r="F225" s="35" t="n">
        <f aca="false">In!F233</f>
        <v>4901</v>
      </c>
      <c r="G225" s="0" t="str">
        <f aca="false">In!G233</f>
        <v>Assumed</v>
      </c>
      <c r="H225" s="12" t="s">
        <v>3445</v>
      </c>
    </row>
    <row r="226" customFormat="false" ht="17.15" hidden="false" customHeight="false" outlineLevel="0" collapsed="false">
      <c r="A226" s="0" t="s">
        <v>832</v>
      </c>
      <c r="B226" s="0" t="s">
        <v>831</v>
      </c>
      <c r="C226" s="0" t="s">
        <v>780</v>
      </c>
      <c r="D226" s="35" t="n">
        <f aca="false">In!D234</f>
        <v>1867</v>
      </c>
      <c r="E226" s="35" t="n">
        <f aca="false">In!E234</f>
        <v>2334</v>
      </c>
      <c r="F226" s="35" t="n">
        <f aca="false">In!F234</f>
        <v>2801</v>
      </c>
      <c r="G226" s="0" t="str">
        <f aca="false">In!G234</f>
        <v>Assumed</v>
      </c>
      <c r="H226" s="12" t="s">
        <v>3446</v>
      </c>
    </row>
    <row r="227" customFormat="false" ht="17.15" hidden="false" customHeight="false" outlineLevel="0" collapsed="false">
      <c r="A227" s="0" t="s">
        <v>835</v>
      </c>
      <c r="B227" s="0" t="s">
        <v>834</v>
      </c>
      <c r="C227" s="0" t="s">
        <v>780</v>
      </c>
      <c r="D227" s="35" t="n">
        <f aca="false">In!D235</f>
        <v>5600</v>
      </c>
      <c r="E227" s="35" t="n">
        <f aca="false">In!E235</f>
        <v>7000</v>
      </c>
      <c r="F227" s="35" t="n">
        <f aca="false">In!F235</f>
        <v>8400</v>
      </c>
      <c r="G227" s="0" t="str">
        <f aca="false">In!G235</f>
        <v>Assumed</v>
      </c>
      <c r="H227" s="12" t="s">
        <v>3447</v>
      </c>
    </row>
    <row r="228" customFormat="false" ht="17.15" hidden="false" customHeight="false" outlineLevel="0" collapsed="false">
      <c r="A228" s="0" t="s">
        <v>839</v>
      </c>
      <c r="B228" s="0" t="s">
        <v>837</v>
      </c>
      <c r="C228" s="0" t="s">
        <v>780</v>
      </c>
      <c r="D228" s="35" t="n">
        <f aca="false">In!D236</f>
        <v>240</v>
      </c>
      <c r="E228" s="35" t="n">
        <f aca="false">In!E236</f>
        <v>300</v>
      </c>
      <c r="F228" s="35" t="n">
        <f aca="false">In!F236</f>
        <v>360</v>
      </c>
      <c r="G228" s="0" t="str">
        <f aca="false">In!G236</f>
        <v>Assumed</v>
      </c>
      <c r="H228" s="12" t="s">
        <v>3448</v>
      </c>
    </row>
    <row r="229" customFormat="false" ht="17.15" hidden="false" customHeight="false" outlineLevel="0" collapsed="false">
      <c r="A229" s="0" t="s">
        <v>842</v>
      </c>
      <c r="B229" s="0" t="s">
        <v>841</v>
      </c>
      <c r="C229" s="0" t="s">
        <v>780</v>
      </c>
      <c r="D229" s="35" t="n">
        <f aca="false">In!D237</f>
        <v>80</v>
      </c>
      <c r="E229" s="35" t="n">
        <f aca="false">In!E237</f>
        <v>100</v>
      </c>
      <c r="F229" s="35" t="n">
        <f aca="false">In!F237</f>
        <v>120</v>
      </c>
      <c r="G229" s="0" t="str">
        <f aca="false">In!G237</f>
        <v>Assumed</v>
      </c>
      <c r="H229" s="12" t="s">
        <v>3449</v>
      </c>
    </row>
    <row r="230" customFormat="false" ht="17.15" hidden="false" customHeight="false" outlineLevel="0" collapsed="false">
      <c r="A230" s="0" t="s">
        <v>845</v>
      </c>
      <c r="B230" s="0" t="s">
        <v>844</v>
      </c>
      <c r="C230" s="0" t="s">
        <v>780</v>
      </c>
      <c r="D230" s="35" t="n">
        <f aca="false">In!D238</f>
        <v>2016</v>
      </c>
      <c r="E230" s="35" t="n">
        <f aca="false">In!E238</f>
        <v>2520</v>
      </c>
      <c r="F230" s="35" t="n">
        <f aca="false">In!F238</f>
        <v>3024</v>
      </c>
      <c r="G230" s="0" t="str">
        <f aca="false">In!G238</f>
        <v>Assumed</v>
      </c>
      <c r="H230" s="12" t="s">
        <v>3450</v>
      </c>
    </row>
    <row r="231" customFormat="false" ht="17.15" hidden="false" customHeight="false" outlineLevel="0" collapsed="false">
      <c r="A231" s="0" t="s">
        <v>848</v>
      </c>
      <c r="B231" s="0" t="s">
        <v>847</v>
      </c>
      <c r="C231" s="0" t="s">
        <v>780</v>
      </c>
      <c r="D231" s="35" t="n">
        <f aca="false">In!D239</f>
        <v>1568</v>
      </c>
      <c r="E231" s="35" t="n">
        <f aca="false">In!E239</f>
        <v>1960</v>
      </c>
      <c r="F231" s="35" t="n">
        <f aca="false">In!F239</f>
        <v>2352</v>
      </c>
      <c r="G231" s="0" t="str">
        <f aca="false">In!G239</f>
        <v>Assumed</v>
      </c>
      <c r="H231" s="12" t="s">
        <v>3451</v>
      </c>
    </row>
    <row r="232" customFormat="false" ht="17.15" hidden="false" customHeight="false" outlineLevel="0" collapsed="false">
      <c r="A232" s="0" t="s">
        <v>851</v>
      </c>
      <c r="B232" s="0" t="s">
        <v>850</v>
      </c>
      <c r="C232" s="0" t="s">
        <v>780</v>
      </c>
      <c r="D232" s="35" t="n">
        <f aca="false">In!D240</f>
        <v>896</v>
      </c>
      <c r="E232" s="35" t="n">
        <f aca="false">In!E240</f>
        <v>1120</v>
      </c>
      <c r="F232" s="35" t="n">
        <f aca="false">In!F240</f>
        <v>1344</v>
      </c>
      <c r="G232" s="0" t="str">
        <f aca="false">In!G240</f>
        <v>Assumed</v>
      </c>
      <c r="H232" s="12" t="s">
        <v>3452</v>
      </c>
    </row>
    <row r="233" customFormat="false" ht="17.15" hidden="false" customHeight="false" outlineLevel="0" collapsed="false">
      <c r="A233" s="0" t="s">
        <v>854</v>
      </c>
      <c r="B233" s="0" t="s">
        <v>853</v>
      </c>
      <c r="C233" s="0" t="s">
        <v>780</v>
      </c>
      <c r="D233" s="35" t="n">
        <f aca="false">In!D241</f>
        <v>1600</v>
      </c>
      <c r="E233" s="35" t="n">
        <f aca="false">In!E241</f>
        <v>2000</v>
      </c>
      <c r="F233" s="35" t="n">
        <f aca="false">In!F241</f>
        <v>2400</v>
      </c>
      <c r="G233" s="0" t="str">
        <f aca="false">In!G241</f>
        <v>Assumed</v>
      </c>
      <c r="H233" s="12" t="s">
        <v>3453</v>
      </c>
    </row>
    <row r="234" customFormat="false" ht="17.15" hidden="false" customHeight="false" outlineLevel="0" collapsed="false">
      <c r="A234" s="0" t="s">
        <v>859</v>
      </c>
      <c r="B234" s="0" t="s">
        <v>856</v>
      </c>
      <c r="C234" s="0" t="s">
        <v>780</v>
      </c>
      <c r="D234" s="35" t="n">
        <f aca="false">In!D242</f>
        <v>240</v>
      </c>
      <c r="E234" s="35" t="n">
        <f aca="false">In!E242</f>
        <v>300</v>
      </c>
      <c r="F234" s="35" t="n">
        <f aca="false">In!F242</f>
        <v>360</v>
      </c>
      <c r="G234" s="0" t="str">
        <f aca="false">In!G242</f>
        <v>Analogy</v>
      </c>
      <c r="H234" s="12" t="s">
        <v>3454</v>
      </c>
    </row>
    <row r="235" customFormat="false" ht="17.15" hidden="false" customHeight="false" outlineLevel="0" collapsed="false">
      <c r="A235" s="0" t="s">
        <v>862</v>
      </c>
      <c r="B235" s="0" t="s">
        <v>861</v>
      </c>
      <c r="C235" s="0" t="s">
        <v>780</v>
      </c>
      <c r="D235" s="35" t="n">
        <f aca="false">In!D243</f>
        <v>80</v>
      </c>
      <c r="E235" s="35" t="n">
        <f aca="false">In!E243</f>
        <v>100</v>
      </c>
      <c r="F235" s="35" t="n">
        <f aca="false">In!F243</f>
        <v>120</v>
      </c>
      <c r="G235" s="0" t="str">
        <f aca="false">In!G243</f>
        <v>Analogy</v>
      </c>
      <c r="H235" s="12" t="s">
        <v>3455</v>
      </c>
    </row>
    <row r="236" customFormat="false" ht="17.15" hidden="false" customHeight="false" outlineLevel="0" collapsed="false">
      <c r="A236" s="0" t="s">
        <v>865</v>
      </c>
      <c r="B236" s="0" t="s">
        <v>864</v>
      </c>
      <c r="C236" s="0" t="s">
        <v>780</v>
      </c>
      <c r="D236" s="35" t="n">
        <f aca="false">In!D244</f>
        <v>2016</v>
      </c>
      <c r="E236" s="35" t="n">
        <f aca="false">In!E244</f>
        <v>2520</v>
      </c>
      <c r="F236" s="35" t="n">
        <f aca="false">In!F244</f>
        <v>3024</v>
      </c>
      <c r="G236" s="0" t="str">
        <f aca="false">In!G244</f>
        <v>Analogy</v>
      </c>
      <c r="H236" s="12" t="s">
        <v>3456</v>
      </c>
    </row>
    <row r="237" customFormat="false" ht="17.15" hidden="false" customHeight="false" outlineLevel="0" collapsed="false">
      <c r="A237" s="0" t="s">
        <v>868</v>
      </c>
      <c r="B237" s="0" t="s">
        <v>867</v>
      </c>
      <c r="C237" s="0" t="s">
        <v>780</v>
      </c>
      <c r="D237" s="35" t="n">
        <f aca="false">In!D245</f>
        <v>1568</v>
      </c>
      <c r="E237" s="35" t="n">
        <f aca="false">In!E245</f>
        <v>1960</v>
      </c>
      <c r="F237" s="35" t="n">
        <f aca="false">In!F245</f>
        <v>2352</v>
      </c>
      <c r="G237" s="0" t="str">
        <f aca="false">In!G245</f>
        <v>Analogy</v>
      </c>
      <c r="H237" s="12" t="s">
        <v>3457</v>
      </c>
    </row>
    <row r="238" customFormat="false" ht="17.15" hidden="false" customHeight="false" outlineLevel="0" collapsed="false">
      <c r="A238" s="0" t="s">
        <v>871</v>
      </c>
      <c r="B238" s="0" t="s">
        <v>870</v>
      </c>
      <c r="C238" s="0" t="s">
        <v>780</v>
      </c>
      <c r="D238" s="35" t="n">
        <f aca="false">In!D246</f>
        <v>896</v>
      </c>
      <c r="E238" s="35" t="n">
        <f aca="false">In!E246</f>
        <v>1120</v>
      </c>
      <c r="F238" s="35" t="n">
        <f aca="false">In!F246</f>
        <v>1344</v>
      </c>
      <c r="G238" s="0" t="str">
        <f aca="false">In!G246</f>
        <v>Analogy</v>
      </c>
      <c r="H238" s="12" t="s">
        <v>3458</v>
      </c>
    </row>
    <row r="239" customFormat="false" ht="17.15" hidden="false" customHeight="false" outlineLevel="0" collapsed="false">
      <c r="A239" s="0" t="s">
        <v>874</v>
      </c>
      <c r="B239" s="0" t="s">
        <v>873</v>
      </c>
      <c r="C239" s="0" t="s">
        <v>780</v>
      </c>
      <c r="D239" s="35" t="n">
        <f aca="false">In!D247</f>
        <v>1600</v>
      </c>
      <c r="E239" s="35" t="n">
        <f aca="false">In!E247</f>
        <v>2000</v>
      </c>
      <c r="F239" s="35" t="n">
        <f aca="false">In!F247</f>
        <v>2400</v>
      </c>
      <c r="G239" s="0" t="str">
        <f aca="false">In!G247</f>
        <v>Analogy</v>
      </c>
      <c r="H239" s="12" t="s">
        <v>3459</v>
      </c>
    </row>
    <row r="240" customFormat="false" ht="17.15" hidden="false" customHeight="false" outlineLevel="0" collapsed="false">
      <c r="A240" s="0" t="s">
        <v>878</v>
      </c>
      <c r="B240" s="0" t="s">
        <v>876</v>
      </c>
      <c r="C240" s="0" t="s">
        <v>780</v>
      </c>
      <c r="D240" s="35" t="n">
        <f aca="false">In!D248</f>
        <v>1867</v>
      </c>
      <c r="E240" s="35" t="n">
        <f aca="false">In!E248</f>
        <v>2334</v>
      </c>
      <c r="F240" s="35" t="n">
        <f aca="false">In!F248</f>
        <v>2801</v>
      </c>
      <c r="G240" s="0" t="str">
        <f aca="false">In!G248</f>
        <v>Analogy</v>
      </c>
      <c r="H240" s="12" t="s">
        <v>3460</v>
      </c>
    </row>
    <row r="241" customFormat="false" ht="17.15" hidden="false" customHeight="false" outlineLevel="0" collapsed="false">
      <c r="A241" s="0" t="s">
        <v>881</v>
      </c>
      <c r="B241" s="0" t="s">
        <v>880</v>
      </c>
      <c r="C241" s="0" t="s">
        <v>780</v>
      </c>
      <c r="D241" s="35" t="n">
        <f aca="false">In!D249</f>
        <v>1867</v>
      </c>
      <c r="E241" s="35" t="n">
        <f aca="false">In!E249</f>
        <v>2334</v>
      </c>
      <c r="F241" s="35" t="n">
        <f aca="false">In!F249</f>
        <v>2801</v>
      </c>
      <c r="G241" s="0" t="str">
        <f aca="false">In!G249</f>
        <v>Analogy</v>
      </c>
      <c r="H241" s="12" t="s">
        <v>3461</v>
      </c>
    </row>
    <row r="242" customFormat="false" ht="17.15" hidden="false" customHeight="false" outlineLevel="0" collapsed="false">
      <c r="A242" s="0" t="s">
        <v>884</v>
      </c>
      <c r="B242" s="0" t="s">
        <v>883</v>
      </c>
      <c r="C242" s="0" t="s">
        <v>780</v>
      </c>
      <c r="D242" s="35" t="n">
        <f aca="false">In!D250</f>
        <v>3361</v>
      </c>
      <c r="E242" s="35" t="n">
        <f aca="false">In!E250</f>
        <v>4201</v>
      </c>
      <c r="F242" s="35" t="n">
        <f aca="false">In!F250</f>
        <v>5041</v>
      </c>
      <c r="G242" s="0" t="str">
        <f aca="false">In!G250</f>
        <v>Analogy</v>
      </c>
      <c r="H242" s="12" t="s">
        <v>3462</v>
      </c>
    </row>
    <row r="243" customFormat="false" ht="17.15" hidden="false" customHeight="false" outlineLevel="0" collapsed="false">
      <c r="A243" s="0" t="s">
        <v>887</v>
      </c>
      <c r="B243" s="0" t="s">
        <v>886</v>
      </c>
      <c r="C243" s="0" t="s">
        <v>780</v>
      </c>
      <c r="D243" s="35" t="n">
        <f aca="false">In!D251</f>
        <v>2614</v>
      </c>
      <c r="E243" s="35" t="n">
        <f aca="false">In!E251</f>
        <v>3267</v>
      </c>
      <c r="F243" s="35" t="n">
        <f aca="false">In!F251</f>
        <v>3920</v>
      </c>
      <c r="G243" s="0" t="str">
        <f aca="false">In!G251</f>
        <v>Analogy</v>
      </c>
      <c r="H243" s="12" t="s">
        <v>3463</v>
      </c>
    </row>
    <row r="244" customFormat="false" ht="17.15" hidden="false" customHeight="false" outlineLevel="0" collapsed="false">
      <c r="A244" s="0" t="s">
        <v>890</v>
      </c>
      <c r="B244" s="0" t="s">
        <v>889</v>
      </c>
      <c r="C244" s="0" t="s">
        <v>780</v>
      </c>
      <c r="D244" s="35" t="n">
        <f aca="false">In!D252</f>
        <v>1494</v>
      </c>
      <c r="E244" s="35" t="n">
        <f aca="false">In!E252</f>
        <v>1867</v>
      </c>
      <c r="F244" s="35" t="n">
        <f aca="false">In!F252</f>
        <v>2240</v>
      </c>
      <c r="G244" s="0" t="str">
        <f aca="false">In!G252</f>
        <v>Analogy</v>
      </c>
      <c r="H244" s="12" t="s">
        <v>3464</v>
      </c>
    </row>
    <row r="245" customFormat="false" ht="17.15" hidden="false" customHeight="false" outlineLevel="0" collapsed="false">
      <c r="A245" s="0" t="s">
        <v>893</v>
      </c>
      <c r="B245" s="0" t="s">
        <v>892</v>
      </c>
      <c r="C245" s="0" t="s">
        <v>780</v>
      </c>
      <c r="D245" s="35" t="n">
        <f aca="false">In!D253</f>
        <v>4480</v>
      </c>
      <c r="E245" s="35" t="n">
        <f aca="false">In!E253</f>
        <v>5600</v>
      </c>
      <c r="F245" s="35" t="n">
        <f aca="false">In!F253</f>
        <v>6720</v>
      </c>
      <c r="G245" s="0" t="str">
        <f aca="false">In!G253</f>
        <v>Analogy</v>
      </c>
      <c r="H245" s="12" t="s">
        <v>3465</v>
      </c>
    </row>
    <row r="246" customFormat="false" ht="17.15" hidden="false" customHeight="false" outlineLevel="0" collapsed="false">
      <c r="A246" s="0" t="s">
        <v>897</v>
      </c>
      <c r="B246" s="0" t="s">
        <v>895</v>
      </c>
      <c r="C246" s="0" t="s">
        <v>780</v>
      </c>
      <c r="D246" s="35" t="n">
        <f aca="false">In!D254</f>
        <v>640</v>
      </c>
      <c r="E246" s="35" t="n">
        <f aca="false">In!E254</f>
        <v>800</v>
      </c>
      <c r="F246" s="35" t="n">
        <f aca="false">In!F254</f>
        <v>960</v>
      </c>
      <c r="G246" s="0" t="str">
        <f aca="false">In!G254</f>
        <v>Assumed</v>
      </c>
      <c r="H246" s="12" t="s">
        <v>3466</v>
      </c>
    </row>
    <row r="247" customFormat="false" ht="17.15" hidden="false" customHeight="false" outlineLevel="0" collapsed="false">
      <c r="A247" s="0" t="s">
        <v>900</v>
      </c>
      <c r="B247" s="0" t="s">
        <v>899</v>
      </c>
      <c r="C247" s="0" t="s">
        <v>780</v>
      </c>
      <c r="D247" s="35" t="n">
        <f aca="false">In!D255</f>
        <v>960</v>
      </c>
      <c r="E247" s="35" t="n">
        <f aca="false">In!E255</f>
        <v>1200</v>
      </c>
      <c r="F247" s="35" t="n">
        <f aca="false">In!F255</f>
        <v>1440</v>
      </c>
      <c r="G247" s="0" t="str">
        <f aca="false">In!G255</f>
        <v>Assumed</v>
      </c>
      <c r="H247" s="12" t="s">
        <v>3467</v>
      </c>
    </row>
    <row r="248" customFormat="false" ht="17.15" hidden="false" customHeight="false" outlineLevel="0" collapsed="false">
      <c r="A248" s="0" t="s">
        <v>903</v>
      </c>
      <c r="B248" s="0" t="s">
        <v>902</v>
      </c>
      <c r="C248" s="0" t="s">
        <v>780</v>
      </c>
      <c r="D248" s="35" t="n">
        <f aca="false">In!D256</f>
        <v>640</v>
      </c>
      <c r="E248" s="35" t="n">
        <f aca="false">In!E256</f>
        <v>800</v>
      </c>
      <c r="F248" s="35" t="n">
        <f aca="false">In!F256</f>
        <v>960</v>
      </c>
      <c r="G248" s="0" t="str">
        <f aca="false">In!G256</f>
        <v>Assumed</v>
      </c>
      <c r="H248" s="12" t="s">
        <v>3468</v>
      </c>
    </row>
    <row r="249" customFormat="false" ht="17.15" hidden="false" customHeight="false" outlineLevel="0" collapsed="false">
      <c r="A249" s="0" t="s">
        <v>906</v>
      </c>
      <c r="B249" s="0" t="s">
        <v>905</v>
      </c>
      <c r="C249" s="0" t="s">
        <v>780</v>
      </c>
      <c r="D249" s="35" t="n">
        <f aca="false">In!D257</f>
        <v>1200</v>
      </c>
      <c r="E249" s="35" t="n">
        <f aca="false">In!E257</f>
        <v>1500</v>
      </c>
      <c r="F249" s="35" t="n">
        <f aca="false">In!F257</f>
        <v>1800</v>
      </c>
      <c r="G249" s="0" t="str">
        <f aca="false">In!G257</f>
        <v>Assumed</v>
      </c>
      <c r="H249" s="12" t="s">
        <v>3469</v>
      </c>
    </row>
    <row r="250" customFormat="false" ht="17.15" hidden="false" customHeight="false" outlineLevel="0" collapsed="false">
      <c r="A250" s="0" t="s">
        <v>909</v>
      </c>
      <c r="B250" s="0" t="s">
        <v>908</v>
      </c>
      <c r="C250" s="0" t="s">
        <v>780</v>
      </c>
      <c r="D250" s="35" t="n">
        <f aca="false">In!D258</f>
        <v>240</v>
      </c>
      <c r="E250" s="35" t="n">
        <f aca="false">In!E258</f>
        <v>300</v>
      </c>
      <c r="F250" s="35" t="n">
        <f aca="false">In!F258</f>
        <v>360</v>
      </c>
      <c r="G250" s="0" t="str">
        <f aca="false">In!G258</f>
        <v>Assumed</v>
      </c>
      <c r="H250" s="12" t="s">
        <v>3470</v>
      </c>
    </row>
    <row r="251" customFormat="false" ht="17.15" hidden="false" customHeight="false" outlineLevel="0" collapsed="false">
      <c r="A251" s="0" t="s">
        <v>912</v>
      </c>
      <c r="B251" s="0" t="s">
        <v>911</v>
      </c>
      <c r="C251" s="0" t="s">
        <v>780</v>
      </c>
      <c r="D251" s="35" t="n">
        <f aca="false">In!D259</f>
        <v>320</v>
      </c>
      <c r="E251" s="35" t="n">
        <f aca="false">In!E259</f>
        <v>400</v>
      </c>
      <c r="F251" s="35" t="n">
        <f aca="false">In!F259</f>
        <v>480</v>
      </c>
      <c r="G251" s="0" t="str">
        <f aca="false">In!G259</f>
        <v>Assumed</v>
      </c>
      <c r="H251" s="12" t="s">
        <v>3471</v>
      </c>
    </row>
    <row r="252" customFormat="false" ht="17.15" hidden="false" customHeight="false" outlineLevel="0" collapsed="false">
      <c r="A252" s="0" t="s">
        <v>916</v>
      </c>
      <c r="B252" s="0" t="s">
        <v>914</v>
      </c>
      <c r="C252" s="0" t="s">
        <v>780</v>
      </c>
      <c r="D252" s="35" t="n">
        <f aca="false">In!D260</f>
        <v>480</v>
      </c>
      <c r="E252" s="35" t="n">
        <f aca="false">In!E260</f>
        <v>600</v>
      </c>
      <c r="F252" s="35" t="n">
        <f aca="false">In!F260</f>
        <v>720</v>
      </c>
      <c r="G252" s="0" t="str">
        <f aca="false">In!G260</f>
        <v>Assumed</v>
      </c>
      <c r="H252" s="12" t="s">
        <v>3472</v>
      </c>
    </row>
    <row r="253" customFormat="false" ht="17.15" hidden="false" customHeight="false" outlineLevel="0" collapsed="false">
      <c r="A253" s="0" t="s">
        <v>919</v>
      </c>
      <c r="B253" s="0" t="s">
        <v>918</v>
      </c>
      <c r="C253" s="0" t="s">
        <v>780</v>
      </c>
      <c r="D253" s="35" t="n">
        <f aca="false">In!D261</f>
        <v>640</v>
      </c>
      <c r="E253" s="35" t="n">
        <f aca="false">In!E261</f>
        <v>800</v>
      </c>
      <c r="F253" s="35" t="n">
        <f aca="false">In!F261</f>
        <v>960</v>
      </c>
      <c r="G253" s="0" t="str">
        <f aca="false">In!G261</f>
        <v>Assumed</v>
      </c>
      <c r="H253" s="12" t="s">
        <v>3473</v>
      </c>
    </row>
    <row r="254" customFormat="false" ht="17.15" hidden="false" customHeight="false" outlineLevel="0" collapsed="false">
      <c r="A254" s="0" t="s">
        <v>922</v>
      </c>
      <c r="B254" s="0" t="s">
        <v>921</v>
      </c>
      <c r="C254" s="0" t="s">
        <v>780</v>
      </c>
      <c r="D254" s="35" t="n">
        <f aca="false">In!D262</f>
        <v>640</v>
      </c>
      <c r="E254" s="35" t="n">
        <f aca="false">In!E262</f>
        <v>800</v>
      </c>
      <c r="F254" s="35" t="n">
        <f aca="false">In!F262</f>
        <v>960</v>
      </c>
      <c r="G254" s="0" t="str">
        <f aca="false">In!G262</f>
        <v>Assumed</v>
      </c>
      <c r="H254" s="12" t="s">
        <v>3474</v>
      </c>
    </row>
    <row r="255" customFormat="false" ht="17.15" hidden="false" customHeight="false" outlineLevel="0" collapsed="false">
      <c r="A255" s="0" t="s">
        <v>925</v>
      </c>
      <c r="B255" s="0" t="s">
        <v>924</v>
      </c>
      <c r="C255" s="0" t="s">
        <v>780</v>
      </c>
      <c r="D255" s="35" t="n">
        <f aca="false">In!D263</f>
        <v>960</v>
      </c>
      <c r="E255" s="35" t="n">
        <f aca="false">In!E263</f>
        <v>1200</v>
      </c>
      <c r="F255" s="35" t="n">
        <f aca="false">In!F263</f>
        <v>1440</v>
      </c>
      <c r="G255" s="0" t="str">
        <f aca="false">In!G263</f>
        <v>Assumed</v>
      </c>
      <c r="H255" s="12" t="s">
        <v>3475</v>
      </c>
    </row>
    <row r="256" customFormat="false" ht="17.15" hidden="false" customHeight="false" outlineLevel="0" collapsed="false">
      <c r="A256" s="0" t="s">
        <v>928</v>
      </c>
      <c r="B256" s="0" t="s">
        <v>927</v>
      </c>
      <c r="C256" s="0" t="s">
        <v>780</v>
      </c>
      <c r="D256" s="35" t="n">
        <f aca="false">In!D264</f>
        <v>240</v>
      </c>
      <c r="E256" s="35" t="n">
        <f aca="false">In!E264</f>
        <v>300</v>
      </c>
      <c r="F256" s="35" t="n">
        <f aca="false">In!F264</f>
        <v>360</v>
      </c>
      <c r="G256" s="0" t="str">
        <f aca="false">In!G264</f>
        <v>Assumed</v>
      </c>
      <c r="H256" s="12" t="s">
        <v>3476</v>
      </c>
    </row>
    <row r="257" customFormat="false" ht="17.15" hidden="false" customHeight="false" outlineLevel="0" collapsed="false">
      <c r="A257" s="0" t="s">
        <v>931</v>
      </c>
      <c r="B257" s="0" t="s">
        <v>930</v>
      </c>
      <c r="C257" s="0" t="s">
        <v>780</v>
      </c>
      <c r="D257" s="35" t="n">
        <f aca="false">In!D265</f>
        <v>240</v>
      </c>
      <c r="E257" s="35" t="n">
        <f aca="false">In!E265</f>
        <v>300</v>
      </c>
      <c r="F257" s="35" t="n">
        <f aca="false">In!F265</f>
        <v>360</v>
      </c>
      <c r="G257" s="0" t="str">
        <f aca="false">In!G265</f>
        <v>Assumed</v>
      </c>
      <c r="H257" s="12" t="s">
        <v>3477</v>
      </c>
    </row>
    <row r="258" customFormat="false" ht="17.15" hidden="false" customHeight="false" outlineLevel="0" collapsed="false">
      <c r="A258" s="0" t="s">
        <v>935</v>
      </c>
      <c r="B258" s="6" t="s">
        <v>933</v>
      </c>
      <c r="C258" s="0" t="s">
        <v>780</v>
      </c>
      <c r="D258" s="35" t="n">
        <f aca="false">In!D266</f>
        <v>480</v>
      </c>
      <c r="E258" s="35" t="n">
        <f aca="false">In!E266</f>
        <v>600</v>
      </c>
      <c r="F258" s="35" t="n">
        <f aca="false">In!F266</f>
        <v>720</v>
      </c>
      <c r="G258" s="0" t="str">
        <f aca="false">In!G266</f>
        <v>Assumed</v>
      </c>
      <c r="H258" s="12" t="s">
        <v>3478</v>
      </c>
    </row>
    <row r="259" customFormat="false" ht="17.15" hidden="false" customHeight="false" outlineLevel="0" collapsed="false">
      <c r="A259" s="0" t="s">
        <v>938</v>
      </c>
      <c r="B259" s="6" t="s">
        <v>937</v>
      </c>
      <c r="C259" s="0" t="s">
        <v>780</v>
      </c>
      <c r="D259" s="35" t="n">
        <f aca="false">In!D267</f>
        <v>640</v>
      </c>
      <c r="E259" s="35" t="n">
        <f aca="false">In!E267</f>
        <v>800</v>
      </c>
      <c r="F259" s="35" t="n">
        <f aca="false">In!F267</f>
        <v>960</v>
      </c>
      <c r="G259" s="0" t="str">
        <f aca="false">In!G267</f>
        <v>Assumed</v>
      </c>
      <c r="H259" s="12" t="s">
        <v>3479</v>
      </c>
    </row>
    <row r="260" customFormat="false" ht="17.15" hidden="false" customHeight="false" outlineLevel="0" collapsed="false">
      <c r="A260" s="0" t="s">
        <v>941</v>
      </c>
      <c r="B260" s="6" t="s">
        <v>940</v>
      </c>
      <c r="C260" s="0" t="s">
        <v>780</v>
      </c>
      <c r="D260" s="35" t="n">
        <f aca="false">In!D268</f>
        <v>640</v>
      </c>
      <c r="E260" s="35" t="n">
        <f aca="false">In!E268</f>
        <v>800</v>
      </c>
      <c r="F260" s="35" t="n">
        <f aca="false">In!F268</f>
        <v>960</v>
      </c>
      <c r="G260" s="0" t="str">
        <f aca="false">In!G268</f>
        <v>Assumed</v>
      </c>
      <c r="H260" s="12" t="s">
        <v>3480</v>
      </c>
    </row>
    <row r="261" customFormat="false" ht="17.15" hidden="false" customHeight="false" outlineLevel="0" collapsed="false">
      <c r="A261" s="0" t="s">
        <v>944</v>
      </c>
      <c r="B261" s="6" t="s">
        <v>943</v>
      </c>
      <c r="C261" s="0" t="s">
        <v>780</v>
      </c>
      <c r="D261" s="35" t="n">
        <f aca="false">In!D269</f>
        <v>960</v>
      </c>
      <c r="E261" s="35" t="n">
        <f aca="false">In!E269</f>
        <v>1200</v>
      </c>
      <c r="F261" s="35" t="n">
        <f aca="false">In!F269</f>
        <v>1440</v>
      </c>
      <c r="G261" s="0" t="str">
        <f aca="false">In!G269</f>
        <v>Assumed</v>
      </c>
      <c r="H261" s="12" t="s">
        <v>3481</v>
      </c>
    </row>
    <row r="262" customFormat="false" ht="17.15" hidden="false" customHeight="false" outlineLevel="0" collapsed="false">
      <c r="A262" s="0" t="s">
        <v>947</v>
      </c>
      <c r="B262" s="6" t="s">
        <v>946</v>
      </c>
      <c r="C262" s="0" t="s">
        <v>780</v>
      </c>
      <c r="D262" s="35" t="n">
        <f aca="false">In!D270</f>
        <v>240</v>
      </c>
      <c r="E262" s="35" t="n">
        <f aca="false">In!E270</f>
        <v>300</v>
      </c>
      <c r="F262" s="35" t="n">
        <f aca="false">In!F270</f>
        <v>360</v>
      </c>
      <c r="G262" s="0" t="str">
        <f aca="false">In!G270</f>
        <v>Assumed</v>
      </c>
      <c r="H262" s="12" t="s">
        <v>3482</v>
      </c>
    </row>
    <row r="263" customFormat="false" ht="17.15" hidden="false" customHeight="false" outlineLevel="0" collapsed="false">
      <c r="A263" s="0" t="s">
        <v>950</v>
      </c>
      <c r="B263" s="6" t="s">
        <v>949</v>
      </c>
      <c r="C263" s="0" t="s">
        <v>780</v>
      </c>
      <c r="D263" s="35" t="n">
        <f aca="false">In!D271</f>
        <v>240</v>
      </c>
      <c r="E263" s="35" t="n">
        <f aca="false">In!E271</f>
        <v>300</v>
      </c>
      <c r="F263" s="35" t="n">
        <f aca="false">In!F271</f>
        <v>360</v>
      </c>
      <c r="G263" s="0" t="str">
        <f aca="false">In!G271</f>
        <v>Assumed</v>
      </c>
      <c r="H263" s="12" t="s">
        <v>3483</v>
      </c>
    </row>
    <row r="264" customFormat="false" ht="17.15" hidden="false" customHeight="false" outlineLevel="0" collapsed="false">
      <c r="A264" s="0" t="s">
        <v>956</v>
      </c>
      <c r="B264" s="0" t="s">
        <v>953</v>
      </c>
      <c r="C264" s="0" t="s">
        <v>954</v>
      </c>
      <c r="E264" s="35" t="n">
        <f aca="false">In!E273</f>
        <v>66.1944444444444</v>
      </c>
      <c r="G264" s="0" t="str">
        <f aca="false">In!G273</f>
        <v>Derived</v>
      </c>
      <c r="H264" s="12" t="s">
        <v>3484</v>
      </c>
    </row>
    <row r="265" customFormat="false" ht="17.15" hidden="false" customHeight="false" outlineLevel="0" collapsed="false">
      <c r="A265" s="0" t="s">
        <v>960</v>
      </c>
      <c r="B265" s="0" t="s">
        <v>958</v>
      </c>
      <c r="C265" s="0" t="s">
        <v>954</v>
      </c>
      <c r="E265" s="35" t="n">
        <f aca="false">In!E274</f>
        <v>128.833333333333</v>
      </c>
      <c r="G265" s="0" t="str">
        <f aca="false">In!G274</f>
        <v>Derived</v>
      </c>
      <c r="H265" s="12" t="s">
        <v>3485</v>
      </c>
    </row>
    <row r="266" customFormat="false" ht="17.15" hidden="false" customHeight="false" outlineLevel="0" collapsed="false">
      <c r="A266" s="0" t="s">
        <v>964</v>
      </c>
      <c r="B266" s="0" t="s">
        <v>962</v>
      </c>
      <c r="C266" s="0" t="s">
        <v>954</v>
      </c>
      <c r="E266" s="35" t="n">
        <f aca="false">In!E275</f>
        <v>257.166666666667</v>
      </c>
      <c r="G266" s="0" t="str">
        <f aca="false">In!G275</f>
        <v>Derived</v>
      </c>
      <c r="H266" s="12" t="s">
        <v>3486</v>
      </c>
    </row>
    <row r="267" customFormat="false" ht="17.15" hidden="false" customHeight="false" outlineLevel="0" collapsed="false">
      <c r="A267" s="0" t="s">
        <v>968</v>
      </c>
      <c r="B267" s="0" t="s">
        <v>966</v>
      </c>
      <c r="C267" s="0" t="s">
        <v>954</v>
      </c>
      <c r="E267" s="35" t="n">
        <f aca="false">In!E276</f>
        <v>38.3125</v>
      </c>
      <c r="G267" s="0" t="str">
        <f aca="false">In!G276</f>
        <v>Derived</v>
      </c>
      <c r="H267" s="12" t="s">
        <v>3487</v>
      </c>
    </row>
    <row r="268" customFormat="false" ht="17.15" hidden="false" customHeight="false" outlineLevel="0" collapsed="false">
      <c r="A268" s="0" t="s">
        <v>972</v>
      </c>
      <c r="B268" s="0" t="s">
        <v>970</v>
      </c>
      <c r="C268" s="0" t="s">
        <v>954</v>
      </c>
      <c r="D268" s="35" t="n">
        <f aca="false">In!D277</f>
        <v>30</v>
      </c>
      <c r="E268" s="35" t="n">
        <f aca="false">In!E277</f>
        <v>40</v>
      </c>
      <c r="F268" s="35" t="n">
        <f aca="false">In!F277</f>
        <v>50</v>
      </c>
      <c r="G268" s="0" t="str">
        <f aca="false">In!G277</f>
        <v>Assumed</v>
      </c>
      <c r="H268" s="12" t="s">
        <v>3488</v>
      </c>
    </row>
    <row r="269" customFormat="false" ht="17.15" hidden="false" customHeight="false" outlineLevel="0" collapsed="false">
      <c r="A269" s="0" t="s">
        <v>976</v>
      </c>
      <c r="B269" s="0" t="s">
        <v>974</v>
      </c>
      <c r="C269" s="0" t="s">
        <v>954</v>
      </c>
      <c r="D269" s="35" t="n">
        <f aca="false">In!D278</f>
        <v>80</v>
      </c>
      <c r="E269" s="35" t="n">
        <f aca="false">In!E278</f>
        <v>100</v>
      </c>
      <c r="F269" s="35" t="n">
        <f aca="false">In!F278</f>
        <v>120</v>
      </c>
      <c r="G269" s="0" t="str">
        <f aca="false">In!G278</f>
        <v>Assumed</v>
      </c>
      <c r="H269" s="12" t="s">
        <v>3489</v>
      </c>
    </row>
    <row r="270" customFormat="false" ht="17.15" hidden="false" customHeight="false" outlineLevel="0" collapsed="false">
      <c r="A270" s="0" t="s">
        <v>980</v>
      </c>
      <c r="B270" s="0" t="s">
        <v>978</v>
      </c>
      <c r="C270" s="0" t="s">
        <v>954</v>
      </c>
      <c r="D270" s="35" t="n">
        <f aca="false">In!D279</f>
        <v>15</v>
      </c>
      <c r="E270" s="35" t="n">
        <f aca="false">In!E279</f>
        <v>25</v>
      </c>
      <c r="F270" s="35" t="n">
        <f aca="false">In!F279</f>
        <v>35</v>
      </c>
      <c r="G270" s="0" t="str">
        <f aca="false">In!G279</f>
        <v>Assumed</v>
      </c>
      <c r="H270" s="12" t="s">
        <v>3490</v>
      </c>
    </row>
    <row r="271" customFormat="false" ht="17.15" hidden="false" customHeight="false" outlineLevel="0" collapsed="false">
      <c r="A271" s="0" t="s">
        <v>983</v>
      </c>
      <c r="B271" s="0" t="s">
        <v>982</v>
      </c>
      <c r="C271" s="0" t="s">
        <v>954</v>
      </c>
      <c r="D271" s="35" t="n">
        <f aca="false">In!D280</f>
        <v>12</v>
      </c>
      <c r="E271" s="35" t="n">
        <f aca="false">In!E280</f>
        <v>20</v>
      </c>
      <c r="F271" s="35" t="n">
        <f aca="false">In!F280</f>
        <v>30</v>
      </c>
      <c r="G271" s="0" t="str">
        <f aca="false">In!G280</f>
        <v>Assumed</v>
      </c>
      <c r="H271" s="12" t="s">
        <v>3491</v>
      </c>
    </row>
    <row r="272" customFormat="false" ht="17.15" hidden="false" customHeight="false" outlineLevel="0" collapsed="false">
      <c r="A272" s="0" t="s">
        <v>986</v>
      </c>
      <c r="B272" s="6" t="s">
        <v>985</v>
      </c>
      <c r="C272" s="0" t="s">
        <v>954</v>
      </c>
      <c r="D272" s="35" t="n">
        <f aca="false">In!D281</f>
        <v>12</v>
      </c>
      <c r="E272" s="35" t="n">
        <f aca="false">In!E281</f>
        <v>20</v>
      </c>
      <c r="F272" s="35" t="n">
        <f aca="false">In!F281</f>
        <v>30</v>
      </c>
      <c r="G272" s="0" t="str">
        <f aca="false">In!G281</f>
        <v>Assumed</v>
      </c>
      <c r="H272" s="12" t="s">
        <v>3492</v>
      </c>
    </row>
    <row r="273" customFormat="false" ht="17.15" hidden="false" customHeight="false" outlineLevel="0" collapsed="false">
      <c r="A273" s="0" t="s">
        <v>991</v>
      </c>
      <c r="B273" s="0" t="s">
        <v>989</v>
      </c>
      <c r="C273" s="0" t="s">
        <v>66</v>
      </c>
      <c r="D273" s="20" t="n">
        <f aca="false">In!D283</f>
        <v>0</v>
      </c>
      <c r="E273" s="20" t="n">
        <f aca="false">In!E283</f>
        <v>0</v>
      </c>
      <c r="F273" s="20" t="n">
        <f aca="false">In!F283</f>
        <v>0</v>
      </c>
      <c r="G273" s="0" t="str">
        <f aca="false">In!G283</f>
        <v>Interested-party／Assumed</v>
      </c>
      <c r="H273" s="12" t="s">
        <v>3493</v>
      </c>
    </row>
    <row r="274" customFormat="false" ht="17.15" hidden="false" customHeight="false" outlineLevel="0" collapsed="false">
      <c r="A274" s="0" t="s">
        <v>994</v>
      </c>
      <c r="B274" s="0" t="s">
        <v>993</v>
      </c>
      <c r="C274" s="0" t="s">
        <v>66</v>
      </c>
      <c r="D274" s="20" t="n">
        <f aca="false">In!D284</f>
        <v>0</v>
      </c>
      <c r="E274" s="20" t="n">
        <f aca="false">In!E284</f>
        <v>0</v>
      </c>
      <c r="F274" s="20" t="n">
        <f aca="false">In!F284</f>
        <v>0</v>
      </c>
      <c r="G274" s="0" t="str">
        <f aca="false">In!G284</f>
        <v>Interested-party／Assumed</v>
      </c>
      <c r="H274" s="12" t="s">
        <v>3494</v>
      </c>
    </row>
    <row r="275" customFormat="false" ht="17.15" hidden="false" customHeight="false" outlineLevel="0" collapsed="false">
      <c r="A275" s="0" t="s">
        <v>997</v>
      </c>
      <c r="B275" s="0" t="s">
        <v>996</v>
      </c>
      <c r="C275" s="0" t="s">
        <v>66</v>
      </c>
      <c r="D275" s="20" t="n">
        <f aca="false">In!D285</f>
        <v>0</v>
      </c>
      <c r="E275" s="20" t="n">
        <f aca="false">In!E285</f>
        <v>0</v>
      </c>
      <c r="F275" s="20" t="n">
        <f aca="false">In!F285</f>
        <v>0.05</v>
      </c>
      <c r="G275" s="0" t="str">
        <f aca="false">In!G285</f>
        <v>Interested-party／Assumed</v>
      </c>
      <c r="H275" s="12" t="s">
        <v>3495</v>
      </c>
    </row>
    <row r="276" customFormat="false" ht="17.15" hidden="false" customHeight="false" outlineLevel="0" collapsed="false">
      <c r="A276" s="0" t="s">
        <v>1000</v>
      </c>
      <c r="B276" s="0" t="s">
        <v>999</v>
      </c>
      <c r="C276" s="0" t="s">
        <v>66</v>
      </c>
      <c r="D276" s="20" t="n">
        <f aca="false">In!D286</f>
        <v>0.1</v>
      </c>
      <c r="E276" s="20" t="n">
        <f aca="false">In!E286</f>
        <v>0.2</v>
      </c>
      <c r="F276" s="20" t="n">
        <f aca="false">In!F286</f>
        <v>0.3</v>
      </c>
      <c r="G276" s="0" t="str">
        <f aca="false">In!G286</f>
        <v>Interested-party／Assumed</v>
      </c>
      <c r="H276" s="12" t="s">
        <v>3496</v>
      </c>
    </row>
    <row r="277" customFormat="false" ht="17.15" hidden="false" customHeight="false" outlineLevel="0" collapsed="false">
      <c r="A277" s="0" t="s">
        <v>1004</v>
      </c>
      <c r="B277" s="0" t="s">
        <v>1002</v>
      </c>
      <c r="C277" s="0" t="s">
        <v>66</v>
      </c>
      <c r="D277" s="20" t="n">
        <f aca="false">In!D287</f>
        <v>0.4</v>
      </c>
      <c r="E277" s="20" t="n">
        <f aca="false">In!E287</f>
        <v>0.6</v>
      </c>
      <c r="F277" s="20" t="n">
        <f aca="false">In!F287</f>
        <v>0.8</v>
      </c>
      <c r="G277" s="0" t="str">
        <f aca="false">In!G287</f>
        <v>Assumed</v>
      </c>
      <c r="H277" s="12" t="s">
        <v>3497</v>
      </c>
    </row>
    <row r="278" customFormat="false" ht="17.15" hidden="false" customHeight="false" outlineLevel="0" collapsed="false">
      <c r="A278" s="0" t="s">
        <v>1009</v>
      </c>
      <c r="B278" s="6" t="s">
        <v>1006</v>
      </c>
      <c r="C278" s="0" t="s">
        <v>66</v>
      </c>
      <c r="D278" s="20" t="n">
        <f aca="false">In!D288</f>
        <v>0.007</v>
      </c>
      <c r="E278" s="20" t="n">
        <f aca="false">In!E288</f>
        <v>0.01</v>
      </c>
      <c r="F278" s="20" t="n">
        <f aca="false">In!F288</f>
        <v>0.014</v>
      </c>
      <c r="G278" s="0" t="str">
        <f aca="false">In!G288</f>
        <v>Assumed（Interested-party 錨）</v>
      </c>
      <c r="H278" s="12" t="s">
        <v>3498</v>
      </c>
    </row>
    <row r="279" customFormat="false" ht="17.15" hidden="false" customHeight="false" outlineLevel="0" collapsed="false">
      <c r="A279" s="0" t="s">
        <v>1012</v>
      </c>
      <c r="B279" s="6" t="s">
        <v>1011</v>
      </c>
      <c r="C279" s="0" t="s">
        <v>66</v>
      </c>
      <c r="D279" s="20" t="n">
        <f aca="false">In!D289</f>
        <v>0.035</v>
      </c>
      <c r="E279" s="20" t="n">
        <f aca="false">In!E289</f>
        <v>0.05</v>
      </c>
      <c r="F279" s="20" t="n">
        <f aca="false">In!F289</f>
        <v>0.07</v>
      </c>
      <c r="G279" s="0" t="str">
        <f aca="false">In!G289</f>
        <v>Assumed（Interested-party 錨）</v>
      </c>
      <c r="H279" s="12" t="s">
        <v>3499</v>
      </c>
    </row>
    <row r="280" customFormat="false" ht="17.15" hidden="false" customHeight="false" outlineLevel="0" collapsed="false">
      <c r="A280" s="0" t="s">
        <v>1015</v>
      </c>
      <c r="B280" s="6" t="s">
        <v>1014</v>
      </c>
      <c r="C280" s="0" t="s">
        <v>66</v>
      </c>
      <c r="D280" s="20" t="n">
        <f aca="false">In!D290</f>
        <v>0.07</v>
      </c>
      <c r="E280" s="20" t="n">
        <f aca="false">In!E290</f>
        <v>0.1</v>
      </c>
      <c r="F280" s="20" t="n">
        <f aca="false">In!F290</f>
        <v>0.14</v>
      </c>
      <c r="G280" s="0" t="str">
        <f aca="false">In!G290</f>
        <v>Assumed（Interested-party 錨）</v>
      </c>
      <c r="H280" s="12" t="s">
        <v>3500</v>
      </c>
    </row>
    <row r="281" customFormat="false" ht="17.15" hidden="false" customHeight="false" outlineLevel="0" collapsed="false">
      <c r="A281" s="0" t="s">
        <v>1018</v>
      </c>
      <c r="B281" s="6" t="s">
        <v>1017</v>
      </c>
      <c r="C281" s="0" t="s">
        <v>66</v>
      </c>
      <c r="D281" s="20" t="n">
        <f aca="false">In!D291</f>
        <v>0.112</v>
      </c>
      <c r="E281" s="20" t="n">
        <f aca="false">In!E291</f>
        <v>0.16</v>
      </c>
      <c r="F281" s="20" t="n">
        <f aca="false">In!F291</f>
        <v>0.224</v>
      </c>
      <c r="G281" s="0" t="str">
        <f aca="false">In!G291</f>
        <v>Assumed（Interested-party 錨）</v>
      </c>
      <c r="H281" s="12" t="s">
        <v>3501</v>
      </c>
    </row>
    <row r="282" customFormat="false" ht="17.15" hidden="false" customHeight="false" outlineLevel="0" collapsed="false">
      <c r="A282" s="0" t="s">
        <v>1022</v>
      </c>
      <c r="B282" s="6" t="s">
        <v>1020</v>
      </c>
      <c r="C282" s="0" t="s">
        <v>66</v>
      </c>
      <c r="D282" s="20" t="n">
        <f aca="false">In!D292</f>
        <v>0.007</v>
      </c>
      <c r="E282" s="20" t="n">
        <f aca="false">In!E292</f>
        <v>0.01</v>
      </c>
      <c r="F282" s="20" t="n">
        <f aca="false">In!F292</f>
        <v>0.014</v>
      </c>
      <c r="G282" s="0" t="str">
        <f aca="false">In!G292</f>
        <v>Assumed（Interested-party 錨）</v>
      </c>
      <c r="H282" s="12" t="s">
        <v>3502</v>
      </c>
    </row>
    <row r="283" customFormat="false" ht="17.15" hidden="false" customHeight="false" outlineLevel="0" collapsed="false">
      <c r="A283" s="0" t="s">
        <v>1025</v>
      </c>
      <c r="B283" s="6" t="s">
        <v>1024</v>
      </c>
      <c r="C283" s="0" t="s">
        <v>66</v>
      </c>
      <c r="D283" s="20" t="n">
        <f aca="false">In!D293</f>
        <v>0.021</v>
      </c>
      <c r="E283" s="20" t="n">
        <f aca="false">In!E293</f>
        <v>0.03</v>
      </c>
      <c r="F283" s="20" t="n">
        <f aca="false">In!F293</f>
        <v>0.042</v>
      </c>
      <c r="G283" s="0" t="str">
        <f aca="false">In!G293</f>
        <v>Assumed（Interested-party 錨）</v>
      </c>
      <c r="H283" s="12" t="s">
        <v>3503</v>
      </c>
    </row>
    <row r="284" customFormat="false" ht="17.15" hidden="false" customHeight="false" outlineLevel="0" collapsed="false">
      <c r="A284" s="0" t="s">
        <v>1028</v>
      </c>
      <c r="B284" s="6" t="s">
        <v>1027</v>
      </c>
      <c r="C284" s="0" t="s">
        <v>66</v>
      </c>
      <c r="D284" s="20" t="n">
        <f aca="false">In!D294</f>
        <v>0.035</v>
      </c>
      <c r="E284" s="20" t="n">
        <f aca="false">In!E294</f>
        <v>0.05</v>
      </c>
      <c r="F284" s="20" t="n">
        <f aca="false">In!F294</f>
        <v>0.07</v>
      </c>
      <c r="G284" s="0" t="str">
        <f aca="false">In!G294</f>
        <v>Assumed（Interested-party 錨）</v>
      </c>
      <c r="H284" s="12" t="s">
        <v>3504</v>
      </c>
    </row>
    <row r="285" customFormat="false" ht="17.15" hidden="false" customHeight="false" outlineLevel="0" collapsed="false">
      <c r="A285" s="0" t="s">
        <v>1031</v>
      </c>
      <c r="B285" s="6" t="s">
        <v>1030</v>
      </c>
      <c r="C285" s="0" t="s">
        <v>66</v>
      </c>
      <c r="D285" s="20" t="n">
        <f aca="false">In!D295</f>
        <v>0.056</v>
      </c>
      <c r="E285" s="20" t="n">
        <f aca="false">In!E295</f>
        <v>0.08</v>
      </c>
      <c r="F285" s="20" t="n">
        <f aca="false">In!F295</f>
        <v>0.112</v>
      </c>
      <c r="G285" s="0" t="str">
        <f aca="false">In!G295</f>
        <v>Assumed（Interested-party 錨）</v>
      </c>
      <c r="H285" s="12" t="s">
        <v>3505</v>
      </c>
    </row>
    <row r="286" customFormat="false" ht="17.15" hidden="false" customHeight="false" outlineLevel="0" collapsed="false">
      <c r="A286" s="0" t="s">
        <v>1035</v>
      </c>
      <c r="B286" s="6" t="s">
        <v>1033</v>
      </c>
      <c r="C286" s="0" t="s">
        <v>66</v>
      </c>
      <c r="D286" s="20" t="n">
        <f aca="false">In!D296</f>
        <v>0.007</v>
      </c>
      <c r="E286" s="20" t="n">
        <f aca="false">In!E296</f>
        <v>0.01</v>
      </c>
      <c r="F286" s="20" t="n">
        <f aca="false">In!F296</f>
        <v>0.014</v>
      </c>
      <c r="G286" s="0" t="str">
        <f aca="false">In!G296</f>
        <v>Assumed</v>
      </c>
      <c r="H286" s="12" t="s">
        <v>3506</v>
      </c>
    </row>
    <row r="287" customFormat="false" ht="17.15" hidden="false" customHeight="false" outlineLevel="0" collapsed="false">
      <c r="A287" s="0" t="s">
        <v>1038</v>
      </c>
      <c r="B287" s="6" t="s">
        <v>1037</v>
      </c>
      <c r="C287" s="0" t="s">
        <v>66</v>
      </c>
      <c r="D287" s="20" t="n">
        <f aca="false">In!D297</f>
        <v>0.014</v>
      </c>
      <c r="E287" s="20" t="n">
        <f aca="false">In!E297</f>
        <v>0.02</v>
      </c>
      <c r="F287" s="20" t="n">
        <f aca="false">In!F297</f>
        <v>0.028</v>
      </c>
      <c r="G287" s="0" t="str">
        <f aca="false">In!G297</f>
        <v>Assumed</v>
      </c>
      <c r="H287" s="12" t="s">
        <v>3507</v>
      </c>
    </row>
    <row r="288" customFormat="false" ht="17.15" hidden="false" customHeight="false" outlineLevel="0" collapsed="false">
      <c r="A288" s="0" t="s">
        <v>1041</v>
      </c>
      <c r="B288" s="6" t="s">
        <v>1040</v>
      </c>
      <c r="C288" s="0" t="s">
        <v>66</v>
      </c>
      <c r="D288" s="20" t="n">
        <f aca="false">In!D298</f>
        <v>0.021</v>
      </c>
      <c r="E288" s="20" t="n">
        <f aca="false">In!E298</f>
        <v>0.03</v>
      </c>
      <c r="F288" s="20" t="n">
        <f aca="false">In!F298</f>
        <v>0.042</v>
      </c>
      <c r="G288" s="0" t="str">
        <f aca="false">In!G298</f>
        <v>Assumed</v>
      </c>
      <c r="H288" s="12" t="s">
        <v>3508</v>
      </c>
    </row>
    <row r="289" customFormat="false" ht="17.15" hidden="false" customHeight="false" outlineLevel="0" collapsed="false">
      <c r="A289" s="0" t="s">
        <v>1044</v>
      </c>
      <c r="B289" s="6" t="s">
        <v>1043</v>
      </c>
      <c r="C289" s="0" t="s">
        <v>66</v>
      </c>
      <c r="D289" s="20" t="n">
        <f aca="false">In!D299</f>
        <v>0.035</v>
      </c>
      <c r="E289" s="20" t="n">
        <f aca="false">In!E299</f>
        <v>0.05</v>
      </c>
      <c r="F289" s="20" t="n">
        <f aca="false">In!F299</f>
        <v>0.07</v>
      </c>
      <c r="G289" s="0" t="str">
        <f aca="false">In!G299</f>
        <v>Assumed</v>
      </c>
      <c r="H289" s="12" t="s">
        <v>3509</v>
      </c>
    </row>
    <row r="290" customFormat="false" ht="17.15" hidden="false" customHeight="false" outlineLevel="0" collapsed="false">
      <c r="A290" s="0" t="s">
        <v>1049</v>
      </c>
      <c r="B290" s="0" t="s">
        <v>1047</v>
      </c>
      <c r="C290" s="0" t="s">
        <v>66</v>
      </c>
      <c r="D290" s="20" t="n">
        <f aca="false">In!D301</f>
        <v>0.15</v>
      </c>
      <c r="E290" s="20" t="n">
        <f aca="false">In!E301</f>
        <v>0.22</v>
      </c>
      <c r="F290" s="20" t="n">
        <f aca="false">In!F301</f>
        <v>0.3</v>
      </c>
      <c r="G290" s="0" t="str">
        <f aca="false">In!G301</f>
        <v>Interested-party</v>
      </c>
      <c r="H290" s="12" t="s">
        <v>3510</v>
      </c>
    </row>
    <row r="291" customFormat="false" ht="17.15" hidden="false" customHeight="false" outlineLevel="0" collapsed="false">
      <c r="A291" s="0" t="s">
        <v>1055</v>
      </c>
      <c r="B291" s="0" t="s">
        <v>1053</v>
      </c>
      <c r="C291" s="0" t="s">
        <v>66</v>
      </c>
      <c r="D291" s="20" t="n">
        <f aca="false">In!D303</f>
        <v>0.1</v>
      </c>
      <c r="E291" s="20" t="n">
        <f aca="false">In!E303</f>
        <v>0.25</v>
      </c>
      <c r="F291" s="20" t="n">
        <f aca="false">In!F303</f>
        <v>0.35</v>
      </c>
      <c r="G291" s="0" t="str">
        <f aca="false">In!G303</f>
        <v>Assumed</v>
      </c>
      <c r="H291" s="12" t="s">
        <v>3511</v>
      </c>
    </row>
    <row r="292" customFormat="false" ht="17.15" hidden="false" customHeight="false" outlineLevel="0" collapsed="false">
      <c r="A292" s="0" t="s">
        <v>1060</v>
      </c>
      <c r="B292" s="0" t="s">
        <v>1058</v>
      </c>
      <c r="C292" s="0" t="s">
        <v>66</v>
      </c>
      <c r="D292" s="20" t="n">
        <f aca="false">In!D304</f>
        <v>0.1</v>
      </c>
      <c r="E292" s="20" t="n">
        <f aca="false">In!E304</f>
        <v>0.25</v>
      </c>
      <c r="F292" s="20" t="n">
        <f aca="false">In!F304</f>
        <v>0.35</v>
      </c>
      <c r="G292" s="0" t="str">
        <f aca="false">In!G304</f>
        <v>Assumed</v>
      </c>
      <c r="H292" s="12" t="s">
        <v>3512</v>
      </c>
    </row>
    <row r="293" customFormat="false" ht="17.15" hidden="false" customHeight="false" outlineLevel="0" collapsed="false">
      <c r="A293" s="0" t="s">
        <v>1064</v>
      </c>
      <c r="B293" s="0" t="s">
        <v>1063</v>
      </c>
      <c r="C293" s="0" t="s">
        <v>66</v>
      </c>
      <c r="D293" s="20" t="n">
        <f aca="false">In!D305</f>
        <v>0.1</v>
      </c>
      <c r="E293" s="20" t="n">
        <f aca="false">In!E305</f>
        <v>0.2</v>
      </c>
      <c r="F293" s="20" t="n">
        <f aca="false">In!F305</f>
        <v>0.3</v>
      </c>
      <c r="G293" s="0" t="str">
        <f aca="false">In!G305</f>
        <v>Assumed</v>
      </c>
      <c r="H293" s="12" t="s">
        <v>3513</v>
      </c>
    </row>
    <row r="294" customFormat="false" ht="17.15" hidden="false" customHeight="false" outlineLevel="0" collapsed="false">
      <c r="A294" s="0" t="s">
        <v>1068</v>
      </c>
      <c r="B294" s="0" t="s">
        <v>1066</v>
      </c>
      <c r="C294" s="0" t="s">
        <v>66</v>
      </c>
      <c r="D294" s="20" t="n">
        <f aca="false">In!D306</f>
        <v>0</v>
      </c>
      <c r="E294" s="20" t="n">
        <f aca="false">In!E306</f>
        <v>0.1</v>
      </c>
      <c r="F294" s="20" t="n">
        <f aca="false">In!F306</f>
        <v>0.25</v>
      </c>
      <c r="G294" s="0" t="str">
        <f aca="false">In!G306</f>
        <v>Assumed</v>
      </c>
      <c r="H294" s="12" t="s">
        <v>3514</v>
      </c>
    </row>
    <row r="295" customFormat="false" ht="17.15" hidden="false" customHeight="false" outlineLevel="0" collapsed="false">
      <c r="A295" s="0" t="s">
        <v>1072</v>
      </c>
      <c r="B295" s="0" t="s">
        <v>1071</v>
      </c>
      <c r="C295" s="0" t="s">
        <v>66</v>
      </c>
      <c r="D295" s="20" t="n">
        <f aca="false">In!D307</f>
        <v>0</v>
      </c>
      <c r="E295" s="20" t="n">
        <f aca="false">In!E307</f>
        <v>0.15</v>
      </c>
      <c r="F295" s="20" t="n">
        <f aca="false">In!F307</f>
        <v>0.3</v>
      </c>
      <c r="G295" s="0" t="str">
        <f aca="false">In!G307</f>
        <v>Assumed</v>
      </c>
      <c r="H295" s="12" t="s">
        <v>3515</v>
      </c>
    </row>
    <row r="296" customFormat="false" ht="17.15" hidden="false" customHeight="false" outlineLevel="0" collapsed="false">
      <c r="A296" s="0" t="s">
        <v>1075</v>
      </c>
      <c r="B296" s="0" t="s">
        <v>1074</v>
      </c>
      <c r="C296" s="0" t="s">
        <v>66</v>
      </c>
      <c r="D296" s="20" t="n">
        <f aca="false">In!D308</f>
        <v>0</v>
      </c>
      <c r="E296" s="20" t="n">
        <f aca="false">In!E308</f>
        <v>0.2</v>
      </c>
      <c r="F296" s="20" t="n">
        <f aca="false">In!F308</f>
        <v>0.35</v>
      </c>
      <c r="G296" s="0" t="str">
        <f aca="false">In!G308</f>
        <v>Assumed</v>
      </c>
      <c r="H296" s="12" t="s">
        <v>3516</v>
      </c>
    </row>
    <row r="297" customFormat="false" ht="17.15" hidden="false" customHeight="false" outlineLevel="0" collapsed="false">
      <c r="A297" s="0" t="s">
        <v>1079</v>
      </c>
      <c r="B297" s="6" t="s">
        <v>1077</v>
      </c>
      <c r="C297" s="0" t="s">
        <v>66</v>
      </c>
      <c r="D297" s="20" t="n">
        <f aca="false">In!D309</f>
        <v>0</v>
      </c>
      <c r="E297" s="20" t="n">
        <f aca="false">In!E309</f>
        <v>0.1</v>
      </c>
      <c r="F297" s="20" t="n">
        <f aca="false">In!F309</f>
        <v>0.3</v>
      </c>
      <c r="G297" s="0" t="str">
        <f aca="false">In!G309</f>
        <v>Assumed</v>
      </c>
      <c r="H297" s="12" t="s">
        <v>3517</v>
      </c>
    </row>
    <row r="298" customFormat="false" ht="17.15" hidden="false" customHeight="false" outlineLevel="0" collapsed="false">
      <c r="A298" s="0" t="s">
        <v>1083</v>
      </c>
      <c r="B298" s="6" t="s">
        <v>1082</v>
      </c>
      <c r="C298" s="0" t="s">
        <v>66</v>
      </c>
      <c r="D298" s="20" t="n">
        <f aca="false">In!D310</f>
        <v>0</v>
      </c>
      <c r="E298" s="20" t="n">
        <f aca="false">In!E310</f>
        <v>0.15</v>
      </c>
      <c r="F298" s="20" t="n">
        <f aca="false">In!F310</f>
        <v>0.35</v>
      </c>
      <c r="G298" s="0" t="str">
        <f aca="false">In!G310</f>
        <v>Assumed</v>
      </c>
      <c r="H298" s="12" t="s">
        <v>3518</v>
      </c>
    </row>
    <row r="299" customFormat="false" ht="17.15" hidden="false" customHeight="false" outlineLevel="0" collapsed="false">
      <c r="A299" s="0" t="s">
        <v>1086</v>
      </c>
      <c r="B299" s="6" t="s">
        <v>1085</v>
      </c>
      <c r="C299" s="0" t="s">
        <v>66</v>
      </c>
      <c r="D299" s="20" t="n">
        <f aca="false">In!D311</f>
        <v>0</v>
      </c>
      <c r="E299" s="20" t="n">
        <f aca="false">In!E311</f>
        <v>0.2</v>
      </c>
      <c r="F299" s="20" t="n">
        <f aca="false">In!F311</f>
        <v>0.4</v>
      </c>
      <c r="G299" s="0" t="str">
        <f aca="false">In!G311</f>
        <v>Assumed</v>
      </c>
      <c r="H299" s="12" t="s">
        <v>3519</v>
      </c>
    </row>
    <row r="300" customFormat="false" ht="17.15" hidden="false" customHeight="false" outlineLevel="0" collapsed="false">
      <c r="A300" s="0" t="s">
        <v>1090</v>
      </c>
      <c r="B300" s="6" t="s">
        <v>1088</v>
      </c>
      <c r="C300" s="0" t="s">
        <v>66</v>
      </c>
      <c r="D300" s="20" t="n">
        <f aca="false">In!D312</f>
        <v>0</v>
      </c>
      <c r="E300" s="20" t="n">
        <f aca="false">In!E312</f>
        <v>0.05</v>
      </c>
      <c r="F300" s="20" t="n">
        <f aca="false">In!F312</f>
        <v>0.2</v>
      </c>
      <c r="G300" s="0" t="str">
        <f aca="false">In!G312</f>
        <v>Assumed</v>
      </c>
      <c r="H300" s="12" t="s">
        <v>3520</v>
      </c>
    </row>
    <row r="301" customFormat="false" ht="17.15" hidden="false" customHeight="false" outlineLevel="0" collapsed="false">
      <c r="A301" s="0" t="s">
        <v>1094</v>
      </c>
      <c r="B301" s="6" t="s">
        <v>1093</v>
      </c>
      <c r="C301" s="0" t="s">
        <v>66</v>
      </c>
      <c r="D301" s="20" t="n">
        <f aca="false">In!D313</f>
        <v>0</v>
      </c>
      <c r="E301" s="20" t="n">
        <f aca="false">In!E313</f>
        <v>0.1</v>
      </c>
      <c r="F301" s="20" t="n">
        <f aca="false">In!F313</f>
        <v>0.25</v>
      </c>
      <c r="G301" s="0" t="str">
        <f aca="false">In!G313</f>
        <v>Assumed</v>
      </c>
      <c r="H301" s="12" t="s">
        <v>3521</v>
      </c>
    </row>
    <row r="302" customFormat="false" ht="17.15" hidden="false" customHeight="false" outlineLevel="0" collapsed="false">
      <c r="A302" s="0" t="s">
        <v>1097</v>
      </c>
      <c r="B302" s="6" t="s">
        <v>1096</v>
      </c>
      <c r="C302" s="0" t="s">
        <v>66</v>
      </c>
      <c r="D302" s="20" t="n">
        <f aca="false">In!D314</f>
        <v>0</v>
      </c>
      <c r="E302" s="20" t="n">
        <f aca="false">In!E314</f>
        <v>0.15</v>
      </c>
      <c r="F302" s="20" t="n">
        <f aca="false">In!F314</f>
        <v>0.3</v>
      </c>
      <c r="G302" s="0" t="str">
        <f aca="false">In!G314</f>
        <v>Assumed</v>
      </c>
      <c r="H302" s="12" t="s">
        <v>3522</v>
      </c>
    </row>
    <row r="303" customFormat="false" ht="17.15" hidden="false" customHeight="false" outlineLevel="0" collapsed="false">
      <c r="A303" s="0" t="s">
        <v>1101</v>
      </c>
      <c r="B303" s="0" t="s">
        <v>1099</v>
      </c>
      <c r="C303" s="0" t="s">
        <v>66</v>
      </c>
      <c r="D303" s="20" t="n">
        <f aca="false">In!D315</f>
        <v>0</v>
      </c>
      <c r="E303" s="20" t="n">
        <f aca="false">In!E315</f>
        <v>0.05</v>
      </c>
      <c r="F303" s="20" t="n">
        <f aca="false">In!F315</f>
        <v>0.15</v>
      </c>
      <c r="G303" s="0" t="str">
        <f aca="false">In!G315</f>
        <v>Assumed</v>
      </c>
      <c r="H303" s="12" t="s">
        <v>3523</v>
      </c>
    </row>
    <row r="304" customFormat="false" ht="17.15" hidden="false" customHeight="false" outlineLevel="0" collapsed="false">
      <c r="A304" s="0" t="s">
        <v>1105</v>
      </c>
      <c r="B304" s="0" t="s">
        <v>1104</v>
      </c>
      <c r="C304" s="0" t="s">
        <v>66</v>
      </c>
      <c r="D304" s="20" t="n">
        <f aca="false">In!D316</f>
        <v>0.02</v>
      </c>
      <c r="E304" s="20" t="n">
        <f aca="false">In!E316</f>
        <v>0.1</v>
      </c>
      <c r="F304" s="20" t="n">
        <f aca="false">In!F316</f>
        <v>0.2</v>
      </c>
      <c r="G304" s="0" t="str">
        <f aca="false">In!G316</f>
        <v>Assumed</v>
      </c>
      <c r="H304" s="12" t="s">
        <v>3524</v>
      </c>
    </row>
    <row r="305" customFormat="false" ht="17.15" hidden="false" customHeight="false" outlineLevel="0" collapsed="false">
      <c r="A305" s="0" t="s">
        <v>1109</v>
      </c>
      <c r="B305" s="0" t="s">
        <v>1108</v>
      </c>
      <c r="C305" s="0" t="s">
        <v>66</v>
      </c>
      <c r="D305" s="20" t="n">
        <f aca="false">In!D317</f>
        <v>0.05</v>
      </c>
      <c r="E305" s="20" t="n">
        <f aca="false">In!E317</f>
        <v>0.15</v>
      </c>
      <c r="F305" s="20" t="n">
        <f aca="false">In!F317</f>
        <v>0.25</v>
      </c>
      <c r="G305" s="0" t="str">
        <f aca="false">In!G317</f>
        <v>Assumed</v>
      </c>
      <c r="H305" s="12" t="s">
        <v>3525</v>
      </c>
    </row>
    <row r="306" customFormat="false" ht="17.15" hidden="false" customHeight="false" outlineLevel="0" collapsed="false">
      <c r="A306" s="0" t="s">
        <v>1114</v>
      </c>
      <c r="B306" s="0" t="s">
        <v>1112</v>
      </c>
      <c r="C306" s="0" t="s">
        <v>66</v>
      </c>
      <c r="D306" s="20" t="n">
        <f aca="false">In!D319</f>
        <v>0.7</v>
      </c>
      <c r="E306" s="20" t="n">
        <f aca="false">In!E319</f>
        <v>0.7</v>
      </c>
      <c r="F306" s="20" t="n">
        <f aca="false">In!F319</f>
        <v>0.8</v>
      </c>
      <c r="G306" s="0" t="str">
        <f aca="false">In!G319</f>
        <v>Interested-party</v>
      </c>
      <c r="H306" s="12" t="s">
        <v>3526</v>
      </c>
    </row>
    <row r="307" customFormat="false" ht="17.15" hidden="false" customHeight="false" outlineLevel="0" collapsed="false">
      <c r="A307" s="0" t="s">
        <v>1119</v>
      </c>
      <c r="B307" s="0" t="s">
        <v>1117</v>
      </c>
      <c r="C307" s="0" t="s">
        <v>500</v>
      </c>
      <c r="D307" s="35" t="n">
        <f aca="false">In!D320</f>
        <v>0.85</v>
      </c>
      <c r="E307" s="35" t="n">
        <f aca="false">In!E320</f>
        <v>0.95</v>
      </c>
      <c r="F307" s="35" t="n">
        <f aca="false">In!F320</f>
        <v>1</v>
      </c>
      <c r="G307" s="0" t="str">
        <f aca="false">In!G320</f>
        <v>Assumed</v>
      </c>
      <c r="H307" s="12" t="s">
        <v>3527</v>
      </c>
    </row>
    <row r="308" customFormat="false" ht="17.15" hidden="false" customHeight="false" outlineLevel="0" collapsed="false">
      <c r="A308" s="0" t="s">
        <v>1124</v>
      </c>
      <c r="B308" s="0" t="s">
        <v>1122</v>
      </c>
      <c r="C308" s="0" t="s">
        <v>500</v>
      </c>
      <c r="D308" s="35" t="n">
        <f aca="false">In!D321</f>
        <v>0.75</v>
      </c>
      <c r="E308" s="35" t="n">
        <f aca="false">In!E321</f>
        <v>0.88</v>
      </c>
      <c r="F308" s="35" t="n">
        <f aca="false">In!F321</f>
        <v>1</v>
      </c>
      <c r="G308" s="0" t="str">
        <f aca="false">In!G321</f>
        <v>Assumed</v>
      </c>
      <c r="H308" s="12" t="s">
        <v>3528</v>
      </c>
    </row>
    <row r="309" customFormat="false" ht="17.15" hidden="false" customHeight="false" outlineLevel="0" collapsed="false">
      <c r="A309" s="0" t="s">
        <v>1127</v>
      </c>
      <c r="B309" s="0" t="s">
        <v>1126</v>
      </c>
      <c r="C309" s="0" t="s">
        <v>500</v>
      </c>
      <c r="D309" s="35" t="n">
        <f aca="false">In!D322</f>
        <v>0.7</v>
      </c>
      <c r="E309" s="35" t="n">
        <f aca="false">In!E322</f>
        <v>0.85</v>
      </c>
      <c r="F309" s="35" t="n">
        <f aca="false">In!F322</f>
        <v>1</v>
      </c>
      <c r="G309" s="0" t="str">
        <f aca="false">In!G322</f>
        <v>Assumed</v>
      </c>
      <c r="H309" s="12" t="s">
        <v>3529</v>
      </c>
    </row>
    <row r="310" customFormat="false" ht="17.15" hidden="false" customHeight="false" outlineLevel="0" collapsed="false">
      <c r="A310" s="0" t="s">
        <v>1131</v>
      </c>
      <c r="B310" s="6" t="s">
        <v>1129</v>
      </c>
      <c r="C310" s="0" t="s">
        <v>500</v>
      </c>
      <c r="D310" s="35" t="n">
        <f aca="false">In!D323</f>
        <v>0.2</v>
      </c>
      <c r="E310" s="35" t="n">
        <f aca="false">In!E323</f>
        <v>0.4</v>
      </c>
      <c r="F310" s="35" t="n">
        <f aca="false">In!F323</f>
        <v>0.6</v>
      </c>
      <c r="G310" s="0" t="str">
        <f aca="false">In!G323</f>
        <v>Assumed</v>
      </c>
      <c r="H310" s="12" t="s">
        <v>3530</v>
      </c>
    </row>
    <row r="311" customFormat="false" ht="17.15" hidden="false" customHeight="false" outlineLevel="0" collapsed="false">
      <c r="A311" s="0" t="s">
        <v>1136</v>
      </c>
      <c r="B311" s="6" t="s">
        <v>1134</v>
      </c>
      <c r="C311" s="0" t="s">
        <v>500</v>
      </c>
      <c r="D311" s="35" t="n">
        <f aca="false">In!D324</f>
        <v>0.6</v>
      </c>
      <c r="E311" s="35" t="n">
        <f aca="false">In!E324</f>
        <v>0.8</v>
      </c>
      <c r="F311" s="35" t="n">
        <f aca="false">In!F324</f>
        <v>1</v>
      </c>
      <c r="G311" s="0" t="str">
        <f aca="false">In!G324</f>
        <v>Assumed</v>
      </c>
      <c r="H311" s="12" t="s">
        <v>3531</v>
      </c>
    </row>
    <row r="312" customFormat="false" ht="15" hidden="false" customHeight="false" outlineLevel="0" collapsed="false">
      <c r="A312" s="0" t="s">
        <v>1141</v>
      </c>
      <c r="B312" s="6" t="s">
        <v>1139</v>
      </c>
      <c r="C312" s="0" t="s">
        <v>66</v>
      </c>
      <c r="D312" s="20" t="n">
        <f aca="false">In!D325</f>
        <v>0.1</v>
      </c>
      <c r="E312" s="20" t="n">
        <f aca="false">In!E325</f>
        <v>0.18</v>
      </c>
      <c r="F312" s="20" t="n">
        <f aca="false">In!F325</f>
        <v>0.22</v>
      </c>
      <c r="G312" s="0" t="str">
        <f aca="false">In!G325</f>
        <v>Analogy</v>
      </c>
      <c r="H312" s="12" t="s">
        <v>3532</v>
      </c>
    </row>
    <row r="313" customFormat="false" ht="17.15" hidden="false" customHeight="false" outlineLevel="0" collapsed="false">
      <c r="A313" s="0" t="s">
        <v>1146</v>
      </c>
      <c r="B313" s="6" t="s">
        <v>1144</v>
      </c>
      <c r="C313" s="0" t="s">
        <v>500</v>
      </c>
      <c r="D313" s="35" t="n">
        <f aca="false">In!D326</f>
        <v>0.95</v>
      </c>
      <c r="E313" s="35" t="n">
        <f aca="false">In!E326</f>
        <v>1</v>
      </c>
      <c r="F313" s="35" t="n">
        <f aca="false">In!F326</f>
        <v>1.05</v>
      </c>
      <c r="G313" s="0" t="str">
        <f aca="false">In!G326</f>
        <v>Assumed</v>
      </c>
      <c r="H313" s="12" t="s">
        <v>3533</v>
      </c>
    </row>
    <row r="314" customFormat="false" ht="17.15" hidden="false" customHeight="false" outlineLevel="0" collapsed="false">
      <c r="A314" s="0" t="s">
        <v>1151</v>
      </c>
      <c r="B314" s="6" t="s">
        <v>1149</v>
      </c>
      <c r="C314" s="0" t="s">
        <v>500</v>
      </c>
      <c r="D314" s="35" t="n">
        <f aca="false">In!D327</f>
        <v>0.85</v>
      </c>
      <c r="E314" s="35" t="n">
        <f aca="false">In!E327</f>
        <v>0.95</v>
      </c>
      <c r="F314" s="35" t="n">
        <f aca="false">In!F327</f>
        <v>1.05</v>
      </c>
      <c r="G314" s="0" t="str">
        <f aca="false">In!G327</f>
        <v>Assumed</v>
      </c>
      <c r="H314" s="12" t="s">
        <v>3534</v>
      </c>
    </row>
    <row r="315" customFormat="false" ht="17.15" hidden="false" customHeight="false" outlineLevel="0" collapsed="false">
      <c r="A315" s="0" t="s">
        <v>1156</v>
      </c>
      <c r="B315" s="6" t="s">
        <v>1154</v>
      </c>
      <c r="C315" s="0" t="s">
        <v>500</v>
      </c>
      <c r="D315" s="35" t="n">
        <f aca="false">In!D328</f>
        <v>0.75</v>
      </c>
      <c r="E315" s="35" t="n">
        <f aca="false">In!E328</f>
        <v>0.9</v>
      </c>
      <c r="F315" s="35" t="n">
        <f aca="false">In!F328</f>
        <v>1</v>
      </c>
      <c r="G315" s="0" t="str">
        <f aca="false">In!G328</f>
        <v>Assumed</v>
      </c>
      <c r="H315" s="12" t="s">
        <v>3535</v>
      </c>
    </row>
    <row r="316" customFormat="false" ht="17.15" hidden="false" customHeight="false" outlineLevel="0" collapsed="false">
      <c r="A316" s="0" t="s">
        <v>1160</v>
      </c>
      <c r="B316" s="6" t="s">
        <v>1158</v>
      </c>
      <c r="C316" s="0" t="s">
        <v>66</v>
      </c>
      <c r="D316" s="20" t="n">
        <f aca="false">In!D329</f>
        <v>0.2</v>
      </c>
      <c r="E316" s="20" t="n">
        <f aca="false">In!E329</f>
        <v>0.25</v>
      </c>
      <c r="F316" s="20" t="n">
        <f aca="false">In!F329</f>
        <v>0.3</v>
      </c>
      <c r="G316" s="0" t="str">
        <f aca="false">In!G329</f>
        <v>Assumed</v>
      </c>
      <c r="H316" s="12" t="s">
        <v>3536</v>
      </c>
    </row>
    <row r="317" customFormat="false" ht="17.15" hidden="false" customHeight="false" outlineLevel="0" collapsed="false">
      <c r="A317" s="0" t="s">
        <v>1165</v>
      </c>
      <c r="B317" s="6" t="s">
        <v>1163</v>
      </c>
      <c r="C317" s="0" t="s">
        <v>66</v>
      </c>
      <c r="D317" s="20" t="n">
        <f aca="false">In!D330</f>
        <v>0.22</v>
      </c>
      <c r="E317" s="20" t="n">
        <f aca="false">In!E330</f>
        <v>0.27</v>
      </c>
      <c r="F317" s="20" t="n">
        <f aca="false">In!F330</f>
        <v>0.32</v>
      </c>
      <c r="G317" s="0" t="str">
        <f aca="false">In!G330</f>
        <v>Assumed</v>
      </c>
      <c r="H317" s="12" t="s">
        <v>3537</v>
      </c>
    </row>
    <row r="318" customFormat="false" ht="17.15" hidden="false" customHeight="false" outlineLevel="0" collapsed="false">
      <c r="A318" s="0" t="s">
        <v>1169</v>
      </c>
      <c r="B318" s="6" t="s">
        <v>1168</v>
      </c>
      <c r="C318" s="0" t="s">
        <v>66</v>
      </c>
      <c r="D318" s="20" t="n">
        <f aca="false">In!D331</f>
        <v>0.22</v>
      </c>
      <c r="E318" s="20" t="n">
        <f aca="false">In!E331</f>
        <v>0.29</v>
      </c>
      <c r="F318" s="20" t="n">
        <f aca="false">In!F331</f>
        <v>0.35</v>
      </c>
      <c r="G318" s="0" t="str">
        <f aca="false">In!G331</f>
        <v>Assumed</v>
      </c>
      <c r="H318" s="12" t="s">
        <v>3538</v>
      </c>
    </row>
    <row r="319" customFormat="false" ht="17.15" hidden="false" customHeight="false" outlineLevel="0" collapsed="false">
      <c r="A319" s="0" t="s">
        <v>1172</v>
      </c>
      <c r="B319" s="6" t="s">
        <v>1171</v>
      </c>
      <c r="C319" s="0" t="s">
        <v>66</v>
      </c>
      <c r="D319" s="20" t="n">
        <f aca="false">In!D332</f>
        <v>0.22</v>
      </c>
      <c r="E319" s="20" t="n">
        <f aca="false">In!E332</f>
        <v>0.3</v>
      </c>
      <c r="F319" s="20" t="n">
        <f aca="false">In!F332</f>
        <v>0.36</v>
      </c>
      <c r="G319" s="0" t="str">
        <f aca="false">In!G332</f>
        <v>Assumed</v>
      </c>
      <c r="H319" s="12" t="s">
        <v>3539</v>
      </c>
    </row>
    <row r="320" customFormat="false" ht="17.15" hidden="false" customHeight="false" outlineLevel="0" collapsed="false">
      <c r="A320" s="0" t="s">
        <v>1176</v>
      </c>
      <c r="B320" s="6" t="s">
        <v>1174</v>
      </c>
      <c r="C320" s="0" t="s">
        <v>66</v>
      </c>
      <c r="D320" s="20" t="n">
        <f aca="false">In!D333</f>
        <v>0.22</v>
      </c>
      <c r="E320" s="20" t="n">
        <f aca="false">In!E333</f>
        <v>0.3</v>
      </c>
      <c r="F320" s="20" t="n">
        <f aca="false">In!F333</f>
        <v>0.4</v>
      </c>
      <c r="G320" s="0" t="str">
        <f aca="false">In!G333</f>
        <v>Assumed</v>
      </c>
      <c r="H320" s="12" t="s">
        <v>3540</v>
      </c>
    </row>
    <row r="321" customFormat="false" ht="17.15" hidden="false" customHeight="false" outlineLevel="0" collapsed="false">
      <c r="A321" s="0" t="s">
        <v>1180</v>
      </c>
      <c r="B321" s="6" t="s">
        <v>1179</v>
      </c>
      <c r="C321" s="0" t="s">
        <v>66</v>
      </c>
      <c r="D321" s="20" t="n">
        <f aca="false">In!D334</f>
        <v>0.22</v>
      </c>
      <c r="E321" s="20" t="n">
        <f aca="false">In!E334</f>
        <v>0.31</v>
      </c>
      <c r="F321" s="20" t="n">
        <f aca="false">In!F334</f>
        <v>0.4</v>
      </c>
      <c r="G321" s="0" t="str">
        <f aca="false">In!G334</f>
        <v>Assumed</v>
      </c>
      <c r="H321" s="12" t="s">
        <v>3541</v>
      </c>
    </row>
    <row r="322" customFormat="false" ht="17.15" hidden="false" customHeight="false" outlineLevel="0" collapsed="false">
      <c r="A322" s="0" t="s">
        <v>1183</v>
      </c>
      <c r="B322" s="6" t="s">
        <v>1182</v>
      </c>
      <c r="C322" s="0" t="s">
        <v>66</v>
      </c>
      <c r="D322" s="20" t="n">
        <f aca="false">In!D335</f>
        <v>0.22</v>
      </c>
      <c r="E322" s="20" t="n">
        <f aca="false">In!E335</f>
        <v>0.32</v>
      </c>
      <c r="F322" s="20" t="n">
        <f aca="false">In!F335</f>
        <v>0.4</v>
      </c>
      <c r="G322" s="0" t="str">
        <f aca="false">In!G335</f>
        <v>Assumed</v>
      </c>
      <c r="H322" s="12" t="s">
        <v>3542</v>
      </c>
    </row>
    <row r="323" customFormat="false" ht="17.15" hidden="false" customHeight="false" outlineLevel="0" collapsed="false">
      <c r="A323" s="0" t="s">
        <v>1186</v>
      </c>
      <c r="B323" s="6" t="s">
        <v>1185</v>
      </c>
      <c r="C323" s="0" t="s">
        <v>66</v>
      </c>
      <c r="D323" s="20" t="n">
        <f aca="false">In!D336</f>
        <v>0.22</v>
      </c>
      <c r="E323" s="20" t="n">
        <f aca="false">In!E336</f>
        <v>0.33</v>
      </c>
      <c r="F323" s="20" t="n">
        <f aca="false">In!F336</f>
        <v>0.4</v>
      </c>
      <c r="G323" s="0" t="str">
        <f aca="false">In!G336</f>
        <v>Assumed</v>
      </c>
      <c r="H323" s="12" t="s">
        <v>3543</v>
      </c>
    </row>
    <row r="324" customFormat="false" ht="17.15" hidden="false" customHeight="false" outlineLevel="0" collapsed="false">
      <c r="A324" s="0" t="s">
        <v>1190</v>
      </c>
      <c r="B324" s="6" t="s">
        <v>1188</v>
      </c>
      <c r="C324" s="0" t="s">
        <v>66</v>
      </c>
      <c r="D324" s="20" t="n">
        <f aca="false">In!D337</f>
        <v>0.01</v>
      </c>
      <c r="E324" s="20" t="n">
        <f aca="false">In!E337</f>
        <v>0.02</v>
      </c>
      <c r="F324" s="20" t="n">
        <f aca="false">In!F337</f>
        <v>0.03</v>
      </c>
      <c r="G324" s="0" t="str">
        <f aca="false">In!G337</f>
        <v>Assumed</v>
      </c>
      <c r="H324" s="12" t="s">
        <v>3544</v>
      </c>
    </row>
    <row r="325" customFormat="false" ht="17.15" hidden="false" customHeight="false" outlineLevel="0" collapsed="false">
      <c r="A325" s="0" t="s">
        <v>1195</v>
      </c>
      <c r="B325" s="6" t="s">
        <v>1193</v>
      </c>
      <c r="C325" s="0" t="s">
        <v>66</v>
      </c>
      <c r="D325" s="20" t="n">
        <f aca="false">In!D338</f>
        <v>0.01</v>
      </c>
      <c r="E325" s="20" t="n">
        <f aca="false">In!E338</f>
        <v>0.03</v>
      </c>
      <c r="F325" s="20" t="n">
        <f aca="false">In!F338</f>
        <v>0.05</v>
      </c>
      <c r="G325" s="0" t="str">
        <f aca="false">In!G338</f>
        <v>Assumed</v>
      </c>
      <c r="H325" s="12" t="s">
        <v>3545</v>
      </c>
    </row>
    <row r="326" customFormat="false" ht="17.15" hidden="false" customHeight="false" outlineLevel="0" collapsed="false">
      <c r="A326" s="0" t="s">
        <v>1198</v>
      </c>
      <c r="B326" s="6" t="s">
        <v>1197</v>
      </c>
      <c r="C326" s="0" t="s">
        <v>66</v>
      </c>
      <c r="D326" s="20" t="n">
        <f aca="false">In!D339</f>
        <v>0.01</v>
      </c>
      <c r="E326" s="20" t="n">
        <f aca="false">In!E339</f>
        <v>0.04</v>
      </c>
      <c r="F326" s="20" t="n">
        <f aca="false">In!F339</f>
        <v>0.06</v>
      </c>
      <c r="G326" s="0" t="str">
        <f aca="false">In!G339</f>
        <v>Assumed</v>
      </c>
      <c r="H326" s="12" t="s">
        <v>3546</v>
      </c>
    </row>
    <row r="327" customFormat="false" ht="17.15" hidden="false" customHeight="false" outlineLevel="0" collapsed="false">
      <c r="A327" s="0" t="s">
        <v>1201</v>
      </c>
      <c r="B327" s="6" t="s">
        <v>1200</v>
      </c>
      <c r="C327" s="0" t="s">
        <v>66</v>
      </c>
      <c r="D327" s="20" t="n">
        <f aca="false">In!D340</f>
        <v>0.01</v>
      </c>
      <c r="E327" s="20" t="n">
        <f aca="false">In!E340</f>
        <v>0.04</v>
      </c>
      <c r="F327" s="20" t="n">
        <f aca="false">In!F340</f>
        <v>0.06</v>
      </c>
      <c r="G327" s="0" t="str">
        <f aca="false">In!G340</f>
        <v>Assumed</v>
      </c>
      <c r="H327" s="12" t="s">
        <v>3547</v>
      </c>
    </row>
    <row r="328" customFormat="false" ht="17.15" hidden="false" customHeight="false" outlineLevel="0" collapsed="false">
      <c r="A328" s="0" t="s">
        <v>1205</v>
      </c>
      <c r="B328" s="6" t="s">
        <v>1203</v>
      </c>
      <c r="C328" s="0" t="s">
        <v>66</v>
      </c>
      <c r="D328" s="20" t="n">
        <f aca="false">In!D341</f>
        <v>0.03</v>
      </c>
      <c r="E328" s="20" t="n">
        <f aca="false">In!E341</f>
        <v>0.05</v>
      </c>
      <c r="F328" s="20" t="n">
        <f aca="false">In!F341</f>
        <v>0.08</v>
      </c>
      <c r="G328" s="0" t="str">
        <f aca="false">In!G341</f>
        <v>Assumed</v>
      </c>
      <c r="H328" s="12" t="s">
        <v>3548</v>
      </c>
    </row>
    <row r="329" customFormat="false" ht="17.15" hidden="false" customHeight="false" outlineLevel="0" collapsed="false">
      <c r="A329" s="0" t="s">
        <v>1209</v>
      </c>
      <c r="B329" s="6" t="s">
        <v>1208</v>
      </c>
      <c r="C329" s="0" t="s">
        <v>66</v>
      </c>
      <c r="D329" s="20" t="n">
        <f aca="false">In!D342</f>
        <v>0.03</v>
      </c>
      <c r="E329" s="20" t="n">
        <f aca="false">In!E342</f>
        <v>0.06</v>
      </c>
      <c r="F329" s="20" t="n">
        <f aca="false">In!F342</f>
        <v>0.09</v>
      </c>
      <c r="G329" s="0" t="str">
        <f aca="false">In!G342</f>
        <v>Assumed</v>
      </c>
      <c r="H329" s="12" t="s">
        <v>3549</v>
      </c>
    </row>
    <row r="330" customFormat="false" ht="17.15" hidden="false" customHeight="false" outlineLevel="0" collapsed="false">
      <c r="A330" s="0" t="s">
        <v>1212</v>
      </c>
      <c r="B330" s="6" t="s">
        <v>1211</v>
      </c>
      <c r="C330" s="0" t="s">
        <v>66</v>
      </c>
      <c r="D330" s="20" t="n">
        <f aca="false">In!D343</f>
        <v>0.03</v>
      </c>
      <c r="E330" s="20" t="n">
        <f aca="false">In!E343</f>
        <v>0.07</v>
      </c>
      <c r="F330" s="20" t="n">
        <f aca="false">In!F343</f>
        <v>0.1</v>
      </c>
      <c r="G330" s="0" t="str">
        <f aca="false">In!G343</f>
        <v>Assumed</v>
      </c>
      <c r="H330" s="12" t="s">
        <v>3550</v>
      </c>
    </row>
    <row r="331" customFormat="false" ht="17.15" hidden="false" customHeight="false" outlineLevel="0" collapsed="false">
      <c r="A331" s="0" t="s">
        <v>1215</v>
      </c>
      <c r="B331" s="6" t="s">
        <v>1214</v>
      </c>
      <c r="C331" s="0" t="s">
        <v>66</v>
      </c>
      <c r="D331" s="20" t="n">
        <f aca="false">In!D344</f>
        <v>0.03</v>
      </c>
      <c r="E331" s="20" t="n">
        <f aca="false">In!E344</f>
        <v>0.07</v>
      </c>
      <c r="F331" s="20" t="n">
        <f aca="false">In!F344</f>
        <v>0.1</v>
      </c>
      <c r="G331" s="0" t="str">
        <f aca="false">In!G344</f>
        <v>Assumed</v>
      </c>
      <c r="H331" s="12" t="s">
        <v>3551</v>
      </c>
    </row>
    <row r="332" customFormat="false" ht="17.15" hidden="false" customHeight="false" outlineLevel="0" collapsed="false">
      <c r="A332" s="0" t="s">
        <v>1219</v>
      </c>
      <c r="B332" s="6" t="s">
        <v>1217</v>
      </c>
      <c r="C332" s="0" t="s">
        <v>66</v>
      </c>
      <c r="D332" s="20" t="n">
        <f aca="false">In!D345</f>
        <v>0.01</v>
      </c>
      <c r="E332" s="20" t="n">
        <f aca="false">In!E345</f>
        <v>0.02</v>
      </c>
      <c r="F332" s="20" t="n">
        <f aca="false">In!F345</f>
        <v>0.05</v>
      </c>
      <c r="G332" s="0" t="str">
        <f aca="false">In!G345</f>
        <v>Assumed</v>
      </c>
      <c r="H332" s="12" t="s">
        <v>3552</v>
      </c>
    </row>
    <row r="333" customFormat="false" ht="17.15" hidden="false" customHeight="false" outlineLevel="0" collapsed="false">
      <c r="A333" s="0" t="s">
        <v>1224</v>
      </c>
      <c r="B333" s="6" t="s">
        <v>1222</v>
      </c>
      <c r="C333" s="0" t="s">
        <v>66</v>
      </c>
      <c r="D333" s="20" t="n">
        <f aca="false">In!D346</f>
        <v>0.01</v>
      </c>
      <c r="E333" s="20" t="n">
        <f aca="false">In!E346</f>
        <v>0.03</v>
      </c>
      <c r="F333" s="20" t="n">
        <f aca="false">In!F346</f>
        <v>0.1</v>
      </c>
      <c r="G333" s="0" t="str">
        <f aca="false">In!G346</f>
        <v>Assumed</v>
      </c>
      <c r="H333" s="12" t="s">
        <v>3553</v>
      </c>
    </row>
    <row r="334" customFormat="false" ht="17.15" hidden="false" customHeight="false" outlineLevel="0" collapsed="false">
      <c r="A334" s="0" t="s">
        <v>1227</v>
      </c>
      <c r="B334" s="6" t="s">
        <v>1226</v>
      </c>
      <c r="C334" s="0" t="s">
        <v>66</v>
      </c>
      <c r="D334" s="20" t="n">
        <f aca="false">In!D347</f>
        <v>0.02</v>
      </c>
      <c r="E334" s="20" t="n">
        <f aca="false">In!E347</f>
        <v>0.05</v>
      </c>
      <c r="F334" s="20" t="n">
        <f aca="false">In!F347</f>
        <v>0.15</v>
      </c>
      <c r="G334" s="0" t="str">
        <f aca="false">In!G347</f>
        <v>Assumed</v>
      </c>
      <c r="H334" s="12" t="s">
        <v>3554</v>
      </c>
    </row>
    <row r="335" customFormat="false" ht="17.15" hidden="false" customHeight="false" outlineLevel="0" collapsed="false">
      <c r="A335" s="0" t="s">
        <v>1230</v>
      </c>
      <c r="B335" s="6" t="s">
        <v>1229</v>
      </c>
      <c r="C335" s="0" t="s">
        <v>66</v>
      </c>
      <c r="D335" s="20" t="n">
        <f aca="false">In!D348</f>
        <v>0.02</v>
      </c>
      <c r="E335" s="20" t="n">
        <f aca="false">In!E348</f>
        <v>0.06</v>
      </c>
      <c r="F335" s="20" t="n">
        <f aca="false">In!F348</f>
        <v>0.15</v>
      </c>
      <c r="G335" s="0" t="str">
        <f aca="false">In!G348</f>
        <v>Assumed</v>
      </c>
      <c r="H335" s="12" t="s">
        <v>3555</v>
      </c>
    </row>
    <row r="336" customFormat="false" ht="17.15" hidden="false" customHeight="false" outlineLevel="0" collapsed="false">
      <c r="A336" s="0" t="s">
        <v>1234</v>
      </c>
      <c r="B336" s="6" t="s">
        <v>1232</v>
      </c>
      <c r="C336" s="0" t="s">
        <v>66</v>
      </c>
      <c r="D336" s="20" t="n">
        <f aca="false">In!D349</f>
        <v>0.02</v>
      </c>
      <c r="E336" s="20" t="n">
        <f aca="false">In!E349</f>
        <v>0.03</v>
      </c>
      <c r="F336" s="20" t="n">
        <f aca="false">In!F349</f>
        <v>0.05</v>
      </c>
      <c r="G336" s="0" t="str">
        <f aca="false">In!G349</f>
        <v>Assumed</v>
      </c>
      <c r="H336" s="12" t="s">
        <v>3556</v>
      </c>
    </row>
    <row r="337" customFormat="false" ht="17.15" hidden="false" customHeight="false" outlineLevel="0" collapsed="false">
      <c r="A337" s="0" t="s">
        <v>1237</v>
      </c>
      <c r="B337" s="6" t="s">
        <v>1236</v>
      </c>
      <c r="C337" s="0" t="s">
        <v>66</v>
      </c>
      <c r="D337" s="20" t="n">
        <f aca="false">In!D350</f>
        <v>0.02</v>
      </c>
      <c r="E337" s="20" t="n">
        <f aca="false">In!E350</f>
        <v>0.05</v>
      </c>
      <c r="F337" s="20" t="n">
        <f aca="false">In!F350</f>
        <v>0.08</v>
      </c>
      <c r="G337" s="0" t="str">
        <f aca="false">In!G350</f>
        <v>Assumed</v>
      </c>
      <c r="H337" s="12" t="s">
        <v>3557</v>
      </c>
    </row>
    <row r="338" customFormat="false" ht="17.15" hidden="false" customHeight="false" outlineLevel="0" collapsed="false">
      <c r="A338" s="0" t="s">
        <v>1240</v>
      </c>
      <c r="B338" s="6" t="s">
        <v>1239</v>
      </c>
      <c r="C338" s="0" t="s">
        <v>66</v>
      </c>
      <c r="D338" s="20" t="n">
        <f aca="false">In!D351</f>
        <v>0.03</v>
      </c>
      <c r="E338" s="20" t="n">
        <f aca="false">In!E351</f>
        <v>0.06</v>
      </c>
      <c r="F338" s="20" t="n">
        <f aca="false">In!F351</f>
        <v>0.1</v>
      </c>
      <c r="G338" s="0" t="str">
        <f aca="false">In!G351</f>
        <v>Assumed</v>
      </c>
      <c r="H338" s="12" t="s">
        <v>3558</v>
      </c>
    </row>
    <row r="339" customFormat="false" ht="17.15" hidden="false" customHeight="false" outlineLevel="0" collapsed="false">
      <c r="A339" s="0" t="s">
        <v>1243</v>
      </c>
      <c r="B339" s="6" t="s">
        <v>1242</v>
      </c>
      <c r="C339" s="0" t="s">
        <v>66</v>
      </c>
      <c r="D339" s="20" t="n">
        <f aca="false">In!D352</f>
        <v>0.03</v>
      </c>
      <c r="E339" s="20" t="n">
        <f aca="false">In!E352</f>
        <v>0.06</v>
      </c>
      <c r="F339" s="20" t="n">
        <f aca="false">In!F352</f>
        <v>0.1</v>
      </c>
      <c r="G339" s="0" t="str">
        <f aca="false">In!G352</f>
        <v>Assumed</v>
      </c>
      <c r="H339" s="12" t="s">
        <v>3559</v>
      </c>
    </row>
    <row r="340" customFormat="false" ht="17.15" hidden="false" customHeight="false" outlineLevel="0" collapsed="false">
      <c r="A340" s="0" t="s">
        <v>1247</v>
      </c>
      <c r="B340" s="0" t="s">
        <v>1245</v>
      </c>
      <c r="C340" s="0" t="s">
        <v>66</v>
      </c>
      <c r="D340" s="20" t="n">
        <f aca="false">In!D353</f>
        <v>0.08</v>
      </c>
      <c r="E340" s="20" t="n">
        <f aca="false">In!E353</f>
        <v>0.09</v>
      </c>
      <c r="F340" s="20" t="n">
        <f aca="false">In!F353</f>
        <v>0.1</v>
      </c>
      <c r="G340" s="0" t="str">
        <f aca="false">In!G353</f>
        <v>Derived</v>
      </c>
      <c r="H340" s="12" t="s">
        <v>3560</v>
      </c>
    </row>
    <row r="341" customFormat="false" ht="17.15" hidden="false" customHeight="false" outlineLevel="0" collapsed="false">
      <c r="A341" s="0" t="s">
        <v>1252</v>
      </c>
      <c r="B341" s="0" t="s">
        <v>1250</v>
      </c>
      <c r="C341" s="0" t="s">
        <v>66</v>
      </c>
      <c r="D341" s="20" t="n">
        <f aca="false">In!D354</f>
        <v>0.21</v>
      </c>
      <c r="E341" s="20" t="n">
        <f aca="false">In!E354</f>
        <v>0.24</v>
      </c>
      <c r="F341" s="20" t="n">
        <f aca="false">In!F354</f>
        <v>0.27</v>
      </c>
      <c r="G341" s="0" t="str">
        <f aca="false">In!G354</f>
        <v>Derived</v>
      </c>
      <c r="H341" s="12" t="s">
        <v>3561</v>
      </c>
    </row>
    <row r="342" customFormat="false" ht="17.15" hidden="false" customHeight="false" outlineLevel="0" collapsed="false">
      <c r="A342" s="0" t="s">
        <v>1257</v>
      </c>
      <c r="B342" s="0" t="s">
        <v>1255</v>
      </c>
      <c r="C342" s="0" t="s">
        <v>66</v>
      </c>
      <c r="D342" s="20" t="n">
        <f aca="false">In!D355</f>
        <v>0.29</v>
      </c>
      <c r="E342" s="20" t="n">
        <f aca="false">In!E355</f>
        <v>0.37</v>
      </c>
      <c r="F342" s="20" t="n">
        <f aca="false">In!F355</f>
        <v>0.42</v>
      </c>
      <c r="G342" s="0" t="str">
        <f aca="false">In!G355</f>
        <v>Derived</v>
      </c>
      <c r="H342" s="12" t="s">
        <v>3562</v>
      </c>
    </row>
    <row r="343" customFormat="false" ht="17.15" hidden="false" customHeight="false" outlineLevel="0" collapsed="false">
      <c r="A343" s="0" t="s">
        <v>1264</v>
      </c>
      <c r="B343" s="0" t="s">
        <v>1261</v>
      </c>
      <c r="C343" s="6" t="s">
        <v>1262</v>
      </c>
      <c r="D343" s="35" t="n">
        <f aca="false">In!D357</f>
        <v>11.2</v>
      </c>
      <c r="E343" s="35" t="n">
        <f aca="false">In!E357</f>
        <v>14</v>
      </c>
      <c r="F343" s="35" t="n">
        <f aca="false">In!F357</f>
        <v>16.8</v>
      </c>
      <c r="G343" s="0" t="str">
        <f aca="false">In!G357</f>
        <v>Derived</v>
      </c>
      <c r="H343" s="12" t="s">
        <v>3563</v>
      </c>
    </row>
    <row r="344" customFormat="false" ht="17.15" hidden="false" customHeight="false" outlineLevel="0" collapsed="false">
      <c r="A344" s="0" t="s">
        <v>1268</v>
      </c>
      <c r="B344" s="0" t="s">
        <v>1266</v>
      </c>
      <c r="C344" s="6" t="s">
        <v>1262</v>
      </c>
      <c r="D344" s="35" t="n">
        <f aca="false">In!D358</f>
        <v>6.4</v>
      </c>
      <c r="E344" s="35" t="n">
        <f aca="false">In!E358</f>
        <v>8</v>
      </c>
      <c r="F344" s="35" t="n">
        <f aca="false">In!F358</f>
        <v>9.6</v>
      </c>
      <c r="G344" s="0" t="str">
        <f aca="false">In!G358</f>
        <v>Derived</v>
      </c>
      <c r="H344" s="12" t="s">
        <v>3564</v>
      </c>
    </row>
    <row r="345" customFormat="false" ht="17.15" hidden="false" customHeight="false" outlineLevel="0" collapsed="false">
      <c r="A345" s="0" t="s">
        <v>1272</v>
      </c>
      <c r="B345" s="0" t="s">
        <v>1270</v>
      </c>
      <c r="C345" s="6" t="s">
        <v>1262</v>
      </c>
      <c r="D345" s="35" t="n">
        <f aca="false">In!D359</f>
        <v>3.2</v>
      </c>
      <c r="E345" s="35" t="n">
        <f aca="false">In!E359</f>
        <v>4</v>
      </c>
      <c r="F345" s="35" t="n">
        <f aca="false">In!F359</f>
        <v>4.8</v>
      </c>
      <c r="G345" s="0" t="str">
        <f aca="false">In!G359</f>
        <v>Assumed</v>
      </c>
      <c r="H345" s="12" t="s">
        <v>3565</v>
      </c>
    </row>
    <row r="346" customFormat="false" ht="17.15" hidden="false" customHeight="false" outlineLevel="0" collapsed="false">
      <c r="A346" s="0" t="s">
        <v>1276</v>
      </c>
      <c r="B346" s="0" t="s">
        <v>1274</v>
      </c>
      <c r="C346" s="6" t="s">
        <v>1262</v>
      </c>
      <c r="D346" s="35" t="n">
        <f aca="false">In!D360</f>
        <v>23.2</v>
      </c>
      <c r="E346" s="35" t="n">
        <f aca="false">In!E360</f>
        <v>29</v>
      </c>
      <c r="F346" s="35" t="n">
        <f aca="false">In!F360</f>
        <v>34.8</v>
      </c>
      <c r="G346" s="0" t="str">
        <f aca="false">In!G360</f>
        <v>Analogy</v>
      </c>
      <c r="H346" s="12" t="s">
        <v>3566</v>
      </c>
    </row>
    <row r="347" customFormat="false" ht="17.15" hidden="false" customHeight="false" outlineLevel="0" collapsed="false">
      <c r="A347" s="0" t="s">
        <v>1281</v>
      </c>
      <c r="B347" s="0" t="s">
        <v>1278</v>
      </c>
      <c r="C347" s="6" t="s">
        <v>1262</v>
      </c>
      <c r="D347" s="35" t="n">
        <f aca="false">In!D361</f>
        <v>6.8</v>
      </c>
      <c r="E347" s="35" t="n">
        <f aca="false">In!E361</f>
        <v>8.5</v>
      </c>
      <c r="F347" s="35" t="n">
        <f aca="false">In!F361</f>
        <v>10.2</v>
      </c>
      <c r="G347" s="0" t="str">
        <f aca="false">In!G361</f>
        <v>Derived／Analogy</v>
      </c>
      <c r="H347" s="12" t="s">
        <v>3567</v>
      </c>
    </row>
    <row r="348" customFormat="false" ht="17.15" hidden="false" customHeight="false" outlineLevel="0" collapsed="false">
      <c r="A348" s="0" t="s">
        <v>1285</v>
      </c>
      <c r="B348" s="0" t="s">
        <v>1283</v>
      </c>
      <c r="C348" s="6" t="s">
        <v>1262</v>
      </c>
      <c r="D348" s="35" t="n">
        <f aca="false">In!D362</f>
        <v>4.8</v>
      </c>
      <c r="E348" s="35" t="n">
        <f aca="false">In!E362</f>
        <v>6</v>
      </c>
      <c r="F348" s="35" t="n">
        <f aca="false">In!F362</f>
        <v>7.2</v>
      </c>
      <c r="G348" s="0" t="str">
        <f aca="false">In!G362</f>
        <v>Assumed</v>
      </c>
      <c r="H348" s="12" t="s">
        <v>3568</v>
      </c>
    </row>
    <row r="349" customFormat="false" ht="17.15" hidden="false" customHeight="false" outlineLevel="0" collapsed="false">
      <c r="A349" s="0" t="s">
        <v>1289</v>
      </c>
      <c r="B349" s="0" t="s">
        <v>1287</v>
      </c>
      <c r="C349" s="6" t="s">
        <v>1262</v>
      </c>
      <c r="D349" s="35" t="n">
        <f aca="false">In!D363</f>
        <v>22.4</v>
      </c>
      <c r="E349" s="35" t="n">
        <f aca="false">In!E363</f>
        <v>28</v>
      </c>
      <c r="F349" s="35" t="n">
        <f aca="false">In!F363</f>
        <v>33.6</v>
      </c>
      <c r="G349" s="0" t="str">
        <f aca="false">In!G363</f>
        <v>Derived／Assumed</v>
      </c>
      <c r="H349" s="12" t="s">
        <v>3569</v>
      </c>
    </row>
    <row r="350" customFormat="false" ht="17.15" hidden="false" customHeight="false" outlineLevel="0" collapsed="false">
      <c r="A350" s="0" t="s">
        <v>1293</v>
      </c>
      <c r="B350" s="0" t="s">
        <v>1291</v>
      </c>
      <c r="C350" s="6" t="s">
        <v>1262</v>
      </c>
      <c r="D350" s="35" t="n">
        <f aca="false">In!D364</f>
        <v>19.2</v>
      </c>
      <c r="E350" s="35" t="n">
        <f aca="false">In!E364</f>
        <v>24</v>
      </c>
      <c r="F350" s="35" t="n">
        <f aca="false">In!F364</f>
        <v>28.8</v>
      </c>
      <c r="G350" s="0" t="str">
        <f aca="false">In!G364</f>
        <v>Assumed</v>
      </c>
      <c r="H350" s="12" t="s">
        <v>3570</v>
      </c>
    </row>
    <row r="351" customFormat="false" ht="17.15" hidden="false" customHeight="false" outlineLevel="0" collapsed="false">
      <c r="A351" s="0" t="s">
        <v>1297</v>
      </c>
      <c r="B351" s="0" t="s">
        <v>1295</v>
      </c>
      <c r="C351" s="6" t="s">
        <v>1262</v>
      </c>
      <c r="D351" s="35" t="n">
        <f aca="false">In!D365</f>
        <v>24</v>
      </c>
      <c r="E351" s="35" t="n">
        <f aca="false">In!E365</f>
        <v>30</v>
      </c>
      <c r="F351" s="35" t="n">
        <f aca="false">In!F365</f>
        <v>36</v>
      </c>
      <c r="G351" s="0" t="str">
        <f aca="false">In!G365</f>
        <v>Derived／Assumed</v>
      </c>
      <c r="H351" s="12" t="s">
        <v>3571</v>
      </c>
    </row>
    <row r="352" customFormat="false" ht="17.15" hidden="false" customHeight="false" outlineLevel="0" collapsed="false">
      <c r="A352" s="0" t="s">
        <v>1301</v>
      </c>
      <c r="B352" s="0" t="s">
        <v>1299</v>
      </c>
      <c r="C352" s="6" t="s">
        <v>1262</v>
      </c>
      <c r="D352" s="35" t="n">
        <f aca="false">In!D366</f>
        <v>16</v>
      </c>
      <c r="E352" s="35" t="n">
        <f aca="false">In!E366</f>
        <v>20</v>
      </c>
      <c r="F352" s="35" t="n">
        <f aca="false">In!F366</f>
        <v>24</v>
      </c>
      <c r="G352" s="0" t="str">
        <f aca="false">In!G366</f>
        <v>Assumed</v>
      </c>
      <c r="H352" s="12" t="s">
        <v>3572</v>
      </c>
    </row>
    <row r="353" customFormat="false" ht="17.15" hidden="false" customHeight="false" outlineLevel="0" collapsed="false">
      <c r="A353" s="0" t="s">
        <v>1306</v>
      </c>
      <c r="B353" s="6" t="s">
        <v>1303</v>
      </c>
      <c r="C353" s="6" t="s">
        <v>1304</v>
      </c>
      <c r="D353" s="35" t="n">
        <f aca="false">In!D367</f>
        <v>100</v>
      </c>
      <c r="E353" s="35" t="n">
        <f aca="false">In!E367</f>
        <v>150</v>
      </c>
      <c r="F353" s="35" t="n">
        <f aca="false">In!F367</f>
        <v>200</v>
      </c>
      <c r="G353" s="0" t="str">
        <f aca="false">In!G367</f>
        <v>Assumed</v>
      </c>
      <c r="H353" s="12" t="s">
        <v>3573</v>
      </c>
    </row>
    <row r="354" customFormat="false" ht="17.15" hidden="false" customHeight="false" outlineLevel="0" collapsed="false">
      <c r="A354" s="0" t="s">
        <v>1311</v>
      </c>
      <c r="B354" s="6" t="s">
        <v>1309</v>
      </c>
      <c r="C354" s="0" t="s">
        <v>66</v>
      </c>
      <c r="D354" s="20" t="n">
        <f aca="false">In!D368</f>
        <v>0.15</v>
      </c>
      <c r="E354" s="20" t="n">
        <f aca="false">In!E368</f>
        <v>0.25</v>
      </c>
      <c r="F354" s="20" t="n">
        <f aca="false">In!F368</f>
        <v>0.35</v>
      </c>
      <c r="G354" s="0" t="str">
        <f aca="false">In!G368</f>
        <v>Assumed</v>
      </c>
      <c r="H354" s="12" t="s">
        <v>3574</v>
      </c>
    </row>
    <row r="355" customFormat="false" ht="17.15" hidden="false" customHeight="false" outlineLevel="0" collapsed="false">
      <c r="A355" s="0" t="s">
        <v>1317</v>
      </c>
      <c r="B355" s="0" t="s">
        <v>1314</v>
      </c>
      <c r="C355" s="6" t="s">
        <v>1315</v>
      </c>
      <c r="E355" s="35" t="n">
        <f aca="false">In!E369</f>
        <v>77.5</v>
      </c>
      <c r="G355" s="0" t="str">
        <f aca="false">In!G369</f>
        <v>Interested-party</v>
      </c>
      <c r="H355" s="12" t="s">
        <v>3575</v>
      </c>
    </row>
    <row r="356" customFormat="false" ht="17.15" hidden="false" customHeight="false" outlineLevel="0" collapsed="false">
      <c r="A356" s="0" t="s">
        <v>1321</v>
      </c>
      <c r="B356" s="0" t="s">
        <v>1319</v>
      </c>
      <c r="C356" s="6" t="s">
        <v>1315</v>
      </c>
      <c r="E356" s="35" t="n">
        <f aca="false">In!E370</f>
        <v>130</v>
      </c>
      <c r="G356" s="0" t="str">
        <f aca="false">In!G370</f>
        <v>Interested-party</v>
      </c>
      <c r="H356" s="12" t="s">
        <v>3576</v>
      </c>
    </row>
    <row r="357" customFormat="false" ht="17.15" hidden="false" customHeight="false" outlineLevel="0" collapsed="false">
      <c r="A357" s="0" t="s">
        <v>1325</v>
      </c>
      <c r="B357" s="0" t="s">
        <v>1323</v>
      </c>
      <c r="C357" s="6" t="s">
        <v>1315</v>
      </c>
      <c r="E357" s="35" t="n">
        <f aca="false">In!E371</f>
        <v>200</v>
      </c>
      <c r="G357" s="0" t="str">
        <f aca="false">In!G371</f>
        <v>Interested-party</v>
      </c>
      <c r="H357" s="12" t="s">
        <v>3577</v>
      </c>
    </row>
    <row r="358" customFormat="false" ht="17.15" hidden="false" customHeight="false" outlineLevel="0" collapsed="false">
      <c r="A358" s="0" t="s">
        <v>1329</v>
      </c>
      <c r="B358" s="0" t="s">
        <v>1327</v>
      </c>
      <c r="C358" s="6" t="s">
        <v>1315</v>
      </c>
      <c r="E358" s="35" t="n">
        <f aca="false">In!E372</f>
        <v>260</v>
      </c>
      <c r="G358" s="0" t="str">
        <f aca="false">In!G372</f>
        <v>Interested-party</v>
      </c>
      <c r="H358" s="12" t="s">
        <v>3578</v>
      </c>
    </row>
    <row r="359" customFormat="false" ht="17.15" hidden="false" customHeight="false" outlineLevel="0" collapsed="false">
      <c r="A359" s="0" t="s">
        <v>1333</v>
      </c>
      <c r="B359" s="0" t="s">
        <v>1331</v>
      </c>
      <c r="C359" s="6" t="s">
        <v>1315</v>
      </c>
      <c r="D359" s="35" t="n">
        <f aca="false">In!D373</f>
        <v>280</v>
      </c>
      <c r="E359" s="35" t="n">
        <f aca="false">In!E373</f>
        <v>320</v>
      </c>
      <c r="F359" s="35" t="n">
        <f aca="false">In!F373</f>
        <v>380</v>
      </c>
      <c r="G359" s="0" t="str">
        <f aca="false">In!G373</f>
        <v>Assumed</v>
      </c>
      <c r="H359" s="12" t="s">
        <v>3579</v>
      </c>
    </row>
    <row r="360" customFormat="false" ht="17.15" hidden="false" customHeight="false" outlineLevel="0" collapsed="false">
      <c r="A360" s="0" t="s">
        <v>1338</v>
      </c>
      <c r="B360" s="6" t="s">
        <v>1336</v>
      </c>
      <c r="C360" s="0" t="s">
        <v>66</v>
      </c>
      <c r="D360" s="20" t="n">
        <f aca="false">In!D374</f>
        <v>0.05</v>
      </c>
      <c r="E360" s="20" t="n">
        <f aca="false">In!E374</f>
        <v>0.1</v>
      </c>
      <c r="F360" s="20" t="n">
        <f aca="false">In!F374</f>
        <v>0.2</v>
      </c>
      <c r="G360" s="0" t="str">
        <f aca="false">In!G374</f>
        <v>Assumed</v>
      </c>
      <c r="H360" s="12" t="s">
        <v>3580</v>
      </c>
    </row>
    <row r="361" customFormat="false" ht="17.15" hidden="false" customHeight="false" outlineLevel="0" collapsed="false">
      <c r="A361" s="0" t="s">
        <v>1342</v>
      </c>
      <c r="B361" s="0" t="s">
        <v>1340</v>
      </c>
      <c r="C361" s="6" t="s">
        <v>1304</v>
      </c>
      <c r="E361" s="35" t="n">
        <f aca="false">In!E375</f>
        <v>1394</v>
      </c>
      <c r="G361" s="0" t="str">
        <f aca="false">In!G375</f>
        <v>Interested-party</v>
      </c>
      <c r="H361" s="12" t="s">
        <v>3581</v>
      </c>
    </row>
    <row r="362" customFormat="false" ht="17.15" hidden="false" customHeight="false" outlineLevel="0" collapsed="false">
      <c r="A362" s="0" t="s">
        <v>1346</v>
      </c>
      <c r="B362" s="0" t="s">
        <v>1344</v>
      </c>
      <c r="C362" s="6" t="s">
        <v>1304</v>
      </c>
      <c r="E362" s="35" t="n">
        <f aca="false">In!E376</f>
        <v>2509</v>
      </c>
      <c r="G362" s="0" t="str">
        <f aca="false">In!G376</f>
        <v>Interested-party</v>
      </c>
      <c r="H362" s="12" t="s">
        <v>3582</v>
      </c>
    </row>
    <row r="363" customFormat="false" ht="17.15" hidden="false" customHeight="false" outlineLevel="0" collapsed="false">
      <c r="A363" s="0" t="s">
        <v>1352</v>
      </c>
      <c r="B363" s="6" t="s">
        <v>1349</v>
      </c>
      <c r="C363" s="0" t="s">
        <v>1350</v>
      </c>
      <c r="E363" s="35" t="n">
        <f aca="false">In!E378</f>
        <v>7.72</v>
      </c>
      <c r="G363" s="0" t="str">
        <f aca="false">In!G378</f>
        <v>Interested-party</v>
      </c>
      <c r="H363" s="12" t="s">
        <v>3583</v>
      </c>
    </row>
    <row r="364" customFormat="false" ht="17.15" hidden="false" customHeight="false" outlineLevel="0" collapsed="false">
      <c r="A364" s="0" t="s">
        <v>1357</v>
      </c>
      <c r="B364" s="6" t="s">
        <v>1355</v>
      </c>
      <c r="C364" s="0" t="s">
        <v>66</v>
      </c>
      <c r="D364" s="20" t="n">
        <f aca="false">In!D379</f>
        <v>0.25</v>
      </c>
      <c r="E364" s="20" t="n">
        <f aca="false">In!E379</f>
        <v>0.32</v>
      </c>
      <c r="F364" s="20" t="n">
        <f aca="false">In!F379</f>
        <v>0.4</v>
      </c>
      <c r="G364" s="0" t="str">
        <f aca="false">In!G379</f>
        <v>Analogy</v>
      </c>
      <c r="H364" s="12" t="s">
        <v>3584</v>
      </c>
    </row>
    <row r="365" customFormat="false" ht="17.15" hidden="false" customHeight="false" outlineLevel="0" collapsed="false">
      <c r="A365" s="0" t="s">
        <v>1362</v>
      </c>
      <c r="B365" s="0" t="s">
        <v>1360</v>
      </c>
      <c r="C365" s="0" t="s">
        <v>66</v>
      </c>
      <c r="D365" s="20" t="n">
        <f aca="false">In!D380</f>
        <v>0.35</v>
      </c>
      <c r="E365" s="20" t="n">
        <f aca="false">In!E380</f>
        <v>0.45</v>
      </c>
      <c r="F365" s="20" t="n">
        <f aca="false">In!F380</f>
        <v>0.5</v>
      </c>
      <c r="G365" s="0" t="str">
        <f aca="false">In!G380</f>
        <v>Interested-party</v>
      </c>
      <c r="H365" s="12" t="s">
        <v>3585</v>
      </c>
    </row>
    <row r="366" customFormat="false" ht="17.15" hidden="false" customHeight="false" outlineLevel="0" collapsed="false">
      <c r="A366" s="0" t="s">
        <v>1367</v>
      </c>
      <c r="B366" s="6" t="s">
        <v>1365</v>
      </c>
      <c r="C366" s="0" t="s">
        <v>66</v>
      </c>
      <c r="D366" s="20" t="n">
        <f aca="false">In!D381</f>
        <v>0.5</v>
      </c>
      <c r="E366" s="20" t="n">
        <f aca="false">In!E381</f>
        <v>0.64</v>
      </c>
      <c r="F366" s="20" t="n">
        <f aca="false">In!F381</f>
        <v>0.8</v>
      </c>
      <c r="G366" s="0" t="str">
        <f aca="false">In!G381</f>
        <v>Derived</v>
      </c>
      <c r="H366" s="12" t="s">
        <v>3586</v>
      </c>
    </row>
    <row r="367" customFormat="false" ht="17.15" hidden="false" customHeight="false" outlineLevel="0" collapsed="false">
      <c r="A367" s="0" t="s">
        <v>1372</v>
      </c>
      <c r="B367" s="6" t="s">
        <v>1370</v>
      </c>
      <c r="C367" s="0" t="s">
        <v>500</v>
      </c>
      <c r="D367" s="35" t="n">
        <f aca="false">In!D382</f>
        <v>0.3</v>
      </c>
      <c r="E367" s="35" t="n">
        <f aca="false">In!E382</f>
        <v>0.5</v>
      </c>
      <c r="F367" s="35" t="n">
        <f aca="false">In!F382</f>
        <v>0.8</v>
      </c>
      <c r="G367" s="0" t="str">
        <f aca="false">In!G382</f>
        <v>Analogy</v>
      </c>
      <c r="H367" s="12" t="s">
        <v>3587</v>
      </c>
    </row>
    <row r="368" customFormat="false" ht="17.15" hidden="false" customHeight="false" outlineLevel="0" collapsed="false">
      <c r="A368" s="0" t="s">
        <v>1377</v>
      </c>
      <c r="B368" s="6" t="s">
        <v>1375</v>
      </c>
      <c r="C368" s="0" t="s">
        <v>66</v>
      </c>
      <c r="D368" s="20" t="n">
        <f aca="false">In!D383</f>
        <v>-0.02</v>
      </c>
      <c r="E368" s="20" t="n">
        <f aca="false">In!E383</f>
        <v>0.03</v>
      </c>
      <c r="F368" s="20" t="n">
        <f aca="false">In!F383</f>
        <v>0.06</v>
      </c>
      <c r="G368" s="0" t="str">
        <f aca="false">In!G383</f>
        <v>Assumed</v>
      </c>
      <c r="H368" s="12" t="s">
        <v>3588</v>
      </c>
    </row>
    <row r="369" customFormat="false" ht="17.15" hidden="false" customHeight="false" outlineLevel="0" collapsed="false">
      <c r="A369" s="0" t="s">
        <v>1382</v>
      </c>
      <c r="B369" s="0" t="s">
        <v>1380</v>
      </c>
      <c r="C369" s="0" t="s">
        <v>1350</v>
      </c>
      <c r="D369" s="35" t="n">
        <f aca="false">In!D384</f>
        <v>1.85</v>
      </c>
      <c r="E369" s="35" t="n">
        <f aca="false">In!E384</f>
        <v>2.1</v>
      </c>
      <c r="F369" s="35" t="n">
        <f aca="false">In!F384</f>
        <v>2.35</v>
      </c>
      <c r="G369" s="0" t="str">
        <f aca="false">In!G384</f>
        <v>Assumed</v>
      </c>
      <c r="H369" s="12" t="s">
        <v>3589</v>
      </c>
    </row>
    <row r="370" customFormat="false" ht="17.15" hidden="false" customHeight="false" outlineLevel="0" collapsed="false">
      <c r="A370" s="0" t="s">
        <v>1387</v>
      </c>
      <c r="B370" s="6" t="s">
        <v>1385</v>
      </c>
      <c r="C370" s="0" t="s">
        <v>1350</v>
      </c>
      <c r="E370" s="35" t="n">
        <f aca="false">In!E385</f>
        <v>3.07</v>
      </c>
      <c r="G370" s="0" t="str">
        <f aca="false">In!G385</f>
        <v>Derived</v>
      </c>
      <c r="H370" s="12" t="s">
        <v>3590</v>
      </c>
    </row>
    <row r="371" customFormat="false" ht="17.15" hidden="false" customHeight="false" outlineLevel="0" collapsed="false">
      <c r="A371" s="0" t="s">
        <v>1392</v>
      </c>
      <c r="B371" s="6" t="s">
        <v>1390</v>
      </c>
      <c r="C371" s="0" t="s">
        <v>1350</v>
      </c>
      <c r="E371" s="35" t="n">
        <f aca="false">In!E386</f>
        <v>1.06</v>
      </c>
      <c r="G371" s="0" t="str">
        <f aca="false">In!G386</f>
        <v>Derived</v>
      </c>
      <c r="H371" s="12" t="s">
        <v>3591</v>
      </c>
    </row>
    <row r="372" customFormat="false" ht="17.15" hidden="false" customHeight="false" outlineLevel="0" collapsed="false">
      <c r="A372" s="0" t="s">
        <v>1396</v>
      </c>
      <c r="B372" s="6" t="s">
        <v>1394</v>
      </c>
      <c r="C372" s="0" t="s">
        <v>1350</v>
      </c>
      <c r="E372" s="35" t="n">
        <f aca="false">In!E387</f>
        <v>0.7</v>
      </c>
      <c r="G372" s="0" t="str">
        <f aca="false">In!G387</f>
        <v>Derived</v>
      </c>
      <c r="H372" s="12" t="s">
        <v>3592</v>
      </c>
    </row>
    <row r="373" customFormat="false" ht="17.15" hidden="false" customHeight="false" outlineLevel="0" collapsed="false">
      <c r="A373" s="0" t="s">
        <v>1399</v>
      </c>
      <c r="B373" s="0" t="s">
        <v>1398</v>
      </c>
      <c r="C373" s="0" t="s">
        <v>500</v>
      </c>
      <c r="D373" s="35" t="n">
        <f aca="false">In!D388</f>
        <v>1.1</v>
      </c>
      <c r="E373" s="35" t="n">
        <f aca="false">In!E388</f>
        <v>1.25</v>
      </c>
      <c r="F373" s="35" t="n">
        <f aca="false">In!F388</f>
        <v>1.4</v>
      </c>
      <c r="G373" s="0" t="str">
        <f aca="false">In!G388</f>
        <v>Assumed</v>
      </c>
      <c r="H373" s="12" t="s">
        <v>3593</v>
      </c>
    </row>
    <row r="374" customFormat="false" ht="17.15" hidden="false" customHeight="false" outlineLevel="0" collapsed="false">
      <c r="A374" s="0" t="s">
        <v>1403</v>
      </c>
      <c r="B374" s="0" t="s">
        <v>1402</v>
      </c>
      <c r="C374" s="0" t="s">
        <v>500</v>
      </c>
      <c r="D374" s="35" t="n">
        <f aca="false">In!D389</f>
        <v>1.3</v>
      </c>
      <c r="E374" s="35" t="n">
        <f aca="false">In!E389</f>
        <v>1.55</v>
      </c>
      <c r="F374" s="35" t="n">
        <f aca="false">In!F389</f>
        <v>1.8</v>
      </c>
      <c r="G374" s="0" t="str">
        <f aca="false">In!G389</f>
        <v>Assumed</v>
      </c>
      <c r="H374" s="12" t="s">
        <v>3594</v>
      </c>
    </row>
    <row r="375" customFormat="false" ht="17.15" hidden="false" customHeight="false" outlineLevel="0" collapsed="false">
      <c r="A375" s="0" t="s">
        <v>1406</v>
      </c>
      <c r="B375" s="0" t="s">
        <v>1405</v>
      </c>
      <c r="C375" s="0" t="s">
        <v>500</v>
      </c>
      <c r="D375" s="35" t="n">
        <f aca="false">In!D390</f>
        <v>1.5</v>
      </c>
      <c r="E375" s="35" t="n">
        <f aca="false">In!E390</f>
        <v>1.8</v>
      </c>
      <c r="F375" s="35" t="n">
        <f aca="false">In!F390</f>
        <v>2.1</v>
      </c>
      <c r="G375" s="0" t="str">
        <f aca="false">In!G390</f>
        <v>Assumed</v>
      </c>
      <c r="H375" s="12" t="s">
        <v>3595</v>
      </c>
    </row>
    <row r="376" customFormat="false" ht="17.15" hidden="false" customHeight="false" outlineLevel="0" collapsed="false">
      <c r="A376" s="0" t="s">
        <v>1410</v>
      </c>
      <c r="B376" s="0" t="s">
        <v>1408</v>
      </c>
      <c r="C376" s="0" t="s">
        <v>500</v>
      </c>
      <c r="D376" s="35" t="n">
        <f aca="false">In!D391</f>
        <v>1.25</v>
      </c>
      <c r="E376" s="35" t="n">
        <f aca="false">In!E391</f>
        <v>1.35</v>
      </c>
      <c r="F376" s="35" t="n">
        <f aca="false">In!F391</f>
        <v>1.45</v>
      </c>
      <c r="G376" s="0" t="str">
        <f aca="false">In!G391</f>
        <v>Assumed</v>
      </c>
      <c r="H376" s="12" t="s">
        <v>3596</v>
      </c>
    </row>
    <row r="377" customFormat="false" ht="17.15" hidden="false" customHeight="false" outlineLevel="0" collapsed="false">
      <c r="A377" s="0" t="s">
        <v>1414</v>
      </c>
      <c r="B377" s="0" t="s">
        <v>1413</v>
      </c>
      <c r="C377" s="0" t="s">
        <v>500</v>
      </c>
      <c r="D377" s="35" t="n">
        <f aca="false">In!D392</f>
        <v>1.5</v>
      </c>
      <c r="E377" s="35" t="n">
        <f aca="false">In!E392</f>
        <v>1.7</v>
      </c>
      <c r="F377" s="35" t="n">
        <f aca="false">In!F392</f>
        <v>1.9</v>
      </c>
      <c r="G377" s="0" t="str">
        <f aca="false">In!G392</f>
        <v>Assumed</v>
      </c>
      <c r="H377" s="12" t="s">
        <v>3597</v>
      </c>
    </row>
    <row r="378" customFormat="false" ht="17.15" hidden="false" customHeight="false" outlineLevel="0" collapsed="false">
      <c r="A378" s="0" t="s">
        <v>1418</v>
      </c>
      <c r="B378" s="0" t="s">
        <v>1417</v>
      </c>
      <c r="C378" s="0" t="s">
        <v>500</v>
      </c>
      <c r="D378" s="35" t="n">
        <f aca="false">In!D393</f>
        <v>1.7</v>
      </c>
      <c r="E378" s="35" t="n">
        <f aca="false">In!E393</f>
        <v>2</v>
      </c>
      <c r="F378" s="35" t="n">
        <f aca="false">In!F393</f>
        <v>2.3</v>
      </c>
      <c r="G378" s="0" t="str">
        <f aca="false">In!G393</f>
        <v>Assumed</v>
      </c>
      <c r="H378" s="12" t="s">
        <v>3598</v>
      </c>
    </row>
    <row r="379" customFormat="false" ht="17.15" hidden="false" customHeight="false" outlineLevel="0" collapsed="false">
      <c r="A379" s="0" t="s">
        <v>1421</v>
      </c>
      <c r="B379" s="0" t="s">
        <v>1408</v>
      </c>
      <c r="C379" s="0" t="s">
        <v>500</v>
      </c>
      <c r="D379" s="35" t="n">
        <f aca="false">In!D394</f>
        <v>1.1</v>
      </c>
      <c r="E379" s="35" t="n">
        <f aca="false">In!E394</f>
        <v>1.2</v>
      </c>
      <c r="F379" s="35" t="n">
        <f aca="false">In!F394</f>
        <v>1.3</v>
      </c>
      <c r="G379" s="0" t="str">
        <f aca="false">In!G394</f>
        <v>Assumed</v>
      </c>
      <c r="H379" s="12" t="s">
        <v>3599</v>
      </c>
    </row>
    <row r="380" customFormat="false" ht="17.15" hidden="false" customHeight="false" outlineLevel="0" collapsed="false">
      <c r="A380" s="0" t="s">
        <v>1424</v>
      </c>
      <c r="B380" s="0" t="s">
        <v>1413</v>
      </c>
      <c r="C380" s="0" t="s">
        <v>500</v>
      </c>
      <c r="D380" s="35" t="n">
        <f aca="false">In!D395</f>
        <v>1.2</v>
      </c>
      <c r="E380" s="35" t="n">
        <f aca="false">In!E395</f>
        <v>1.35</v>
      </c>
      <c r="F380" s="35" t="n">
        <f aca="false">In!F395</f>
        <v>1.5</v>
      </c>
      <c r="G380" s="0" t="str">
        <f aca="false">In!G395</f>
        <v>Assumed</v>
      </c>
      <c r="H380" s="12" t="s">
        <v>3600</v>
      </c>
    </row>
    <row r="381" customFormat="false" ht="17.15" hidden="false" customHeight="false" outlineLevel="0" collapsed="false">
      <c r="A381" s="0" t="s">
        <v>1427</v>
      </c>
      <c r="B381" s="0" t="s">
        <v>1417</v>
      </c>
      <c r="C381" s="0" t="s">
        <v>500</v>
      </c>
      <c r="D381" s="35" t="n">
        <f aca="false">In!D396</f>
        <v>1.35</v>
      </c>
      <c r="E381" s="35" t="n">
        <f aca="false">In!E396</f>
        <v>1.6</v>
      </c>
      <c r="F381" s="35" t="n">
        <f aca="false">In!F396</f>
        <v>1.85</v>
      </c>
      <c r="G381" s="0" t="str">
        <f aca="false">In!G396</f>
        <v>Assumed</v>
      </c>
      <c r="H381" s="12" t="s">
        <v>3601</v>
      </c>
    </row>
    <row r="382" customFormat="false" ht="17.15" hidden="false" customHeight="false" outlineLevel="0" collapsed="false">
      <c r="A382" s="0" t="s">
        <v>1430</v>
      </c>
      <c r="B382" s="0" t="s">
        <v>1408</v>
      </c>
      <c r="C382" s="0" t="s">
        <v>500</v>
      </c>
      <c r="D382" s="35" t="n">
        <f aca="false">In!D397</f>
        <v>1.1</v>
      </c>
      <c r="E382" s="35" t="n">
        <f aca="false">In!E397</f>
        <v>1.2</v>
      </c>
      <c r="F382" s="35" t="n">
        <f aca="false">In!F397</f>
        <v>1.25</v>
      </c>
      <c r="G382" s="0" t="str">
        <f aca="false">In!G397</f>
        <v>Interested-party</v>
      </c>
      <c r="H382" s="12" t="s">
        <v>3602</v>
      </c>
    </row>
    <row r="383" customFormat="false" ht="17.15" hidden="false" customHeight="false" outlineLevel="0" collapsed="false">
      <c r="A383" s="0" t="s">
        <v>1434</v>
      </c>
      <c r="B383" s="0" t="s">
        <v>1413</v>
      </c>
      <c r="C383" s="0" t="s">
        <v>500</v>
      </c>
      <c r="D383" s="35" t="n">
        <f aca="false">In!D398</f>
        <v>1.3</v>
      </c>
      <c r="E383" s="35" t="n">
        <f aca="false">In!E398</f>
        <v>1.5</v>
      </c>
      <c r="F383" s="35" t="n">
        <f aca="false">In!F398</f>
        <v>1.62</v>
      </c>
      <c r="G383" s="0" t="str">
        <f aca="false">In!G398</f>
        <v>Assumed</v>
      </c>
      <c r="H383" s="12" t="s">
        <v>3603</v>
      </c>
    </row>
    <row r="384" customFormat="false" ht="17.15" hidden="false" customHeight="false" outlineLevel="0" collapsed="false">
      <c r="A384" s="0" t="s">
        <v>1437</v>
      </c>
      <c r="B384" s="0" t="s">
        <v>1417</v>
      </c>
      <c r="C384" s="0" t="s">
        <v>500</v>
      </c>
      <c r="D384" s="35" t="n">
        <f aca="false">In!D399</f>
        <v>1.55</v>
      </c>
      <c r="E384" s="35" t="n">
        <f aca="false">In!E399</f>
        <v>1.85</v>
      </c>
      <c r="F384" s="35" t="n">
        <f aca="false">In!F399</f>
        <v>2</v>
      </c>
      <c r="G384" s="0" t="str">
        <f aca="false">In!G399</f>
        <v>Assumed</v>
      </c>
      <c r="H384" s="12" t="s">
        <v>3604</v>
      </c>
    </row>
    <row r="385" customFormat="false" ht="17.15" hidden="false" customHeight="false" outlineLevel="0" collapsed="false">
      <c r="A385" s="0" t="s">
        <v>1441</v>
      </c>
      <c r="B385" s="6" t="s">
        <v>1439</v>
      </c>
      <c r="C385" s="0" t="s">
        <v>500</v>
      </c>
      <c r="D385" s="35" t="n">
        <f aca="false">In!D400</f>
        <v>1.05</v>
      </c>
      <c r="E385" s="35" t="n">
        <f aca="false">In!E400</f>
        <v>1.15</v>
      </c>
      <c r="F385" s="35" t="n">
        <f aca="false">In!F400</f>
        <v>1.3</v>
      </c>
      <c r="G385" s="0" t="str">
        <f aca="false">In!G400</f>
        <v>Assumed</v>
      </c>
      <c r="H385" s="12" t="s">
        <v>3605</v>
      </c>
    </row>
    <row r="386" customFormat="false" ht="17.15" hidden="false" customHeight="false" outlineLevel="0" collapsed="false">
      <c r="A386" s="0" t="s">
        <v>1445</v>
      </c>
      <c r="B386" s="6" t="s">
        <v>1444</v>
      </c>
      <c r="C386" s="0" t="s">
        <v>500</v>
      </c>
      <c r="D386" s="35" t="n">
        <f aca="false">In!D401</f>
        <v>1.15</v>
      </c>
      <c r="E386" s="35" t="n">
        <f aca="false">In!E401</f>
        <v>1.3</v>
      </c>
      <c r="F386" s="35" t="n">
        <f aca="false">In!F401</f>
        <v>1.55</v>
      </c>
      <c r="G386" s="0" t="str">
        <f aca="false">In!G401</f>
        <v>Assumed</v>
      </c>
      <c r="H386" s="12" t="s">
        <v>3606</v>
      </c>
    </row>
    <row r="387" customFormat="false" ht="17.15" hidden="false" customHeight="false" outlineLevel="0" collapsed="false">
      <c r="A387" s="0" t="s">
        <v>1448</v>
      </c>
      <c r="B387" s="6" t="s">
        <v>1447</v>
      </c>
      <c r="C387" s="0" t="s">
        <v>500</v>
      </c>
      <c r="D387" s="35" t="n">
        <f aca="false">In!D402</f>
        <v>1.25</v>
      </c>
      <c r="E387" s="35" t="n">
        <f aca="false">In!E402</f>
        <v>1.45</v>
      </c>
      <c r="F387" s="35" t="n">
        <f aca="false">In!F402</f>
        <v>1.75</v>
      </c>
      <c r="G387" s="0" t="str">
        <f aca="false">In!G402</f>
        <v>Assumed</v>
      </c>
      <c r="H387" s="12" t="s">
        <v>3607</v>
      </c>
    </row>
    <row r="388" customFormat="false" ht="17.15" hidden="false" customHeight="false" outlineLevel="0" collapsed="false">
      <c r="A388" s="0" t="s">
        <v>1452</v>
      </c>
      <c r="B388" s="0" t="s">
        <v>1450</v>
      </c>
      <c r="C388" s="0" t="s">
        <v>500</v>
      </c>
      <c r="D388" s="35" t="n">
        <f aca="false">In!D403</f>
        <v>1.15</v>
      </c>
      <c r="E388" s="35" t="n">
        <f aca="false">In!E403</f>
        <v>1.3</v>
      </c>
      <c r="F388" s="35" t="n">
        <f aca="false">In!F403</f>
        <v>1.45</v>
      </c>
      <c r="G388" s="0" t="str">
        <f aca="false">In!G403</f>
        <v>Assumed</v>
      </c>
      <c r="H388" s="12" t="s">
        <v>3608</v>
      </c>
    </row>
    <row r="389" customFormat="false" ht="17.15" hidden="false" customHeight="false" outlineLevel="0" collapsed="false">
      <c r="A389" s="0" t="s">
        <v>1456</v>
      </c>
      <c r="B389" s="0" t="s">
        <v>1455</v>
      </c>
      <c r="C389" s="0" t="s">
        <v>500</v>
      </c>
      <c r="D389" s="35" t="n">
        <f aca="false">In!D404</f>
        <v>1.3</v>
      </c>
      <c r="E389" s="35" t="n">
        <f aca="false">In!E404</f>
        <v>1.55</v>
      </c>
      <c r="F389" s="35" t="n">
        <f aca="false">In!F404</f>
        <v>1.85</v>
      </c>
      <c r="G389" s="0" t="str">
        <f aca="false">In!G404</f>
        <v>Assumed</v>
      </c>
      <c r="H389" s="12" t="s">
        <v>3609</v>
      </c>
    </row>
    <row r="390" customFormat="false" ht="17.15" hidden="false" customHeight="false" outlineLevel="0" collapsed="false">
      <c r="A390" s="0" t="s">
        <v>1459</v>
      </c>
      <c r="B390" s="0" t="s">
        <v>1458</v>
      </c>
      <c r="C390" s="0" t="s">
        <v>500</v>
      </c>
      <c r="D390" s="35" t="n">
        <f aca="false">In!D405</f>
        <v>1.45</v>
      </c>
      <c r="E390" s="35" t="n">
        <f aca="false">In!E405</f>
        <v>1.8</v>
      </c>
      <c r="F390" s="35" t="n">
        <f aca="false">In!F405</f>
        <v>2.25</v>
      </c>
      <c r="G390" s="0" t="str">
        <f aca="false">In!G405</f>
        <v>Assumed</v>
      </c>
      <c r="H390" s="12" t="s">
        <v>3610</v>
      </c>
    </row>
    <row r="391" customFormat="false" ht="17.15" hidden="false" customHeight="false" outlineLevel="0" collapsed="false">
      <c r="A391" s="0" t="s">
        <v>1465</v>
      </c>
      <c r="B391" s="6" t="s">
        <v>1462</v>
      </c>
      <c r="C391" s="0" t="s">
        <v>1463</v>
      </c>
      <c r="D391" s="35" t="n">
        <f aca="false">In!D407</f>
        <v>200</v>
      </c>
      <c r="E391" s="35" t="n">
        <f aca="false">In!E407</f>
        <v>280</v>
      </c>
      <c r="F391" s="35" t="n">
        <f aca="false">In!F407</f>
        <v>360</v>
      </c>
      <c r="G391" s="0" t="str">
        <f aca="false">In!G407</f>
        <v>Assumed</v>
      </c>
      <c r="H391" s="12" t="s">
        <v>3611</v>
      </c>
    </row>
    <row r="392" customFormat="false" ht="17.15" hidden="false" customHeight="false" outlineLevel="0" collapsed="false">
      <c r="A392" s="0" t="s">
        <v>1470</v>
      </c>
      <c r="B392" s="6" t="s">
        <v>1468</v>
      </c>
      <c r="C392" s="0" t="s">
        <v>1463</v>
      </c>
      <c r="D392" s="35" t="n">
        <f aca="false">In!D408</f>
        <v>80</v>
      </c>
      <c r="E392" s="35" t="n">
        <f aca="false">In!E408</f>
        <v>120</v>
      </c>
      <c r="F392" s="35" t="n">
        <f aca="false">In!F408</f>
        <v>160</v>
      </c>
      <c r="G392" s="0" t="str">
        <f aca="false">In!G408</f>
        <v>Assumed</v>
      </c>
      <c r="H392" s="12" t="s">
        <v>3612</v>
      </c>
    </row>
    <row r="393" customFormat="false" ht="17.15" hidden="false" customHeight="false" outlineLevel="0" collapsed="false">
      <c r="A393" s="0" t="s">
        <v>1475</v>
      </c>
      <c r="B393" s="6" t="s">
        <v>1473</v>
      </c>
      <c r="C393" s="0" t="s">
        <v>1463</v>
      </c>
      <c r="D393" s="35" t="n">
        <f aca="false">In!D409</f>
        <v>30</v>
      </c>
      <c r="E393" s="35" t="n">
        <f aca="false">In!E409</f>
        <v>50</v>
      </c>
      <c r="F393" s="35" t="n">
        <f aca="false">In!F409</f>
        <v>80</v>
      </c>
      <c r="G393" s="0" t="str">
        <f aca="false">In!G409</f>
        <v>Assumed</v>
      </c>
      <c r="H393" s="12" t="s">
        <v>3613</v>
      </c>
    </row>
    <row r="394" customFormat="false" ht="17.15" hidden="false" customHeight="false" outlineLevel="0" collapsed="false">
      <c r="A394" s="0" t="s">
        <v>1480</v>
      </c>
      <c r="B394" s="6" t="s">
        <v>1478</v>
      </c>
      <c r="C394" s="0" t="s">
        <v>500</v>
      </c>
      <c r="D394" s="35" t="n">
        <f aca="false">In!D410</f>
        <v>1.25</v>
      </c>
      <c r="E394" s="35" t="n">
        <f aca="false">In!E410</f>
        <v>1.5</v>
      </c>
      <c r="F394" s="35" t="n">
        <f aca="false">In!F410</f>
        <v>1.75</v>
      </c>
      <c r="G394" s="0" t="str">
        <f aca="false">In!G410</f>
        <v>Analogy</v>
      </c>
      <c r="H394" s="12" t="s">
        <v>3614</v>
      </c>
    </row>
    <row r="395" customFormat="false" ht="17.15" hidden="false" customHeight="false" outlineLevel="0" collapsed="false">
      <c r="A395" s="0" t="s">
        <v>1484</v>
      </c>
      <c r="B395" s="6" t="s">
        <v>1483</v>
      </c>
      <c r="C395" s="0" t="s">
        <v>500</v>
      </c>
      <c r="D395" s="35" t="n">
        <f aca="false">In!D411</f>
        <v>1.35</v>
      </c>
      <c r="E395" s="35" t="n">
        <f aca="false">In!E411</f>
        <v>1.65</v>
      </c>
      <c r="F395" s="35" t="n">
        <f aca="false">In!F411</f>
        <v>2</v>
      </c>
      <c r="G395" s="0" t="str">
        <f aca="false">In!G411</f>
        <v>Analogy</v>
      </c>
      <c r="H395" s="12" t="s">
        <v>3615</v>
      </c>
    </row>
    <row r="396" customFormat="false" ht="17.15" hidden="false" customHeight="false" outlineLevel="0" collapsed="false">
      <c r="A396" s="0" t="s">
        <v>1487</v>
      </c>
      <c r="B396" s="6" t="s">
        <v>1486</v>
      </c>
      <c r="C396" s="0" t="s">
        <v>500</v>
      </c>
      <c r="D396" s="35" t="n">
        <f aca="false">In!D412</f>
        <v>1.4</v>
      </c>
      <c r="E396" s="35" t="n">
        <f aca="false">In!E412</f>
        <v>1.8</v>
      </c>
      <c r="F396" s="35" t="n">
        <f aca="false">In!F412</f>
        <v>2.2</v>
      </c>
      <c r="G396" s="0" t="str">
        <f aca="false">In!G412</f>
        <v>Analogy</v>
      </c>
      <c r="H396" s="12" t="s">
        <v>3616</v>
      </c>
    </row>
    <row r="397" customFormat="false" ht="17.15" hidden="false" customHeight="false" outlineLevel="0" collapsed="false">
      <c r="A397" s="0" t="s">
        <v>1491</v>
      </c>
      <c r="B397" s="6" t="s">
        <v>1489</v>
      </c>
      <c r="C397" s="0" t="s">
        <v>500</v>
      </c>
      <c r="D397" s="35" t="n">
        <f aca="false">In!D413</f>
        <v>1.15</v>
      </c>
      <c r="E397" s="35" t="n">
        <f aca="false">In!E413</f>
        <v>1.35</v>
      </c>
      <c r="F397" s="35" t="n">
        <f aca="false">In!F413</f>
        <v>1.6</v>
      </c>
      <c r="G397" s="0" t="str">
        <f aca="false">In!G413</f>
        <v>Assumed</v>
      </c>
      <c r="H397" s="12" t="s">
        <v>3617</v>
      </c>
    </row>
    <row r="398" customFormat="false" ht="17.15" hidden="false" customHeight="false" outlineLevel="0" collapsed="false">
      <c r="A398" s="0" t="s">
        <v>1495</v>
      </c>
      <c r="B398" s="6" t="s">
        <v>1494</v>
      </c>
      <c r="C398" s="0" t="s">
        <v>500</v>
      </c>
      <c r="D398" s="35" t="n">
        <f aca="false">In!D414</f>
        <v>1.25</v>
      </c>
      <c r="E398" s="35" t="n">
        <f aca="false">In!E414</f>
        <v>1.5</v>
      </c>
      <c r="F398" s="35" t="n">
        <f aca="false">In!F414</f>
        <v>1.85</v>
      </c>
      <c r="G398" s="0" t="str">
        <f aca="false">In!G414</f>
        <v>Assumed</v>
      </c>
      <c r="H398" s="12" t="s">
        <v>3618</v>
      </c>
    </row>
    <row r="399" customFormat="false" ht="17.15" hidden="false" customHeight="false" outlineLevel="0" collapsed="false">
      <c r="A399" s="0" t="s">
        <v>1498</v>
      </c>
      <c r="B399" s="6" t="s">
        <v>1497</v>
      </c>
      <c r="C399" s="0" t="s">
        <v>500</v>
      </c>
      <c r="D399" s="35" t="n">
        <f aca="false">In!D415</f>
        <v>1.3</v>
      </c>
      <c r="E399" s="35" t="n">
        <f aca="false">In!E415</f>
        <v>1.65</v>
      </c>
      <c r="F399" s="35" t="n">
        <f aca="false">In!F415</f>
        <v>2.1</v>
      </c>
      <c r="G399" s="0" t="str">
        <f aca="false">In!G415</f>
        <v>Assumed</v>
      </c>
      <c r="H399" s="12" t="s">
        <v>3619</v>
      </c>
    </row>
    <row r="400" customFormat="false" ht="17.15" hidden="false" customHeight="false" outlineLevel="0" collapsed="false">
      <c r="A400" s="0" t="s">
        <v>1502</v>
      </c>
      <c r="B400" s="6" t="s">
        <v>1500</v>
      </c>
      <c r="C400" s="0" t="s">
        <v>500</v>
      </c>
      <c r="D400" s="35" t="n">
        <f aca="false">In!D416</f>
        <v>1.4</v>
      </c>
      <c r="E400" s="35" t="n">
        <f aca="false">In!E416</f>
        <v>2</v>
      </c>
      <c r="F400" s="35" t="n">
        <f aca="false">In!F416</f>
        <v>2.6</v>
      </c>
      <c r="G400" s="0" t="str">
        <f aca="false">In!G416</f>
        <v>Assumed</v>
      </c>
      <c r="H400" s="12" t="s">
        <v>3620</v>
      </c>
    </row>
    <row r="401" customFormat="false" ht="17.15" hidden="false" customHeight="false" outlineLevel="0" collapsed="false">
      <c r="A401" s="0" t="s">
        <v>1506</v>
      </c>
      <c r="B401" s="6" t="s">
        <v>1505</v>
      </c>
      <c r="C401" s="0" t="s">
        <v>500</v>
      </c>
      <c r="D401" s="35" t="n">
        <f aca="false">In!D417</f>
        <v>1.8</v>
      </c>
      <c r="E401" s="35" t="n">
        <f aca="false">In!E417</f>
        <v>3</v>
      </c>
      <c r="F401" s="35" t="n">
        <f aca="false">In!F417</f>
        <v>4</v>
      </c>
      <c r="G401" s="0" t="str">
        <f aca="false">In!G417</f>
        <v>Assumed</v>
      </c>
      <c r="H401" s="12" t="s">
        <v>3621</v>
      </c>
    </row>
    <row r="402" customFormat="false" ht="17.15" hidden="false" customHeight="false" outlineLevel="0" collapsed="false">
      <c r="A402" s="0" t="s">
        <v>1509</v>
      </c>
      <c r="B402" s="6" t="s">
        <v>1508</v>
      </c>
      <c r="C402" s="0" t="s">
        <v>500</v>
      </c>
      <c r="D402" s="35" t="n">
        <f aca="false">In!D418</f>
        <v>2</v>
      </c>
      <c r="E402" s="35" t="n">
        <f aca="false">In!E418</f>
        <v>3.5</v>
      </c>
      <c r="F402" s="35" t="n">
        <f aca="false">In!F418</f>
        <v>5</v>
      </c>
      <c r="G402" s="0" t="str">
        <f aca="false">In!G418</f>
        <v>Assumed</v>
      </c>
      <c r="H402" s="12" t="s">
        <v>3622</v>
      </c>
    </row>
    <row r="403" customFormat="false" ht="17.15" hidden="false" customHeight="false" outlineLevel="0" collapsed="false">
      <c r="A403" s="0" t="s">
        <v>1513</v>
      </c>
      <c r="B403" s="6" t="s">
        <v>1511</v>
      </c>
      <c r="C403" s="0" t="s">
        <v>1463</v>
      </c>
      <c r="D403" s="35" t="n">
        <f aca="false">In!D419</f>
        <v>130</v>
      </c>
      <c r="E403" s="35" t="n">
        <f aca="false">In!E419</f>
        <v>190</v>
      </c>
      <c r="F403" s="35" t="n">
        <f aca="false">In!F419</f>
        <v>250</v>
      </c>
      <c r="G403" s="0" t="str">
        <f aca="false">In!G419</f>
        <v>Assumed</v>
      </c>
      <c r="H403" s="12" t="s">
        <v>3623</v>
      </c>
    </row>
    <row r="404" customFormat="false" ht="17.15" hidden="false" customHeight="false" outlineLevel="0" collapsed="false">
      <c r="A404" s="0" t="s">
        <v>1518</v>
      </c>
      <c r="B404" s="6" t="s">
        <v>1516</v>
      </c>
      <c r="C404" s="0" t="s">
        <v>1463</v>
      </c>
      <c r="D404" s="35" t="n">
        <f aca="false">In!D420</f>
        <v>60</v>
      </c>
      <c r="E404" s="35" t="n">
        <f aca="false">In!E420</f>
        <v>90</v>
      </c>
      <c r="F404" s="35" t="n">
        <f aca="false">In!F420</f>
        <v>120</v>
      </c>
      <c r="G404" s="0" t="str">
        <f aca="false">In!G420</f>
        <v>Assumed</v>
      </c>
      <c r="H404" s="12" t="s">
        <v>3624</v>
      </c>
    </row>
    <row r="405" customFormat="false" ht="17.15" hidden="false" customHeight="false" outlineLevel="0" collapsed="false">
      <c r="A405" s="0" t="s">
        <v>1523</v>
      </c>
      <c r="B405" s="6" t="s">
        <v>1521</v>
      </c>
      <c r="C405" s="0" t="s">
        <v>1463</v>
      </c>
      <c r="D405" s="35" t="n">
        <f aca="false">In!D421</f>
        <v>40</v>
      </c>
      <c r="E405" s="35" t="n">
        <f aca="false">In!E421</f>
        <v>70</v>
      </c>
      <c r="F405" s="35" t="n">
        <f aca="false">In!F421</f>
        <v>100</v>
      </c>
      <c r="G405" s="0" t="str">
        <f aca="false">In!G421</f>
        <v>Assumed</v>
      </c>
      <c r="H405" s="12" t="s">
        <v>3625</v>
      </c>
    </row>
    <row r="406" customFormat="false" ht="17.15" hidden="false" customHeight="false" outlineLevel="0" collapsed="false">
      <c r="A406" s="0" t="s">
        <v>1528</v>
      </c>
      <c r="B406" s="6" t="s">
        <v>1526</v>
      </c>
      <c r="C406" s="0" t="s">
        <v>500</v>
      </c>
      <c r="D406" s="35" t="n">
        <f aca="false">In!D422</f>
        <v>1.2</v>
      </c>
      <c r="E406" s="35" t="n">
        <f aca="false">In!E422</f>
        <v>1.45</v>
      </c>
      <c r="F406" s="35" t="n">
        <f aca="false">In!F422</f>
        <v>1.8</v>
      </c>
      <c r="G406" s="0" t="str">
        <f aca="false">In!G422</f>
        <v>Analogy</v>
      </c>
      <c r="H406" s="12" t="s">
        <v>3626</v>
      </c>
    </row>
    <row r="407" customFormat="false" ht="17.15" hidden="false" customHeight="false" outlineLevel="0" collapsed="false">
      <c r="A407" s="0" t="s">
        <v>1532</v>
      </c>
      <c r="B407" s="6" t="s">
        <v>1531</v>
      </c>
      <c r="C407" s="0" t="s">
        <v>500</v>
      </c>
      <c r="D407" s="35" t="n">
        <f aca="false">In!D423</f>
        <v>1.3</v>
      </c>
      <c r="E407" s="35" t="n">
        <f aca="false">In!E423</f>
        <v>1.6</v>
      </c>
      <c r="F407" s="35" t="n">
        <f aca="false">In!F423</f>
        <v>2</v>
      </c>
      <c r="G407" s="0" t="str">
        <f aca="false">In!G423</f>
        <v>Analogy</v>
      </c>
      <c r="H407" s="12" t="s">
        <v>3627</v>
      </c>
    </row>
    <row r="408" customFormat="false" ht="17.15" hidden="false" customHeight="false" outlineLevel="0" collapsed="false">
      <c r="A408" s="0" t="s">
        <v>1535</v>
      </c>
      <c r="B408" s="6" t="s">
        <v>1534</v>
      </c>
      <c r="C408" s="0" t="s">
        <v>500</v>
      </c>
      <c r="D408" s="35" t="n">
        <f aca="false">In!D424</f>
        <v>1.3</v>
      </c>
      <c r="E408" s="35" t="n">
        <f aca="false">In!E424</f>
        <v>1.7</v>
      </c>
      <c r="F408" s="35" t="n">
        <f aca="false">In!F424</f>
        <v>2.2</v>
      </c>
      <c r="G408" s="0" t="str">
        <f aca="false">In!G424</f>
        <v>Analogy</v>
      </c>
      <c r="H408" s="12" t="s">
        <v>3628</v>
      </c>
    </row>
    <row r="409" customFormat="false" ht="17.15" hidden="false" customHeight="false" outlineLevel="0" collapsed="false">
      <c r="A409" s="0" t="s">
        <v>1539</v>
      </c>
      <c r="B409" s="6" t="s">
        <v>1537</v>
      </c>
      <c r="C409" s="0" t="s">
        <v>500</v>
      </c>
      <c r="D409" s="35" t="n">
        <f aca="false">In!D425</f>
        <v>1.15</v>
      </c>
      <c r="E409" s="35" t="n">
        <f aca="false">In!E425</f>
        <v>1.4</v>
      </c>
      <c r="F409" s="35" t="n">
        <f aca="false">In!F425</f>
        <v>1.7</v>
      </c>
      <c r="G409" s="0" t="str">
        <f aca="false">In!G425</f>
        <v>Assumed</v>
      </c>
      <c r="H409" s="12" t="s">
        <v>3629</v>
      </c>
    </row>
    <row r="410" customFormat="false" ht="17.15" hidden="false" customHeight="false" outlineLevel="0" collapsed="false">
      <c r="A410" s="0" t="s">
        <v>1543</v>
      </c>
      <c r="B410" s="6" t="s">
        <v>1542</v>
      </c>
      <c r="C410" s="0" t="s">
        <v>500</v>
      </c>
      <c r="D410" s="35" t="n">
        <f aca="false">In!D426</f>
        <v>1.25</v>
      </c>
      <c r="E410" s="35" t="n">
        <f aca="false">In!E426</f>
        <v>1.6</v>
      </c>
      <c r="F410" s="35" t="n">
        <f aca="false">In!F426</f>
        <v>2</v>
      </c>
      <c r="G410" s="0" t="str">
        <f aca="false">In!G426</f>
        <v>Assumed</v>
      </c>
      <c r="H410" s="12" t="s">
        <v>3630</v>
      </c>
    </row>
    <row r="411" customFormat="false" ht="17.15" hidden="false" customHeight="false" outlineLevel="0" collapsed="false">
      <c r="A411" s="0" t="s">
        <v>1546</v>
      </c>
      <c r="B411" s="6" t="s">
        <v>1545</v>
      </c>
      <c r="C411" s="0" t="s">
        <v>500</v>
      </c>
      <c r="D411" s="35" t="n">
        <f aca="false">In!D427</f>
        <v>1.3</v>
      </c>
      <c r="E411" s="35" t="n">
        <f aca="false">In!E427</f>
        <v>1.75</v>
      </c>
      <c r="F411" s="35" t="n">
        <f aca="false">In!F427</f>
        <v>2.2</v>
      </c>
      <c r="G411" s="0" t="str">
        <f aca="false">In!G427</f>
        <v>Assumed</v>
      </c>
      <c r="H411" s="12" t="s">
        <v>3631</v>
      </c>
    </row>
    <row r="412" customFormat="false" ht="17.15" hidden="false" customHeight="false" outlineLevel="0" collapsed="false">
      <c r="A412" s="0" t="s">
        <v>1550</v>
      </c>
      <c r="B412" s="6" t="s">
        <v>1548</v>
      </c>
      <c r="C412" s="0" t="s">
        <v>500</v>
      </c>
      <c r="D412" s="35" t="n">
        <f aca="false">In!D428</f>
        <v>1.3</v>
      </c>
      <c r="E412" s="35" t="n">
        <f aca="false">In!E428</f>
        <v>1.8</v>
      </c>
      <c r="F412" s="35" t="n">
        <f aca="false">In!F428</f>
        <v>2.5</v>
      </c>
      <c r="G412" s="0" t="str">
        <f aca="false">In!G428</f>
        <v>Assumed</v>
      </c>
      <c r="H412" s="12" t="s">
        <v>3632</v>
      </c>
    </row>
    <row r="413" customFormat="false" ht="17.15" hidden="false" customHeight="false" outlineLevel="0" collapsed="false">
      <c r="A413" s="0" t="s">
        <v>1554</v>
      </c>
      <c r="B413" s="6" t="s">
        <v>1553</v>
      </c>
      <c r="C413" s="0" t="s">
        <v>500</v>
      </c>
      <c r="D413" s="35" t="n">
        <f aca="false">In!D429</f>
        <v>1.5</v>
      </c>
      <c r="E413" s="35" t="n">
        <f aca="false">In!E429</f>
        <v>2.3</v>
      </c>
      <c r="F413" s="35" t="n">
        <f aca="false">In!F429</f>
        <v>3</v>
      </c>
      <c r="G413" s="0" t="str">
        <f aca="false">In!G429</f>
        <v>Assumed</v>
      </c>
      <c r="H413" s="12" t="s">
        <v>3633</v>
      </c>
    </row>
    <row r="414" customFormat="false" ht="17.15" hidden="false" customHeight="false" outlineLevel="0" collapsed="false">
      <c r="A414" s="0" t="s">
        <v>1557</v>
      </c>
      <c r="B414" s="6" t="s">
        <v>1556</v>
      </c>
      <c r="C414" s="0" t="s">
        <v>500</v>
      </c>
      <c r="D414" s="35" t="n">
        <f aca="false">In!D430</f>
        <v>1.5</v>
      </c>
      <c r="E414" s="35" t="n">
        <f aca="false">In!E430</f>
        <v>2.6</v>
      </c>
      <c r="F414" s="35" t="n">
        <f aca="false">In!F430</f>
        <v>3.5</v>
      </c>
      <c r="G414" s="0" t="str">
        <f aca="false">In!G430</f>
        <v>Assumed</v>
      </c>
      <c r="H414" s="12" t="s">
        <v>3634</v>
      </c>
    </row>
    <row r="415" customFormat="false" ht="17.15" hidden="false" customHeight="false" outlineLevel="0" collapsed="false">
      <c r="A415" s="0" t="s">
        <v>1563</v>
      </c>
      <c r="B415" s="0" t="s">
        <v>1560</v>
      </c>
      <c r="C415" s="0" t="s">
        <v>1561</v>
      </c>
      <c r="D415" s="35" t="n">
        <f aca="false">In!D432</f>
        <v>380</v>
      </c>
      <c r="E415" s="35" t="n">
        <f aca="false">In!E432</f>
        <v>450</v>
      </c>
      <c r="F415" s="35" t="n">
        <f aca="false">In!F432</f>
        <v>520</v>
      </c>
      <c r="G415" s="0" t="str">
        <f aca="false">In!G432</f>
        <v>Derived</v>
      </c>
      <c r="H415" s="12" t="s">
        <v>3635</v>
      </c>
    </row>
    <row r="416" customFormat="false" ht="17.15" hidden="false" customHeight="false" outlineLevel="0" collapsed="false">
      <c r="A416" s="0" t="s">
        <v>1568</v>
      </c>
      <c r="B416" s="0" t="s">
        <v>1566</v>
      </c>
      <c r="C416" s="0" t="s">
        <v>1561</v>
      </c>
      <c r="D416" s="35" t="n">
        <f aca="false">In!D433</f>
        <v>500</v>
      </c>
      <c r="E416" s="35" t="n">
        <f aca="false">In!E433</f>
        <v>600</v>
      </c>
      <c r="F416" s="35" t="n">
        <f aca="false">In!F433</f>
        <v>700</v>
      </c>
      <c r="G416" s="0" t="str">
        <f aca="false">In!G433</f>
        <v>Derived</v>
      </c>
      <c r="H416" s="12" t="s">
        <v>3636</v>
      </c>
    </row>
    <row r="417" customFormat="false" ht="17.15" hidden="false" customHeight="false" outlineLevel="0" collapsed="false">
      <c r="A417" s="0" t="s">
        <v>1573</v>
      </c>
      <c r="B417" s="0" t="s">
        <v>1571</v>
      </c>
      <c r="C417" s="0" t="s">
        <v>1561</v>
      </c>
      <c r="D417" s="35" t="n">
        <f aca="false">In!D434</f>
        <v>550</v>
      </c>
      <c r="E417" s="35" t="n">
        <f aca="false">In!E434</f>
        <v>680</v>
      </c>
      <c r="F417" s="35" t="n">
        <f aca="false">In!F434</f>
        <v>800</v>
      </c>
      <c r="G417" s="0" t="str">
        <f aca="false">In!G434</f>
        <v>Assumed</v>
      </c>
      <c r="H417" s="12" t="s">
        <v>3637</v>
      </c>
    </row>
    <row r="418" customFormat="false" ht="17.15" hidden="false" customHeight="false" outlineLevel="0" collapsed="false">
      <c r="A418" s="0" t="s">
        <v>1577</v>
      </c>
      <c r="B418" s="0" t="s">
        <v>1576</v>
      </c>
      <c r="C418" s="0" t="s">
        <v>1561</v>
      </c>
      <c r="D418" s="35" t="n">
        <f aca="false">In!D435</f>
        <v>550</v>
      </c>
      <c r="E418" s="35" t="n">
        <f aca="false">In!E435</f>
        <v>720</v>
      </c>
      <c r="F418" s="35" t="n">
        <f aca="false">In!F435</f>
        <v>850</v>
      </c>
      <c r="G418" s="0" t="str">
        <f aca="false">In!G435</f>
        <v>Assumed</v>
      </c>
      <c r="H418" s="12" t="s">
        <v>3638</v>
      </c>
    </row>
    <row r="419" customFormat="false" ht="17.15" hidden="false" customHeight="false" outlineLevel="0" collapsed="false">
      <c r="A419" s="0" t="s">
        <v>1581</v>
      </c>
      <c r="B419" s="6" t="s">
        <v>1579</v>
      </c>
      <c r="C419" s="0" t="s">
        <v>500</v>
      </c>
      <c r="D419" s="35" t="n">
        <f aca="false">In!D436</f>
        <v>0.85</v>
      </c>
      <c r="E419" s="35" t="n">
        <f aca="false">In!E436</f>
        <v>0.95</v>
      </c>
      <c r="F419" s="35" t="n">
        <f aca="false">In!F436</f>
        <v>1</v>
      </c>
      <c r="G419" s="0" t="str">
        <f aca="false">In!G436</f>
        <v>Assumed</v>
      </c>
      <c r="H419" s="12" t="s">
        <v>3639</v>
      </c>
    </row>
    <row r="420" customFormat="false" ht="17.15" hidden="false" customHeight="false" outlineLevel="0" collapsed="false">
      <c r="A420" s="0" t="s">
        <v>1585</v>
      </c>
      <c r="B420" s="6" t="s">
        <v>1584</v>
      </c>
      <c r="C420" s="0" t="s">
        <v>500</v>
      </c>
      <c r="D420" s="35" t="n">
        <f aca="false">In!D437</f>
        <v>0.7</v>
      </c>
      <c r="E420" s="35" t="n">
        <f aca="false">In!E437</f>
        <v>0.9</v>
      </c>
      <c r="F420" s="35" t="n">
        <f aca="false">In!F437</f>
        <v>1</v>
      </c>
      <c r="G420" s="0" t="str">
        <f aca="false">In!G437</f>
        <v>Assumed</v>
      </c>
      <c r="H420" s="12" t="s">
        <v>3640</v>
      </c>
    </row>
    <row r="421" customFormat="false" ht="17.15" hidden="false" customHeight="false" outlineLevel="0" collapsed="false">
      <c r="A421" s="0" t="s">
        <v>1588</v>
      </c>
      <c r="B421" s="6" t="s">
        <v>1587</v>
      </c>
      <c r="C421" s="0" t="s">
        <v>500</v>
      </c>
      <c r="D421" s="35" t="n">
        <f aca="false">In!D438</f>
        <v>0.65</v>
      </c>
      <c r="E421" s="35" t="n">
        <f aca="false">In!E438</f>
        <v>0.85</v>
      </c>
      <c r="F421" s="35" t="n">
        <f aca="false">In!F438</f>
        <v>1</v>
      </c>
      <c r="G421" s="0" t="str">
        <f aca="false">In!G438</f>
        <v>Assumed</v>
      </c>
      <c r="H421" s="12" t="s">
        <v>3641</v>
      </c>
    </row>
    <row r="422" customFormat="false" ht="17.15" hidden="false" customHeight="false" outlineLevel="0" collapsed="false">
      <c r="A422" s="0" t="s">
        <v>1592</v>
      </c>
      <c r="B422" s="6" t="s">
        <v>1590</v>
      </c>
      <c r="C422" s="0" t="s">
        <v>500</v>
      </c>
      <c r="D422" s="35" t="n">
        <f aca="false">In!D439</f>
        <v>0.85</v>
      </c>
      <c r="E422" s="35" t="n">
        <f aca="false">In!E439</f>
        <v>1</v>
      </c>
      <c r="F422" s="35" t="n">
        <f aca="false">In!F439</f>
        <v>1.1</v>
      </c>
      <c r="G422" s="0" t="str">
        <f aca="false">In!G439</f>
        <v>Assumed</v>
      </c>
      <c r="H422" s="12" t="s">
        <v>3642</v>
      </c>
    </row>
    <row r="423" customFormat="false" ht="17.15" hidden="false" customHeight="false" outlineLevel="0" collapsed="false">
      <c r="A423" s="0" t="s">
        <v>1596</v>
      </c>
      <c r="B423" s="6" t="s">
        <v>1595</v>
      </c>
      <c r="C423" s="0" t="s">
        <v>500</v>
      </c>
      <c r="D423" s="35" t="n">
        <f aca="false">In!D440</f>
        <v>0.8</v>
      </c>
      <c r="E423" s="35" t="n">
        <f aca="false">In!E440</f>
        <v>1</v>
      </c>
      <c r="F423" s="35" t="n">
        <f aca="false">In!F440</f>
        <v>1.2</v>
      </c>
      <c r="G423" s="0" t="str">
        <f aca="false">In!G440</f>
        <v>Assumed</v>
      </c>
      <c r="H423" s="12" t="s">
        <v>3643</v>
      </c>
    </row>
    <row r="424" customFormat="false" ht="17.15" hidden="false" customHeight="false" outlineLevel="0" collapsed="false">
      <c r="A424" s="0" t="s">
        <v>1599</v>
      </c>
      <c r="B424" s="6" t="s">
        <v>1598</v>
      </c>
      <c r="C424" s="0" t="s">
        <v>500</v>
      </c>
      <c r="D424" s="35" t="n">
        <f aca="false">In!D441</f>
        <v>0.75</v>
      </c>
      <c r="E424" s="35" t="n">
        <f aca="false">In!E441</f>
        <v>1</v>
      </c>
      <c r="F424" s="35" t="n">
        <f aca="false">In!F441</f>
        <v>1.25</v>
      </c>
      <c r="G424" s="0" t="str">
        <f aca="false">In!G441</f>
        <v>Assumed</v>
      </c>
      <c r="H424" s="12" t="s">
        <v>3644</v>
      </c>
    </row>
    <row r="425" customFormat="false" ht="17.15" hidden="false" customHeight="false" outlineLevel="0" collapsed="false">
      <c r="A425" s="0" t="s">
        <v>1603</v>
      </c>
      <c r="B425" s="6" t="s">
        <v>1601</v>
      </c>
      <c r="C425" s="0" t="s">
        <v>66</v>
      </c>
      <c r="E425" s="20" t="n">
        <f aca="false">In!E442</f>
        <v>0.583671939396773</v>
      </c>
      <c r="G425" s="0" t="str">
        <f aca="false">In!G442</f>
        <v>Derived</v>
      </c>
      <c r="H425" s="12" t="s">
        <v>3645</v>
      </c>
    </row>
    <row r="426" customFormat="false" ht="17.15" hidden="false" customHeight="false" outlineLevel="0" collapsed="false">
      <c r="A426" s="0" t="s">
        <v>1608</v>
      </c>
      <c r="B426" s="6" t="s">
        <v>1606</v>
      </c>
      <c r="C426" s="0" t="s">
        <v>66</v>
      </c>
      <c r="E426" s="20" t="n">
        <f aca="false">In!E443</f>
        <v>0.176143316327046</v>
      </c>
      <c r="G426" s="0" t="str">
        <f aca="false">In!G443</f>
        <v>Derived</v>
      </c>
      <c r="H426" s="12" t="s">
        <v>3646</v>
      </c>
    </row>
    <row r="427" customFormat="false" ht="17.15" hidden="false" customHeight="false" outlineLevel="0" collapsed="false">
      <c r="A427" s="0" t="s">
        <v>1613</v>
      </c>
      <c r="B427" s="6" t="s">
        <v>1611</v>
      </c>
      <c r="C427" s="0" t="s">
        <v>66</v>
      </c>
      <c r="E427" s="20" t="n">
        <f aca="false">In!E444</f>
        <v>0.7</v>
      </c>
      <c r="G427" s="0" t="str">
        <f aca="false">In!G444</f>
        <v>Interested-party</v>
      </c>
      <c r="H427" s="12" t="s">
        <v>3647</v>
      </c>
    </row>
    <row r="428" customFormat="false" ht="17.15" hidden="false" customHeight="false" outlineLevel="0" collapsed="false">
      <c r="A428" s="0" t="s">
        <v>1618</v>
      </c>
      <c r="B428" s="6" t="s">
        <v>1616</v>
      </c>
      <c r="C428" s="0" t="s">
        <v>66</v>
      </c>
      <c r="D428" s="20" t="n">
        <f aca="false">In!D445</f>
        <v>0.6</v>
      </c>
      <c r="E428" s="20" t="n">
        <f aca="false">In!E445</f>
        <v>0.625</v>
      </c>
      <c r="F428" s="20" t="n">
        <f aca="false">In!F445</f>
        <v>0.65</v>
      </c>
      <c r="G428" s="0" t="str">
        <f aca="false">In!G445</f>
        <v>Interested-party</v>
      </c>
      <c r="H428" s="12" t="s">
        <v>3648</v>
      </c>
    </row>
    <row r="429" customFormat="false" ht="17.15" hidden="false" customHeight="false" outlineLevel="0" collapsed="false">
      <c r="A429" s="0" t="s">
        <v>1623</v>
      </c>
      <c r="B429" s="0" t="s">
        <v>1621</v>
      </c>
      <c r="C429" s="0" t="s">
        <v>1350</v>
      </c>
      <c r="E429" s="35" t="n">
        <f aca="false">In!E446</f>
        <v>17.7</v>
      </c>
      <c r="G429" s="0" t="str">
        <f aca="false">In!G446</f>
        <v>Interested-party</v>
      </c>
      <c r="H429" s="12" t="s">
        <v>3649</v>
      </c>
    </row>
    <row r="430" customFormat="false" ht="17.15" hidden="false" customHeight="false" outlineLevel="0" collapsed="false">
      <c r="A430" s="0" t="s">
        <v>1627</v>
      </c>
      <c r="B430" s="0" t="s">
        <v>1626</v>
      </c>
      <c r="C430" s="0" t="s">
        <v>1350</v>
      </c>
      <c r="E430" s="35" t="n">
        <f aca="false">In!E447</f>
        <v>38.2</v>
      </c>
      <c r="G430" s="0" t="str">
        <f aca="false">In!G447</f>
        <v>Interested-party</v>
      </c>
      <c r="H430" s="12" t="s">
        <v>3650</v>
      </c>
    </row>
    <row r="431" customFormat="false" ht="17.15" hidden="false" customHeight="false" outlineLevel="0" collapsed="false">
      <c r="A431" s="0" t="s">
        <v>1633</v>
      </c>
      <c r="B431" s="0" t="s">
        <v>1630</v>
      </c>
      <c r="C431" s="0" t="s">
        <v>1631</v>
      </c>
      <c r="D431" s="35" t="n">
        <f aca="false">In!D449</f>
        <v>3.6</v>
      </c>
      <c r="E431" s="35" t="n">
        <f aca="false">In!E449</f>
        <v>4</v>
      </c>
      <c r="F431" s="35" t="n">
        <f aca="false">In!F449</f>
        <v>4.3</v>
      </c>
      <c r="G431" s="0" t="str">
        <f aca="false">In!G449</f>
        <v>Interested-party</v>
      </c>
      <c r="H431" s="12" t="s">
        <v>3651</v>
      </c>
    </row>
    <row r="432" customFormat="false" ht="17.15" hidden="false" customHeight="false" outlineLevel="0" collapsed="false">
      <c r="A432" s="0" t="s">
        <v>1638</v>
      </c>
      <c r="B432" s="0" t="s">
        <v>1636</v>
      </c>
      <c r="C432" s="0" t="s">
        <v>1631</v>
      </c>
      <c r="D432" s="35" t="n">
        <f aca="false">In!D450</f>
        <v>6.5</v>
      </c>
      <c r="E432" s="35" t="n">
        <f aca="false">In!E450</f>
        <v>6.75</v>
      </c>
      <c r="F432" s="35" t="n">
        <f aca="false">In!F450</f>
        <v>7</v>
      </c>
      <c r="G432" s="0" t="str">
        <f aca="false">In!G450</f>
        <v>Interested-party</v>
      </c>
      <c r="H432" s="12" t="s">
        <v>3652</v>
      </c>
    </row>
    <row r="433" customFormat="false" ht="17.15" hidden="false" customHeight="false" outlineLevel="0" collapsed="false">
      <c r="A433" s="0" t="s">
        <v>1643</v>
      </c>
      <c r="B433" s="0" t="s">
        <v>1641</v>
      </c>
      <c r="C433" s="0" t="s">
        <v>66</v>
      </c>
      <c r="D433" s="20" t="n">
        <f aca="false">In!D451</f>
        <v>0.45</v>
      </c>
      <c r="E433" s="20" t="n">
        <f aca="false">In!E451</f>
        <v>0.48</v>
      </c>
      <c r="F433" s="20" t="n">
        <f aca="false">In!F451</f>
        <v>0.52</v>
      </c>
      <c r="G433" s="0" t="str">
        <f aca="false">In!G451</f>
        <v>Interested-party</v>
      </c>
      <c r="H433" s="12" t="s">
        <v>3653</v>
      </c>
    </row>
    <row r="434" customFormat="false" ht="17.15" hidden="false" customHeight="false" outlineLevel="0" collapsed="false">
      <c r="A434" s="0" t="s">
        <v>1649</v>
      </c>
      <c r="B434" s="0" t="s">
        <v>1647</v>
      </c>
      <c r="C434" s="0" t="s">
        <v>637</v>
      </c>
      <c r="D434" s="35" t="n">
        <f aca="false">In!D453</f>
        <v>50</v>
      </c>
      <c r="E434" s="35" t="n">
        <f aca="false">In!E453</f>
        <v>50</v>
      </c>
      <c r="F434" s="35" t="n">
        <f aca="false">In!F453</f>
        <v>50</v>
      </c>
      <c r="G434" s="0" t="str">
        <f aca="false">In!G453</f>
        <v>Interested-party</v>
      </c>
      <c r="H434" s="12" t="s">
        <v>3654</v>
      </c>
    </row>
    <row r="435" customFormat="false" ht="17.15" hidden="false" customHeight="false" outlineLevel="0" collapsed="false">
      <c r="A435" s="0" t="s">
        <v>1653</v>
      </c>
      <c r="B435" s="0" t="s">
        <v>1652</v>
      </c>
      <c r="C435" s="0" t="s">
        <v>637</v>
      </c>
      <c r="D435" s="35" t="n">
        <f aca="false">In!D454</f>
        <v>56</v>
      </c>
      <c r="E435" s="35" t="n">
        <f aca="false">In!E454</f>
        <v>56</v>
      </c>
      <c r="F435" s="35" t="n">
        <f aca="false">In!F454</f>
        <v>56</v>
      </c>
      <c r="G435" s="0" t="str">
        <f aca="false">In!G454</f>
        <v>Interested-party</v>
      </c>
      <c r="H435" s="12" t="s">
        <v>3655</v>
      </c>
    </row>
    <row r="436" customFormat="false" ht="15" hidden="false" customHeight="false" outlineLevel="0" collapsed="false">
      <c r="A436" s="0" t="s">
        <v>1658</v>
      </c>
      <c r="B436" s="6" t="s">
        <v>1656</v>
      </c>
      <c r="C436" s="0" t="s">
        <v>637</v>
      </c>
      <c r="D436" s="35" t="n">
        <f aca="false">In!D455</f>
        <v>3</v>
      </c>
      <c r="E436" s="35" t="n">
        <f aca="false">In!E455</f>
        <v>6</v>
      </c>
      <c r="F436" s="35" t="n">
        <f aca="false">In!F455</f>
        <v>10</v>
      </c>
      <c r="G436" s="0" t="str">
        <f aca="false">In!G455</f>
        <v>Assumed</v>
      </c>
      <c r="H436" s="12" t="s">
        <v>3656</v>
      </c>
    </row>
    <row r="437" customFormat="false" ht="17.15" hidden="false" customHeight="false" outlineLevel="0" collapsed="false">
      <c r="A437" s="0" t="s">
        <v>1663</v>
      </c>
      <c r="B437" s="6" t="s">
        <v>1661</v>
      </c>
      <c r="C437" s="0" t="s">
        <v>500</v>
      </c>
      <c r="D437" s="35" t="n">
        <f aca="false">In!D456</f>
        <v>1</v>
      </c>
      <c r="E437" s="35" t="n">
        <f aca="false">In!E456</f>
        <v>1.3</v>
      </c>
      <c r="F437" s="35" t="n">
        <f aca="false">In!F456</f>
        <v>1.6</v>
      </c>
      <c r="G437" s="0" t="str">
        <f aca="false">In!G456</f>
        <v>Assumed</v>
      </c>
      <c r="H437" s="12" t="s">
        <v>3657</v>
      </c>
    </row>
    <row r="438" customFormat="false" ht="17.15" hidden="false" customHeight="false" outlineLevel="0" collapsed="false">
      <c r="A438" s="0" t="s">
        <v>1667</v>
      </c>
      <c r="B438" s="6" t="s">
        <v>1666</v>
      </c>
      <c r="C438" s="0" t="s">
        <v>500</v>
      </c>
      <c r="D438" s="35" t="n">
        <f aca="false">In!D457</f>
        <v>1</v>
      </c>
      <c r="E438" s="35" t="n">
        <f aca="false">In!E457</f>
        <v>1.4</v>
      </c>
      <c r="F438" s="35" t="n">
        <f aca="false">In!F457</f>
        <v>1.8</v>
      </c>
      <c r="G438" s="0" t="str">
        <f aca="false">In!G457</f>
        <v>Assumed</v>
      </c>
      <c r="H438" s="12" t="s">
        <v>3658</v>
      </c>
    </row>
    <row r="439" customFormat="false" ht="17.15" hidden="false" customHeight="false" outlineLevel="0" collapsed="false">
      <c r="A439" s="0" t="s">
        <v>1670</v>
      </c>
      <c r="B439" s="6" t="s">
        <v>1669</v>
      </c>
      <c r="C439" s="0" t="s">
        <v>500</v>
      </c>
      <c r="D439" s="35" t="n">
        <f aca="false">In!D458</f>
        <v>1</v>
      </c>
      <c r="E439" s="35" t="n">
        <f aca="false">In!E458</f>
        <v>1.4</v>
      </c>
      <c r="F439" s="35" t="n">
        <f aca="false">In!F458</f>
        <v>1.8</v>
      </c>
      <c r="G439" s="0" t="str">
        <f aca="false">In!G458</f>
        <v>Assumed</v>
      </c>
      <c r="H439" s="12" t="s">
        <v>3659</v>
      </c>
    </row>
    <row r="440" customFormat="false" ht="17.15" hidden="false" customHeight="false" outlineLevel="0" collapsed="false">
      <c r="A440" s="0" t="s">
        <v>1674</v>
      </c>
      <c r="B440" s="6" t="s">
        <v>1672</v>
      </c>
      <c r="C440" s="0" t="s">
        <v>66</v>
      </c>
      <c r="D440" s="20" t="n">
        <f aca="false">In!D459</f>
        <v>0.45</v>
      </c>
      <c r="E440" s="20" t="n">
        <f aca="false">In!E459</f>
        <v>0.55</v>
      </c>
      <c r="F440" s="20" t="n">
        <f aca="false">In!F459</f>
        <v>0.65</v>
      </c>
      <c r="G440" s="0" t="str">
        <f aca="false">In!G459</f>
        <v>Assumed</v>
      </c>
      <c r="H440" s="12" t="s">
        <v>3660</v>
      </c>
    </row>
    <row r="441" customFormat="false" ht="17.15" hidden="false" customHeight="false" outlineLevel="0" collapsed="false">
      <c r="A441" s="0" t="s">
        <v>1678</v>
      </c>
      <c r="B441" s="6" t="s">
        <v>1677</v>
      </c>
      <c r="C441" s="0" t="s">
        <v>66</v>
      </c>
      <c r="D441" s="20" t="n">
        <f aca="false">In!D460</f>
        <v>0.6</v>
      </c>
      <c r="E441" s="20" t="n">
        <f aca="false">In!E460</f>
        <v>0.75</v>
      </c>
      <c r="F441" s="20" t="n">
        <f aca="false">In!F460</f>
        <v>0.85</v>
      </c>
      <c r="G441" s="0" t="str">
        <f aca="false">In!G460</f>
        <v>Assumed</v>
      </c>
      <c r="H441" s="12" t="s">
        <v>3661</v>
      </c>
    </row>
    <row r="442" customFormat="false" ht="17.15" hidden="false" customHeight="false" outlineLevel="0" collapsed="false">
      <c r="A442" s="0" t="s">
        <v>1681</v>
      </c>
      <c r="B442" s="6" t="s">
        <v>1680</v>
      </c>
      <c r="C442" s="0" t="s">
        <v>66</v>
      </c>
      <c r="D442" s="20" t="n">
        <f aca="false">In!D461</f>
        <v>0.7</v>
      </c>
      <c r="E442" s="20" t="n">
        <f aca="false">In!E461</f>
        <v>0.85</v>
      </c>
      <c r="F442" s="20" t="n">
        <f aca="false">In!F461</f>
        <v>0.95</v>
      </c>
      <c r="G442" s="0" t="str">
        <f aca="false">In!G461</f>
        <v>Assumed</v>
      </c>
      <c r="H442" s="12" t="s">
        <v>3662</v>
      </c>
    </row>
    <row r="443" customFormat="false" ht="17.15" hidden="false" customHeight="false" outlineLevel="0" collapsed="false">
      <c r="A443" s="0" t="s">
        <v>1684</v>
      </c>
      <c r="B443" s="6" t="s">
        <v>1683</v>
      </c>
      <c r="C443" s="0" t="s">
        <v>66</v>
      </c>
      <c r="D443" s="20" t="n">
        <f aca="false">In!D462</f>
        <v>0.75</v>
      </c>
      <c r="E443" s="20" t="n">
        <f aca="false">In!E462</f>
        <v>0.9</v>
      </c>
      <c r="F443" s="20" t="n">
        <f aca="false">In!F462</f>
        <v>0.95</v>
      </c>
      <c r="G443" s="0" t="str">
        <f aca="false">In!G462</f>
        <v>Assumed</v>
      </c>
      <c r="H443" s="12" t="s">
        <v>3663</v>
      </c>
    </row>
    <row r="444" customFormat="false" ht="17.15" hidden="false" customHeight="false" outlineLevel="0" collapsed="false">
      <c r="A444" s="0" t="s">
        <v>1688</v>
      </c>
      <c r="B444" s="0" t="s">
        <v>1686</v>
      </c>
      <c r="C444" s="0" t="s">
        <v>66</v>
      </c>
      <c r="E444" s="20" t="n">
        <f aca="false">In!E463</f>
        <v>0.53</v>
      </c>
      <c r="G444" s="0" t="str">
        <f aca="false">In!G463</f>
        <v>Interested-party</v>
      </c>
      <c r="H444" s="12" t="s">
        <v>3664</v>
      </c>
    </row>
    <row r="445" customFormat="false" ht="17.15" hidden="false" customHeight="false" outlineLevel="0" collapsed="false">
      <c r="A445" s="0" t="s">
        <v>1691</v>
      </c>
      <c r="B445" s="0" t="s">
        <v>1690</v>
      </c>
      <c r="C445" s="0" t="s">
        <v>66</v>
      </c>
      <c r="E445" s="20" t="n">
        <f aca="false">In!E464</f>
        <v>0.6</v>
      </c>
      <c r="G445" s="0" t="str">
        <f aca="false">In!G464</f>
        <v>Interested-party</v>
      </c>
      <c r="H445" s="12" t="s">
        <v>3665</v>
      </c>
    </row>
    <row r="446" customFormat="false" ht="17.15" hidden="false" customHeight="false" outlineLevel="0" collapsed="false">
      <c r="A446" s="0" t="s">
        <v>1696</v>
      </c>
      <c r="B446" s="6" t="s">
        <v>1694</v>
      </c>
      <c r="C446" s="0" t="s">
        <v>66</v>
      </c>
      <c r="E446" s="20" t="n">
        <f aca="false">In!E465</f>
        <v>0.498927641116677</v>
      </c>
      <c r="G446" s="0" t="str">
        <f aca="false">In!G465</f>
        <v>Derived</v>
      </c>
      <c r="H446" s="12" t="s">
        <v>3666</v>
      </c>
    </row>
    <row r="447" customFormat="false" ht="17.15" hidden="false" customHeight="false" outlineLevel="0" collapsed="false">
      <c r="A447" s="0" t="s">
        <v>1701</v>
      </c>
      <c r="B447" s="6" t="s">
        <v>1699</v>
      </c>
      <c r="C447" s="0" t="s">
        <v>500</v>
      </c>
      <c r="D447" s="35" t="n">
        <f aca="false">In!D466</f>
        <v>0.85</v>
      </c>
      <c r="E447" s="35" t="n">
        <f aca="false">In!E466</f>
        <v>0.95</v>
      </c>
      <c r="F447" s="35" t="n">
        <f aca="false">In!F466</f>
        <v>1.05</v>
      </c>
      <c r="G447" s="0" t="str">
        <f aca="false">In!G466</f>
        <v>Assumed</v>
      </c>
      <c r="H447" s="12" t="s">
        <v>3667</v>
      </c>
    </row>
    <row r="448" customFormat="false" ht="17.15" hidden="false" customHeight="false" outlineLevel="0" collapsed="false">
      <c r="A448" s="0" t="s">
        <v>1705</v>
      </c>
      <c r="B448" s="6" t="s">
        <v>1704</v>
      </c>
      <c r="C448" s="0" t="s">
        <v>500</v>
      </c>
      <c r="D448" s="35" t="n">
        <f aca="false">In!D467</f>
        <v>0.75</v>
      </c>
      <c r="E448" s="35" t="n">
        <f aca="false">In!E467</f>
        <v>0.9</v>
      </c>
      <c r="F448" s="35" t="n">
        <f aca="false">In!F467</f>
        <v>1.05</v>
      </c>
      <c r="G448" s="0" t="str">
        <f aca="false">In!G467</f>
        <v>Assumed</v>
      </c>
      <c r="H448" s="12" t="s">
        <v>3668</v>
      </c>
    </row>
    <row r="449" customFormat="false" ht="17.15" hidden="false" customHeight="false" outlineLevel="0" collapsed="false">
      <c r="A449" s="0" t="s">
        <v>1708</v>
      </c>
      <c r="B449" s="6" t="s">
        <v>1707</v>
      </c>
      <c r="C449" s="0" t="s">
        <v>500</v>
      </c>
      <c r="D449" s="35" t="n">
        <f aca="false">In!D468</f>
        <v>0.7</v>
      </c>
      <c r="E449" s="35" t="n">
        <f aca="false">In!E468</f>
        <v>0.85</v>
      </c>
      <c r="F449" s="35" t="n">
        <f aca="false">In!F468</f>
        <v>1.05</v>
      </c>
      <c r="G449" s="0" t="str">
        <f aca="false">In!G468</f>
        <v>Assumed</v>
      </c>
      <c r="H449" s="12" t="s">
        <v>3669</v>
      </c>
    </row>
    <row r="450" customFormat="false" ht="17.15" hidden="false" customHeight="false" outlineLevel="0" collapsed="false">
      <c r="A450" s="0" t="s">
        <v>1712</v>
      </c>
      <c r="B450" s="6" t="s">
        <v>1710</v>
      </c>
      <c r="C450" s="0" t="s">
        <v>66</v>
      </c>
      <c r="E450" s="20" t="n">
        <f aca="false">In!E469</f>
        <v>0.15870077644017</v>
      </c>
      <c r="G450" s="0" t="str">
        <f aca="false">In!G469</f>
        <v>Derived</v>
      </c>
      <c r="H450" s="12" t="s">
        <v>3670</v>
      </c>
    </row>
    <row r="451" customFormat="false" ht="17.15" hidden="false" customHeight="false" outlineLevel="0" collapsed="false">
      <c r="A451" s="0" t="s">
        <v>1716</v>
      </c>
      <c r="B451" s="6" t="s">
        <v>1714</v>
      </c>
      <c r="C451" s="0" t="s">
        <v>66</v>
      </c>
      <c r="D451" s="20" t="n">
        <f aca="false">In!D470</f>
        <v>0.003</v>
      </c>
      <c r="E451" s="20" t="n">
        <f aca="false">In!E470</f>
        <v>0.008</v>
      </c>
      <c r="F451" s="20" t="n">
        <f aca="false">In!F470</f>
        <v>0.015</v>
      </c>
      <c r="G451" s="0" t="str">
        <f aca="false">In!G470</f>
        <v>Assumed</v>
      </c>
      <c r="H451" s="12" t="s">
        <v>3671</v>
      </c>
    </row>
    <row r="452" customFormat="false" ht="17.15" hidden="false" customHeight="false" outlineLevel="0" collapsed="false">
      <c r="A452" s="0" t="s">
        <v>1720</v>
      </c>
      <c r="B452" s="6" t="s">
        <v>1719</v>
      </c>
      <c r="C452" s="0" t="s">
        <v>66</v>
      </c>
      <c r="D452" s="20" t="n">
        <f aca="false">In!D471</f>
        <v>0.006</v>
      </c>
      <c r="E452" s="20" t="n">
        <f aca="false">In!E471</f>
        <v>0.015</v>
      </c>
      <c r="F452" s="20" t="n">
        <f aca="false">In!F471</f>
        <v>0.03</v>
      </c>
      <c r="G452" s="0" t="str">
        <f aca="false">In!G471</f>
        <v>Assumed</v>
      </c>
      <c r="H452" s="12" t="s">
        <v>3672</v>
      </c>
    </row>
    <row r="453" customFormat="false" ht="17.15" hidden="false" customHeight="false" outlineLevel="0" collapsed="false">
      <c r="A453" s="0" t="s">
        <v>1723</v>
      </c>
      <c r="B453" s="6" t="s">
        <v>1722</v>
      </c>
      <c r="C453" s="0" t="s">
        <v>66</v>
      </c>
      <c r="D453" s="20" t="n">
        <f aca="false">In!D472</f>
        <v>0.01</v>
      </c>
      <c r="E453" s="20" t="n">
        <f aca="false">In!E472</f>
        <v>0.025</v>
      </c>
      <c r="F453" s="20" t="n">
        <f aca="false">In!F472</f>
        <v>0.045</v>
      </c>
      <c r="G453" s="0" t="str">
        <f aca="false">In!G472</f>
        <v>Assumed</v>
      </c>
      <c r="H453" s="12" t="s">
        <v>3673</v>
      </c>
    </row>
    <row r="454" customFormat="false" ht="17.15" hidden="false" customHeight="false" outlineLevel="0" collapsed="false">
      <c r="A454" s="0" t="s">
        <v>1729</v>
      </c>
      <c r="B454" s="6" t="s">
        <v>1726</v>
      </c>
      <c r="C454" s="0" t="s">
        <v>1727</v>
      </c>
      <c r="D454" s="35" t="n">
        <f aca="false">In!D474</f>
        <v>0.1</v>
      </c>
      <c r="E454" s="35" t="n">
        <f aca="false">In!E474</f>
        <v>0.18</v>
      </c>
      <c r="F454" s="35" t="n">
        <f aca="false">In!F474</f>
        <v>0.6</v>
      </c>
      <c r="G454" s="0" t="str">
        <f aca="false">In!G474</f>
        <v>Assumed</v>
      </c>
      <c r="H454" s="12" t="s">
        <v>3674</v>
      </c>
    </row>
    <row r="455" customFormat="false" ht="17.15" hidden="false" customHeight="false" outlineLevel="0" collapsed="false">
      <c r="A455" s="0" t="s">
        <v>1734</v>
      </c>
      <c r="B455" s="6" t="s">
        <v>1732</v>
      </c>
      <c r="C455" s="0" t="s">
        <v>1727</v>
      </c>
      <c r="D455" s="35" t="n">
        <f aca="false">In!D475</f>
        <v>0</v>
      </c>
      <c r="E455" s="35" t="n">
        <f aca="false">In!E475</f>
        <v>0.18</v>
      </c>
      <c r="F455" s="35" t="n">
        <f aca="false">In!F475</f>
        <v>0.6</v>
      </c>
      <c r="G455" s="0" t="str">
        <f aca="false">In!G475</f>
        <v>Assumed</v>
      </c>
      <c r="H455" s="12" t="s">
        <v>3675</v>
      </c>
    </row>
    <row r="456" customFormat="false" ht="17.15" hidden="false" customHeight="false" outlineLevel="0" collapsed="false">
      <c r="A456" s="0" t="s">
        <v>1739</v>
      </c>
      <c r="B456" s="6" t="s">
        <v>1737</v>
      </c>
      <c r="C456" s="0" t="s">
        <v>1727</v>
      </c>
      <c r="D456" s="35" t="n">
        <f aca="false">In!D476</f>
        <v>0</v>
      </c>
      <c r="E456" s="35" t="n">
        <f aca="false">In!E476</f>
        <v>0.08</v>
      </c>
      <c r="F456" s="35" t="n">
        <f aca="false">In!F476</f>
        <v>0.2</v>
      </c>
      <c r="G456" s="0" t="str">
        <f aca="false">In!G476</f>
        <v>Assumed</v>
      </c>
      <c r="H456" s="12" t="s">
        <v>3676</v>
      </c>
    </row>
    <row r="457" customFormat="false" ht="15" hidden="false" customHeight="false" outlineLevel="0" collapsed="false">
      <c r="A457" s="0" t="s">
        <v>1744</v>
      </c>
      <c r="B457" s="6" t="s">
        <v>1742</v>
      </c>
      <c r="C457" s="0" t="s">
        <v>66</v>
      </c>
      <c r="D457" s="20" t="n">
        <f aca="false">In!D477</f>
        <v>0.58</v>
      </c>
      <c r="E457" s="20" t="n">
        <f aca="false">In!E477</f>
        <v>0.64</v>
      </c>
      <c r="F457" s="20" t="n">
        <f aca="false">In!F477</f>
        <v>0.7</v>
      </c>
      <c r="G457" s="0" t="str">
        <f aca="false">In!G477</f>
        <v>Analogy</v>
      </c>
      <c r="H457" s="12" t="s">
        <v>3677</v>
      </c>
    </row>
    <row r="458" customFormat="false" ht="17.15" hidden="false" customHeight="false" outlineLevel="0" collapsed="false">
      <c r="A458" s="0" t="s">
        <v>1749</v>
      </c>
      <c r="B458" s="6" t="s">
        <v>1747</v>
      </c>
      <c r="C458" s="0" t="s">
        <v>521</v>
      </c>
      <c r="D458" s="35" t="n">
        <f aca="false">In!D478</f>
        <v>6.9</v>
      </c>
      <c r="E458" s="35" t="n">
        <f aca="false">In!E478</f>
        <v>6.9</v>
      </c>
      <c r="F458" s="35" t="n">
        <f aca="false">In!F478</f>
        <v>12</v>
      </c>
      <c r="G458" s="0" t="str">
        <f aca="false">In!G478</f>
        <v>Interested-party</v>
      </c>
      <c r="H458" s="12" t="s">
        <v>3678</v>
      </c>
    </row>
    <row r="459" customFormat="false" ht="17.15" hidden="false" customHeight="false" outlineLevel="0" collapsed="false">
      <c r="A459" s="0" t="s">
        <v>1754</v>
      </c>
      <c r="B459" s="6" t="s">
        <v>1752</v>
      </c>
      <c r="C459" s="0" t="s">
        <v>521</v>
      </c>
      <c r="E459" s="35" t="n">
        <f aca="false">In!E479</f>
        <v>21.1</v>
      </c>
      <c r="G459" s="0" t="str">
        <f aca="false">In!G479</f>
        <v>Interested-party</v>
      </c>
      <c r="H459" s="12" t="s">
        <v>3679</v>
      </c>
    </row>
    <row r="460" customFormat="false" ht="17.15" hidden="false" customHeight="false" outlineLevel="0" collapsed="false">
      <c r="A460" s="0" t="s">
        <v>1759</v>
      </c>
      <c r="B460" s="6" t="s">
        <v>1757</v>
      </c>
      <c r="C460" s="0" t="s">
        <v>66</v>
      </c>
      <c r="E460" s="20" t="n">
        <f aca="false">In!E480</f>
        <v>0.2</v>
      </c>
      <c r="G460" s="0" t="str">
        <f aca="false">In!G480</f>
        <v>Interested-party</v>
      </c>
      <c r="H460" s="12" t="s">
        <v>3680</v>
      </c>
    </row>
    <row r="461" customFormat="false" ht="17.15" hidden="false" customHeight="false" outlineLevel="0" collapsed="false">
      <c r="A461" s="0" t="s">
        <v>1765</v>
      </c>
      <c r="B461" s="6" t="s">
        <v>1762</v>
      </c>
      <c r="C461" s="0" t="s">
        <v>1763</v>
      </c>
      <c r="E461" s="35" t="n">
        <f aca="false">In!E481</f>
        <v>283.7</v>
      </c>
      <c r="G461" s="0" t="str">
        <f aca="false">In!G481</f>
        <v>Interested-party</v>
      </c>
      <c r="H461" s="12" t="s">
        <v>3681</v>
      </c>
    </row>
    <row r="462" customFormat="false" ht="17.15" hidden="false" customHeight="false" outlineLevel="0" collapsed="false">
      <c r="A462" s="0" t="s">
        <v>1771</v>
      </c>
      <c r="B462" s="6" t="s">
        <v>1768</v>
      </c>
      <c r="C462" s="0" t="s">
        <v>1769</v>
      </c>
      <c r="D462" s="35" t="n">
        <f aca="false">In!D482</f>
        <v>140</v>
      </c>
      <c r="E462" s="35" t="n">
        <f aca="false">In!E482</f>
        <v>150</v>
      </c>
      <c r="F462" s="35" t="n">
        <f aca="false">In!F482</f>
        <v>155</v>
      </c>
      <c r="G462" s="0" t="str">
        <f aca="false">In!G482</f>
        <v>Assumed</v>
      </c>
      <c r="H462" s="12" t="s">
        <v>3682</v>
      </c>
    </row>
    <row r="463" customFormat="false" ht="17.15" hidden="false" customHeight="false" outlineLevel="0" collapsed="false">
      <c r="A463" s="0" t="s">
        <v>1776</v>
      </c>
      <c r="B463" s="6" t="s">
        <v>1773</v>
      </c>
      <c r="C463" s="0" t="s">
        <v>1774</v>
      </c>
      <c r="E463" s="35" t="n">
        <f aca="false">In!E483</f>
        <v>13.4</v>
      </c>
      <c r="G463" s="0" t="str">
        <f aca="false">In!G483</f>
        <v>Verified</v>
      </c>
      <c r="H463" s="12" t="s">
        <v>3683</v>
      </c>
    </row>
    <row r="464" customFormat="false" ht="17.15" hidden="false" customHeight="false" outlineLevel="0" collapsed="false">
      <c r="A464" s="0" t="s">
        <v>1782</v>
      </c>
      <c r="B464" s="6" t="s">
        <v>1779</v>
      </c>
      <c r="C464" s="0" t="s">
        <v>1780</v>
      </c>
      <c r="D464" s="35" t="n">
        <f aca="false">In!D484</f>
        <v>29.5</v>
      </c>
      <c r="E464" s="35" t="n">
        <f aca="false">In!E484</f>
        <v>31</v>
      </c>
      <c r="F464" s="35" t="n">
        <f aca="false">In!F484</f>
        <v>32.5</v>
      </c>
      <c r="G464" s="0" t="str">
        <f aca="false">In!G484</f>
        <v>Assumed</v>
      </c>
      <c r="H464" s="12" t="s">
        <v>3684</v>
      </c>
    </row>
    <row r="465" customFormat="false" ht="17.15" hidden="false" customHeight="false" outlineLevel="0" collapsed="false">
      <c r="A465" s="0" t="s">
        <v>1787</v>
      </c>
      <c r="B465" s="6" t="s">
        <v>1784</v>
      </c>
      <c r="C465" s="0" t="s">
        <v>1774</v>
      </c>
      <c r="E465" s="35" t="n">
        <f aca="false">In!E485</f>
        <v>0</v>
      </c>
      <c r="G465" s="0" t="str">
        <f aca="false">In!G485</f>
        <v>—（未找到）</v>
      </c>
      <c r="H465" s="12" t="s">
        <v>3685</v>
      </c>
    </row>
    <row r="466" customFormat="false" ht="17.15" hidden="false" customHeight="false" outlineLevel="0" collapsed="false">
      <c r="A466" s="0" t="s">
        <v>1792</v>
      </c>
      <c r="B466" s="0" t="s">
        <v>1790</v>
      </c>
      <c r="C466" s="0" t="s">
        <v>521</v>
      </c>
      <c r="E466" s="35" t="n">
        <f aca="false">In!E486</f>
        <v>0</v>
      </c>
      <c r="G466" s="0" t="str">
        <f aca="false">In!G486</f>
        <v>—（未找到）</v>
      </c>
      <c r="H466" s="12" t="s">
        <v>3686</v>
      </c>
    </row>
    <row r="467" customFormat="false" ht="17.15" hidden="false" customHeight="false" outlineLevel="0" collapsed="false">
      <c r="A467" s="0" t="s">
        <v>1797</v>
      </c>
      <c r="B467" s="0" t="s">
        <v>1795</v>
      </c>
      <c r="C467" s="0" t="s">
        <v>521</v>
      </c>
      <c r="E467" s="35" t="n">
        <f aca="false">In!E487</f>
        <v>38.8</v>
      </c>
      <c r="G467" s="0" t="str">
        <f aca="false">In!G487</f>
        <v>Interested-party</v>
      </c>
      <c r="H467" s="12" t="s">
        <v>3687</v>
      </c>
    </row>
    <row r="468" customFormat="false" ht="17.15" hidden="false" customHeight="false" outlineLevel="0" collapsed="false">
      <c r="A468" s="0" t="s">
        <v>1801</v>
      </c>
      <c r="B468" s="0" t="s">
        <v>1800</v>
      </c>
      <c r="C468" s="0" t="s">
        <v>66</v>
      </c>
      <c r="E468" s="20" t="n">
        <f aca="false">In!E488</f>
        <v>0.39</v>
      </c>
      <c r="G468" s="0" t="str">
        <f aca="false">In!G488</f>
        <v>Interested-party</v>
      </c>
      <c r="H468" s="12" t="s">
        <v>3688</v>
      </c>
    </row>
    <row r="469" customFormat="false" ht="17.15" hidden="false" customHeight="false" outlineLevel="0" collapsed="false">
      <c r="A469" s="0" t="s">
        <v>1805</v>
      </c>
      <c r="B469" s="0" t="s">
        <v>1803</v>
      </c>
      <c r="C469" s="0" t="s">
        <v>66</v>
      </c>
      <c r="E469" s="20" t="n">
        <f aca="false">In!E489</f>
        <v>0.274</v>
      </c>
      <c r="G469" s="0" t="str">
        <f aca="false">In!G489</f>
        <v>Interested-party</v>
      </c>
      <c r="H469" s="12" t="s">
        <v>3689</v>
      </c>
    </row>
    <row r="470" customFormat="false" ht="17.15" hidden="false" customHeight="false" outlineLevel="0" collapsed="false">
      <c r="A470" s="0" t="s">
        <v>1808</v>
      </c>
      <c r="B470" s="0" t="s">
        <v>1807</v>
      </c>
      <c r="C470" s="0" t="s">
        <v>66</v>
      </c>
      <c r="E470" s="20" t="n">
        <f aca="false">In!E490</f>
        <v>0.15</v>
      </c>
      <c r="G470" s="0" t="str">
        <f aca="false">In!G490</f>
        <v>Interested-party</v>
      </c>
      <c r="H470" s="12" t="s">
        <v>3690</v>
      </c>
    </row>
    <row r="471" customFormat="false" ht="17.15" hidden="false" customHeight="false" outlineLevel="0" collapsed="false">
      <c r="A471" s="0" t="s">
        <v>1812</v>
      </c>
      <c r="B471" s="0" t="s">
        <v>1811</v>
      </c>
      <c r="C471" s="0" t="s">
        <v>521</v>
      </c>
      <c r="E471" s="35" t="n">
        <f aca="false">In!E491</f>
        <v>13.9</v>
      </c>
      <c r="G471" s="0" t="str">
        <f aca="false">In!G491</f>
        <v>Interested-party</v>
      </c>
      <c r="H471" s="12" t="s">
        <v>3691</v>
      </c>
    </row>
    <row r="472" customFormat="false" ht="17.15" hidden="false" customHeight="false" outlineLevel="0" collapsed="false">
      <c r="A472" s="0" t="s">
        <v>1815</v>
      </c>
      <c r="B472" s="0" t="s">
        <v>1814</v>
      </c>
      <c r="C472" s="0" t="s">
        <v>66</v>
      </c>
      <c r="E472" s="20" t="n">
        <f aca="false">In!E492</f>
        <v>0.307</v>
      </c>
      <c r="G472" s="0" t="str">
        <f aca="false">In!G492</f>
        <v>Interested-party</v>
      </c>
      <c r="H472" s="12" t="s">
        <v>3692</v>
      </c>
    </row>
    <row r="473" customFormat="false" ht="17.15" hidden="false" customHeight="false" outlineLevel="0" collapsed="false">
      <c r="A473" s="0" t="s">
        <v>1818</v>
      </c>
      <c r="B473" s="0" t="s">
        <v>1817</v>
      </c>
      <c r="C473" s="0" t="s">
        <v>66</v>
      </c>
      <c r="E473" s="20" t="n">
        <f aca="false">In!E493</f>
        <v>0.311</v>
      </c>
      <c r="G473" s="0" t="str">
        <f aca="false">In!G493</f>
        <v>Interested-party</v>
      </c>
      <c r="H473" s="12" t="s">
        <v>3693</v>
      </c>
    </row>
    <row r="474" customFormat="false" ht="17.15" hidden="false" customHeight="false" outlineLevel="0" collapsed="false">
      <c r="A474" s="0" t="s">
        <v>1821</v>
      </c>
      <c r="B474" s="0" t="s">
        <v>1820</v>
      </c>
      <c r="C474" s="0" t="s">
        <v>66</v>
      </c>
      <c r="E474" s="20" t="n">
        <f aca="false">In!E494</f>
        <v>0.145</v>
      </c>
      <c r="G474" s="0" t="str">
        <f aca="false">In!G494</f>
        <v>Interested-party</v>
      </c>
      <c r="H474" s="12" t="s">
        <v>3694</v>
      </c>
    </row>
    <row r="475" customFormat="false" ht="17.15" hidden="false" customHeight="false" outlineLevel="0" collapsed="false">
      <c r="A475" s="0" t="s">
        <v>1824</v>
      </c>
      <c r="B475" s="0" t="s">
        <v>1823</v>
      </c>
      <c r="C475" s="0" t="s">
        <v>521</v>
      </c>
      <c r="E475" s="35" t="n">
        <f aca="false">In!E495</f>
        <v>78</v>
      </c>
      <c r="G475" s="0" t="str">
        <f aca="false">In!G495</f>
        <v>Interested-party</v>
      </c>
      <c r="H475" s="12" t="s">
        <v>3695</v>
      </c>
    </row>
    <row r="476" customFormat="false" ht="17.15" hidden="false" customHeight="false" outlineLevel="0" collapsed="false">
      <c r="A476" s="0" t="s">
        <v>1827</v>
      </c>
      <c r="B476" s="0" t="s">
        <v>1826</v>
      </c>
      <c r="C476" s="0" t="s">
        <v>66</v>
      </c>
      <c r="E476" s="20" t="n">
        <f aca="false">In!E496</f>
        <v>0.189</v>
      </c>
      <c r="G476" s="0" t="str">
        <f aca="false">In!G496</f>
        <v>Interested-party</v>
      </c>
      <c r="H476" s="12" t="s">
        <v>3696</v>
      </c>
    </row>
    <row r="477" customFormat="false" ht="17.15" hidden="false" customHeight="false" outlineLevel="0" collapsed="false">
      <c r="A477" s="0" t="s">
        <v>1830</v>
      </c>
      <c r="B477" s="0" t="s">
        <v>1829</v>
      </c>
      <c r="C477" s="0" t="s">
        <v>66</v>
      </c>
      <c r="E477" s="20" t="n">
        <f aca="false">In!E497</f>
        <v>0.181</v>
      </c>
      <c r="G477" s="0" t="str">
        <f aca="false">In!G497</f>
        <v>Interested-party</v>
      </c>
      <c r="H477" s="12" t="s">
        <v>3697</v>
      </c>
    </row>
    <row r="478" customFormat="false" ht="17.15" hidden="false" customHeight="false" outlineLevel="0" collapsed="false">
      <c r="A478" s="0" t="s">
        <v>1833</v>
      </c>
      <c r="B478" s="0" t="s">
        <v>1832</v>
      </c>
      <c r="C478" s="0" t="s">
        <v>66</v>
      </c>
      <c r="E478" s="20" t="n">
        <f aca="false">In!E498</f>
        <v>0.136</v>
      </c>
      <c r="G478" s="0" t="str">
        <f aca="false">In!G498</f>
        <v>Interested-party</v>
      </c>
      <c r="H478" s="12" t="s">
        <v>3698</v>
      </c>
    </row>
    <row r="479" customFormat="false" ht="17.15" hidden="false" customHeight="false" outlineLevel="0" collapsed="false">
      <c r="A479" s="0" t="s">
        <v>1836</v>
      </c>
      <c r="B479" s="0" t="s">
        <v>1835</v>
      </c>
      <c r="C479" s="0" t="s">
        <v>521</v>
      </c>
      <c r="E479" s="35" t="n">
        <f aca="false">In!E499</f>
        <v>143.9</v>
      </c>
      <c r="G479" s="0" t="str">
        <f aca="false">In!G499</f>
        <v>Interested-party</v>
      </c>
      <c r="H479" s="12" t="s">
        <v>3699</v>
      </c>
    </row>
    <row r="480" customFormat="false" ht="17.15" hidden="false" customHeight="false" outlineLevel="0" collapsed="false">
      <c r="A480" s="0" t="s">
        <v>1839</v>
      </c>
      <c r="B480" s="0" t="s">
        <v>1838</v>
      </c>
      <c r="C480" s="0" t="s">
        <v>66</v>
      </c>
      <c r="E480" s="20" t="n">
        <f aca="false">In!E500</f>
        <v>0.231</v>
      </c>
      <c r="G480" s="0" t="str">
        <f aca="false">In!G500</f>
        <v>Interested-party</v>
      </c>
      <c r="H480" s="12" t="s">
        <v>3700</v>
      </c>
    </row>
    <row r="481" customFormat="false" ht="17.15" hidden="false" customHeight="false" outlineLevel="0" collapsed="false">
      <c r="A481" s="0" t="s">
        <v>1842</v>
      </c>
      <c r="B481" s="0" t="s">
        <v>1841</v>
      </c>
      <c r="C481" s="0" t="s">
        <v>66</v>
      </c>
      <c r="E481" s="20" t="n">
        <f aca="false">In!E501</f>
        <v>0.218</v>
      </c>
      <c r="G481" s="0" t="str">
        <f aca="false">In!G501</f>
        <v>Interested-party</v>
      </c>
      <c r="H481" s="12" t="s">
        <v>3701</v>
      </c>
    </row>
    <row r="482" customFormat="false" ht="17.15" hidden="false" customHeight="false" outlineLevel="0" collapsed="false">
      <c r="A482" s="0" t="s">
        <v>1845</v>
      </c>
      <c r="B482" s="0" t="s">
        <v>1844</v>
      </c>
      <c r="C482" s="0" t="s">
        <v>66</v>
      </c>
      <c r="E482" s="20" t="n">
        <f aca="false">In!E502</f>
        <v>0.141</v>
      </c>
      <c r="G482" s="0" t="str">
        <f aca="false">In!G502</f>
        <v>Interested-party</v>
      </c>
      <c r="H482" s="12" t="s">
        <v>3702</v>
      </c>
    </row>
    <row r="483" customFormat="false" ht="17.15" hidden="false" customHeight="false" outlineLevel="0" collapsed="false">
      <c r="A483" s="0" t="s">
        <v>1848</v>
      </c>
      <c r="B483" s="0" t="s">
        <v>1847</v>
      </c>
      <c r="C483" s="0" t="s">
        <v>521</v>
      </c>
      <c r="E483" s="35" t="n">
        <f aca="false">In!E503</f>
        <v>15.3</v>
      </c>
      <c r="G483" s="0" t="str">
        <f aca="false">In!G503</f>
        <v>Interested-party</v>
      </c>
      <c r="H483" s="12" t="s">
        <v>3703</v>
      </c>
    </row>
    <row r="484" customFormat="false" ht="17.15" hidden="false" customHeight="false" outlineLevel="0" collapsed="false">
      <c r="A484" s="0" t="s">
        <v>1851</v>
      </c>
      <c r="B484" s="0" t="s">
        <v>1850</v>
      </c>
      <c r="C484" s="0" t="s">
        <v>66</v>
      </c>
      <c r="E484" s="20" t="n">
        <f aca="false">In!E504</f>
        <v>0.31</v>
      </c>
      <c r="G484" s="0" t="str">
        <f aca="false">In!G504</f>
        <v>Interested-party</v>
      </c>
      <c r="H484" s="12" t="s">
        <v>3704</v>
      </c>
    </row>
    <row r="485" customFormat="false" ht="17.15" hidden="false" customHeight="false" outlineLevel="0" collapsed="false">
      <c r="A485" s="0" t="s">
        <v>1854</v>
      </c>
      <c r="B485" s="0" t="s">
        <v>1853</v>
      </c>
      <c r="C485" s="0" t="s">
        <v>521</v>
      </c>
      <c r="E485" s="35" t="n">
        <f aca="false">In!E505</f>
        <v>20.8</v>
      </c>
      <c r="G485" s="0" t="str">
        <f aca="false">In!G505</f>
        <v>Interested-party</v>
      </c>
      <c r="H485" s="12" t="s">
        <v>3705</v>
      </c>
    </row>
    <row r="486" customFormat="false" ht="17.15" hidden="false" customHeight="false" outlineLevel="0" collapsed="false">
      <c r="A486" s="0" t="s">
        <v>1858</v>
      </c>
      <c r="B486" s="0" t="s">
        <v>1857</v>
      </c>
      <c r="C486" s="0" t="s">
        <v>521</v>
      </c>
      <c r="E486" s="35" t="n">
        <f aca="false">In!E506</f>
        <v>6.7</v>
      </c>
      <c r="G486" s="0" t="str">
        <f aca="false">In!G506</f>
        <v>Interested-party</v>
      </c>
      <c r="H486" s="12" t="s">
        <v>3706</v>
      </c>
    </row>
    <row r="487" customFormat="false" ht="17.15" hidden="false" customHeight="false" outlineLevel="0" collapsed="false">
      <c r="A487" s="0" t="s">
        <v>1861</v>
      </c>
      <c r="B487" s="0" t="s">
        <v>1860</v>
      </c>
      <c r="C487" s="0" t="s">
        <v>66</v>
      </c>
      <c r="E487" s="20" t="n">
        <f aca="false">In!E507</f>
        <v>0.096</v>
      </c>
      <c r="G487" s="0" t="str">
        <f aca="false">In!G507</f>
        <v>Interested-party</v>
      </c>
      <c r="H487" s="12" t="s">
        <v>3707</v>
      </c>
    </row>
    <row r="488" customFormat="false" ht="17.15" hidden="false" customHeight="false" outlineLevel="0" collapsed="false">
      <c r="A488" s="0" t="s">
        <v>1864</v>
      </c>
      <c r="B488" s="0" t="s">
        <v>1863</v>
      </c>
      <c r="C488" s="0" t="s">
        <v>521</v>
      </c>
      <c r="E488" s="35" t="n">
        <f aca="false">In!E508</f>
        <v>8.6</v>
      </c>
      <c r="G488" s="0" t="str">
        <f aca="false">In!G508</f>
        <v>Interested-party</v>
      </c>
      <c r="H488" s="12" t="s">
        <v>3708</v>
      </c>
    </row>
    <row r="489" customFormat="false" ht="17.15" hidden="false" customHeight="false" outlineLevel="0" collapsed="false">
      <c r="A489" s="0" t="s">
        <v>1868</v>
      </c>
      <c r="B489" s="0" t="s">
        <v>1867</v>
      </c>
      <c r="C489" s="0" t="s">
        <v>521</v>
      </c>
      <c r="E489" s="35" t="n">
        <f aca="false">In!E509</f>
        <v>165.9</v>
      </c>
      <c r="G489" s="0" t="str">
        <f aca="false">In!G509</f>
        <v>Interested-party</v>
      </c>
      <c r="H489" s="12" t="s">
        <v>3709</v>
      </c>
    </row>
    <row r="490" customFormat="false" ht="17.15" hidden="false" customHeight="false" outlineLevel="0" collapsed="false">
      <c r="A490" s="0" t="s">
        <v>1871</v>
      </c>
      <c r="B490" s="0" t="s">
        <v>1870</v>
      </c>
      <c r="C490" s="0" t="s">
        <v>66</v>
      </c>
      <c r="E490" s="20" t="n">
        <f aca="false">In!E510</f>
        <v>0.232</v>
      </c>
      <c r="G490" s="0" t="str">
        <f aca="false">In!G510</f>
        <v>Interested-party</v>
      </c>
      <c r="H490" s="12" t="s">
        <v>3710</v>
      </c>
    </row>
    <row r="491" customFormat="false" ht="17.15" hidden="false" customHeight="false" outlineLevel="0" collapsed="false">
      <c r="A491" s="0" t="s">
        <v>1874</v>
      </c>
      <c r="B491" s="0" t="s">
        <v>1873</v>
      </c>
      <c r="C491" s="0" t="s">
        <v>521</v>
      </c>
      <c r="E491" s="35" t="n">
        <f aca="false">In!E511</f>
        <v>229.5</v>
      </c>
      <c r="G491" s="0" t="str">
        <f aca="false">In!G511</f>
        <v>Interested-party</v>
      </c>
      <c r="H491" s="12" t="s">
        <v>3711</v>
      </c>
    </row>
    <row r="492" customFormat="false" ht="17.15" hidden="false" customHeight="false" outlineLevel="0" collapsed="false">
      <c r="A492" s="0" t="s">
        <v>1878</v>
      </c>
      <c r="B492" s="0" t="s">
        <v>1876</v>
      </c>
      <c r="C492" s="0" t="s">
        <v>66</v>
      </c>
      <c r="D492" s="20" t="n">
        <f aca="false">In!D512</f>
        <v>0</v>
      </c>
      <c r="E492" s="20" t="n">
        <f aca="false">In!E512</f>
        <v>0.08</v>
      </c>
      <c r="F492" s="20" t="n">
        <f aca="false">In!F512</f>
        <v>0.12</v>
      </c>
      <c r="G492" s="0" t="str">
        <f aca="false">In!G512</f>
        <v>Assumed</v>
      </c>
      <c r="H492" s="12" t="s">
        <v>3712</v>
      </c>
    </row>
    <row r="493" customFormat="false" ht="17.15" hidden="false" customHeight="false" outlineLevel="0" collapsed="false">
      <c r="A493" s="0" t="s">
        <v>1883</v>
      </c>
      <c r="B493" s="6" t="s">
        <v>1881</v>
      </c>
      <c r="C493" s="0" t="s">
        <v>500</v>
      </c>
      <c r="D493" s="35" t="n">
        <f aca="false">In!D513</f>
        <v>0.95</v>
      </c>
      <c r="E493" s="35" t="n">
        <f aca="false">In!E513</f>
        <v>1</v>
      </c>
      <c r="F493" s="35" t="n">
        <f aca="false">In!F513</f>
        <v>1.05</v>
      </c>
      <c r="G493" s="0" t="str">
        <f aca="false">In!G513</f>
        <v>Assumed</v>
      </c>
      <c r="H493" s="12" t="s">
        <v>3713</v>
      </c>
    </row>
    <row r="494" customFormat="false" ht="17.15" hidden="false" customHeight="false" outlineLevel="0" collapsed="false">
      <c r="A494" s="0" t="s">
        <v>1888</v>
      </c>
      <c r="B494" s="6" t="s">
        <v>1886</v>
      </c>
      <c r="C494" s="0" t="s">
        <v>500</v>
      </c>
      <c r="D494" s="35" t="n">
        <f aca="false">In!D514</f>
        <v>0.75</v>
      </c>
      <c r="E494" s="35" t="n">
        <f aca="false">In!E514</f>
        <v>0.8</v>
      </c>
      <c r="F494" s="35" t="n">
        <f aca="false">In!F514</f>
        <v>0.85</v>
      </c>
      <c r="G494" s="0" t="str">
        <f aca="false">In!G514</f>
        <v>Assumed</v>
      </c>
      <c r="H494" s="12" t="s">
        <v>3714</v>
      </c>
    </row>
    <row r="495" customFormat="false" ht="17.15" hidden="false" customHeight="false" outlineLevel="0" collapsed="false">
      <c r="A495" s="0" t="s">
        <v>1893</v>
      </c>
      <c r="B495" s="6" t="s">
        <v>1891</v>
      </c>
      <c r="C495" s="0" t="s">
        <v>500</v>
      </c>
      <c r="D495" s="35" t="n">
        <f aca="false">In!D515</f>
        <v>0.9</v>
      </c>
      <c r="E495" s="35" t="n">
        <f aca="false">In!E515</f>
        <v>0.95</v>
      </c>
      <c r="F495" s="35" t="n">
        <f aca="false">In!F515</f>
        <v>1.05</v>
      </c>
      <c r="G495" s="0" t="str">
        <f aca="false">In!G515</f>
        <v>Assumed</v>
      </c>
      <c r="H495" s="12" t="s">
        <v>3715</v>
      </c>
    </row>
    <row r="496" customFormat="false" ht="17.15" hidden="false" customHeight="false" outlineLevel="0" collapsed="false">
      <c r="A496" s="0" t="s">
        <v>1898</v>
      </c>
      <c r="B496" s="6" t="s">
        <v>1896</v>
      </c>
      <c r="C496" s="0" t="s">
        <v>500</v>
      </c>
      <c r="D496" s="35" t="n">
        <f aca="false">In!D516</f>
        <v>0.9</v>
      </c>
      <c r="E496" s="35" t="n">
        <f aca="false">In!E516</f>
        <v>1</v>
      </c>
      <c r="F496" s="35" t="n">
        <f aca="false">In!F516</f>
        <v>1.1</v>
      </c>
      <c r="G496" s="0" t="str">
        <f aca="false">In!G516</f>
        <v>Assumed</v>
      </c>
      <c r="H496" s="12" t="s">
        <v>3716</v>
      </c>
    </row>
    <row r="497" customFormat="false" ht="15" hidden="false" customHeight="false" outlineLevel="0" collapsed="false">
      <c r="A497" s="0" t="s">
        <v>1902</v>
      </c>
      <c r="B497" s="6" t="s">
        <v>1900</v>
      </c>
      <c r="C497" s="0" t="s">
        <v>66</v>
      </c>
      <c r="D497" s="20" t="n">
        <f aca="false">In!D517</f>
        <v>0.15</v>
      </c>
      <c r="E497" s="20" t="n">
        <f aca="false">In!E517</f>
        <v>0.25</v>
      </c>
      <c r="F497" s="20" t="n">
        <f aca="false">In!F517</f>
        <v>0.4</v>
      </c>
      <c r="G497" s="0" t="str">
        <f aca="false">In!G517</f>
        <v>Assumed</v>
      </c>
      <c r="H497" s="12" t="s">
        <v>3717</v>
      </c>
    </row>
    <row r="498" customFormat="false" ht="15" hidden="false" customHeight="false" outlineLevel="0" collapsed="false">
      <c r="A498" s="0" t="s">
        <v>1907</v>
      </c>
      <c r="B498" s="6" t="s">
        <v>1905</v>
      </c>
      <c r="C498" s="0" t="s">
        <v>66</v>
      </c>
      <c r="D498" s="20" t="n">
        <f aca="false">In!D518</f>
        <v>0.35</v>
      </c>
      <c r="E498" s="20" t="n">
        <f aca="false">In!E518</f>
        <v>0.5</v>
      </c>
      <c r="F498" s="20" t="n">
        <f aca="false">In!F518</f>
        <v>0.65</v>
      </c>
      <c r="G498" s="0" t="str">
        <f aca="false">In!G518</f>
        <v>Assumed</v>
      </c>
      <c r="H498" s="12" t="s">
        <v>3718</v>
      </c>
    </row>
    <row r="499" customFormat="false" ht="17.15" hidden="false" customHeight="false" outlineLevel="0" collapsed="false">
      <c r="A499" s="0" t="s">
        <v>1912</v>
      </c>
      <c r="B499" s="0" t="s">
        <v>1910</v>
      </c>
      <c r="C499" s="0" t="s">
        <v>521</v>
      </c>
      <c r="E499" s="35" t="n">
        <f aca="false">In!E519</f>
        <v>150</v>
      </c>
      <c r="G499" s="0" t="str">
        <f aca="false">In!G519</f>
        <v>Interested-party</v>
      </c>
      <c r="H499" s="12" t="s">
        <v>3719</v>
      </c>
    </row>
    <row r="500" customFormat="false" ht="17.15" hidden="false" customHeight="false" outlineLevel="0" collapsed="false">
      <c r="A500" s="0" t="s">
        <v>1917</v>
      </c>
      <c r="B500" s="0" t="s">
        <v>1915</v>
      </c>
      <c r="C500" s="0" t="s">
        <v>521</v>
      </c>
      <c r="E500" s="35" t="n">
        <f aca="false">In!E520</f>
        <v>200</v>
      </c>
      <c r="G500" s="0" t="str">
        <f aca="false">In!G520</f>
        <v>Interested-party</v>
      </c>
      <c r="H500" s="12" t="s">
        <v>3720</v>
      </c>
    </row>
    <row r="501" customFormat="false" ht="17.15" hidden="false" customHeight="false" outlineLevel="0" collapsed="false">
      <c r="A501" s="0" t="s">
        <v>1922</v>
      </c>
      <c r="B501" s="0" t="s">
        <v>1920</v>
      </c>
      <c r="C501" s="0" t="s">
        <v>521</v>
      </c>
      <c r="E501" s="35" t="n">
        <f aca="false">In!E521</f>
        <v>150</v>
      </c>
      <c r="G501" s="0" t="str">
        <f aca="false">In!G521</f>
        <v>Interested-party</v>
      </c>
      <c r="H501" s="12" t="s">
        <v>3721</v>
      </c>
    </row>
    <row r="502" customFormat="false" ht="17.15" hidden="false" customHeight="false" outlineLevel="0" collapsed="false">
      <c r="A502" s="0" t="s">
        <v>1927</v>
      </c>
      <c r="B502" s="0" t="s">
        <v>1925</v>
      </c>
      <c r="C502" s="0" t="s">
        <v>521</v>
      </c>
      <c r="E502" s="35" t="n">
        <f aca="false">In!E522</f>
        <v>190</v>
      </c>
      <c r="G502" s="0" t="str">
        <f aca="false">In!G522</f>
        <v>Interested-party</v>
      </c>
      <c r="H502" s="12" t="s">
        <v>3722</v>
      </c>
    </row>
    <row r="503" customFormat="false" ht="15" hidden="false" customHeight="false" outlineLevel="0" collapsed="false">
      <c r="A503" s="0" t="s">
        <v>1932</v>
      </c>
      <c r="B503" s="0" t="s">
        <v>1930</v>
      </c>
      <c r="C503" s="0" t="s">
        <v>521</v>
      </c>
      <c r="E503" s="35" t="n">
        <f aca="false">In!E523</f>
        <v>202</v>
      </c>
      <c r="G503" s="0" t="str">
        <f aca="false">In!G523</f>
        <v>Interested-party</v>
      </c>
      <c r="H503" s="12" t="s">
        <v>3723</v>
      </c>
    </row>
    <row r="504" customFormat="false" ht="15" hidden="false" customHeight="false" outlineLevel="0" collapsed="false">
      <c r="A504" s="0" t="s">
        <v>1937</v>
      </c>
      <c r="B504" s="0" t="s">
        <v>1935</v>
      </c>
      <c r="C504" s="0" t="s">
        <v>521</v>
      </c>
      <c r="E504" s="35" t="n">
        <f aca="false">In!E524</f>
        <v>227</v>
      </c>
      <c r="G504" s="0" t="str">
        <f aca="false">In!G524</f>
        <v>Interested-party</v>
      </c>
      <c r="H504" s="12" t="s">
        <v>3724</v>
      </c>
    </row>
    <row r="505" customFormat="false" ht="15" hidden="false" customHeight="false" outlineLevel="0" collapsed="false">
      <c r="A505" s="0" t="s">
        <v>1941</v>
      </c>
      <c r="B505" s="0" t="s">
        <v>1939</v>
      </c>
      <c r="C505" s="0" t="s">
        <v>521</v>
      </c>
      <c r="E505" s="35" t="n">
        <f aca="false">In!E525</f>
        <v>150</v>
      </c>
      <c r="G505" s="0" t="str">
        <f aca="false">In!G525</f>
        <v>Interested-party</v>
      </c>
      <c r="H505" s="12" t="s">
        <v>3725</v>
      </c>
    </row>
    <row r="506" customFormat="false" ht="15" hidden="false" customHeight="false" outlineLevel="0" collapsed="false">
      <c r="A506" s="0" t="s">
        <v>1945</v>
      </c>
      <c r="B506" s="0" t="s">
        <v>1944</v>
      </c>
      <c r="C506" s="0" t="s">
        <v>521</v>
      </c>
      <c r="E506" s="35" t="n">
        <f aca="false">In!E526</f>
        <v>218</v>
      </c>
      <c r="G506" s="0" t="str">
        <f aca="false">In!G526</f>
        <v>Interested-party</v>
      </c>
      <c r="H506" s="12" t="s">
        <v>3726</v>
      </c>
    </row>
    <row r="507" customFormat="false" ht="15" hidden="false" customHeight="false" outlineLevel="0" collapsed="false">
      <c r="A507" s="0" t="s">
        <v>1948</v>
      </c>
      <c r="B507" s="0" t="s">
        <v>1947</v>
      </c>
      <c r="C507" s="0" t="s">
        <v>521</v>
      </c>
      <c r="E507" s="35" t="n">
        <f aca="false">In!E527</f>
        <v>281</v>
      </c>
      <c r="G507" s="0" t="str">
        <f aca="false">In!G527</f>
        <v>Interested-party</v>
      </c>
      <c r="H507" s="12" t="s">
        <v>3727</v>
      </c>
    </row>
    <row r="508" customFormat="false" ht="17.15" hidden="false" customHeight="false" outlineLevel="0" collapsed="false">
      <c r="A508" s="0" t="s">
        <v>1952</v>
      </c>
      <c r="B508" s="6" t="s">
        <v>1950</v>
      </c>
      <c r="C508" s="0" t="s">
        <v>66</v>
      </c>
      <c r="E508" s="20" t="n">
        <f aca="false">In!E528</f>
        <v>0.15</v>
      </c>
      <c r="G508" s="0" t="str">
        <f aca="false">In!G528</f>
        <v>Verified</v>
      </c>
      <c r="H508" s="12" t="s">
        <v>3728</v>
      </c>
    </row>
    <row r="509" customFormat="false" ht="17.15" hidden="false" customHeight="false" outlineLevel="0" collapsed="false">
      <c r="A509" s="0" t="s">
        <v>1957</v>
      </c>
      <c r="B509" s="0" t="s">
        <v>1955</v>
      </c>
      <c r="C509" s="0" t="s">
        <v>1350</v>
      </c>
      <c r="E509" s="35" t="n">
        <f aca="false">In!E530</f>
        <v>6.9</v>
      </c>
      <c r="G509" s="0" t="str">
        <f aca="false">In!G530</f>
        <v>Interested-party</v>
      </c>
      <c r="H509" s="12" t="s">
        <v>3729</v>
      </c>
    </row>
    <row r="510" customFormat="false" ht="17.15" hidden="false" customHeight="false" outlineLevel="0" collapsed="false">
      <c r="A510" s="0" t="s">
        <v>1961</v>
      </c>
      <c r="B510" s="6" t="s">
        <v>1959</v>
      </c>
      <c r="C510" s="0" t="s">
        <v>1350</v>
      </c>
      <c r="E510" s="35" t="n">
        <f aca="false">In!E531</f>
        <v>2.1</v>
      </c>
      <c r="G510" s="0" t="str">
        <f aca="false">In!G531</f>
        <v>Interested-party</v>
      </c>
      <c r="H510" s="12" t="s">
        <v>3730</v>
      </c>
    </row>
    <row r="511" customFormat="false" ht="17.15" hidden="false" customHeight="false" outlineLevel="0" collapsed="false">
      <c r="A511" s="0" t="s">
        <v>1965</v>
      </c>
      <c r="B511" s="0" t="s">
        <v>1963</v>
      </c>
      <c r="C511" s="0" t="s">
        <v>1350</v>
      </c>
      <c r="D511" s="35" t="n">
        <f aca="false">In!D532</f>
        <v>11</v>
      </c>
      <c r="E511" s="35" t="n">
        <f aca="false">In!E532</f>
        <v>11.5</v>
      </c>
      <c r="F511" s="35" t="n">
        <f aca="false">In!F532</f>
        <v>12</v>
      </c>
      <c r="G511" s="0" t="str">
        <f aca="false">In!G532</f>
        <v>Interested-party</v>
      </c>
      <c r="H511" s="12" t="s">
        <v>3731</v>
      </c>
    </row>
    <row r="512" customFormat="false" ht="17.15" hidden="false" customHeight="false" outlineLevel="0" collapsed="false">
      <c r="A512" s="0" t="s">
        <v>1970</v>
      </c>
      <c r="B512" s="6" t="s">
        <v>1968</v>
      </c>
      <c r="C512" s="0" t="s">
        <v>1350</v>
      </c>
      <c r="D512" s="35" t="n">
        <f aca="false">In!D533</f>
        <v>2.5</v>
      </c>
      <c r="E512" s="35" t="n">
        <f aca="false">In!E533</f>
        <v>2.75</v>
      </c>
      <c r="F512" s="35" t="n">
        <f aca="false">In!F533</f>
        <v>3</v>
      </c>
      <c r="G512" s="0" t="str">
        <f aca="false">In!G533</f>
        <v>Interested-party</v>
      </c>
      <c r="H512" s="12" t="s">
        <v>3732</v>
      </c>
    </row>
    <row r="513" customFormat="false" ht="17.15" hidden="false" customHeight="false" outlineLevel="0" collapsed="false">
      <c r="A513" s="0" t="s">
        <v>1975</v>
      </c>
      <c r="B513" s="6" t="s">
        <v>1973</v>
      </c>
      <c r="C513" s="0" t="s">
        <v>1350</v>
      </c>
      <c r="D513" s="35" t="n">
        <f aca="false">In!D534</f>
        <v>3.7</v>
      </c>
      <c r="E513" s="35" t="n">
        <f aca="false">In!E534</f>
        <v>4.3</v>
      </c>
      <c r="F513" s="35" t="n">
        <f aca="false">In!F534</f>
        <v>4.9</v>
      </c>
      <c r="G513" s="0" t="str">
        <f aca="false">In!G534</f>
        <v>Analogy</v>
      </c>
      <c r="H513" s="12" t="s">
        <v>3733</v>
      </c>
    </row>
    <row r="514" customFormat="false" ht="17.15" hidden="false" customHeight="false" outlineLevel="0" collapsed="false">
      <c r="A514" s="0" t="s">
        <v>1980</v>
      </c>
      <c r="B514" s="6" t="s">
        <v>1978</v>
      </c>
      <c r="C514" s="0" t="s">
        <v>66</v>
      </c>
      <c r="D514" s="20" t="n">
        <f aca="false">In!D535</f>
        <v>0</v>
      </c>
      <c r="E514" s="20" t="n">
        <f aca="false">In!E535</f>
        <v>0.04</v>
      </c>
      <c r="F514" s="20" t="n">
        <f aca="false">In!F535</f>
        <v>0.08</v>
      </c>
      <c r="G514" s="0" t="str">
        <f aca="false">In!G535</f>
        <v>Assumed</v>
      </c>
      <c r="H514" s="12" t="s">
        <v>3734</v>
      </c>
    </row>
    <row r="515" customFormat="false" ht="17.15" hidden="false" customHeight="false" outlineLevel="0" collapsed="false">
      <c r="A515" s="0" t="s">
        <v>1984</v>
      </c>
      <c r="B515" s="6" t="s">
        <v>1982</v>
      </c>
      <c r="C515" s="0" t="s">
        <v>1727</v>
      </c>
      <c r="D515" s="35" t="n">
        <f aca="false">In!D536</f>
        <v>0.05</v>
      </c>
      <c r="E515" s="35" t="n">
        <f aca="false">In!E536</f>
        <v>0</v>
      </c>
      <c r="F515" s="35" t="n">
        <f aca="false">In!F536</f>
        <v>0.1</v>
      </c>
      <c r="G515" s="0" t="str">
        <f aca="false">In!G536</f>
        <v>Assumed</v>
      </c>
      <c r="H515" s="12" t="s">
        <v>3735</v>
      </c>
    </row>
    <row r="516" customFormat="false" ht="17.15" hidden="false" customHeight="false" outlineLevel="0" collapsed="false">
      <c r="A516" s="0" t="s">
        <v>1989</v>
      </c>
      <c r="B516" s="6" t="s">
        <v>1987</v>
      </c>
      <c r="C516" s="0" t="s">
        <v>500</v>
      </c>
      <c r="D516" s="35" t="n">
        <f aca="false">In!D537</f>
        <v>0.9</v>
      </c>
      <c r="E516" s="35" t="n">
        <f aca="false">In!E537</f>
        <v>1</v>
      </c>
      <c r="F516" s="35" t="n">
        <f aca="false">In!F537</f>
        <v>1.1</v>
      </c>
      <c r="G516" s="0" t="str">
        <f aca="false">In!G537</f>
        <v>Assumed</v>
      </c>
      <c r="H516" s="12" t="s">
        <v>3736</v>
      </c>
    </row>
    <row r="517" customFormat="false" ht="17.15" hidden="false" customHeight="false" outlineLevel="0" collapsed="false">
      <c r="A517" s="0" t="s">
        <v>1994</v>
      </c>
      <c r="B517" s="6" t="s">
        <v>1992</v>
      </c>
      <c r="C517" s="0" t="s">
        <v>500</v>
      </c>
      <c r="D517" s="35" t="n">
        <f aca="false">In!D538</f>
        <v>1.1</v>
      </c>
      <c r="E517" s="35" t="n">
        <f aca="false">In!E538</f>
        <v>1.3</v>
      </c>
      <c r="F517" s="35" t="n">
        <f aca="false">In!F538</f>
        <v>1.6</v>
      </c>
      <c r="G517" s="0" t="str">
        <f aca="false">In!G538</f>
        <v>Assumed</v>
      </c>
      <c r="H517" s="12" t="s">
        <v>3737</v>
      </c>
    </row>
    <row r="518" customFormat="false" ht="17.15" hidden="false" customHeight="false" outlineLevel="0" collapsed="false">
      <c r="A518" s="0" t="s">
        <v>1998</v>
      </c>
      <c r="B518" s="6" t="s">
        <v>1996</v>
      </c>
      <c r="C518" s="0" t="s">
        <v>500</v>
      </c>
      <c r="D518" s="35" t="n">
        <f aca="false">In!D539</f>
        <v>1.3</v>
      </c>
      <c r="E518" s="35" t="n">
        <f aca="false">In!E539</f>
        <v>1.7</v>
      </c>
      <c r="F518" s="35" t="n">
        <f aca="false">In!F539</f>
        <v>2.2</v>
      </c>
      <c r="G518" s="0" t="str">
        <f aca="false">In!G539</f>
        <v>Assumed</v>
      </c>
      <c r="H518" s="12" t="s">
        <v>3738</v>
      </c>
    </row>
    <row r="519" customFormat="false" ht="17.15" hidden="false" customHeight="false" outlineLevel="0" collapsed="false">
      <c r="A519" s="0" t="s">
        <v>2002</v>
      </c>
      <c r="B519" s="6" t="s">
        <v>2000</v>
      </c>
      <c r="C519" s="0" t="s">
        <v>500</v>
      </c>
      <c r="D519" s="35" t="n">
        <f aca="false">In!D540</f>
        <v>0.5</v>
      </c>
      <c r="E519" s="35" t="n">
        <f aca="false">In!E540</f>
        <v>0.6</v>
      </c>
      <c r="F519" s="35" t="n">
        <f aca="false">In!F540</f>
        <v>0.8</v>
      </c>
      <c r="G519" s="0" t="str">
        <f aca="false">In!G540</f>
        <v>Assumed</v>
      </c>
      <c r="H519" s="12" t="s">
        <v>3739</v>
      </c>
    </row>
    <row r="520" customFormat="false" ht="17.15" hidden="false" customHeight="false" outlineLevel="0" collapsed="false">
      <c r="A520" s="0" t="s">
        <v>2006</v>
      </c>
      <c r="B520" s="6" t="s">
        <v>2004</v>
      </c>
      <c r="C520" s="0" t="s">
        <v>500</v>
      </c>
      <c r="D520" s="35" t="n">
        <f aca="false">In!D541</f>
        <v>0.9</v>
      </c>
      <c r="E520" s="35" t="n">
        <f aca="false">In!E541</f>
        <v>1.1</v>
      </c>
      <c r="F520" s="35" t="n">
        <f aca="false">In!F541</f>
        <v>1.4</v>
      </c>
      <c r="G520" s="0" t="str">
        <f aca="false">In!G541</f>
        <v>Assumed</v>
      </c>
      <c r="H520" s="12" t="s">
        <v>3740</v>
      </c>
    </row>
    <row r="521" customFormat="false" ht="17.15" hidden="false" customHeight="false" outlineLevel="0" collapsed="false">
      <c r="A521" s="0" t="s">
        <v>2010</v>
      </c>
      <c r="B521" s="6" t="s">
        <v>2008</v>
      </c>
      <c r="C521" s="0" t="s">
        <v>500</v>
      </c>
      <c r="D521" s="35" t="n">
        <f aca="false">In!D542</f>
        <v>0.8</v>
      </c>
      <c r="E521" s="35" t="n">
        <f aca="false">In!E542</f>
        <v>1</v>
      </c>
      <c r="F521" s="35" t="n">
        <f aca="false">In!F542</f>
        <v>1.3</v>
      </c>
      <c r="G521" s="0" t="str">
        <f aca="false">In!G542</f>
        <v>Assumed</v>
      </c>
      <c r="H521" s="12" t="s">
        <v>3741</v>
      </c>
    </row>
    <row r="522" customFormat="false" ht="17.15" hidden="false" customHeight="false" outlineLevel="0" collapsed="false">
      <c r="A522" s="0" t="s">
        <v>2014</v>
      </c>
      <c r="B522" s="6" t="s">
        <v>2012</v>
      </c>
      <c r="C522" s="0" t="s">
        <v>500</v>
      </c>
      <c r="D522" s="35" t="n">
        <f aca="false">In!D543</f>
        <v>0.6</v>
      </c>
      <c r="E522" s="35" t="n">
        <f aca="false">In!E543</f>
        <v>0.8</v>
      </c>
      <c r="F522" s="35" t="n">
        <f aca="false">In!F543</f>
        <v>1.1</v>
      </c>
      <c r="G522" s="0" t="str">
        <f aca="false">In!G543</f>
        <v>Assumed</v>
      </c>
      <c r="H522" s="12" t="s">
        <v>3742</v>
      </c>
    </row>
    <row r="523" customFormat="false" ht="17.15" hidden="false" customHeight="false" outlineLevel="0" collapsed="false">
      <c r="A523" s="0" t="s">
        <v>2018</v>
      </c>
      <c r="B523" s="6" t="s">
        <v>2016</v>
      </c>
      <c r="C523" s="0" t="s">
        <v>500</v>
      </c>
      <c r="D523" s="35" t="n">
        <f aca="false">In!D544</f>
        <v>0.5</v>
      </c>
      <c r="E523" s="35" t="n">
        <f aca="false">In!E544</f>
        <v>0.7</v>
      </c>
      <c r="F523" s="35" t="n">
        <f aca="false">In!F544</f>
        <v>1</v>
      </c>
      <c r="G523" s="0" t="str">
        <f aca="false">In!G544</f>
        <v>Assumed</v>
      </c>
      <c r="H523" s="12" t="s">
        <v>3743</v>
      </c>
    </row>
    <row r="524" customFormat="false" ht="17.15" hidden="false" customHeight="false" outlineLevel="0" collapsed="false">
      <c r="A524" s="0" t="s">
        <v>2022</v>
      </c>
      <c r="B524" s="6" t="s">
        <v>2020</v>
      </c>
      <c r="C524" s="0" t="s">
        <v>66</v>
      </c>
      <c r="D524" s="20" t="n">
        <f aca="false">In!D545</f>
        <v>0.3</v>
      </c>
      <c r="E524" s="20" t="n">
        <f aca="false">In!E545</f>
        <v>0.5</v>
      </c>
      <c r="F524" s="20" t="n">
        <f aca="false">In!F545</f>
        <v>0.7</v>
      </c>
      <c r="G524" s="0" t="str">
        <f aca="false">In!G545</f>
        <v>Assumed</v>
      </c>
      <c r="H524" s="12" t="s">
        <v>3744</v>
      </c>
    </row>
    <row r="525" customFormat="false" ht="17.15" hidden="false" customHeight="false" outlineLevel="0" collapsed="false">
      <c r="A525" s="0" t="s">
        <v>2026</v>
      </c>
      <c r="B525" s="6" t="s">
        <v>2024</v>
      </c>
      <c r="C525" s="0" t="s">
        <v>66</v>
      </c>
      <c r="E525" s="20" t="n">
        <f aca="false">In!E546</f>
        <v>0.07</v>
      </c>
      <c r="G525" s="0" t="str">
        <f aca="false">In!G546</f>
        <v>Interested-party</v>
      </c>
      <c r="H525" s="12" t="s">
        <v>3745</v>
      </c>
    </row>
    <row r="526" customFormat="false" ht="17.15" hidden="false" customHeight="false" outlineLevel="0" collapsed="false">
      <c r="A526" s="0" t="s">
        <v>2030</v>
      </c>
      <c r="B526" s="6" t="s">
        <v>2029</v>
      </c>
      <c r="C526" s="0" t="s">
        <v>66</v>
      </c>
      <c r="E526" s="20" t="n">
        <f aca="false">In!E547</f>
        <v>0.09</v>
      </c>
      <c r="G526" s="0" t="str">
        <f aca="false">In!G547</f>
        <v>Interested-party</v>
      </c>
      <c r="H526" s="12" t="s">
        <v>3746</v>
      </c>
    </row>
    <row r="527" customFormat="false" ht="17.15" hidden="false" customHeight="false" outlineLevel="0" collapsed="false">
      <c r="A527" s="0" t="s">
        <v>2036</v>
      </c>
      <c r="B527" s="0" t="s">
        <v>2033</v>
      </c>
      <c r="C527" s="0" t="s">
        <v>2034</v>
      </c>
      <c r="D527" s="35" t="n">
        <f aca="false">In!D549</f>
        <v>22</v>
      </c>
      <c r="E527" s="35" t="n">
        <f aca="false">In!E549</f>
        <v>24</v>
      </c>
      <c r="F527" s="35" t="n">
        <f aca="false">In!F549</f>
        <v>24</v>
      </c>
      <c r="G527" s="0" t="str">
        <f aca="false">In!G549</f>
        <v>Assumed</v>
      </c>
      <c r="H527" s="12" t="s">
        <v>3747</v>
      </c>
    </row>
    <row r="528" customFormat="false" ht="17.15" hidden="false" customHeight="false" outlineLevel="0" collapsed="false">
      <c r="A528" s="0" t="s">
        <v>2040</v>
      </c>
      <c r="B528" s="0" t="s">
        <v>2039</v>
      </c>
      <c r="C528" s="0" t="s">
        <v>2034</v>
      </c>
      <c r="D528" s="35" t="n">
        <f aca="false">In!D550</f>
        <v>24</v>
      </c>
      <c r="E528" s="35" t="n">
        <f aca="false">In!E550</f>
        <v>24</v>
      </c>
      <c r="F528" s="35" t="n">
        <f aca="false">In!F550</f>
        <v>26</v>
      </c>
      <c r="G528" s="0" t="str">
        <f aca="false">In!G550</f>
        <v>Assumed</v>
      </c>
      <c r="H528" s="12" t="s">
        <v>3748</v>
      </c>
    </row>
    <row r="529" customFormat="false" ht="17.15" hidden="false" customHeight="false" outlineLevel="0" collapsed="false">
      <c r="A529" s="0" t="s">
        <v>2043</v>
      </c>
      <c r="B529" s="0" t="s">
        <v>2042</v>
      </c>
      <c r="C529" s="0" t="s">
        <v>2034</v>
      </c>
      <c r="D529" s="35" t="n">
        <f aca="false">In!D551</f>
        <v>24</v>
      </c>
      <c r="E529" s="35" t="n">
        <f aca="false">In!E551</f>
        <v>26</v>
      </c>
      <c r="F529" s="35" t="n">
        <f aca="false">In!F551</f>
        <v>28</v>
      </c>
      <c r="G529" s="0" t="str">
        <f aca="false">In!G551</f>
        <v>Assumed</v>
      </c>
      <c r="H529" s="12" t="s">
        <v>3749</v>
      </c>
    </row>
    <row r="530" customFormat="false" ht="17.15" hidden="false" customHeight="false" outlineLevel="0" collapsed="false">
      <c r="A530" s="0" t="s">
        <v>2046</v>
      </c>
      <c r="B530" s="0" t="s">
        <v>2045</v>
      </c>
      <c r="C530" s="0" t="s">
        <v>2034</v>
      </c>
      <c r="D530" s="35" t="n">
        <f aca="false">In!D552</f>
        <v>24</v>
      </c>
      <c r="E530" s="35" t="n">
        <f aca="false">In!E552</f>
        <v>28</v>
      </c>
      <c r="F530" s="35" t="n">
        <f aca="false">In!F552</f>
        <v>32</v>
      </c>
      <c r="G530" s="0" t="str">
        <f aca="false">In!G552</f>
        <v>Assumed</v>
      </c>
      <c r="H530" s="12" t="s">
        <v>3750</v>
      </c>
    </row>
    <row r="531" customFormat="false" ht="17.15" hidden="false" customHeight="false" outlineLevel="0" collapsed="false">
      <c r="A531" s="0" t="s">
        <v>2049</v>
      </c>
      <c r="B531" s="0" t="s">
        <v>2048</v>
      </c>
      <c r="C531" s="0" t="s">
        <v>2034</v>
      </c>
      <c r="D531" s="35" t="n">
        <f aca="false">In!D553</f>
        <v>26</v>
      </c>
      <c r="E531" s="35" t="n">
        <f aca="false">In!E553</f>
        <v>30</v>
      </c>
      <c r="F531" s="35" t="n">
        <f aca="false">In!F553</f>
        <v>32</v>
      </c>
      <c r="G531" s="0" t="str">
        <f aca="false">In!G553</f>
        <v>Assumed</v>
      </c>
      <c r="H531" s="12" t="s">
        <v>3751</v>
      </c>
    </row>
    <row r="532" customFormat="false" ht="17.15" hidden="false" customHeight="false" outlineLevel="0" collapsed="false">
      <c r="A532" s="0" t="s">
        <v>2052</v>
      </c>
      <c r="B532" s="0" t="s">
        <v>2051</v>
      </c>
      <c r="C532" s="0" t="s">
        <v>2034</v>
      </c>
      <c r="D532" s="35" t="n">
        <f aca="false">In!D554</f>
        <v>28</v>
      </c>
      <c r="E532" s="35" t="n">
        <f aca="false">In!E554</f>
        <v>32</v>
      </c>
      <c r="F532" s="35" t="n">
        <f aca="false">In!F554</f>
        <v>32</v>
      </c>
      <c r="G532" s="0" t="str">
        <f aca="false">In!G554</f>
        <v>Assumed</v>
      </c>
      <c r="H532" s="12" t="s">
        <v>3752</v>
      </c>
    </row>
    <row r="533" customFormat="false" ht="17.15" hidden="false" customHeight="false" outlineLevel="0" collapsed="false">
      <c r="A533" s="0" t="s">
        <v>2057</v>
      </c>
      <c r="B533" s="0" t="s">
        <v>2054</v>
      </c>
      <c r="C533" s="6" t="s">
        <v>2055</v>
      </c>
      <c r="D533" s="35" t="n">
        <f aca="false">In!D555</f>
        <v>8</v>
      </c>
      <c r="E533" s="35" t="n">
        <f aca="false">In!E555</f>
        <v>10</v>
      </c>
      <c r="F533" s="35" t="n">
        <f aca="false">In!F555</f>
        <v>12</v>
      </c>
      <c r="G533" s="0" t="str">
        <f aca="false">In!G555</f>
        <v>Assumed</v>
      </c>
      <c r="H533" s="12" t="s">
        <v>3753</v>
      </c>
    </row>
    <row r="534" customFormat="false" ht="17.15" hidden="false" customHeight="false" outlineLevel="0" collapsed="false">
      <c r="A534" s="0" t="s">
        <v>2061</v>
      </c>
      <c r="B534" s="0" t="s">
        <v>2060</v>
      </c>
      <c r="C534" s="6" t="s">
        <v>2055</v>
      </c>
      <c r="D534" s="35" t="n">
        <f aca="false">In!D556</f>
        <v>10</v>
      </c>
      <c r="E534" s="35" t="n">
        <f aca="false">In!E556</f>
        <v>12</v>
      </c>
      <c r="F534" s="35" t="n">
        <f aca="false">In!F556</f>
        <v>12</v>
      </c>
      <c r="G534" s="0" t="str">
        <f aca="false">In!G556</f>
        <v>Assumed</v>
      </c>
      <c r="H534" s="12" t="s">
        <v>3754</v>
      </c>
    </row>
    <row r="535" customFormat="false" ht="17.15" hidden="false" customHeight="false" outlineLevel="0" collapsed="false">
      <c r="A535" s="0" t="s">
        <v>2064</v>
      </c>
      <c r="B535" s="0" t="s">
        <v>2063</v>
      </c>
      <c r="C535" s="6" t="s">
        <v>2055</v>
      </c>
      <c r="D535" s="35" t="n">
        <f aca="false">In!D557</f>
        <v>12</v>
      </c>
      <c r="E535" s="35" t="n">
        <f aca="false">In!E557</f>
        <v>12.5</v>
      </c>
      <c r="F535" s="35" t="n">
        <f aca="false">In!F557</f>
        <v>14</v>
      </c>
      <c r="G535" s="0" t="str">
        <f aca="false">In!G557</f>
        <v>Assumed</v>
      </c>
      <c r="H535" s="12" t="s">
        <v>3755</v>
      </c>
    </row>
    <row r="536" customFormat="false" ht="17.15" hidden="false" customHeight="false" outlineLevel="0" collapsed="false">
      <c r="A536" s="0" t="s">
        <v>2067</v>
      </c>
      <c r="B536" s="0" t="s">
        <v>2066</v>
      </c>
      <c r="C536" s="6" t="s">
        <v>2055</v>
      </c>
      <c r="D536" s="35" t="n">
        <f aca="false">In!D558</f>
        <v>12</v>
      </c>
      <c r="E536" s="35" t="n">
        <f aca="false">In!E558</f>
        <v>14</v>
      </c>
      <c r="F536" s="35" t="n">
        <f aca="false">In!F558</f>
        <v>16</v>
      </c>
      <c r="G536" s="0" t="str">
        <f aca="false">In!G558</f>
        <v>Assumed</v>
      </c>
      <c r="H536" s="12" t="s">
        <v>3756</v>
      </c>
    </row>
    <row r="537" customFormat="false" ht="17.15" hidden="false" customHeight="false" outlineLevel="0" collapsed="false">
      <c r="A537" s="0" t="s">
        <v>2070</v>
      </c>
      <c r="B537" s="0" t="s">
        <v>2069</v>
      </c>
      <c r="C537" s="6" t="s">
        <v>2055</v>
      </c>
      <c r="D537" s="35" t="n">
        <f aca="false">In!D559</f>
        <v>12</v>
      </c>
      <c r="E537" s="35" t="n">
        <f aca="false">In!E559</f>
        <v>15</v>
      </c>
      <c r="F537" s="35" t="n">
        <f aca="false">In!F559</f>
        <v>16</v>
      </c>
      <c r="G537" s="0" t="str">
        <f aca="false">In!G559</f>
        <v>Assumed</v>
      </c>
      <c r="H537" s="12" t="s">
        <v>3757</v>
      </c>
    </row>
    <row r="538" customFormat="false" ht="17.15" hidden="false" customHeight="false" outlineLevel="0" collapsed="false">
      <c r="A538" s="0" t="s">
        <v>2073</v>
      </c>
      <c r="B538" s="0" t="s">
        <v>2072</v>
      </c>
      <c r="C538" s="6" t="s">
        <v>2055</v>
      </c>
      <c r="D538" s="35" t="n">
        <f aca="false">In!D560</f>
        <v>14</v>
      </c>
      <c r="E538" s="35" t="n">
        <f aca="false">In!E560</f>
        <v>16</v>
      </c>
      <c r="F538" s="35" t="n">
        <f aca="false">In!F560</f>
        <v>16</v>
      </c>
      <c r="G538" s="0" t="str">
        <f aca="false">In!G560</f>
        <v>Assumed</v>
      </c>
      <c r="H538" s="12" t="s">
        <v>3758</v>
      </c>
    </row>
    <row r="539" customFormat="false" ht="17.15" hidden="false" customHeight="false" outlineLevel="0" collapsed="false">
      <c r="A539" s="0" t="s">
        <v>2077</v>
      </c>
      <c r="B539" s="6" t="s">
        <v>2075</v>
      </c>
      <c r="C539" s="0" t="s">
        <v>66</v>
      </c>
      <c r="D539" s="20" t="n">
        <f aca="false">In!D561</f>
        <v>0</v>
      </c>
      <c r="E539" s="20" t="n">
        <f aca="false">In!E561</f>
        <v>0</v>
      </c>
      <c r="F539" s="20" t="n">
        <f aca="false">In!F561</f>
        <v>0</v>
      </c>
      <c r="G539" s="0" t="str">
        <f aca="false">In!G561</f>
        <v>Assumed</v>
      </c>
      <c r="H539" s="12" t="s">
        <v>3759</v>
      </c>
    </row>
    <row r="540" customFormat="false" ht="17.15" hidden="false" customHeight="false" outlineLevel="0" collapsed="false">
      <c r="A540" s="0" t="s">
        <v>2081</v>
      </c>
      <c r="B540" s="6" t="s">
        <v>2080</v>
      </c>
      <c r="C540" s="0" t="s">
        <v>66</v>
      </c>
      <c r="D540" s="20" t="n">
        <f aca="false">In!D562</f>
        <v>0</v>
      </c>
      <c r="E540" s="20" t="n">
        <f aca="false">In!E562</f>
        <v>0</v>
      </c>
      <c r="F540" s="20" t="n">
        <f aca="false">In!F562</f>
        <v>0</v>
      </c>
      <c r="G540" s="0" t="str">
        <f aca="false">In!G562</f>
        <v>Assumed</v>
      </c>
      <c r="H540" s="12" t="s">
        <v>3760</v>
      </c>
    </row>
    <row r="541" customFormat="false" ht="17.15" hidden="false" customHeight="false" outlineLevel="0" collapsed="false">
      <c r="A541" s="0" t="s">
        <v>2084</v>
      </c>
      <c r="B541" s="6" t="s">
        <v>2083</v>
      </c>
      <c r="C541" s="0" t="s">
        <v>66</v>
      </c>
      <c r="D541" s="20" t="n">
        <f aca="false">In!D563</f>
        <v>0</v>
      </c>
      <c r="E541" s="20" t="n">
        <f aca="false">In!E563</f>
        <v>0</v>
      </c>
      <c r="F541" s="20" t="n">
        <f aca="false">In!F563</f>
        <v>0.05</v>
      </c>
      <c r="G541" s="0" t="str">
        <f aca="false">In!G563</f>
        <v>Assumed</v>
      </c>
      <c r="H541" s="12" t="s">
        <v>3761</v>
      </c>
    </row>
    <row r="542" customFormat="false" ht="17.15" hidden="false" customHeight="false" outlineLevel="0" collapsed="false">
      <c r="A542" s="0" t="s">
        <v>2087</v>
      </c>
      <c r="B542" s="6" t="s">
        <v>2086</v>
      </c>
      <c r="C542" s="0" t="s">
        <v>66</v>
      </c>
      <c r="D542" s="20" t="n">
        <f aca="false">In!D564</f>
        <v>0</v>
      </c>
      <c r="E542" s="20" t="n">
        <f aca="false">In!E564</f>
        <v>0.05</v>
      </c>
      <c r="F542" s="20" t="n">
        <f aca="false">In!F564</f>
        <v>0.15</v>
      </c>
      <c r="G542" s="0" t="str">
        <f aca="false">In!G564</f>
        <v>Assumed</v>
      </c>
      <c r="H542" s="12" t="s">
        <v>3762</v>
      </c>
    </row>
    <row r="543" customFormat="false" ht="17.15" hidden="false" customHeight="false" outlineLevel="0" collapsed="false">
      <c r="A543" s="0" t="s">
        <v>2090</v>
      </c>
      <c r="B543" s="6" t="s">
        <v>2089</v>
      </c>
      <c r="C543" s="0" t="s">
        <v>66</v>
      </c>
      <c r="D543" s="20" t="n">
        <f aca="false">In!D565</f>
        <v>0.05</v>
      </c>
      <c r="E543" s="20" t="n">
        <f aca="false">In!E565</f>
        <v>0.15</v>
      </c>
      <c r="F543" s="20" t="n">
        <f aca="false">In!F565</f>
        <v>0.3</v>
      </c>
      <c r="G543" s="0" t="str">
        <f aca="false">In!G565</f>
        <v>Assumed</v>
      </c>
      <c r="H543" s="12" t="s">
        <v>3763</v>
      </c>
    </row>
    <row r="544" customFormat="false" ht="17.15" hidden="false" customHeight="false" outlineLevel="0" collapsed="false">
      <c r="A544" s="0" t="s">
        <v>2093</v>
      </c>
      <c r="B544" s="6" t="s">
        <v>2092</v>
      </c>
      <c r="C544" s="0" t="s">
        <v>66</v>
      </c>
      <c r="D544" s="20" t="n">
        <f aca="false">In!D566</f>
        <v>0.1</v>
      </c>
      <c r="E544" s="20" t="n">
        <f aca="false">In!E566</f>
        <v>0.25</v>
      </c>
      <c r="F544" s="20" t="n">
        <f aca="false">In!F566</f>
        <v>0.4</v>
      </c>
      <c r="G544" s="0" t="str">
        <f aca="false">In!G566</f>
        <v>Assumed</v>
      </c>
      <c r="H544" s="12" t="s">
        <v>3764</v>
      </c>
    </row>
    <row r="545" customFormat="false" ht="17.15" hidden="false" customHeight="false" outlineLevel="0" collapsed="false">
      <c r="A545" s="0" t="s">
        <v>2098</v>
      </c>
      <c r="B545" s="0" t="s">
        <v>2096</v>
      </c>
      <c r="C545" s="0" t="s">
        <v>66</v>
      </c>
      <c r="D545" s="20" t="n">
        <f aca="false">In!D568</f>
        <v>-0.2</v>
      </c>
      <c r="E545" s="20" t="n">
        <f aca="false">In!E568</f>
        <v>-0.12</v>
      </c>
      <c r="F545" s="20" t="n">
        <f aca="false">In!F568</f>
        <v>-0.05</v>
      </c>
      <c r="G545" s="0" t="str">
        <f aca="false">In!G568</f>
        <v>Analogy</v>
      </c>
      <c r="H545" s="12" t="s">
        <v>3765</v>
      </c>
    </row>
    <row r="546" customFormat="false" ht="17.15" hidden="false" customHeight="false" outlineLevel="0" collapsed="false">
      <c r="A546" s="0" t="s">
        <v>2104</v>
      </c>
      <c r="B546" s="6" t="s">
        <v>2101</v>
      </c>
      <c r="C546" s="0" t="s">
        <v>2102</v>
      </c>
      <c r="D546" s="35" t="n">
        <f aca="false">In!D569</f>
        <v>24</v>
      </c>
      <c r="E546" s="35" t="n">
        <f aca="false">In!E569</f>
        <v>30</v>
      </c>
      <c r="F546" s="35" t="n">
        <f aca="false">In!F569</f>
        <v>36</v>
      </c>
      <c r="G546" s="0" t="str">
        <f aca="false">In!G569</f>
        <v>Assumed</v>
      </c>
      <c r="H546" s="12" t="s">
        <v>3766</v>
      </c>
    </row>
    <row r="547" customFormat="false" ht="17.15" hidden="false" customHeight="false" outlineLevel="0" collapsed="false">
      <c r="A547" s="0" t="s">
        <v>2109</v>
      </c>
      <c r="B547" s="6" t="s">
        <v>2107</v>
      </c>
      <c r="C547" s="0" t="s">
        <v>2102</v>
      </c>
      <c r="D547" s="35" t="n">
        <f aca="false">In!D570</f>
        <v>27</v>
      </c>
      <c r="E547" s="35" t="n">
        <f aca="false">In!E570</f>
        <v>34</v>
      </c>
      <c r="F547" s="35" t="n">
        <f aca="false">In!F570</f>
        <v>41</v>
      </c>
      <c r="G547" s="0" t="str">
        <f aca="false">In!G570</f>
        <v>Assumed</v>
      </c>
      <c r="H547" s="12" t="s">
        <v>3767</v>
      </c>
    </row>
    <row r="548" customFormat="false" ht="17.15" hidden="false" customHeight="false" outlineLevel="0" collapsed="false">
      <c r="A548" s="0" t="s">
        <v>2112</v>
      </c>
      <c r="B548" s="6" t="s">
        <v>2111</v>
      </c>
      <c r="C548" s="0" t="s">
        <v>2102</v>
      </c>
      <c r="D548" s="35" t="n">
        <f aca="false">In!D571</f>
        <v>32</v>
      </c>
      <c r="E548" s="35" t="n">
        <f aca="false">In!E571</f>
        <v>40</v>
      </c>
      <c r="F548" s="35" t="n">
        <f aca="false">In!F571</f>
        <v>48</v>
      </c>
      <c r="G548" s="0" t="str">
        <f aca="false">In!G571</f>
        <v>Assumed</v>
      </c>
      <c r="H548" s="12" t="s">
        <v>3768</v>
      </c>
    </row>
    <row r="549" customFormat="false" ht="17.15" hidden="false" customHeight="false" outlineLevel="0" collapsed="false">
      <c r="A549" s="0" t="s">
        <v>2115</v>
      </c>
      <c r="B549" s="6" t="s">
        <v>2114</v>
      </c>
      <c r="C549" s="0" t="s">
        <v>2102</v>
      </c>
      <c r="D549" s="35" t="n">
        <f aca="false">In!D572</f>
        <v>37</v>
      </c>
      <c r="E549" s="35" t="n">
        <f aca="false">In!E572</f>
        <v>46</v>
      </c>
      <c r="F549" s="35" t="n">
        <f aca="false">In!F572</f>
        <v>55</v>
      </c>
      <c r="G549" s="0" t="str">
        <f aca="false">In!G572</f>
        <v>Assumed</v>
      </c>
      <c r="H549" s="12" t="s">
        <v>3769</v>
      </c>
    </row>
    <row r="550" customFormat="false" ht="17.15" hidden="false" customHeight="false" outlineLevel="0" collapsed="false">
      <c r="A550" s="0" t="s">
        <v>2118</v>
      </c>
      <c r="B550" s="6" t="s">
        <v>2117</v>
      </c>
      <c r="C550" s="0" t="s">
        <v>2102</v>
      </c>
      <c r="D550" s="35" t="n">
        <f aca="false">In!D573</f>
        <v>42</v>
      </c>
      <c r="E550" s="35" t="n">
        <f aca="false">In!E573</f>
        <v>52</v>
      </c>
      <c r="F550" s="35" t="n">
        <f aca="false">In!F573</f>
        <v>62</v>
      </c>
      <c r="G550" s="0" t="str">
        <f aca="false">In!G573</f>
        <v>Assumed</v>
      </c>
      <c r="H550" s="12" t="s">
        <v>3770</v>
      </c>
    </row>
    <row r="551" customFormat="false" ht="17.15" hidden="false" customHeight="false" outlineLevel="0" collapsed="false">
      <c r="A551" s="0" t="s">
        <v>2123</v>
      </c>
      <c r="B551" s="0" t="s">
        <v>2120</v>
      </c>
      <c r="C551" s="0" t="s">
        <v>2121</v>
      </c>
      <c r="D551" s="35" t="n">
        <f aca="false">In!D574</f>
        <v>850</v>
      </c>
      <c r="E551" s="35" t="n">
        <f aca="false">In!E574</f>
        <v>1000</v>
      </c>
      <c r="F551" s="35" t="n">
        <f aca="false">In!F574</f>
        <v>1150</v>
      </c>
      <c r="G551" s="0" t="str">
        <f aca="false">In!G574</f>
        <v>Assumed</v>
      </c>
      <c r="H551" s="12" t="s">
        <v>3771</v>
      </c>
    </row>
    <row r="552" customFormat="false" ht="17.15" hidden="false" customHeight="false" outlineLevel="0" collapsed="false">
      <c r="A552" s="0" t="s">
        <v>2128</v>
      </c>
      <c r="B552" s="0" t="s">
        <v>2126</v>
      </c>
      <c r="C552" s="0" t="s">
        <v>66</v>
      </c>
      <c r="D552" s="20" t="n">
        <f aca="false">In!D575</f>
        <v>0.08</v>
      </c>
      <c r="E552" s="20" t="n">
        <f aca="false">In!E575</f>
        <v>0.12</v>
      </c>
      <c r="F552" s="20" t="n">
        <f aca="false">In!F575</f>
        <v>0.16</v>
      </c>
      <c r="G552" s="0" t="str">
        <f aca="false">In!G575</f>
        <v>Assumed</v>
      </c>
      <c r="H552" s="12" t="s">
        <v>3772</v>
      </c>
    </row>
    <row r="553" customFormat="false" ht="17.15" hidden="false" customHeight="false" outlineLevel="0" collapsed="false">
      <c r="A553" s="0" t="s">
        <v>2133</v>
      </c>
      <c r="B553" s="0" t="s">
        <v>2131</v>
      </c>
      <c r="C553" s="0" t="s">
        <v>66</v>
      </c>
      <c r="D553" s="20" t="n">
        <f aca="false">In!D576</f>
        <v>0.26</v>
      </c>
      <c r="E553" s="20" t="n">
        <f aca="false">In!E576</f>
        <v>0.3</v>
      </c>
      <c r="F553" s="20" t="n">
        <f aca="false">In!F576</f>
        <v>0.34</v>
      </c>
      <c r="G553" s="0" t="str">
        <f aca="false">In!G576</f>
        <v>Interested-party</v>
      </c>
      <c r="H553" s="12" t="s">
        <v>3773</v>
      </c>
    </row>
    <row r="554" customFormat="false" ht="17.15" hidden="false" customHeight="false" outlineLevel="0" collapsed="false">
      <c r="A554" s="0" t="s">
        <v>2138</v>
      </c>
      <c r="B554" s="0" t="s">
        <v>2136</v>
      </c>
      <c r="C554" s="0" t="s">
        <v>66</v>
      </c>
      <c r="D554" s="20" t="n">
        <f aca="false">In!D577</f>
        <v>0.45</v>
      </c>
      <c r="E554" s="20" t="n">
        <f aca="false">In!E577</f>
        <v>0.55</v>
      </c>
      <c r="F554" s="20" t="n">
        <f aca="false">In!F577</f>
        <v>0.65</v>
      </c>
      <c r="G554" s="0" t="str">
        <f aca="false">In!G577</f>
        <v>Assumed</v>
      </c>
      <c r="H554" s="12" t="s">
        <v>3774</v>
      </c>
    </row>
    <row r="555" customFormat="false" ht="17.15" hidden="false" customHeight="false" outlineLevel="0" collapsed="false">
      <c r="A555" s="0" t="s">
        <v>2143</v>
      </c>
      <c r="B555" s="0" t="s">
        <v>2141</v>
      </c>
      <c r="C555" s="0" t="s">
        <v>66</v>
      </c>
      <c r="D555" s="20" t="n">
        <f aca="false">In!D578</f>
        <v>0.28</v>
      </c>
      <c r="E555" s="20" t="n">
        <f aca="false">In!E578</f>
        <v>0.32</v>
      </c>
      <c r="F555" s="20" t="n">
        <f aca="false">In!F578</f>
        <v>0.36</v>
      </c>
      <c r="G555" s="0" t="str">
        <f aca="false">In!G578</f>
        <v>Assumed</v>
      </c>
      <c r="H555" s="12" t="s">
        <v>3775</v>
      </c>
    </row>
    <row r="556" customFormat="false" ht="17.15" hidden="false" customHeight="false" outlineLevel="0" collapsed="false">
      <c r="A556" s="0" t="s">
        <v>2146</v>
      </c>
      <c r="B556" s="0" t="s">
        <v>2145</v>
      </c>
      <c r="C556" s="0" t="s">
        <v>66</v>
      </c>
      <c r="D556" s="20" t="n">
        <f aca="false">In!D579</f>
        <v>0.2</v>
      </c>
      <c r="E556" s="20" t="n">
        <f aca="false">In!E579</f>
        <v>0.23</v>
      </c>
      <c r="F556" s="20" t="n">
        <f aca="false">In!F579</f>
        <v>0.26</v>
      </c>
      <c r="G556" s="0" t="str">
        <f aca="false">In!G579</f>
        <v>Assumed</v>
      </c>
      <c r="H556" s="12" t="s">
        <v>3776</v>
      </c>
    </row>
    <row r="557" customFormat="false" ht="17.15" hidden="false" customHeight="false" outlineLevel="0" collapsed="false">
      <c r="A557" s="0" t="s">
        <v>2151</v>
      </c>
      <c r="B557" s="6" t="s">
        <v>2149</v>
      </c>
      <c r="C557" s="0" t="s">
        <v>66</v>
      </c>
      <c r="D557" s="20" t="n">
        <f aca="false">In!D580</f>
        <v>0.05</v>
      </c>
      <c r="E557" s="20" t="n">
        <f aca="false">In!E580</f>
        <v>0.1</v>
      </c>
      <c r="F557" s="20" t="n">
        <f aca="false">In!F580</f>
        <v>0.15</v>
      </c>
      <c r="G557" s="0" t="str">
        <f aca="false">In!G580</f>
        <v>Assumed</v>
      </c>
      <c r="H557" s="12" t="s">
        <v>3777</v>
      </c>
    </row>
    <row r="558" customFormat="false" ht="17.15" hidden="false" customHeight="false" outlineLevel="0" collapsed="false">
      <c r="A558" s="0" t="s">
        <v>2156</v>
      </c>
      <c r="B558" s="6" t="s">
        <v>2154</v>
      </c>
      <c r="C558" s="0" t="s">
        <v>66</v>
      </c>
      <c r="D558" s="20" t="n">
        <f aca="false">In!D581</f>
        <v>-0.1</v>
      </c>
      <c r="E558" s="20" t="n">
        <f aca="false">In!E581</f>
        <v>-0.05</v>
      </c>
      <c r="F558" s="20" t="n">
        <f aca="false">In!F581</f>
        <v>0</v>
      </c>
      <c r="G558" s="0" t="str">
        <f aca="false">In!G581</f>
        <v>Assumed</v>
      </c>
      <c r="H558" s="12" t="s">
        <v>3778</v>
      </c>
    </row>
    <row r="559" customFormat="false" ht="17.15" hidden="false" customHeight="false" outlineLevel="0" collapsed="false">
      <c r="A559" s="0" t="s">
        <v>2160</v>
      </c>
      <c r="B559" s="6" t="s">
        <v>2159</v>
      </c>
      <c r="C559" s="0" t="s">
        <v>66</v>
      </c>
      <c r="D559" s="20" t="n">
        <f aca="false">In!D582</f>
        <v>0</v>
      </c>
      <c r="E559" s="20" t="n">
        <f aca="false">In!E582</f>
        <v>0.03</v>
      </c>
      <c r="F559" s="20" t="n">
        <f aca="false">In!F582</f>
        <v>0.06</v>
      </c>
      <c r="G559" s="0" t="str">
        <f aca="false">In!G582</f>
        <v>Assumed</v>
      </c>
      <c r="H559" s="12" t="s">
        <v>3779</v>
      </c>
    </row>
    <row r="560" customFormat="false" ht="17.15" hidden="false" customHeight="false" outlineLevel="0" collapsed="false">
      <c r="A560" s="0" t="s">
        <v>2163</v>
      </c>
      <c r="B560" s="6" t="s">
        <v>2162</v>
      </c>
      <c r="C560" s="0" t="s">
        <v>66</v>
      </c>
      <c r="D560" s="20" t="n">
        <f aca="false">In!D583</f>
        <v>0.05</v>
      </c>
      <c r="E560" s="20" t="n">
        <f aca="false">In!E583</f>
        <v>0.08</v>
      </c>
      <c r="F560" s="20" t="n">
        <f aca="false">In!F583</f>
        <v>0.11</v>
      </c>
      <c r="G560" s="0" t="str">
        <f aca="false">In!G583</f>
        <v>Assumed</v>
      </c>
      <c r="H560" s="12" t="s">
        <v>3780</v>
      </c>
    </row>
    <row r="561" customFormat="false" ht="17.15" hidden="false" customHeight="false" outlineLevel="0" collapsed="false">
      <c r="A561" s="0" t="s">
        <v>2166</v>
      </c>
      <c r="B561" s="0" t="s">
        <v>2165</v>
      </c>
      <c r="C561" s="0" t="s">
        <v>66</v>
      </c>
      <c r="D561" s="20" t="n">
        <f aca="false">In!D584</f>
        <v>-0.1</v>
      </c>
      <c r="E561" s="20" t="n">
        <f aca="false">In!E584</f>
        <v>-0.05</v>
      </c>
      <c r="F561" s="20" t="n">
        <f aca="false">In!F584</f>
        <v>0</v>
      </c>
      <c r="G561" s="0" t="str">
        <f aca="false">In!G584</f>
        <v>Assumed</v>
      </c>
      <c r="H561" s="12" t="s">
        <v>3781</v>
      </c>
    </row>
    <row r="562" customFormat="false" ht="17.15" hidden="false" customHeight="false" outlineLevel="0" collapsed="false">
      <c r="A562" s="0" t="s">
        <v>2169</v>
      </c>
      <c r="B562" s="0" t="s">
        <v>2168</v>
      </c>
      <c r="C562" s="0" t="s">
        <v>66</v>
      </c>
      <c r="D562" s="20" t="n">
        <f aca="false">In!D585</f>
        <v>-0.03</v>
      </c>
      <c r="E562" s="20" t="n">
        <f aca="false">In!E585</f>
        <v>0</v>
      </c>
      <c r="F562" s="20" t="n">
        <f aca="false">In!F585</f>
        <v>0.03</v>
      </c>
      <c r="G562" s="0" t="str">
        <f aca="false">In!G585</f>
        <v>Assumed</v>
      </c>
      <c r="H562" s="12" t="s">
        <v>3782</v>
      </c>
    </row>
    <row r="563" customFormat="false" ht="17.15" hidden="false" customHeight="false" outlineLevel="0" collapsed="false">
      <c r="A563" s="0" t="s">
        <v>2172</v>
      </c>
      <c r="B563" s="0" t="s">
        <v>2171</v>
      </c>
      <c r="C563" s="0" t="s">
        <v>66</v>
      </c>
      <c r="D563" s="20" t="n">
        <f aca="false">In!D586</f>
        <v>0.03</v>
      </c>
      <c r="E563" s="20" t="n">
        <f aca="false">In!E586</f>
        <v>0.06</v>
      </c>
      <c r="F563" s="20" t="n">
        <f aca="false">In!F586</f>
        <v>0.09</v>
      </c>
      <c r="G563" s="0" t="str">
        <f aca="false">In!G586</f>
        <v>Assumed</v>
      </c>
      <c r="H563" s="12" t="s">
        <v>3783</v>
      </c>
    </row>
    <row r="564" customFormat="false" ht="17.15" hidden="false" customHeight="false" outlineLevel="0" collapsed="false">
      <c r="A564" s="0" t="s">
        <v>2176</v>
      </c>
      <c r="B564" s="6" t="s">
        <v>2174</v>
      </c>
      <c r="C564" s="0" t="s">
        <v>66</v>
      </c>
      <c r="D564" s="20" t="n">
        <f aca="false">In!D587</f>
        <v>-0.15</v>
      </c>
      <c r="E564" s="20" t="n">
        <f aca="false">In!E587</f>
        <v>-0.1</v>
      </c>
      <c r="F564" s="20" t="n">
        <f aca="false">In!F587</f>
        <v>-0.05</v>
      </c>
      <c r="G564" s="0" t="str">
        <f aca="false">In!G587</f>
        <v>Assumed</v>
      </c>
      <c r="H564" s="12" t="s">
        <v>3784</v>
      </c>
    </row>
    <row r="565" customFormat="false" ht="17.15" hidden="false" customHeight="false" outlineLevel="0" collapsed="false">
      <c r="A565" s="0" t="s">
        <v>2179</v>
      </c>
      <c r="B565" s="6" t="s">
        <v>2178</v>
      </c>
      <c r="C565" s="0" t="s">
        <v>66</v>
      </c>
      <c r="D565" s="20" t="n">
        <f aca="false">In!D588</f>
        <v>-0.03</v>
      </c>
      <c r="E565" s="20" t="n">
        <f aca="false">In!E588</f>
        <v>0</v>
      </c>
      <c r="F565" s="20" t="n">
        <f aca="false">In!F588</f>
        <v>0.03</v>
      </c>
      <c r="G565" s="0" t="str">
        <f aca="false">In!G588</f>
        <v>Assumed</v>
      </c>
      <c r="H565" s="12" t="s">
        <v>3785</v>
      </c>
    </row>
    <row r="566" customFormat="false" ht="17.15" hidden="false" customHeight="false" outlineLevel="0" collapsed="false">
      <c r="A566" s="0" t="s">
        <v>2182</v>
      </c>
      <c r="B566" s="6" t="s">
        <v>2181</v>
      </c>
      <c r="C566" s="0" t="s">
        <v>66</v>
      </c>
      <c r="D566" s="20" t="n">
        <f aca="false">In!D589</f>
        <v>0.02</v>
      </c>
      <c r="E566" s="20" t="n">
        <f aca="false">In!E589</f>
        <v>0.05</v>
      </c>
      <c r="F566" s="20" t="n">
        <f aca="false">In!F589</f>
        <v>0.08</v>
      </c>
      <c r="G566" s="0" t="str">
        <f aca="false">In!G589</f>
        <v>Assumed</v>
      </c>
      <c r="H566" s="12" t="s">
        <v>3786</v>
      </c>
    </row>
    <row r="567" customFormat="false" ht="17.15" hidden="false" customHeight="false" outlineLevel="0" collapsed="false">
      <c r="A567" s="0" t="s">
        <v>2186</v>
      </c>
      <c r="B567" s="6" t="s">
        <v>2184</v>
      </c>
      <c r="C567" s="0" t="s">
        <v>66</v>
      </c>
      <c r="D567" s="20" t="n">
        <f aca="false">In!D590</f>
        <v>0.18</v>
      </c>
      <c r="E567" s="20" t="n">
        <f aca="false">In!E590</f>
        <v>0.21</v>
      </c>
      <c r="F567" s="20" t="n">
        <f aca="false">In!F590</f>
        <v>0.24</v>
      </c>
      <c r="G567" s="0" t="str">
        <f aca="false">In!G590</f>
        <v>Interested-party</v>
      </c>
      <c r="H567" s="12" t="s">
        <v>3787</v>
      </c>
    </row>
    <row r="568" customFormat="false" ht="17.15" hidden="false" customHeight="false" outlineLevel="0" collapsed="false">
      <c r="A568" s="0" t="s">
        <v>2190</v>
      </c>
      <c r="B568" s="6" t="s">
        <v>2189</v>
      </c>
      <c r="C568" s="0" t="s">
        <v>66</v>
      </c>
      <c r="D568" s="20" t="n">
        <f aca="false">In!D591</f>
        <v>0.2</v>
      </c>
      <c r="E568" s="20" t="n">
        <f aca="false">In!E591</f>
        <v>0.25</v>
      </c>
      <c r="F568" s="20" t="n">
        <f aca="false">In!F591</f>
        <v>0.28</v>
      </c>
      <c r="G568" s="0" t="str">
        <f aca="false">In!G591</f>
        <v>Interested-party</v>
      </c>
      <c r="H568" s="12" t="s">
        <v>3788</v>
      </c>
    </row>
    <row r="569" customFormat="false" ht="17.15" hidden="false" customHeight="false" outlineLevel="0" collapsed="false">
      <c r="A569" s="0" t="s">
        <v>2193</v>
      </c>
      <c r="B569" s="6" t="s">
        <v>2192</v>
      </c>
      <c r="C569" s="0" t="s">
        <v>66</v>
      </c>
      <c r="D569" s="20" t="n">
        <f aca="false">In!D592</f>
        <v>0.2</v>
      </c>
      <c r="E569" s="20" t="n">
        <f aca="false">In!E592</f>
        <v>0.25</v>
      </c>
      <c r="F569" s="20" t="n">
        <f aca="false">In!F592</f>
        <v>0.28</v>
      </c>
      <c r="G569" s="0" t="str">
        <f aca="false">In!G592</f>
        <v>Interested-party</v>
      </c>
      <c r="H569" s="12" t="s">
        <v>3789</v>
      </c>
    </row>
    <row r="570" customFormat="false" ht="17.15" hidden="false" customHeight="false" outlineLevel="0" collapsed="false">
      <c r="A570" s="0" t="s">
        <v>2197</v>
      </c>
      <c r="B570" s="6" t="s">
        <v>2195</v>
      </c>
      <c r="C570" s="0" t="s">
        <v>66</v>
      </c>
      <c r="D570" s="20" t="n">
        <f aca="false">In!D593</f>
        <v>0.15</v>
      </c>
      <c r="E570" s="20" t="n">
        <f aca="false">In!E593</f>
        <v>0.22</v>
      </c>
      <c r="F570" s="20" t="n">
        <f aca="false">In!F593</f>
        <v>0.28</v>
      </c>
      <c r="G570" s="0" t="str">
        <f aca="false">In!G593</f>
        <v>Assumed</v>
      </c>
      <c r="H570" s="12" t="s">
        <v>3790</v>
      </c>
    </row>
    <row r="571" customFormat="false" ht="17.15" hidden="false" customHeight="false" outlineLevel="0" collapsed="false">
      <c r="A571" s="0" t="s">
        <v>2200</v>
      </c>
      <c r="B571" s="6" t="s">
        <v>2199</v>
      </c>
      <c r="C571" s="0" t="s">
        <v>66</v>
      </c>
      <c r="D571" s="20" t="n">
        <f aca="false">In!D594</f>
        <v>0.12</v>
      </c>
      <c r="E571" s="20" t="n">
        <f aca="false">In!E594</f>
        <v>0.2</v>
      </c>
      <c r="F571" s="20" t="n">
        <f aca="false">In!F594</f>
        <v>0.26</v>
      </c>
      <c r="G571" s="0" t="str">
        <f aca="false">In!G594</f>
        <v>Assumed</v>
      </c>
      <c r="H571" s="12" t="s">
        <v>3791</v>
      </c>
    </row>
    <row r="572" customFormat="false" ht="17.15" hidden="false" customHeight="false" outlineLevel="0" collapsed="false">
      <c r="A572" s="0" t="s">
        <v>2204</v>
      </c>
      <c r="B572" s="6" t="s">
        <v>2202</v>
      </c>
      <c r="C572" s="0" t="s">
        <v>521</v>
      </c>
      <c r="E572" s="35" t="n">
        <f aca="false">In!E595</f>
        <v>4.2</v>
      </c>
      <c r="G572" s="0" t="str">
        <f aca="false">In!G595</f>
        <v>Derived</v>
      </c>
      <c r="H572" s="12" t="s">
        <v>3792</v>
      </c>
    </row>
    <row r="573" customFormat="false" ht="17.15" hidden="false" customHeight="false" outlineLevel="0" collapsed="false">
      <c r="A573" s="0" t="s">
        <v>2208</v>
      </c>
      <c r="B573" s="6" t="s">
        <v>2206</v>
      </c>
      <c r="C573" s="0" t="s">
        <v>521</v>
      </c>
      <c r="E573" s="35" t="n">
        <f aca="false">In!E596</f>
        <v>5.2</v>
      </c>
      <c r="G573" s="0" t="str">
        <f aca="false">In!G596</f>
        <v>Interested-party</v>
      </c>
      <c r="H573" s="12" t="s">
        <v>3793</v>
      </c>
    </row>
    <row r="574" customFormat="false" ht="17.15" hidden="false" customHeight="false" outlineLevel="0" collapsed="false">
      <c r="A574" s="0" t="s">
        <v>2212</v>
      </c>
      <c r="B574" s="6" t="s">
        <v>2210</v>
      </c>
      <c r="C574" s="0" t="s">
        <v>521</v>
      </c>
      <c r="E574" s="35" t="n">
        <f aca="false">In!E597</f>
        <v>6</v>
      </c>
      <c r="G574" s="0" t="str">
        <f aca="false">In!G597</f>
        <v>Interested-party</v>
      </c>
      <c r="H574" s="12" t="s">
        <v>3794</v>
      </c>
    </row>
    <row r="575" customFormat="false" ht="17.15" hidden="false" customHeight="false" outlineLevel="0" collapsed="false">
      <c r="A575" s="0" t="s">
        <v>2216</v>
      </c>
      <c r="B575" s="6" t="s">
        <v>2214</v>
      </c>
      <c r="C575" s="0" t="s">
        <v>521</v>
      </c>
      <c r="E575" s="35" t="n">
        <f aca="false">In!E598</f>
        <v>6.6</v>
      </c>
      <c r="G575" s="0" t="str">
        <f aca="false">In!G598</f>
        <v>Interested-party</v>
      </c>
      <c r="H575" s="12" t="s">
        <v>3795</v>
      </c>
    </row>
    <row r="576" customFormat="false" ht="17.15" hidden="false" customHeight="false" outlineLevel="0" collapsed="false">
      <c r="A576" s="0" t="s">
        <v>2220</v>
      </c>
      <c r="B576" s="6" t="s">
        <v>2218</v>
      </c>
      <c r="C576" s="0" t="s">
        <v>521</v>
      </c>
      <c r="E576" s="35" t="n">
        <f aca="false">In!E599</f>
        <v>13.51</v>
      </c>
      <c r="G576" s="0" t="str">
        <f aca="false">In!G599</f>
        <v>Derived</v>
      </c>
      <c r="H576" s="12" t="s">
        <v>3796</v>
      </c>
    </row>
    <row r="577" customFormat="false" ht="17.15" hidden="false" customHeight="false" outlineLevel="0" collapsed="false">
      <c r="A577" s="0" t="s">
        <v>2224</v>
      </c>
      <c r="B577" s="6" t="s">
        <v>2222</v>
      </c>
      <c r="C577" s="0" t="s">
        <v>521</v>
      </c>
      <c r="E577" s="35" t="n">
        <f aca="false">In!E600</f>
        <v>23.06</v>
      </c>
      <c r="G577" s="0" t="str">
        <f aca="false">In!G600</f>
        <v>Interested-party</v>
      </c>
      <c r="H577" s="12" t="s">
        <v>3797</v>
      </c>
    </row>
    <row r="578" customFormat="false" ht="17.15" hidden="false" customHeight="false" outlineLevel="0" collapsed="false">
      <c r="A578" s="0" t="s">
        <v>2227</v>
      </c>
      <c r="B578" s="0" t="s">
        <v>2226</v>
      </c>
      <c r="C578" s="0" t="s">
        <v>521</v>
      </c>
      <c r="E578" s="35" t="n">
        <f aca="false">In!E601</f>
        <v>2.19</v>
      </c>
      <c r="G578" s="0" t="str">
        <f aca="false">In!G601</f>
        <v>Derived</v>
      </c>
      <c r="H578" s="12" t="s">
        <v>3798</v>
      </c>
    </row>
    <row r="579" customFormat="false" ht="17.15" hidden="false" customHeight="false" outlineLevel="0" collapsed="false">
      <c r="A579" s="0" t="s">
        <v>2230</v>
      </c>
      <c r="B579" s="0" t="s">
        <v>2229</v>
      </c>
      <c r="C579" s="0" t="s">
        <v>521</v>
      </c>
      <c r="E579" s="35" t="n">
        <f aca="false">In!E602</f>
        <v>3.34</v>
      </c>
      <c r="G579" s="0" t="str">
        <f aca="false">In!G602</f>
        <v>Interested-party</v>
      </c>
      <c r="H579" s="12" t="s">
        <v>3799</v>
      </c>
    </row>
    <row r="580" customFormat="false" ht="17.15" hidden="false" customHeight="false" outlineLevel="0" collapsed="false">
      <c r="A580" s="0" t="s">
        <v>2233</v>
      </c>
      <c r="B580" s="0" t="s">
        <v>2232</v>
      </c>
      <c r="C580" s="0" t="s">
        <v>521</v>
      </c>
      <c r="E580" s="35" t="n">
        <f aca="false">In!E603</f>
        <v>3.53</v>
      </c>
      <c r="G580" s="0" t="str">
        <f aca="false">In!G603</f>
        <v>Interested-party</v>
      </c>
      <c r="H580" s="12" t="s">
        <v>3800</v>
      </c>
    </row>
    <row r="581" customFormat="false" ht="17.15" hidden="false" customHeight="false" outlineLevel="0" collapsed="false">
      <c r="A581" s="0" t="s">
        <v>2236</v>
      </c>
      <c r="B581" s="0" t="s">
        <v>2235</v>
      </c>
      <c r="C581" s="0" t="s">
        <v>521</v>
      </c>
      <c r="E581" s="35" t="n">
        <f aca="false">In!E604</f>
        <v>5.21</v>
      </c>
      <c r="G581" s="0" t="str">
        <f aca="false">In!G604</f>
        <v>Interested-party</v>
      </c>
      <c r="H581" s="12" t="s">
        <v>3801</v>
      </c>
    </row>
    <row r="582" customFormat="false" ht="17.15" hidden="false" customHeight="false" outlineLevel="0" collapsed="false">
      <c r="A582" s="0" t="s">
        <v>2239</v>
      </c>
      <c r="B582" s="0" t="s">
        <v>2238</v>
      </c>
      <c r="C582" s="0" t="s">
        <v>521</v>
      </c>
      <c r="E582" s="35" t="n">
        <f aca="false">In!E605</f>
        <v>7.53</v>
      </c>
      <c r="G582" s="0" t="str">
        <f aca="false">In!G605</f>
        <v>Derived</v>
      </c>
      <c r="H582" s="12" t="s">
        <v>3802</v>
      </c>
    </row>
    <row r="583" customFormat="false" ht="17.15" hidden="false" customHeight="false" outlineLevel="0" collapsed="false">
      <c r="A583" s="0" t="s">
        <v>2242</v>
      </c>
      <c r="B583" s="0" t="s">
        <v>2241</v>
      </c>
      <c r="C583" s="0" t="s">
        <v>521</v>
      </c>
      <c r="E583" s="35" t="n">
        <f aca="false">In!E606</f>
        <v>14.27</v>
      </c>
      <c r="G583" s="0" t="str">
        <f aca="false">In!G606</f>
        <v>Interested-party</v>
      </c>
      <c r="H583" s="12" t="s">
        <v>3803</v>
      </c>
    </row>
    <row r="584" customFormat="false" ht="17.15" hidden="false" customHeight="false" outlineLevel="0" collapsed="false">
      <c r="A584" s="0" t="s">
        <v>2245</v>
      </c>
      <c r="B584" s="6" t="s">
        <v>2244</v>
      </c>
      <c r="C584" s="0" t="s">
        <v>521</v>
      </c>
      <c r="E584" s="35" t="n">
        <f aca="false">In!E607</f>
        <v>2.03</v>
      </c>
      <c r="G584" s="0" t="str">
        <f aca="false">In!G607</f>
        <v>Derived</v>
      </c>
      <c r="H584" s="12" t="s">
        <v>3804</v>
      </c>
    </row>
    <row r="585" customFormat="false" ht="17.15" hidden="false" customHeight="false" outlineLevel="0" collapsed="false">
      <c r="A585" s="0" t="s">
        <v>2248</v>
      </c>
      <c r="B585" s="6" t="s">
        <v>2247</v>
      </c>
      <c r="C585" s="0" t="s">
        <v>521</v>
      </c>
      <c r="E585" s="35" t="n">
        <f aca="false">In!E608</f>
        <v>2.1</v>
      </c>
      <c r="G585" s="0" t="str">
        <f aca="false">In!G608</f>
        <v>Interested-party</v>
      </c>
      <c r="H585" s="12" t="s">
        <v>3805</v>
      </c>
    </row>
    <row r="586" customFormat="false" ht="17.15" hidden="false" customHeight="false" outlineLevel="0" collapsed="false">
      <c r="A586" s="0" t="s">
        <v>2251</v>
      </c>
      <c r="B586" s="6" t="s">
        <v>2250</v>
      </c>
      <c r="C586" s="0" t="s">
        <v>521</v>
      </c>
      <c r="E586" s="35" t="n">
        <f aca="false">In!E609</f>
        <v>2.42</v>
      </c>
      <c r="G586" s="0" t="str">
        <f aca="false">In!G609</f>
        <v>Interested-party</v>
      </c>
      <c r="H586" s="12" t="s">
        <v>3806</v>
      </c>
    </row>
    <row r="587" customFormat="false" ht="17.15" hidden="false" customHeight="false" outlineLevel="0" collapsed="false">
      <c r="A587" s="0" t="s">
        <v>2254</v>
      </c>
      <c r="B587" s="6" t="s">
        <v>2253</v>
      </c>
      <c r="C587" s="0" t="s">
        <v>521</v>
      </c>
      <c r="E587" s="35" t="n">
        <f aca="false">In!E610</f>
        <v>3.03</v>
      </c>
      <c r="G587" s="0" t="str">
        <f aca="false">In!G610</f>
        <v>Interested-party</v>
      </c>
      <c r="H587" s="12" t="s">
        <v>3807</v>
      </c>
    </row>
    <row r="588" customFormat="false" ht="17.15" hidden="false" customHeight="false" outlineLevel="0" collapsed="false">
      <c r="A588" s="0" t="s">
        <v>2257</v>
      </c>
      <c r="B588" s="6" t="s">
        <v>2256</v>
      </c>
      <c r="C588" s="0" t="s">
        <v>521</v>
      </c>
      <c r="E588" s="35" t="n">
        <f aca="false">In!E611</f>
        <v>5.95</v>
      </c>
      <c r="G588" s="0" t="str">
        <f aca="false">In!G611</f>
        <v>Derived</v>
      </c>
      <c r="H588" s="12" t="s">
        <v>3808</v>
      </c>
    </row>
    <row r="589" customFormat="false" ht="17.15" hidden="false" customHeight="false" outlineLevel="0" collapsed="false">
      <c r="A589" s="0" t="s">
        <v>2260</v>
      </c>
      <c r="B589" s="6" t="s">
        <v>2259</v>
      </c>
      <c r="C589" s="0" t="s">
        <v>521</v>
      </c>
      <c r="E589" s="35" t="n">
        <f aca="false">In!E612</f>
        <v>11.85</v>
      </c>
      <c r="G589" s="0" t="str">
        <f aca="false">In!G612</f>
        <v>Interested-party</v>
      </c>
      <c r="H589" s="12" t="s">
        <v>3809</v>
      </c>
    </row>
    <row r="590" customFormat="false" ht="17.15" hidden="false" customHeight="false" outlineLevel="0" collapsed="false">
      <c r="A590" s="0" t="s">
        <v>2263</v>
      </c>
      <c r="B590" s="0" t="s">
        <v>2262</v>
      </c>
      <c r="C590" s="0" t="s">
        <v>521</v>
      </c>
      <c r="E590" s="35" t="n">
        <f aca="false">In!E613</f>
        <v>1.92</v>
      </c>
      <c r="G590" s="0" t="str">
        <f aca="false">In!G613</f>
        <v>Derived</v>
      </c>
      <c r="H590" s="12" t="s">
        <v>3810</v>
      </c>
    </row>
    <row r="591" customFormat="false" ht="17.15" hidden="false" customHeight="false" outlineLevel="0" collapsed="false">
      <c r="A591" s="0" t="s">
        <v>2266</v>
      </c>
      <c r="B591" s="0" t="s">
        <v>2265</v>
      </c>
      <c r="C591" s="0" t="s">
        <v>521</v>
      </c>
      <c r="E591" s="35" t="n">
        <f aca="false">In!E614</f>
        <v>2.14</v>
      </c>
      <c r="G591" s="0" t="str">
        <f aca="false">In!G614</f>
        <v>Interested-party</v>
      </c>
      <c r="H591" s="12" t="s">
        <v>3811</v>
      </c>
    </row>
    <row r="592" customFormat="false" ht="17.15" hidden="false" customHeight="false" outlineLevel="0" collapsed="false">
      <c r="A592" s="0" t="s">
        <v>2269</v>
      </c>
      <c r="B592" s="0" t="s">
        <v>2268</v>
      </c>
      <c r="C592" s="0" t="s">
        <v>521</v>
      </c>
      <c r="E592" s="35" t="n">
        <f aca="false">In!E615</f>
        <v>2.84</v>
      </c>
      <c r="G592" s="0" t="str">
        <f aca="false">In!G615</f>
        <v>Interested-party</v>
      </c>
      <c r="H592" s="12" t="s">
        <v>3812</v>
      </c>
    </row>
    <row r="593" customFormat="false" ht="17.15" hidden="false" customHeight="false" outlineLevel="0" collapsed="false">
      <c r="A593" s="0" t="s">
        <v>2272</v>
      </c>
      <c r="B593" s="0" t="s">
        <v>2271</v>
      </c>
      <c r="C593" s="0" t="s">
        <v>521</v>
      </c>
      <c r="E593" s="35" t="n">
        <f aca="false">In!E616</f>
        <v>3.31</v>
      </c>
      <c r="G593" s="0" t="str">
        <f aca="false">In!G616</f>
        <v>Interested-party</v>
      </c>
      <c r="H593" s="12" t="s">
        <v>3813</v>
      </c>
    </row>
    <row r="594" customFormat="false" ht="17.15" hidden="false" customHeight="false" outlineLevel="0" collapsed="false">
      <c r="A594" s="0" t="s">
        <v>2275</v>
      </c>
      <c r="B594" s="0" t="s">
        <v>2274</v>
      </c>
      <c r="C594" s="0" t="s">
        <v>521</v>
      </c>
      <c r="E594" s="35" t="n">
        <f aca="false">In!E617</f>
        <v>5.96</v>
      </c>
      <c r="G594" s="0" t="str">
        <f aca="false">In!G617</f>
        <v>Derived</v>
      </c>
      <c r="H594" s="12" t="s">
        <v>3814</v>
      </c>
    </row>
    <row r="595" customFormat="false" ht="17.15" hidden="false" customHeight="false" outlineLevel="0" collapsed="false">
      <c r="A595" s="0" t="s">
        <v>2278</v>
      </c>
      <c r="B595" s="0" t="s">
        <v>2277</v>
      </c>
      <c r="C595" s="0" t="s">
        <v>521</v>
      </c>
      <c r="E595" s="35" t="n">
        <f aca="false">In!E618</f>
        <v>10.72</v>
      </c>
      <c r="G595" s="0" t="str">
        <f aca="false">In!G618</f>
        <v>Interested-party</v>
      </c>
      <c r="H595" s="12" t="s">
        <v>3815</v>
      </c>
    </row>
    <row r="596" customFormat="false" ht="17.15" hidden="false" customHeight="false" outlineLevel="0" collapsed="false">
      <c r="A596" s="0" t="s">
        <v>2281</v>
      </c>
      <c r="B596" s="0" t="s">
        <v>2280</v>
      </c>
      <c r="C596" s="0" t="s">
        <v>521</v>
      </c>
      <c r="E596" s="35" t="n">
        <f aca="false">In!E619</f>
        <v>1.69</v>
      </c>
      <c r="G596" s="0" t="str">
        <f aca="false">In!G619</f>
        <v>Derived</v>
      </c>
      <c r="H596" s="12" t="s">
        <v>3816</v>
      </c>
    </row>
    <row r="597" customFormat="false" ht="17.15" hidden="false" customHeight="false" outlineLevel="0" collapsed="false">
      <c r="A597" s="0" t="s">
        <v>2284</v>
      </c>
      <c r="B597" s="0" t="s">
        <v>2283</v>
      </c>
      <c r="C597" s="0" t="s">
        <v>521</v>
      </c>
      <c r="E597" s="35" t="n">
        <f aca="false">In!E620</f>
        <v>1.9</v>
      </c>
      <c r="G597" s="0" t="str">
        <f aca="false">In!G620</f>
        <v>Interested-party</v>
      </c>
      <c r="H597" s="12" t="s">
        <v>3817</v>
      </c>
    </row>
    <row r="598" customFormat="false" ht="17.15" hidden="false" customHeight="false" outlineLevel="0" collapsed="false">
      <c r="A598" s="0" t="s">
        <v>2287</v>
      </c>
      <c r="B598" s="0" t="s">
        <v>2286</v>
      </c>
      <c r="C598" s="0" t="s">
        <v>521</v>
      </c>
      <c r="E598" s="35" t="n">
        <f aca="false">In!E621</f>
        <v>2.31</v>
      </c>
      <c r="G598" s="0" t="str">
        <f aca="false">In!G621</f>
        <v>Interested-party</v>
      </c>
      <c r="H598" s="12" t="s">
        <v>3818</v>
      </c>
    </row>
    <row r="599" customFormat="false" ht="17.15" hidden="false" customHeight="false" outlineLevel="0" collapsed="false">
      <c r="A599" s="0" t="s">
        <v>2290</v>
      </c>
      <c r="B599" s="0" t="s">
        <v>2289</v>
      </c>
      <c r="C599" s="0" t="s">
        <v>521</v>
      </c>
      <c r="E599" s="35" t="n">
        <f aca="false">In!E622</f>
        <v>3.03</v>
      </c>
      <c r="G599" s="0" t="str">
        <f aca="false">In!G622</f>
        <v>Interested-party</v>
      </c>
      <c r="H599" s="12" t="s">
        <v>3819</v>
      </c>
    </row>
    <row r="600" customFormat="false" ht="17.15" hidden="false" customHeight="false" outlineLevel="0" collapsed="false">
      <c r="A600" s="0" t="s">
        <v>2293</v>
      </c>
      <c r="B600" s="0" t="s">
        <v>2292</v>
      </c>
      <c r="C600" s="0" t="s">
        <v>521</v>
      </c>
      <c r="E600" s="35" t="n">
        <f aca="false">In!E623</f>
        <v>5.95</v>
      </c>
      <c r="G600" s="0" t="str">
        <f aca="false">In!G623</f>
        <v>Derived</v>
      </c>
      <c r="H600" s="12" t="s">
        <v>3820</v>
      </c>
    </row>
    <row r="601" customFormat="false" ht="17.15" hidden="false" customHeight="false" outlineLevel="0" collapsed="false">
      <c r="A601" s="0" t="s">
        <v>2296</v>
      </c>
      <c r="B601" s="0" t="s">
        <v>2295</v>
      </c>
      <c r="C601" s="0" t="s">
        <v>521</v>
      </c>
      <c r="E601" s="35" t="n">
        <f aca="false">In!E624</f>
        <v>8.97</v>
      </c>
      <c r="G601" s="0" t="str">
        <f aca="false">In!G624</f>
        <v>Interested-party</v>
      </c>
      <c r="H601" s="12" t="s">
        <v>3821</v>
      </c>
    </row>
    <row r="602" customFormat="false" ht="17.15" hidden="false" customHeight="false" outlineLevel="0" collapsed="false">
      <c r="A602" s="0" t="s">
        <v>2301</v>
      </c>
      <c r="B602" s="0" t="s">
        <v>2299</v>
      </c>
      <c r="C602" s="0" t="s">
        <v>521</v>
      </c>
      <c r="E602" s="35" t="n">
        <f aca="false">In!E625</f>
        <v>67.4</v>
      </c>
      <c r="G602" s="0" t="str">
        <f aca="false">In!G625</f>
        <v>Interested-party</v>
      </c>
      <c r="H602" s="12" t="s">
        <v>3822</v>
      </c>
    </row>
    <row r="603" customFormat="false" ht="17.15" hidden="false" customHeight="false" outlineLevel="0" collapsed="false">
      <c r="A603" s="0" t="s">
        <v>2307</v>
      </c>
      <c r="B603" s="6" t="s">
        <v>2304</v>
      </c>
      <c r="C603" s="0" t="s">
        <v>2305</v>
      </c>
      <c r="D603" s="35" t="n">
        <f aca="false">In!D626</f>
        <v>-1</v>
      </c>
      <c r="E603" s="35" t="n">
        <f aca="false">In!E626</f>
        <v>-0.5</v>
      </c>
      <c r="F603" s="35" t="n">
        <f aca="false">In!F626</f>
        <v>0</v>
      </c>
      <c r="G603" s="0" t="str">
        <f aca="false">In!G626</f>
        <v>Assumed</v>
      </c>
      <c r="H603" s="12" t="s">
        <v>3823</v>
      </c>
    </row>
    <row r="604" customFormat="false" ht="17.15" hidden="false" customHeight="false" outlineLevel="0" collapsed="false">
      <c r="A604" s="0" t="s">
        <v>2311</v>
      </c>
      <c r="B604" s="0" t="s">
        <v>2309</v>
      </c>
      <c r="C604" s="0" t="s">
        <v>2305</v>
      </c>
      <c r="D604" s="35" t="n">
        <f aca="false">In!D627</f>
        <v>-0.5</v>
      </c>
      <c r="E604" s="35" t="n">
        <f aca="false">In!E627</f>
        <v>0</v>
      </c>
      <c r="F604" s="35" t="n">
        <f aca="false">In!F627</f>
        <v>0.5</v>
      </c>
      <c r="G604" s="0" t="str">
        <f aca="false">In!G627</f>
        <v>Assumed</v>
      </c>
      <c r="H604" s="12" t="s">
        <v>3824</v>
      </c>
    </row>
    <row r="605" customFormat="false" ht="17.15" hidden="false" customHeight="false" outlineLevel="0" collapsed="false">
      <c r="A605" s="0" t="s">
        <v>2315</v>
      </c>
      <c r="B605" s="6" t="s">
        <v>2313</v>
      </c>
      <c r="C605" s="0" t="s">
        <v>2305</v>
      </c>
      <c r="D605" s="35" t="n">
        <f aca="false">In!D628</f>
        <v>-0.3</v>
      </c>
      <c r="E605" s="35" t="n">
        <f aca="false">In!E628</f>
        <v>0.2</v>
      </c>
      <c r="F605" s="35" t="n">
        <f aca="false">In!F628</f>
        <v>0.6</v>
      </c>
      <c r="G605" s="0" t="str">
        <f aca="false">In!G628</f>
        <v>Assumed</v>
      </c>
      <c r="H605" s="12" t="s">
        <v>3825</v>
      </c>
    </row>
    <row r="606" customFormat="false" ht="17.15" hidden="false" customHeight="false" outlineLevel="0" collapsed="false">
      <c r="A606" s="0" t="s">
        <v>2320</v>
      </c>
      <c r="B606" s="0" t="s">
        <v>2318</v>
      </c>
      <c r="C606" s="0" t="s">
        <v>66</v>
      </c>
      <c r="D606" s="20" t="n">
        <f aca="false">In!D630</f>
        <v>0.55</v>
      </c>
      <c r="E606" s="20" t="n">
        <f aca="false">In!E630</f>
        <v>0.58</v>
      </c>
      <c r="F606" s="20" t="n">
        <f aca="false">In!F630</f>
        <v>0.62</v>
      </c>
      <c r="G606" s="0" t="str">
        <f aca="false">In!G630</f>
        <v>Interested-party</v>
      </c>
      <c r="H606" s="12" t="s">
        <v>3826</v>
      </c>
    </row>
    <row r="607" customFormat="false" ht="17.15" hidden="false" customHeight="false" outlineLevel="0" collapsed="false">
      <c r="A607" s="0" t="s">
        <v>2325</v>
      </c>
      <c r="B607" s="0" t="s">
        <v>2323</v>
      </c>
      <c r="C607" s="0" t="s">
        <v>66</v>
      </c>
      <c r="D607" s="20" t="n">
        <f aca="false">In!D631</f>
        <v>0.48</v>
      </c>
      <c r="E607" s="20" t="n">
        <f aca="false">In!E631</f>
        <v>0.52</v>
      </c>
      <c r="F607" s="20" t="n">
        <f aca="false">In!F631</f>
        <v>0.56</v>
      </c>
      <c r="G607" s="0" t="str">
        <f aca="false">In!G631</f>
        <v>Interested-party</v>
      </c>
      <c r="H607" s="12" t="s">
        <v>3827</v>
      </c>
    </row>
    <row r="608" customFormat="false" ht="17.15" hidden="false" customHeight="false" outlineLevel="0" collapsed="false">
      <c r="A608" s="0" t="s">
        <v>2330</v>
      </c>
      <c r="B608" s="0" t="s">
        <v>2328</v>
      </c>
      <c r="C608" s="0" t="s">
        <v>66</v>
      </c>
      <c r="D608" s="20" t="n">
        <f aca="false">In!D632</f>
        <v>0.38</v>
      </c>
      <c r="E608" s="20" t="n">
        <f aca="false">In!E632</f>
        <v>0.42</v>
      </c>
      <c r="F608" s="20" t="n">
        <f aca="false">In!F632</f>
        <v>0.48</v>
      </c>
      <c r="G608" s="0" t="str">
        <f aca="false">In!G632</f>
        <v>Interested-party</v>
      </c>
      <c r="H608" s="12" t="s">
        <v>3828</v>
      </c>
    </row>
    <row r="609" customFormat="false" ht="17.15" hidden="false" customHeight="false" outlineLevel="0" collapsed="false">
      <c r="A609" s="0" t="s">
        <v>2335</v>
      </c>
      <c r="B609" s="0" t="s">
        <v>2333</v>
      </c>
      <c r="C609" s="0" t="s">
        <v>66</v>
      </c>
      <c r="D609" s="20" t="n">
        <f aca="false">In!D633</f>
        <v>0.35</v>
      </c>
      <c r="E609" s="20" t="n">
        <f aca="false">In!E633</f>
        <v>0.4</v>
      </c>
      <c r="F609" s="20" t="n">
        <f aca="false">In!F633</f>
        <v>0.45</v>
      </c>
      <c r="G609" s="0" t="str">
        <f aca="false">In!G633</f>
        <v>Assumed</v>
      </c>
      <c r="H609" s="12" t="s">
        <v>3829</v>
      </c>
    </row>
    <row r="610" customFormat="false" ht="17.15" hidden="false" customHeight="false" outlineLevel="0" collapsed="false">
      <c r="A610" s="0" t="s">
        <v>2339</v>
      </c>
      <c r="B610" s="0" t="s">
        <v>2338</v>
      </c>
      <c r="C610" s="0" t="s">
        <v>66</v>
      </c>
      <c r="D610" s="20" t="n">
        <f aca="false">In!D634</f>
        <v>0.35</v>
      </c>
      <c r="E610" s="20" t="n">
        <f aca="false">In!E634</f>
        <v>0.4</v>
      </c>
      <c r="F610" s="20" t="n">
        <f aca="false">In!F634</f>
        <v>0.45</v>
      </c>
      <c r="G610" s="0" t="str">
        <f aca="false">In!G634</f>
        <v>Assumed</v>
      </c>
      <c r="H610" s="12" t="s">
        <v>3830</v>
      </c>
    </row>
    <row r="611" customFormat="false" ht="17.15" hidden="false" customHeight="false" outlineLevel="0" collapsed="false">
      <c r="A611" s="0" t="s">
        <v>2344</v>
      </c>
      <c r="B611" s="0" t="s">
        <v>2342</v>
      </c>
      <c r="C611" s="0" t="s">
        <v>66</v>
      </c>
      <c r="D611" s="20" t="n">
        <f aca="false">In!D635</f>
        <v>0.15</v>
      </c>
      <c r="E611" s="20" t="n">
        <f aca="false">In!E635</f>
        <v>0.17</v>
      </c>
      <c r="F611" s="20" t="n">
        <f aca="false">In!F635</f>
        <v>0.22</v>
      </c>
      <c r="G611" s="0" t="str">
        <f aca="false">In!G635</f>
        <v>Interested-party</v>
      </c>
      <c r="H611" s="12" t="s">
        <v>3831</v>
      </c>
    </row>
    <row r="612" customFormat="false" ht="17.15" hidden="false" customHeight="false" outlineLevel="0" collapsed="false">
      <c r="A612" s="0" t="s">
        <v>2349</v>
      </c>
      <c r="B612" s="0" t="s">
        <v>2347</v>
      </c>
      <c r="C612" s="0" t="s">
        <v>66</v>
      </c>
      <c r="D612" s="20" t="n">
        <f aca="false">In!D636</f>
        <v>0.25</v>
      </c>
      <c r="E612" s="20" t="n">
        <f aca="false">In!E636</f>
        <v>0.29</v>
      </c>
      <c r="F612" s="20" t="n">
        <f aca="false">In!F636</f>
        <v>0.33</v>
      </c>
      <c r="G612" s="0" t="str">
        <f aca="false">In!G636</f>
        <v>Interested-party</v>
      </c>
      <c r="H612" s="12" t="s">
        <v>3832</v>
      </c>
    </row>
    <row r="613" customFormat="false" ht="17.15" hidden="false" customHeight="false" outlineLevel="0" collapsed="false">
      <c r="A613" s="0" t="s">
        <v>2354</v>
      </c>
      <c r="B613" s="0" t="s">
        <v>2352</v>
      </c>
      <c r="C613" s="0" t="s">
        <v>66</v>
      </c>
      <c r="D613" s="20" t="n">
        <f aca="false">In!D637</f>
        <v>0.33</v>
      </c>
      <c r="E613" s="20" t="n">
        <f aca="false">In!E637</f>
        <v>0.38</v>
      </c>
      <c r="F613" s="20" t="n">
        <f aca="false">In!F637</f>
        <v>0.41</v>
      </c>
      <c r="G613" s="0" t="str">
        <f aca="false">In!G637</f>
        <v>Interested-party</v>
      </c>
      <c r="H613" s="12" t="s">
        <v>3833</v>
      </c>
    </row>
    <row r="614" customFormat="false" ht="17.15" hidden="false" customHeight="false" outlineLevel="0" collapsed="false">
      <c r="A614" s="0" t="s">
        <v>2359</v>
      </c>
      <c r="B614" s="0" t="s">
        <v>2357</v>
      </c>
      <c r="C614" s="0" t="s">
        <v>66</v>
      </c>
      <c r="D614" s="20" t="n">
        <f aca="false">In!D638</f>
        <v>0.35</v>
      </c>
      <c r="E614" s="20" t="n">
        <f aca="false">In!E638</f>
        <v>0.4</v>
      </c>
      <c r="F614" s="20" t="n">
        <f aca="false">In!F638</f>
        <v>0.45</v>
      </c>
      <c r="G614" s="0" t="str">
        <f aca="false">In!G638</f>
        <v>Assumed</v>
      </c>
      <c r="H614" s="12" t="s">
        <v>3834</v>
      </c>
    </row>
    <row r="615" customFormat="false" ht="17.15" hidden="false" customHeight="false" outlineLevel="0" collapsed="false">
      <c r="A615" s="0" t="s">
        <v>2364</v>
      </c>
      <c r="B615" s="0" t="s">
        <v>2362</v>
      </c>
      <c r="C615" s="0" t="s">
        <v>66</v>
      </c>
      <c r="D615" s="20" t="n">
        <f aca="false">In!D639</f>
        <v>0.35</v>
      </c>
      <c r="E615" s="20" t="n">
        <f aca="false">In!E639</f>
        <v>0.4</v>
      </c>
      <c r="F615" s="20" t="n">
        <f aca="false">In!F639</f>
        <v>0.45</v>
      </c>
      <c r="G615" s="0" t="str">
        <f aca="false">In!G639</f>
        <v>Assumed</v>
      </c>
      <c r="H615" s="12" t="s">
        <v>3835</v>
      </c>
    </row>
    <row r="616" customFormat="false" ht="17.15" hidden="false" customHeight="false" outlineLevel="0" collapsed="false">
      <c r="A616" s="0" t="s">
        <v>2369</v>
      </c>
      <c r="B616" s="0" t="s">
        <v>2367</v>
      </c>
      <c r="C616" s="0" t="s">
        <v>66</v>
      </c>
      <c r="D616" s="20" t="n">
        <f aca="false">In!D640</f>
        <v>0.18</v>
      </c>
      <c r="E616" s="20" t="n">
        <f aca="false">In!E640</f>
        <v>0.21</v>
      </c>
      <c r="F616" s="20" t="n">
        <f aca="false">In!F640</f>
        <v>0.22</v>
      </c>
      <c r="G616" s="0" t="str">
        <f aca="false">In!G640</f>
        <v>Interested-party</v>
      </c>
      <c r="H616" s="12" t="s">
        <v>3836</v>
      </c>
    </row>
    <row r="617" customFormat="false" ht="17.15" hidden="false" customHeight="false" outlineLevel="0" collapsed="false">
      <c r="A617" s="0" t="s">
        <v>2374</v>
      </c>
      <c r="B617" s="0" t="s">
        <v>2372</v>
      </c>
      <c r="C617" s="0" t="s">
        <v>66</v>
      </c>
      <c r="D617" s="20" t="n">
        <f aca="false">In!D641</f>
        <v>0.17</v>
      </c>
      <c r="E617" s="20" t="n">
        <f aca="false">In!E641</f>
        <v>0.19</v>
      </c>
      <c r="F617" s="20" t="n">
        <f aca="false">In!F641</f>
        <v>0.21</v>
      </c>
      <c r="G617" s="0" t="str">
        <f aca="false">In!G641</f>
        <v>Interested-party</v>
      </c>
      <c r="H617" s="12" t="s">
        <v>3837</v>
      </c>
    </row>
    <row r="618" customFormat="false" ht="17.15" hidden="false" customHeight="false" outlineLevel="0" collapsed="false">
      <c r="A618" s="0" t="s">
        <v>2379</v>
      </c>
      <c r="B618" s="0" t="s">
        <v>2377</v>
      </c>
      <c r="C618" s="0" t="s">
        <v>66</v>
      </c>
      <c r="D618" s="20" t="n">
        <f aca="false">In!D642</f>
        <v>0.17</v>
      </c>
      <c r="E618" s="20" t="n">
        <f aca="false">In!E642</f>
        <v>0.2</v>
      </c>
      <c r="F618" s="20" t="n">
        <f aca="false">In!F642</f>
        <v>0.23</v>
      </c>
      <c r="G618" s="0" t="str">
        <f aca="false">In!G642</f>
        <v>Interested-party</v>
      </c>
      <c r="H618" s="12" t="s">
        <v>3838</v>
      </c>
    </row>
    <row r="619" customFormat="false" ht="17.15" hidden="false" customHeight="false" outlineLevel="0" collapsed="false">
      <c r="A619" s="0" t="s">
        <v>2384</v>
      </c>
      <c r="B619" s="0" t="s">
        <v>2382</v>
      </c>
      <c r="C619" s="0" t="s">
        <v>66</v>
      </c>
      <c r="D619" s="20" t="n">
        <f aca="false">In!D643</f>
        <v>0.17</v>
      </c>
      <c r="E619" s="20" t="n">
        <f aca="false">In!E643</f>
        <v>0.2</v>
      </c>
      <c r="F619" s="20" t="n">
        <f aca="false">In!F643</f>
        <v>0.23</v>
      </c>
      <c r="G619" s="0" t="str">
        <f aca="false">In!G643</f>
        <v>Assumed</v>
      </c>
      <c r="H619" s="12" t="s">
        <v>3839</v>
      </c>
    </row>
    <row r="620" customFormat="false" ht="17.15" hidden="false" customHeight="false" outlineLevel="0" collapsed="false">
      <c r="A620" s="0" t="s">
        <v>2388</v>
      </c>
      <c r="B620" s="0" t="s">
        <v>2387</v>
      </c>
      <c r="C620" s="0" t="s">
        <v>66</v>
      </c>
      <c r="D620" s="20" t="n">
        <f aca="false">In!D644</f>
        <v>0.17</v>
      </c>
      <c r="E620" s="20" t="n">
        <f aca="false">In!E644</f>
        <v>0.2</v>
      </c>
      <c r="F620" s="20" t="n">
        <f aca="false">In!F644</f>
        <v>0.23</v>
      </c>
      <c r="G620" s="0" t="str">
        <f aca="false">In!G644</f>
        <v>Assumed</v>
      </c>
      <c r="H620" s="12" t="s">
        <v>3840</v>
      </c>
    </row>
    <row r="621" customFormat="false" ht="17.15" hidden="false" customHeight="false" outlineLevel="0" collapsed="false">
      <c r="A621" s="0" t="s">
        <v>2394</v>
      </c>
      <c r="B621" s="0" t="s">
        <v>2392</v>
      </c>
      <c r="C621" s="0" t="s">
        <v>66</v>
      </c>
      <c r="E621" s="20" t="n">
        <f aca="false">In!E646</f>
        <v>0.133896123975753</v>
      </c>
      <c r="G621" s="0" t="str">
        <f aca="false">In!G646</f>
        <v>Derived</v>
      </c>
      <c r="H621" s="12" t="s">
        <v>3841</v>
      </c>
    </row>
    <row r="622" customFormat="false" ht="17.15" hidden="false" customHeight="false" outlineLevel="0" collapsed="false">
      <c r="A622" s="0" t="s">
        <v>2399</v>
      </c>
      <c r="B622" s="0" t="s">
        <v>2397</v>
      </c>
      <c r="C622" s="0" t="s">
        <v>66</v>
      </c>
      <c r="E622" s="20" t="n">
        <f aca="false">In!E647</f>
        <v>0.174610057569922</v>
      </c>
      <c r="G622" s="0" t="str">
        <f aca="false">In!G647</f>
        <v>Derived</v>
      </c>
      <c r="H622" s="12" t="s">
        <v>3842</v>
      </c>
    </row>
    <row r="623" customFormat="false" ht="17.15" hidden="false" customHeight="false" outlineLevel="0" collapsed="false">
      <c r="A623" s="0" t="s">
        <v>2403</v>
      </c>
      <c r="B623" s="0" t="s">
        <v>2401</v>
      </c>
      <c r="C623" s="0" t="s">
        <v>66</v>
      </c>
      <c r="E623" s="20" t="n">
        <f aca="false">In!E648</f>
        <v>0.0875096501918447</v>
      </c>
      <c r="G623" s="0" t="str">
        <f aca="false">In!G648</f>
        <v>Derived</v>
      </c>
      <c r="H623" s="12" t="s">
        <v>3843</v>
      </c>
    </row>
    <row r="624" customFormat="false" ht="17.15" hidden="false" customHeight="false" outlineLevel="0" collapsed="false">
      <c r="A624" s="0" t="s">
        <v>2407</v>
      </c>
      <c r="B624" s="0" t="s">
        <v>2405</v>
      </c>
      <c r="C624" s="0" t="s">
        <v>66</v>
      </c>
      <c r="E624" s="20" t="n">
        <f aca="false">In!E649</f>
        <v>0.0344775081035094</v>
      </c>
      <c r="G624" s="0" t="str">
        <f aca="false">In!G649</f>
        <v>Derived</v>
      </c>
      <c r="H624" s="12" t="s">
        <v>3844</v>
      </c>
    </row>
    <row r="625" customFormat="false" ht="17.15" hidden="false" customHeight="false" outlineLevel="0" collapsed="false">
      <c r="A625" s="0" t="s">
        <v>2411</v>
      </c>
      <c r="B625" s="0" t="s">
        <v>2409</v>
      </c>
      <c r="C625" s="0" t="s">
        <v>500</v>
      </c>
      <c r="D625" s="35" t="n">
        <f aca="false">In!D650</f>
        <v>0.85</v>
      </c>
      <c r="E625" s="35" t="n">
        <f aca="false">In!E650</f>
        <v>1</v>
      </c>
      <c r="F625" s="35" t="n">
        <f aca="false">In!F650</f>
        <v>1.1</v>
      </c>
      <c r="G625" s="0" t="str">
        <f aca="false">In!G650</f>
        <v>Assumed</v>
      </c>
      <c r="H625" s="12" t="s">
        <v>3845</v>
      </c>
    </row>
    <row r="626" customFormat="false" ht="17.15" hidden="false" customHeight="false" outlineLevel="0" collapsed="false">
      <c r="A626" s="0" t="s">
        <v>2415</v>
      </c>
      <c r="B626" s="0" t="s">
        <v>2414</v>
      </c>
      <c r="C626" s="0" t="s">
        <v>500</v>
      </c>
      <c r="D626" s="35" t="n">
        <f aca="false">In!D651</f>
        <v>0.75</v>
      </c>
      <c r="E626" s="35" t="n">
        <f aca="false">In!E651</f>
        <v>0.95</v>
      </c>
      <c r="F626" s="35" t="n">
        <f aca="false">In!F651</f>
        <v>1.1</v>
      </c>
      <c r="G626" s="0" t="str">
        <f aca="false">In!G651</f>
        <v>Assumed</v>
      </c>
      <c r="H626" s="12" t="s">
        <v>3846</v>
      </c>
    </row>
    <row r="627" customFormat="false" ht="17.15" hidden="false" customHeight="false" outlineLevel="0" collapsed="false">
      <c r="A627" s="0" t="s">
        <v>2419</v>
      </c>
      <c r="B627" s="0" t="s">
        <v>2418</v>
      </c>
      <c r="C627" s="0" t="s">
        <v>500</v>
      </c>
      <c r="D627" s="35" t="n">
        <f aca="false">In!D652</f>
        <v>0.7</v>
      </c>
      <c r="E627" s="35" t="n">
        <f aca="false">In!E652</f>
        <v>0.9</v>
      </c>
      <c r="F627" s="35" t="n">
        <f aca="false">In!F652</f>
        <v>1.1</v>
      </c>
      <c r="G627" s="0" t="str">
        <f aca="false">In!G652</f>
        <v>Assumed</v>
      </c>
      <c r="H627" s="12" t="s">
        <v>3847</v>
      </c>
    </row>
    <row r="628" customFormat="false" ht="17.15" hidden="false" customHeight="false" outlineLevel="0" collapsed="false">
      <c r="A628" s="0" t="s">
        <v>2424</v>
      </c>
      <c r="B628" s="0" t="s">
        <v>2422</v>
      </c>
      <c r="C628" s="0" t="s">
        <v>500</v>
      </c>
      <c r="D628" s="35" t="n">
        <f aca="false">In!D653</f>
        <v>0.85</v>
      </c>
      <c r="E628" s="35" t="n">
        <f aca="false">In!E653</f>
        <v>1</v>
      </c>
      <c r="F628" s="35" t="n">
        <f aca="false">In!F653</f>
        <v>1.15</v>
      </c>
      <c r="G628" s="0" t="str">
        <f aca="false">In!G653</f>
        <v>Assumed</v>
      </c>
      <c r="H628" s="12" t="s">
        <v>3848</v>
      </c>
    </row>
    <row r="629" customFormat="false" ht="17.15" hidden="false" customHeight="false" outlineLevel="0" collapsed="false">
      <c r="A629" s="0" t="s">
        <v>2428</v>
      </c>
      <c r="B629" s="0" t="s">
        <v>2427</v>
      </c>
      <c r="C629" s="0" t="s">
        <v>500</v>
      </c>
      <c r="D629" s="35" t="n">
        <f aca="false">In!D654</f>
        <v>0.75</v>
      </c>
      <c r="E629" s="35" t="n">
        <f aca="false">In!E654</f>
        <v>1</v>
      </c>
      <c r="F629" s="35" t="n">
        <f aca="false">In!F654</f>
        <v>1.15</v>
      </c>
      <c r="G629" s="0" t="str">
        <f aca="false">In!G654</f>
        <v>Assumed</v>
      </c>
      <c r="H629" s="12" t="s">
        <v>3849</v>
      </c>
    </row>
    <row r="630" customFormat="false" ht="17.15" hidden="false" customHeight="false" outlineLevel="0" collapsed="false">
      <c r="A630" s="0" t="s">
        <v>2432</v>
      </c>
      <c r="B630" s="0" t="s">
        <v>2431</v>
      </c>
      <c r="C630" s="0" t="s">
        <v>500</v>
      </c>
      <c r="D630" s="35" t="n">
        <f aca="false">In!D655</f>
        <v>0.7</v>
      </c>
      <c r="E630" s="35" t="n">
        <f aca="false">In!E655</f>
        <v>0.95</v>
      </c>
      <c r="F630" s="35" t="n">
        <f aca="false">In!F655</f>
        <v>1.15</v>
      </c>
      <c r="G630" s="0" t="str">
        <f aca="false">In!G655</f>
        <v>Assumed</v>
      </c>
      <c r="H630" s="12" t="s">
        <v>3850</v>
      </c>
    </row>
    <row r="631" customFormat="false" ht="17.15" hidden="false" customHeight="false" outlineLevel="0" collapsed="false">
      <c r="A631" s="0" t="s">
        <v>2437</v>
      </c>
      <c r="B631" s="0" t="s">
        <v>2435</v>
      </c>
      <c r="C631" s="0" t="s">
        <v>500</v>
      </c>
      <c r="D631" s="35" t="n">
        <f aca="false">In!D656</f>
        <v>0.85</v>
      </c>
      <c r="E631" s="35" t="n">
        <f aca="false">In!E656</f>
        <v>1</v>
      </c>
      <c r="F631" s="35" t="n">
        <f aca="false">In!F656</f>
        <v>1.15</v>
      </c>
      <c r="G631" s="0" t="str">
        <f aca="false">In!G656</f>
        <v>Assumed</v>
      </c>
      <c r="H631" s="12" t="s">
        <v>3851</v>
      </c>
    </row>
    <row r="632" customFormat="false" ht="17.15" hidden="false" customHeight="false" outlineLevel="0" collapsed="false">
      <c r="A632" s="0" t="s">
        <v>2441</v>
      </c>
      <c r="B632" s="0" t="s">
        <v>2440</v>
      </c>
      <c r="C632" s="0" t="s">
        <v>500</v>
      </c>
      <c r="D632" s="35" t="n">
        <f aca="false">In!D657</f>
        <v>0.75</v>
      </c>
      <c r="E632" s="35" t="n">
        <f aca="false">In!E657</f>
        <v>0.95</v>
      </c>
      <c r="F632" s="35" t="n">
        <f aca="false">In!F657</f>
        <v>1.15</v>
      </c>
      <c r="G632" s="0" t="str">
        <f aca="false">In!G657</f>
        <v>Assumed</v>
      </c>
      <c r="H632" s="12" t="s">
        <v>3852</v>
      </c>
    </row>
    <row r="633" customFormat="false" ht="17.15" hidden="false" customHeight="false" outlineLevel="0" collapsed="false">
      <c r="A633" s="0" t="s">
        <v>2445</v>
      </c>
      <c r="B633" s="0" t="s">
        <v>2444</v>
      </c>
      <c r="C633" s="0" t="s">
        <v>500</v>
      </c>
      <c r="D633" s="35" t="n">
        <f aca="false">In!D658</f>
        <v>0.7</v>
      </c>
      <c r="E633" s="35" t="n">
        <f aca="false">In!E658</f>
        <v>0.9</v>
      </c>
      <c r="F633" s="35" t="n">
        <f aca="false">In!F658</f>
        <v>1.15</v>
      </c>
      <c r="G633" s="0" t="str">
        <f aca="false">In!G658</f>
        <v>Assumed</v>
      </c>
      <c r="H633" s="12" t="s">
        <v>3853</v>
      </c>
    </row>
    <row r="634" customFormat="false" ht="17.15" hidden="false" customHeight="false" outlineLevel="0" collapsed="false">
      <c r="A634" s="0" t="s">
        <v>2450</v>
      </c>
      <c r="B634" s="0" t="s">
        <v>2448</v>
      </c>
      <c r="C634" s="0" t="s">
        <v>500</v>
      </c>
      <c r="D634" s="35" t="n">
        <f aca="false">In!D659</f>
        <v>0.85</v>
      </c>
      <c r="E634" s="35" t="n">
        <f aca="false">In!E659</f>
        <v>1</v>
      </c>
      <c r="F634" s="35" t="n">
        <f aca="false">In!F659</f>
        <v>1.1</v>
      </c>
      <c r="G634" s="0" t="str">
        <f aca="false">In!G659</f>
        <v>Assumed</v>
      </c>
      <c r="H634" s="12" t="s">
        <v>3854</v>
      </c>
    </row>
    <row r="635" customFormat="false" ht="17.15" hidden="false" customHeight="false" outlineLevel="0" collapsed="false">
      <c r="A635" s="0" t="s">
        <v>2454</v>
      </c>
      <c r="B635" s="0" t="s">
        <v>2453</v>
      </c>
      <c r="C635" s="0" t="s">
        <v>500</v>
      </c>
      <c r="D635" s="35" t="n">
        <f aca="false">In!D660</f>
        <v>0.75</v>
      </c>
      <c r="E635" s="35" t="n">
        <f aca="false">In!E660</f>
        <v>1</v>
      </c>
      <c r="F635" s="35" t="n">
        <f aca="false">In!F660</f>
        <v>1.1</v>
      </c>
      <c r="G635" s="0" t="str">
        <f aca="false">In!G660</f>
        <v>Assumed</v>
      </c>
      <c r="H635" s="12" t="s">
        <v>3855</v>
      </c>
    </row>
    <row r="636" customFormat="false" ht="17.15" hidden="false" customHeight="false" outlineLevel="0" collapsed="false">
      <c r="A636" s="0" t="s">
        <v>2458</v>
      </c>
      <c r="B636" s="0" t="s">
        <v>2457</v>
      </c>
      <c r="C636" s="0" t="s">
        <v>500</v>
      </c>
      <c r="D636" s="35" t="n">
        <f aca="false">In!D661</f>
        <v>0.7</v>
      </c>
      <c r="E636" s="35" t="n">
        <f aca="false">In!E661</f>
        <v>0.95</v>
      </c>
      <c r="F636" s="35" t="n">
        <f aca="false">In!F661</f>
        <v>1.1</v>
      </c>
      <c r="G636" s="0" t="str">
        <f aca="false">In!G661</f>
        <v>Assumed</v>
      </c>
      <c r="H636" s="12" t="s">
        <v>3856</v>
      </c>
    </row>
    <row r="637" customFormat="false" ht="17.15" hidden="false" customHeight="false" outlineLevel="0" collapsed="false">
      <c r="A637" s="0" t="s">
        <v>2463</v>
      </c>
      <c r="B637" s="6" t="s">
        <v>2461</v>
      </c>
      <c r="C637" s="0" t="s">
        <v>66</v>
      </c>
      <c r="D637" s="20" t="n">
        <f aca="false">In!D662</f>
        <v>0.85</v>
      </c>
      <c r="E637" s="20" t="n">
        <f aca="false">In!E662</f>
        <v>0.9</v>
      </c>
      <c r="F637" s="20" t="n">
        <f aca="false">In!F662</f>
        <v>0.95</v>
      </c>
      <c r="G637" s="0" t="str">
        <f aca="false">In!G662</f>
        <v>Interested-party</v>
      </c>
      <c r="H637" s="12" t="s">
        <v>3857</v>
      </c>
    </row>
    <row r="638" customFormat="false" ht="17.15" hidden="false" customHeight="false" outlineLevel="0" collapsed="false">
      <c r="A638" s="0" t="s">
        <v>2470</v>
      </c>
      <c r="B638" s="6" t="s">
        <v>2467</v>
      </c>
      <c r="C638" s="0" t="s">
        <v>2468</v>
      </c>
      <c r="D638" s="35" t="n">
        <f aca="false">In!D664</f>
        <v>30.5</v>
      </c>
      <c r="E638" s="35" t="n">
        <f aca="false">In!E664</f>
        <v>32</v>
      </c>
      <c r="F638" s="35" t="n">
        <f aca="false">In!F664</f>
        <v>33</v>
      </c>
      <c r="G638" s="0" t="str">
        <f aca="false">In!G664</f>
        <v>Assumed</v>
      </c>
      <c r="H638" s="12" t="s">
        <v>3858</v>
      </c>
    </row>
    <row r="639" customFormat="false" ht="17.15" hidden="false" customHeight="false" outlineLevel="0" collapsed="false">
      <c r="A639" s="0" t="s">
        <v>2476</v>
      </c>
      <c r="B639" s="6" t="s">
        <v>2473</v>
      </c>
      <c r="C639" s="0" t="s">
        <v>2474</v>
      </c>
      <c r="D639" s="35" t="n">
        <f aca="false">In!D665</f>
        <v>6.5</v>
      </c>
      <c r="E639" s="35" t="n">
        <f aca="false">In!E665</f>
        <v>6.72</v>
      </c>
      <c r="F639" s="35" t="n">
        <f aca="false">In!F665</f>
        <v>7</v>
      </c>
      <c r="G639" s="0" t="str">
        <f aca="false">In!G665</f>
        <v>Verified</v>
      </c>
      <c r="H639" s="12" t="s">
        <v>3859</v>
      </c>
    </row>
    <row r="640" customFormat="false" ht="17.15" hidden="false" customHeight="false" outlineLevel="0" collapsed="false">
      <c r="A640" s="0" t="s">
        <v>2482</v>
      </c>
      <c r="B640" s="6" t="s">
        <v>2479</v>
      </c>
      <c r="C640" s="0" t="s">
        <v>2480</v>
      </c>
      <c r="D640" s="35" t="n">
        <f aca="false">In!D666</f>
        <v>1350</v>
      </c>
      <c r="E640" s="35" t="n">
        <f aca="false">In!E666</f>
        <v>1420</v>
      </c>
      <c r="F640" s="35" t="n">
        <f aca="false">In!F666</f>
        <v>1500</v>
      </c>
      <c r="G640" s="0" t="str">
        <f aca="false">In!G666</f>
        <v>Derived</v>
      </c>
      <c r="H640" s="12" t="s">
        <v>3860</v>
      </c>
    </row>
    <row r="642" customFormat="false" ht="17.15" hidden="false" customHeight="false" outlineLevel="0" collapsed="false">
      <c r="A642" s="10" t="s">
        <v>3861</v>
      </c>
    </row>
    <row r="643" customFormat="false" ht="15" hidden="false" customHeight="false" outlineLevel="0" collapsed="false">
      <c r="A643" s="4" t="s">
        <v>30</v>
      </c>
      <c r="B643" s="4" t="s">
        <v>54</v>
      </c>
      <c r="C643" s="4" t="s">
        <v>55</v>
      </c>
      <c r="D643" s="5" t="s">
        <v>2710</v>
      </c>
      <c r="E643" s="5" t="s">
        <v>2509</v>
      </c>
      <c r="F643" s="5" t="s">
        <v>2510</v>
      </c>
      <c r="G643" s="5" t="s">
        <v>2511</v>
      </c>
      <c r="H643" s="5" t="s">
        <v>2512</v>
      </c>
      <c r="I643" s="4" t="s">
        <v>3224</v>
      </c>
    </row>
    <row r="644" customFormat="false" ht="17.15" hidden="false" customHeight="false" outlineLevel="0" collapsed="false">
      <c r="A644" s="0" t="s">
        <v>3862</v>
      </c>
      <c r="B644" s="0" t="s">
        <v>3863</v>
      </c>
      <c r="C644" s="0" t="s">
        <v>2121</v>
      </c>
      <c r="D644" s="7" t="str">
        <f aca="false">IF(ISBLANK(Mkt!C13),"",Mkt!C13)</f>
        <v/>
      </c>
      <c r="E644" s="7" t="n">
        <f aca="false">IF(ISBLANK(Mkt!D13),"",Mkt!D13)</f>
        <v>3.2893</v>
      </c>
      <c r="F644" s="7" t="n">
        <f aca="false">IF(ISBLANK(Mkt!E13),"",Mkt!E13)</f>
        <v>6.1702</v>
      </c>
      <c r="G644" s="7" t="n">
        <f aca="false">IF(ISBLANK(Mkt!F13),"",Mkt!F13)</f>
        <v>8.938</v>
      </c>
      <c r="H644" s="7" t="n">
        <f aca="false">IF(ISBLANK(Mkt!G13),"",Mkt!G13)</f>
        <v>11.6194</v>
      </c>
      <c r="I644" s="12" t="s">
        <v>3864</v>
      </c>
    </row>
    <row r="645" customFormat="false" ht="17.15" hidden="false" customHeight="false" outlineLevel="0" collapsed="false">
      <c r="A645" s="0" t="s">
        <v>3865</v>
      </c>
      <c r="B645" s="0" t="s">
        <v>3866</v>
      </c>
      <c r="C645" s="0" t="s">
        <v>2121</v>
      </c>
      <c r="D645" s="7" t="str">
        <f aca="false">IF(ISBLANK(Mkt!C14),"",Mkt!C14)</f>
        <v/>
      </c>
      <c r="E645" s="7" t="n">
        <f aca="false">IF(ISBLANK(Mkt!D14),"",Mkt!D14)</f>
        <v>3.782695</v>
      </c>
      <c r="F645" s="7" t="n">
        <f aca="false">IF(ISBLANK(Mkt!E14),"",Mkt!E14)</f>
        <v>7.09573</v>
      </c>
      <c r="G645" s="7" t="n">
        <f aca="false">IF(ISBLANK(Mkt!F14),"",Mkt!F14)</f>
        <v>10.2787</v>
      </c>
      <c r="H645" s="7" t="n">
        <f aca="false">IF(ISBLANK(Mkt!G14),"",Mkt!G14)</f>
        <v>13.36231</v>
      </c>
      <c r="I645" s="12" t="s">
        <v>3867</v>
      </c>
    </row>
    <row r="646" customFormat="false" ht="17.15" hidden="false" customHeight="false" outlineLevel="0" collapsed="false">
      <c r="A646" s="0" t="s">
        <v>3868</v>
      </c>
      <c r="B646" s="6" t="s">
        <v>3869</v>
      </c>
      <c r="C646" s="6" t="s">
        <v>342</v>
      </c>
      <c r="D646" s="7" t="str">
        <f aca="false">IF(ISBLANK(Mkt!C15),"",Mkt!C15)</f>
        <v/>
      </c>
      <c r="E646" s="7" t="n">
        <f aca="false">IF(ISBLANK(Mkt!D15),"",Mkt!D15)</f>
        <v>15.2</v>
      </c>
      <c r="F646" s="7" t="n">
        <f aca="false">IF(ISBLANK(Mkt!E15),"",Mkt!E15)</f>
        <v>23.7</v>
      </c>
      <c r="G646" s="7" t="n">
        <f aca="false">IF(ISBLANK(Mkt!F15),"",Mkt!F15)</f>
        <v>26.5</v>
      </c>
      <c r="H646" s="7" t="str">
        <f aca="false">IF(ISBLANK(Mkt!G15),"",Mkt!G15)</f>
        <v/>
      </c>
      <c r="I646" s="12" t="s">
        <v>3870</v>
      </c>
    </row>
    <row r="647" customFormat="false" ht="17.15" hidden="false" customHeight="false" outlineLevel="0" collapsed="false">
      <c r="A647" s="0" t="s">
        <v>3871</v>
      </c>
      <c r="B647" s="6" t="s">
        <v>2778</v>
      </c>
      <c r="C647" s="0" t="s">
        <v>353</v>
      </c>
      <c r="D647" s="7" t="str">
        <f aca="false">IF(ISBLANK(Mkt!C16),"",Mkt!C16)</f>
        <v/>
      </c>
      <c r="E647" s="7" t="n">
        <f aca="false">IF(ISBLANK(Mkt!D16),"",Mkt!D16)</f>
        <v>216.401315789474</v>
      </c>
      <c r="F647" s="7" t="n">
        <f aca="false">IF(ISBLANK(Mkt!E16),"",Mkt!E16)</f>
        <v>260.345991561181</v>
      </c>
      <c r="G647" s="7" t="n">
        <f aca="false">IF(ISBLANK(Mkt!F16),"",Mkt!F16)</f>
        <v>337.283018867925</v>
      </c>
      <c r="H647" s="7" t="str">
        <f aca="false">IF(ISBLANK(Mkt!G16),"",Mkt!G16)</f>
        <v/>
      </c>
      <c r="I647" s="12" t="s">
        <v>3872</v>
      </c>
    </row>
    <row r="648" customFormat="false" ht="17.15" hidden="false" customHeight="false" outlineLevel="0" collapsed="false">
      <c r="A648" s="0" t="s">
        <v>3873</v>
      </c>
      <c r="B648" s="0" t="s">
        <v>3874</v>
      </c>
      <c r="C648" s="0" t="s">
        <v>2121</v>
      </c>
      <c r="D648" s="7" t="n">
        <f aca="false">IF(ISBLANK(Mkt!C17),"",Mkt!C17)</f>
        <v>2.22511470588235</v>
      </c>
      <c r="E648" s="7" t="n">
        <f aca="false">IF(ISBLANK(Mkt!D17),"",Mkt!D17)</f>
        <v>3.782695</v>
      </c>
      <c r="F648" s="7" t="n">
        <f aca="false">IF(ISBLANK(Mkt!E17),"",Mkt!E17)</f>
        <v>5.86317725</v>
      </c>
      <c r="G648" s="7" t="n">
        <f aca="false">IF(ISBLANK(Mkt!F17),"",Mkt!F17)</f>
        <v>8.5016070125</v>
      </c>
      <c r="H648" s="7" t="n">
        <f aca="false">IF(ISBLANK(Mkt!G17),"",Mkt!G17)</f>
        <v>11.477169466875</v>
      </c>
      <c r="I648" s="12" t="s">
        <v>3875</v>
      </c>
    </row>
    <row r="649" customFormat="false" ht="17.15" hidden="false" customHeight="false" outlineLevel="0" collapsed="false">
      <c r="A649" s="0" t="s">
        <v>3876</v>
      </c>
      <c r="B649" s="6" t="s">
        <v>3877</v>
      </c>
      <c r="C649" s="0" t="s">
        <v>500</v>
      </c>
      <c r="D649" s="7" t="str">
        <f aca="false">IF(ISBLANK(Mkt!C18),"",Mkt!C18)</f>
        <v/>
      </c>
      <c r="E649" s="7" t="n">
        <f aca="false">IF(ISBLANK(Mkt!D18),"",Mkt!D18)</f>
        <v>1</v>
      </c>
      <c r="F649" s="7" t="n">
        <f aca="false">IF(ISBLANK(Mkt!E18),"",Mkt!E18)</f>
        <v>1</v>
      </c>
      <c r="G649" s="7" t="n">
        <f aca="false">IF(ISBLANK(Mkt!F18),"",Mkt!F18)</f>
        <v>1</v>
      </c>
      <c r="H649" s="7" t="n">
        <f aca="false">IF(ISBLANK(Mkt!G18),"",Mkt!G18)</f>
        <v>1</v>
      </c>
      <c r="I649" s="12" t="s">
        <v>3878</v>
      </c>
    </row>
    <row r="650" customFormat="false" ht="17.15" hidden="false" customHeight="false" outlineLevel="0" collapsed="false">
      <c r="A650" s="0" t="s">
        <v>3879</v>
      </c>
      <c r="B650" s="0" t="s">
        <v>3880</v>
      </c>
      <c r="C650" s="0" t="s">
        <v>2121</v>
      </c>
      <c r="D650" s="7" t="n">
        <f aca="false">IF(ISBLANK(Mkt!C24),"",Mkt!C24)</f>
        <v>2.22511470588235</v>
      </c>
      <c r="E650" s="7" t="n">
        <f aca="false">IF(ISBLANK(Mkt!D24),"",Mkt!D24)</f>
        <v>3.782695</v>
      </c>
      <c r="F650" s="7" t="n">
        <f aca="false">IF(ISBLANK(Mkt!E24),"",Mkt!E24)</f>
        <v>5.86317725</v>
      </c>
      <c r="G650" s="7" t="n">
        <f aca="false">IF(ISBLANK(Mkt!F24),"",Mkt!F24)</f>
        <v>8.5016070125</v>
      </c>
      <c r="H650" s="7" t="n">
        <f aca="false">IF(ISBLANK(Mkt!G24),"",Mkt!G24)</f>
        <v>11.477169466875</v>
      </c>
      <c r="I650" s="12" t="s">
        <v>3881</v>
      </c>
    </row>
    <row r="651" customFormat="false" ht="17.15" hidden="false" customHeight="false" outlineLevel="0" collapsed="false">
      <c r="A651" s="0" t="s">
        <v>3882</v>
      </c>
      <c r="B651" s="0" t="s">
        <v>3883</v>
      </c>
      <c r="C651" s="0" t="s">
        <v>2121</v>
      </c>
      <c r="D651" s="7" t="str">
        <f aca="false">IF(ISBLANK(Mkt!C27),"",Mkt!C27)</f>
        <v/>
      </c>
      <c r="E651" s="7" t="n">
        <f aca="false">IF(ISBLANK(Mkt!D27),"",Mkt!D27)</f>
        <v>0</v>
      </c>
      <c r="F651" s="7" t="n">
        <f aca="false">IF(ISBLANK(Mkt!E27),"",Mkt!E27)</f>
        <v>1.23255275</v>
      </c>
      <c r="G651" s="7" t="n">
        <f aca="false">IF(ISBLANK(Mkt!F27),"",Mkt!F27)</f>
        <v>1.7770929875</v>
      </c>
      <c r="H651" s="7" t="n">
        <f aca="false">IF(ISBLANK(Mkt!G27),"",Mkt!G27)</f>
        <v>1.885140533125</v>
      </c>
      <c r="I651" s="12" t="s">
        <v>3884</v>
      </c>
    </row>
    <row r="652" customFormat="false" ht="17.15" hidden="false" customHeight="false" outlineLevel="0" collapsed="false">
      <c r="A652" s="0" t="s">
        <v>3885</v>
      </c>
      <c r="B652" s="0" t="s">
        <v>2795</v>
      </c>
      <c r="C652" s="0" t="s">
        <v>542</v>
      </c>
      <c r="D652" s="7" t="n">
        <f aca="false">IF(ISBLANK(Mkt!C30),"",Mkt!C30)</f>
        <v>15.7295261711557</v>
      </c>
      <c r="E652" s="7" t="n">
        <f aca="false">IF(ISBLANK(Mkt!D30),"",Mkt!D30)</f>
        <v>14.6</v>
      </c>
      <c r="F652" s="7" t="n">
        <f aca="false">IF(ISBLANK(Mkt!E30),"",Mkt!E30)</f>
        <v>26.28</v>
      </c>
      <c r="G652" s="7" t="n">
        <f aca="false">IF(ISBLANK(Mkt!F30),"",Mkt!F30)</f>
        <v>28.908</v>
      </c>
      <c r="H652" s="7" t="n">
        <f aca="false">IF(ISBLANK(Mkt!G30),"",Mkt!G30)</f>
        <v>27.4626</v>
      </c>
      <c r="I652" s="12" t="s">
        <v>3886</v>
      </c>
    </row>
    <row r="653" customFormat="false" ht="17.15" hidden="false" customHeight="false" outlineLevel="0" collapsed="false">
      <c r="A653" s="0" t="s">
        <v>3887</v>
      </c>
      <c r="B653" s="0" t="s">
        <v>2798</v>
      </c>
      <c r="C653" s="0" t="s">
        <v>521</v>
      </c>
      <c r="D653" s="7" t="n">
        <f aca="false">IF(ISBLANK(Mkt!C33),"",Mkt!C33)</f>
        <v>35</v>
      </c>
      <c r="E653" s="7" t="n">
        <f aca="false">IF(ISBLANK(Mkt!D33),"",Mkt!D33)</f>
        <v>55.227347</v>
      </c>
      <c r="F653" s="7" t="n">
        <f aca="false">IF(ISBLANK(Mkt!E33),"",Mkt!E33)</f>
        <v>154.08429813</v>
      </c>
      <c r="G653" s="7" t="n">
        <f aca="false">IF(ISBLANK(Mkt!F33),"",Mkt!F33)</f>
        <v>245.76445551735</v>
      </c>
      <c r="H653" s="7" t="n">
        <f aca="false">IF(ISBLANK(Mkt!G33),"",Mkt!G33)</f>
        <v>315.192914201001</v>
      </c>
      <c r="I653" s="12" t="s">
        <v>3888</v>
      </c>
    </row>
    <row r="654" customFormat="false" ht="17.15" hidden="false" customHeight="false" outlineLevel="0" collapsed="false">
      <c r="A654" s="0" t="s">
        <v>3889</v>
      </c>
      <c r="B654" s="6" t="s">
        <v>3890</v>
      </c>
      <c r="C654" s="0" t="s">
        <v>500</v>
      </c>
      <c r="D654" s="7" t="str">
        <f aca="false">IF(ISBLANK(Mkt!C19),"",Mkt!C19)</f>
        <v/>
      </c>
      <c r="E654" s="7" t="n">
        <f aca="false">IF(ISBLANK(Mkt!D19),"",Mkt!D19)</f>
        <v>1</v>
      </c>
      <c r="F654" s="7" t="n">
        <f aca="false">IF(ISBLANK(Mkt!E19),"",Mkt!E19)</f>
        <v>1</v>
      </c>
      <c r="G654" s="7" t="n">
        <f aca="false">IF(ISBLANK(Mkt!F19),"",Mkt!F19)</f>
        <v>0.8</v>
      </c>
      <c r="H654" s="7" t="n">
        <f aca="false">IF(ISBLANK(Mkt!G19),"",Mkt!G19)</f>
        <v>0.85</v>
      </c>
      <c r="I654" s="12" t="s">
        <v>3891</v>
      </c>
    </row>
    <row r="655" customFormat="false" ht="17.15" hidden="false" customHeight="false" outlineLevel="0" collapsed="false">
      <c r="A655" s="0" t="s">
        <v>3892</v>
      </c>
      <c r="B655" s="0" t="s">
        <v>3893</v>
      </c>
      <c r="C655" s="0" t="s">
        <v>2121</v>
      </c>
      <c r="D655" s="7" t="n">
        <f aca="false">IF(ISBLANK(Mkt!C25),"",Mkt!C25)</f>
        <v>2.22511470588235</v>
      </c>
      <c r="E655" s="7" t="n">
        <f aca="false">IF(ISBLANK(Mkt!D25),"",Mkt!D25)</f>
        <v>3.782695</v>
      </c>
      <c r="F655" s="7" t="n">
        <f aca="false">IF(ISBLANK(Mkt!E25),"",Mkt!E25)</f>
        <v>5.86317725</v>
      </c>
      <c r="G655" s="7" t="n">
        <f aca="false">IF(ISBLANK(Mkt!F25),"",Mkt!F25)</f>
        <v>8.22296</v>
      </c>
      <c r="H655" s="7" t="n">
        <f aca="false">IF(ISBLANK(Mkt!G25),"",Mkt!G25)</f>
        <v>11.3579635</v>
      </c>
      <c r="I655" s="12" t="s">
        <v>3894</v>
      </c>
    </row>
    <row r="656" customFormat="false" ht="17.15" hidden="false" customHeight="false" outlineLevel="0" collapsed="false">
      <c r="A656" s="0" t="s">
        <v>3895</v>
      </c>
      <c r="B656" s="0" t="s">
        <v>3896</v>
      </c>
      <c r="C656" s="0" t="s">
        <v>2121</v>
      </c>
      <c r="D656" s="7" t="str">
        <f aca="false">IF(ISBLANK(Mkt!C28),"",Mkt!C28)</f>
        <v/>
      </c>
      <c r="E656" s="7" t="n">
        <f aca="false">IF(ISBLANK(Mkt!D28),"",Mkt!D28)</f>
        <v>0</v>
      </c>
      <c r="F656" s="7" t="n">
        <f aca="false">IF(ISBLANK(Mkt!E28),"",Mkt!E28)</f>
        <v>1.23255275</v>
      </c>
      <c r="G656" s="7" t="n">
        <f aca="false">IF(ISBLANK(Mkt!F28),"",Mkt!F28)</f>
        <v>-0.278647012499999</v>
      </c>
      <c r="H656" s="7" t="n">
        <f aca="false">IF(ISBLANK(Mkt!G28),"",Mkt!G28)</f>
        <v>-0.119205966875001</v>
      </c>
      <c r="I656" s="12" t="s">
        <v>3897</v>
      </c>
    </row>
    <row r="657" customFormat="false" ht="17.15" hidden="false" customHeight="false" outlineLevel="0" collapsed="false">
      <c r="A657" s="0" t="s">
        <v>3898</v>
      </c>
      <c r="B657" s="0" t="s">
        <v>2796</v>
      </c>
      <c r="C657" s="0" t="s">
        <v>542</v>
      </c>
      <c r="D657" s="7" t="n">
        <f aca="false">IF(ISBLANK(Mkt!C31),"",Mkt!C31)</f>
        <v>15.7295261711557</v>
      </c>
      <c r="E657" s="7" t="n">
        <f aca="false">IF(ISBLANK(Mkt!D31),"",Mkt!D31)</f>
        <v>14.6</v>
      </c>
      <c r="F657" s="7" t="n">
        <f aca="false">IF(ISBLANK(Mkt!E31),"",Mkt!E31)</f>
        <v>26.28</v>
      </c>
      <c r="G657" s="7" t="n">
        <f aca="false">IF(ISBLANK(Mkt!F31),"",Mkt!F31)</f>
        <v>19.71</v>
      </c>
      <c r="H657" s="7" t="n">
        <f aca="false">IF(ISBLANK(Mkt!G31),"",Mkt!G31)</f>
        <v>19.71</v>
      </c>
      <c r="I657" s="12" t="s">
        <v>3899</v>
      </c>
    </row>
    <row r="658" customFormat="false" ht="17.15" hidden="false" customHeight="false" outlineLevel="0" collapsed="false">
      <c r="A658" s="0" t="s">
        <v>3900</v>
      </c>
      <c r="B658" s="0" t="s">
        <v>2799</v>
      </c>
      <c r="C658" s="0" t="s">
        <v>521</v>
      </c>
      <c r="D658" s="7" t="n">
        <f aca="false">IF(ISBLANK(Mkt!C34),"",Mkt!C34)</f>
        <v>35</v>
      </c>
      <c r="E658" s="7" t="n">
        <f aca="false">IF(ISBLANK(Mkt!D34),"",Mkt!D34)</f>
        <v>55.227347</v>
      </c>
      <c r="F658" s="7" t="n">
        <f aca="false">IF(ISBLANK(Mkt!E34),"",Mkt!E34)</f>
        <v>154.08429813</v>
      </c>
      <c r="G658" s="7" t="n">
        <f aca="false">IF(ISBLANK(Mkt!F34),"",Mkt!F34)</f>
        <v>162.0745416</v>
      </c>
      <c r="H658" s="7" t="n">
        <f aca="false">IF(ISBLANK(Mkt!G34),"",Mkt!G34)</f>
        <v>223.865460585</v>
      </c>
      <c r="I658" s="12" t="s">
        <v>3901</v>
      </c>
    </row>
    <row r="659" customFormat="false" ht="17.15" hidden="false" customHeight="false" outlineLevel="0" collapsed="false">
      <c r="A659" s="0" t="s">
        <v>3902</v>
      </c>
      <c r="B659" s="6" t="s">
        <v>3903</v>
      </c>
      <c r="C659" s="0" t="s">
        <v>500</v>
      </c>
      <c r="D659" s="7" t="str">
        <f aca="false">IF(ISBLANK(Mkt!C20),"",Mkt!C20)</f>
        <v/>
      </c>
      <c r="E659" s="7" t="n">
        <f aca="false">IF(ISBLANK(Mkt!D20),"",Mkt!D20)</f>
        <v>1</v>
      </c>
      <c r="F659" s="7" t="n">
        <f aca="false">IF(ISBLANK(Mkt!E20),"",Mkt!E20)</f>
        <v>1</v>
      </c>
      <c r="G659" s="7" t="n">
        <f aca="false">IF(ISBLANK(Mkt!F20),"",Mkt!F20)</f>
        <v>0.6</v>
      </c>
      <c r="H659" s="7" t="n">
        <f aca="false">IF(ISBLANK(Mkt!G20),"",Mkt!G20)</f>
        <v>0.6</v>
      </c>
      <c r="I659" s="12" t="s">
        <v>3904</v>
      </c>
    </row>
    <row r="660" customFormat="false" ht="17.15" hidden="false" customHeight="false" outlineLevel="0" collapsed="false">
      <c r="A660" s="0" t="s">
        <v>3905</v>
      </c>
      <c r="B660" s="0" t="s">
        <v>3906</v>
      </c>
      <c r="C660" s="0" t="s">
        <v>2121</v>
      </c>
      <c r="D660" s="7" t="n">
        <f aca="false">IF(ISBLANK(Mkt!C26),"",Mkt!C26)</f>
        <v>2.22511470588235</v>
      </c>
      <c r="E660" s="7" t="n">
        <f aca="false">IF(ISBLANK(Mkt!D26),"",Mkt!D26)</f>
        <v>3.782695</v>
      </c>
      <c r="F660" s="7" t="n">
        <f aca="false">IF(ISBLANK(Mkt!E26),"",Mkt!E26)</f>
        <v>5.86317725</v>
      </c>
      <c r="G660" s="7" t="n">
        <f aca="false">IF(ISBLANK(Mkt!F26),"",Mkt!F26)</f>
        <v>6.16722</v>
      </c>
      <c r="H660" s="7" t="n">
        <f aca="false">IF(ISBLANK(Mkt!G26),"",Mkt!G26)</f>
        <v>8.017386</v>
      </c>
      <c r="I660" s="12" t="s">
        <v>3907</v>
      </c>
    </row>
    <row r="661" customFormat="false" ht="17.15" hidden="false" customHeight="false" outlineLevel="0" collapsed="false">
      <c r="A661" s="0" t="s">
        <v>3908</v>
      </c>
      <c r="B661" s="0" t="s">
        <v>3909</v>
      </c>
      <c r="C661" s="0" t="s">
        <v>2121</v>
      </c>
      <c r="D661" s="7" t="str">
        <f aca="false">IF(ISBLANK(Mkt!C29),"",Mkt!C29)</f>
        <v/>
      </c>
      <c r="E661" s="7" t="n">
        <f aca="false">IF(ISBLANK(Mkt!D29),"",Mkt!D29)</f>
        <v>0</v>
      </c>
      <c r="F661" s="7" t="n">
        <f aca="false">IF(ISBLANK(Mkt!E29),"",Mkt!E29)</f>
        <v>1.23255275</v>
      </c>
      <c r="G661" s="7" t="n">
        <f aca="false">IF(ISBLANK(Mkt!F29),"",Mkt!F29)</f>
        <v>-2.3343870125</v>
      </c>
      <c r="H661" s="7" t="n">
        <f aca="false">IF(ISBLANK(Mkt!G29),"",Mkt!G29)</f>
        <v>-3.459783466875</v>
      </c>
      <c r="I661" s="12" t="s">
        <v>3910</v>
      </c>
    </row>
    <row r="662" customFormat="false" ht="17.15" hidden="false" customHeight="false" outlineLevel="0" collapsed="false">
      <c r="A662" s="0" t="s">
        <v>3911</v>
      </c>
      <c r="B662" s="0" t="s">
        <v>2797</v>
      </c>
      <c r="C662" s="0" t="s">
        <v>542</v>
      </c>
      <c r="D662" s="7" t="n">
        <f aca="false">IF(ISBLANK(Mkt!C32),"",Mkt!C32)</f>
        <v>15.7295261711557</v>
      </c>
      <c r="E662" s="7" t="n">
        <f aca="false">IF(ISBLANK(Mkt!D32),"",Mkt!D32)</f>
        <v>14.6</v>
      </c>
      <c r="F662" s="7" t="n">
        <f aca="false">IF(ISBLANK(Mkt!E32),"",Mkt!E32)</f>
        <v>26.28</v>
      </c>
      <c r="G662" s="7" t="n">
        <f aca="false">IF(ISBLANK(Mkt!F32),"",Mkt!F32)</f>
        <v>15.768</v>
      </c>
      <c r="H662" s="7" t="n">
        <f aca="false">IF(ISBLANK(Mkt!G32),"",Mkt!G32)</f>
        <v>16.5564</v>
      </c>
      <c r="I662" s="12" t="s">
        <v>3912</v>
      </c>
    </row>
    <row r="663" customFormat="false" ht="17.15" hidden="false" customHeight="false" outlineLevel="0" collapsed="false">
      <c r="A663" s="0" t="s">
        <v>3913</v>
      </c>
      <c r="B663" s="0" t="s">
        <v>2800</v>
      </c>
      <c r="C663" s="0" t="s">
        <v>521</v>
      </c>
      <c r="D663" s="7" t="n">
        <f aca="false">IF(ISBLANK(Mkt!C35),"",Mkt!C35)</f>
        <v>35</v>
      </c>
      <c r="E663" s="7" t="n">
        <f aca="false">IF(ISBLANK(Mkt!D35),"",Mkt!D35)</f>
        <v>55.227347</v>
      </c>
      <c r="F663" s="7" t="n">
        <f aca="false">IF(ISBLANK(Mkt!E35),"",Mkt!E35)</f>
        <v>154.08429813</v>
      </c>
      <c r="G663" s="7" t="n">
        <f aca="false">IF(ISBLANK(Mkt!F35),"",Mkt!F35)</f>
        <v>97.24472496</v>
      </c>
      <c r="H663" s="7" t="n">
        <f aca="false">IF(ISBLANK(Mkt!G35),"",Mkt!G35)</f>
        <v>132.7390495704</v>
      </c>
      <c r="I663" s="12" t="s">
        <v>3914</v>
      </c>
    </row>
    <row r="665" customFormat="false" ht="17.15" hidden="false" customHeight="false" outlineLevel="0" collapsed="false">
      <c r="A665" s="10" t="s">
        <v>3915</v>
      </c>
    </row>
    <row r="666" customFormat="false" ht="17.15" hidden="false" customHeight="false" outlineLevel="0" collapsed="false">
      <c r="A666" s="0" t="s">
        <v>3916</v>
      </c>
      <c r="B666" s="0" t="s">
        <v>3917</v>
      </c>
      <c r="C666" s="6" t="s">
        <v>342</v>
      </c>
      <c r="E666" s="7" t="n">
        <f aca="false">Units!C4</f>
        <v>5.4</v>
      </c>
      <c r="F666" s="7" t="n">
        <f aca="false">Units!D4</f>
        <v>2.4</v>
      </c>
      <c r="G666" s="7" t="n">
        <f aca="false">Units!E4</f>
        <v>0.5</v>
      </c>
      <c r="H666" s="7" t="n">
        <f aca="false">Units!F4</f>
        <v>0.25</v>
      </c>
      <c r="I666" s="12" t="s">
        <v>3918</v>
      </c>
    </row>
    <row r="667" customFormat="false" ht="17.15" hidden="false" customHeight="false" outlineLevel="0" collapsed="false">
      <c r="A667" s="0" t="s">
        <v>3919</v>
      </c>
      <c r="B667" s="0" t="s">
        <v>3920</v>
      </c>
      <c r="C667" s="6" t="s">
        <v>342</v>
      </c>
      <c r="E667" s="7" t="n">
        <f aca="false">Units!C5</f>
        <v>1.7</v>
      </c>
      <c r="F667" s="7" t="n">
        <f aca="false">Units!D5</f>
        <v>7</v>
      </c>
      <c r="G667" s="7" t="n">
        <f aca="false">Units!E5</f>
        <v>7</v>
      </c>
      <c r="H667" s="7" t="n">
        <f aca="false">Units!F5</f>
        <v>8.05</v>
      </c>
      <c r="I667" s="12" t="s">
        <v>3921</v>
      </c>
    </row>
    <row r="668" customFormat="false" ht="17.15" hidden="false" customHeight="false" outlineLevel="0" collapsed="false">
      <c r="A668" s="0" t="s">
        <v>3922</v>
      </c>
      <c r="B668" s="0" t="s">
        <v>3923</v>
      </c>
      <c r="C668" s="6" t="s">
        <v>342</v>
      </c>
      <c r="E668" s="7" t="n">
        <f aca="false">Units!C6</f>
        <v>0</v>
      </c>
      <c r="F668" s="7" t="n">
        <f aca="false">Units!D6</f>
        <v>0.3</v>
      </c>
      <c r="G668" s="7" t="n">
        <f aca="false">Units!E6</f>
        <v>2</v>
      </c>
      <c r="H668" s="7" t="n">
        <f aca="false">Units!F6</f>
        <v>2.3</v>
      </c>
      <c r="I668" s="12" t="s">
        <v>3924</v>
      </c>
    </row>
    <row r="669" customFormat="false" ht="17.15" hidden="false" customHeight="false" outlineLevel="0" collapsed="false">
      <c r="A669" s="0" t="s">
        <v>3925</v>
      </c>
      <c r="B669" s="0" t="s">
        <v>3926</v>
      </c>
      <c r="C669" s="6" t="s">
        <v>342</v>
      </c>
      <c r="E669" s="7" t="n">
        <f aca="false">Units!C7</f>
        <v>0.5</v>
      </c>
      <c r="F669" s="7" t="n">
        <f aca="false">Units!D7</f>
        <v>0</v>
      </c>
      <c r="G669" s="7" t="n">
        <f aca="false">Units!E7</f>
        <v>0</v>
      </c>
      <c r="H669" s="7" t="n">
        <f aca="false">Units!F7</f>
        <v>0</v>
      </c>
      <c r="I669" s="12" t="s">
        <v>3927</v>
      </c>
    </row>
    <row r="670" customFormat="false" ht="17.15" hidden="false" customHeight="false" outlineLevel="0" collapsed="false">
      <c r="A670" s="0" t="s">
        <v>3928</v>
      </c>
      <c r="B670" s="0" t="s">
        <v>3929</v>
      </c>
      <c r="C670" s="6" t="s">
        <v>342</v>
      </c>
      <c r="E670" s="7" t="n">
        <f aca="false">Units!C8</f>
        <v>0.75</v>
      </c>
      <c r="F670" s="7" t="n">
        <f aca="false">Units!D8</f>
        <v>1.5</v>
      </c>
      <c r="G670" s="7" t="n">
        <f aca="false">Units!E8</f>
        <v>2</v>
      </c>
      <c r="H670" s="7" t="n">
        <f aca="false">Units!F8</f>
        <v>2.3</v>
      </c>
      <c r="I670" s="12" t="s">
        <v>3930</v>
      </c>
    </row>
    <row r="671" customFormat="false" ht="17.15" hidden="false" customHeight="false" outlineLevel="0" collapsed="false">
      <c r="A671" s="0" t="s">
        <v>3931</v>
      </c>
      <c r="B671" s="0" t="s">
        <v>3932</v>
      </c>
      <c r="C671" s="6" t="s">
        <v>342</v>
      </c>
      <c r="E671" s="7" t="n">
        <f aca="false">Units!C9</f>
        <v>3.85</v>
      </c>
      <c r="F671" s="7" t="n">
        <f aca="false">Units!D9</f>
        <v>5.5</v>
      </c>
      <c r="G671" s="7" t="n">
        <f aca="false">Units!E9</f>
        <v>7</v>
      </c>
      <c r="H671" s="7" t="n">
        <f aca="false">Units!F9</f>
        <v>8.05</v>
      </c>
      <c r="I671" s="12" t="s">
        <v>3933</v>
      </c>
    </row>
    <row r="672" customFormat="false" ht="17.15" hidden="false" customHeight="false" outlineLevel="0" collapsed="false">
      <c r="A672" s="0" t="s">
        <v>3934</v>
      </c>
      <c r="B672" s="0" t="s">
        <v>3935</v>
      </c>
      <c r="C672" s="6" t="s">
        <v>342</v>
      </c>
      <c r="E672" s="7" t="n">
        <f aca="false">Units!C10</f>
        <v>2</v>
      </c>
      <c r="F672" s="7" t="n">
        <f aca="false">Units!D10</f>
        <v>2.5</v>
      </c>
      <c r="G672" s="7" t="n">
        <f aca="false">Units!E10</f>
        <v>3</v>
      </c>
      <c r="H672" s="7" t="n">
        <f aca="false">Units!F10</f>
        <v>3.45</v>
      </c>
      <c r="I672" s="12" t="s">
        <v>3936</v>
      </c>
    </row>
    <row r="673" customFormat="false" ht="17.15" hidden="false" customHeight="false" outlineLevel="0" collapsed="false">
      <c r="A673" s="0" t="s">
        <v>3937</v>
      </c>
      <c r="B673" s="6" t="s">
        <v>3938</v>
      </c>
      <c r="C673" s="6" t="s">
        <v>342</v>
      </c>
      <c r="E673" s="7" t="n">
        <f aca="false">Units!C11</f>
        <v>1</v>
      </c>
      <c r="F673" s="7" t="n">
        <f aca="false">Units!D11</f>
        <v>4.5</v>
      </c>
      <c r="G673" s="7" t="n">
        <f aca="false">Units!E11</f>
        <v>5</v>
      </c>
      <c r="H673" s="7" t="n">
        <f aca="false">Units!F11</f>
        <v>5.75</v>
      </c>
      <c r="I673" s="12" t="s">
        <v>3939</v>
      </c>
    </row>
    <row r="674" customFormat="false" ht="17.15" hidden="false" customHeight="false" outlineLevel="0" collapsed="false">
      <c r="A674" s="0" t="s">
        <v>3940</v>
      </c>
      <c r="B674" s="6" t="s">
        <v>3941</v>
      </c>
      <c r="C674" s="6" t="s">
        <v>342</v>
      </c>
      <c r="E674" s="7" t="n">
        <f aca="false">Units!C12</f>
        <v>15.2</v>
      </c>
      <c r="F674" s="7" t="n">
        <f aca="false">Units!D12</f>
        <v>23.7</v>
      </c>
      <c r="G674" s="7" t="n">
        <f aca="false">Units!E12</f>
        <v>26.5</v>
      </c>
      <c r="H674" s="7" t="n">
        <f aca="false">Units!F12</f>
        <v>30.15</v>
      </c>
      <c r="I674" s="12" t="s">
        <v>3942</v>
      </c>
    </row>
    <row r="675" customFormat="false" ht="17.15" hidden="false" customHeight="false" outlineLevel="0" collapsed="false">
      <c r="A675" s="0" t="s">
        <v>3943</v>
      </c>
      <c r="B675" s="6" t="s">
        <v>3944</v>
      </c>
      <c r="C675" s="6" t="s">
        <v>342</v>
      </c>
      <c r="E675" s="7" t="n">
        <f aca="false">Units!C13</f>
        <v>15.2</v>
      </c>
      <c r="F675" s="7" t="n">
        <f aca="false">Units!D13</f>
        <v>23.7</v>
      </c>
      <c r="G675" s="7" t="n">
        <f aca="false">Units!E13</f>
        <v>26.5</v>
      </c>
      <c r="H675" s="7" t="n">
        <f aca="false">Units!F13</f>
        <v>30.15</v>
      </c>
      <c r="I675" s="12" t="s">
        <v>3945</v>
      </c>
    </row>
    <row r="676" customFormat="false" ht="17.15" hidden="false" customHeight="false" outlineLevel="0" collapsed="false">
      <c r="A676" s="0" t="s">
        <v>3946</v>
      </c>
      <c r="B676" s="6" t="s">
        <v>3947</v>
      </c>
      <c r="C676" s="6" t="s">
        <v>342</v>
      </c>
      <c r="E676" s="7" t="n">
        <f aca="false">Units!C14</f>
        <v>15.2</v>
      </c>
      <c r="F676" s="7" t="n">
        <f aca="false">Units!D14</f>
        <v>23.7</v>
      </c>
      <c r="G676" s="7" t="n">
        <f aca="false">Units!E14</f>
        <v>21.2</v>
      </c>
      <c r="H676" s="7" t="n">
        <f aca="false">Units!F14</f>
        <v>25.6275</v>
      </c>
      <c r="I676" s="12" t="s">
        <v>3948</v>
      </c>
    </row>
    <row r="677" customFormat="false" ht="17.15" hidden="false" customHeight="false" outlineLevel="0" collapsed="false">
      <c r="A677" s="0" t="s">
        <v>3949</v>
      </c>
      <c r="B677" s="6" t="s">
        <v>3950</v>
      </c>
      <c r="C677" s="6" t="s">
        <v>342</v>
      </c>
      <c r="E677" s="7" t="n">
        <f aca="false">Units!C15</f>
        <v>15.2</v>
      </c>
      <c r="F677" s="7" t="n">
        <f aca="false">Units!D15</f>
        <v>23.7</v>
      </c>
      <c r="G677" s="7" t="n">
        <f aca="false">Units!E15</f>
        <v>15.9</v>
      </c>
      <c r="H677" s="7" t="n">
        <f aca="false">Units!F15</f>
        <v>18.09</v>
      </c>
      <c r="I677" s="12" t="s">
        <v>3951</v>
      </c>
    </row>
    <row r="678" customFormat="false" ht="17.15" hidden="false" customHeight="false" outlineLevel="0" collapsed="false">
      <c r="A678" s="0" t="s">
        <v>3952</v>
      </c>
      <c r="B678" s="0" t="s">
        <v>3953</v>
      </c>
      <c r="C678" s="0" t="s">
        <v>66</v>
      </c>
      <c r="E678" s="20" t="n">
        <f aca="false">Units!G12</f>
        <v>0.137735849056604</v>
      </c>
      <c r="I678" s="12" t="s">
        <v>3954</v>
      </c>
    </row>
    <row r="680" customFormat="false" ht="17.15" hidden="false" customHeight="false" outlineLevel="0" collapsed="false">
      <c r="A680" s="10" t="s">
        <v>3955</v>
      </c>
    </row>
    <row r="681" customFormat="false" ht="17.15" hidden="false" customHeight="false" outlineLevel="0" collapsed="false">
      <c r="A681" s="0" t="s">
        <v>3956</v>
      </c>
      <c r="B681" s="0" t="s">
        <v>3957</v>
      </c>
      <c r="C681" s="0" t="s">
        <v>66</v>
      </c>
      <c r="E681" s="18" t="n">
        <f aca="false">ShareTbl!D7</f>
        <v>0.95</v>
      </c>
      <c r="F681" s="18" t="n">
        <f aca="false">ShareTbl!E7</f>
        <v>0.95</v>
      </c>
      <c r="G681" s="18" t="n">
        <f aca="false">ShareTbl!F7</f>
        <v>0.98</v>
      </c>
      <c r="I681" s="12" t="s">
        <v>3958</v>
      </c>
    </row>
    <row r="682" customFormat="false" ht="17.15" hidden="false" customHeight="false" outlineLevel="0" collapsed="false">
      <c r="A682" s="0" t="s">
        <v>3959</v>
      </c>
      <c r="B682" s="6" t="s">
        <v>3960</v>
      </c>
      <c r="C682" s="0" t="s">
        <v>66</v>
      </c>
      <c r="E682" s="18" t="n">
        <f aca="false">ShareTbl!D13</f>
        <v>0.4</v>
      </c>
      <c r="F682" s="18" t="n">
        <f aca="false">ShareTbl!E13</f>
        <v>0.61</v>
      </c>
      <c r="G682" s="18" t="n">
        <f aca="false">ShareTbl!F13</f>
        <v>0.7</v>
      </c>
      <c r="I682" s="12" t="s">
        <v>3961</v>
      </c>
    </row>
    <row r="683" customFormat="false" ht="17.15" hidden="false" customHeight="false" outlineLevel="0" collapsed="false">
      <c r="A683" s="0" t="s">
        <v>3962</v>
      </c>
      <c r="B683" s="0" t="s">
        <v>3963</v>
      </c>
      <c r="C683" s="0" t="s">
        <v>66</v>
      </c>
      <c r="E683" s="18" t="n">
        <f aca="false">ShareTbl!D18</f>
        <v>0.4</v>
      </c>
      <c r="F683" s="18" t="n">
        <f aca="false">ShareTbl!E18</f>
        <v>0.65</v>
      </c>
      <c r="G683" s="18" t="n">
        <f aca="false">ShareTbl!F18</f>
        <v>0.63</v>
      </c>
      <c r="I683" s="12" t="s">
        <v>3964</v>
      </c>
    </row>
    <row r="684" customFormat="false" ht="17.15" hidden="false" customHeight="false" outlineLevel="0" collapsed="false">
      <c r="A684" s="0" t="s">
        <v>3965</v>
      </c>
      <c r="B684" s="0" t="s">
        <v>3966</v>
      </c>
      <c r="C684" s="0" t="s">
        <v>66</v>
      </c>
      <c r="E684" s="18" t="n">
        <f aca="false">ShareTbl!D23</f>
        <v>0.4</v>
      </c>
      <c r="F684" s="18" t="n">
        <f aca="false">ShareTbl!E23</f>
        <v>0.6</v>
      </c>
      <c r="G684" s="18" t="n">
        <f aca="false">ShareTbl!F23</f>
        <v>0.53</v>
      </c>
      <c r="I684" s="12" t="s">
        <v>3967</v>
      </c>
    </row>
    <row r="685" customFormat="false" ht="17.15" hidden="false" customHeight="false" outlineLevel="0" collapsed="false">
      <c r="A685" s="0" t="s">
        <v>3968</v>
      </c>
      <c r="B685" s="0" t="s">
        <v>3969</v>
      </c>
      <c r="C685" s="0" t="s">
        <v>66</v>
      </c>
      <c r="E685" s="18" t="n">
        <f aca="false">ShareTbl!D28</f>
        <v>0.4</v>
      </c>
      <c r="F685" s="18" t="n">
        <f aca="false">ShareTbl!E28</f>
        <v>0.5</v>
      </c>
      <c r="G685" s="18" t="n">
        <f aca="false">ShareTbl!F28</f>
        <v>0.43</v>
      </c>
      <c r="I685" s="12" t="s">
        <v>3970</v>
      </c>
    </row>
    <row r="686" customFormat="false" ht="17.15" hidden="false" customHeight="false" outlineLevel="0" collapsed="false">
      <c r="A686" s="0" t="s">
        <v>3971</v>
      </c>
      <c r="B686" s="0" t="s">
        <v>3972</v>
      </c>
      <c r="C686" s="0" t="s">
        <v>66</v>
      </c>
      <c r="E686" s="18" t="n">
        <f aca="false">ShareTbl!D36</f>
        <v>0.5</v>
      </c>
      <c r="F686" s="18" t="n">
        <f aca="false">ShareTbl!E36</f>
        <v>0.65</v>
      </c>
      <c r="G686" s="18" t="n">
        <f aca="false">ShareTbl!F36</f>
        <v>0.75</v>
      </c>
      <c r="I686" s="12" t="s">
        <v>3973</v>
      </c>
    </row>
    <row r="687" customFormat="false" ht="17.15" hidden="false" customHeight="false" outlineLevel="0" collapsed="false">
      <c r="A687" s="0" t="s">
        <v>3974</v>
      </c>
      <c r="B687" s="0" t="s">
        <v>3975</v>
      </c>
      <c r="C687" s="0" t="s">
        <v>66</v>
      </c>
      <c r="E687" s="18" t="n">
        <f aca="false">ShareTbl!D45</f>
        <v>0.99</v>
      </c>
      <c r="F687" s="18" t="n">
        <f aca="false">ShareTbl!E45</f>
        <v>0.995</v>
      </c>
      <c r="G687" s="18" t="n">
        <f aca="false">ShareTbl!F45</f>
        <v>0.996</v>
      </c>
      <c r="H687" s="18" t="n">
        <f aca="false">ShareTbl!G45</f>
        <v>0.995</v>
      </c>
      <c r="I687" s="12" t="s">
        <v>3976</v>
      </c>
    </row>
    <row r="688" customFormat="false" ht="17.15" hidden="false" customHeight="false" outlineLevel="0" collapsed="false">
      <c r="A688" s="0" t="s">
        <v>3977</v>
      </c>
      <c r="B688" s="6" t="s">
        <v>3978</v>
      </c>
      <c r="C688" s="0" t="s">
        <v>66</v>
      </c>
      <c r="E688" s="18" t="n">
        <f aca="false">ShareTbl!D52</f>
        <v>0.88</v>
      </c>
      <c r="F688" s="18" t="n">
        <f aca="false">ShareTbl!E52</f>
        <v>0.895</v>
      </c>
      <c r="G688" s="18" t="n">
        <f aca="false">ShareTbl!F52</f>
        <v>0.89</v>
      </c>
      <c r="H688" s="18" t="n">
        <f aca="false">ShareTbl!G52</f>
        <v>0.885</v>
      </c>
      <c r="I688" s="12" t="s">
        <v>3979</v>
      </c>
    </row>
    <row r="690" customFormat="false" ht="17.15" hidden="false" customHeight="false" outlineLevel="0" collapsed="false">
      <c r="A690" s="10" t="s">
        <v>3980</v>
      </c>
    </row>
    <row r="691" customFormat="false" ht="17.15" hidden="false" customHeight="false" outlineLevel="0" collapsed="false">
      <c r="A691" s="0" t="s">
        <v>3981</v>
      </c>
      <c r="B691" s="0" t="s">
        <v>3982</v>
      </c>
      <c r="C691" s="0" t="s">
        <v>521</v>
      </c>
      <c r="E691" s="7" t="n">
        <f aca="false">Deploy!C5</f>
        <v>781.872916666667</v>
      </c>
      <c r="F691" s="7" t="n">
        <f aca="false">Deploy!D5</f>
        <v>1565.35</v>
      </c>
      <c r="G691" s="7" t="n">
        <f aca="false">Deploy!E5</f>
        <v>1984.26388888889</v>
      </c>
      <c r="H691" s="7" t="n">
        <f aca="false">Deploy!F5</f>
        <v>2260.39027777778</v>
      </c>
      <c r="I691" s="12" t="s">
        <v>3983</v>
      </c>
    </row>
    <row r="692" customFormat="false" ht="17.15" hidden="false" customHeight="false" outlineLevel="0" collapsed="false">
      <c r="A692" s="0" t="s">
        <v>3984</v>
      </c>
      <c r="B692" s="0" t="s">
        <v>3985</v>
      </c>
      <c r="C692" s="0" t="s">
        <v>521</v>
      </c>
      <c r="E692" s="7" t="n">
        <f aca="false">Deploy!C6</f>
        <v>781.872916666667</v>
      </c>
      <c r="F692" s="7" t="n">
        <f aca="false">Deploy!D6</f>
        <v>1565.35</v>
      </c>
      <c r="G692" s="7" t="n">
        <f aca="false">Deploy!E6</f>
        <v>1587.41111111111</v>
      </c>
      <c r="H692" s="7" t="n">
        <f aca="false">Deploy!F6</f>
        <v>1921.33173611111</v>
      </c>
      <c r="I692" s="12" t="s">
        <v>3986</v>
      </c>
    </row>
    <row r="693" customFormat="false" ht="17.15" hidden="false" customHeight="false" outlineLevel="0" collapsed="false">
      <c r="A693" s="0" t="s">
        <v>3987</v>
      </c>
      <c r="B693" s="0" t="s">
        <v>3988</v>
      </c>
      <c r="C693" s="0" t="s">
        <v>521</v>
      </c>
      <c r="E693" s="7" t="n">
        <f aca="false">Deploy!C7</f>
        <v>781.872916666667</v>
      </c>
      <c r="F693" s="7" t="n">
        <f aca="false">Deploy!D7</f>
        <v>1565.35</v>
      </c>
      <c r="G693" s="7" t="n">
        <f aca="false">Deploy!E7</f>
        <v>1190.55833333333</v>
      </c>
      <c r="H693" s="7" t="n">
        <f aca="false">Deploy!F7</f>
        <v>1356.23416666667</v>
      </c>
      <c r="I693" s="12" t="s">
        <v>3989</v>
      </c>
    </row>
    <row r="694" customFormat="false" ht="17.15" hidden="false" customHeight="false" outlineLevel="0" collapsed="false">
      <c r="A694" s="0" t="s">
        <v>3990</v>
      </c>
      <c r="B694" s="6" t="s">
        <v>3991</v>
      </c>
      <c r="C694" s="0" t="s">
        <v>3148</v>
      </c>
      <c r="E694" s="7" t="n">
        <f aca="false">Deploy!C8</f>
        <v>33.41403216</v>
      </c>
      <c r="F694" s="7" t="n">
        <f aca="false">Deploy!D8</f>
        <v>37.586352</v>
      </c>
      <c r="G694" s="7" t="n">
        <f aca="false">Deploy!E8</f>
        <v>37.586352</v>
      </c>
      <c r="H694" s="7" t="n">
        <f aca="false">Deploy!F8</f>
        <v>37.586352</v>
      </c>
      <c r="I694" s="12" t="s">
        <v>3992</v>
      </c>
    </row>
    <row r="695" customFormat="false" ht="17.15" hidden="false" customHeight="false" outlineLevel="0" collapsed="false">
      <c r="A695" s="0" t="s">
        <v>3993</v>
      </c>
      <c r="B695" s="6" t="s">
        <v>3994</v>
      </c>
      <c r="C695" s="0" t="s">
        <v>3205</v>
      </c>
      <c r="E695" s="7" t="n">
        <f aca="false">Deploy!C9</f>
        <v>23.3995380420639</v>
      </c>
      <c r="F695" s="7" t="n">
        <f aca="false">Deploy!D9</f>
        <v>41.6467658260637</v>
      </c>
      <c r="G695" s="7" t="n">
        <f aca="false">Deploy!E9</f>
        <v>52.792138191248</v>
      </c>
      <c r="H695" s="7" t="n">
        <f aca="false">Deploy!F9</f>
        <v>60.1385917361115</v>
      </c>
      <c r="I695" s="12" t="s">
        <v>3995</v>
      </c>
    </row>
    <row r="696" customFormat="false" ht="17.15" hidden="false" customHeight="false" outlineLevel="0" collapsed="false">
      <c r="A696" s="0" t="s">
        <v>3996</v>
      </c>
      <c r="B696" s="6" t="s">
        <v>3997</v>
      </c>
      <c r="C696" s="0" t="s">
        <v>3205</v>
      </c>
      <c r="E696" s="7" t="n">
        <f aca="false">Deploy!C10</f>
        <v>23.3995380420639</v>
      </c>
      <c r="F696" s="7" t="n">
        <f aca="false">Deploy!D10</f>
        <v>41.6467658260637</v>
      </c>
      <c r="G696" s="7" t="n">
        <f aca="false">Deploy!E10</f>
        <v>42.2337105529984</v>
      </c>
      <c r="H696" s="7" t="n">
        <f aca="false">Deploy!F10</f>
        <v>51.1178029756948</v>
      </c>
      <c r="I696" s="12" t="s">
        <v>3998</v>
      </c>
    </row>
    <row r="697" customFormat="false" ht="17.15" hidden="false" customHeight="false" outlineLevel="0" collapsed="false">
      <c r="A697" s="0" t="s">
        <v>3999</v>
      </c>
      <c r="B697" s="6" t="s">
        <v>4000</v>
      </c>
      <c r="C697" s="0" t="s">
        <v>3205</v>
      </c>
      <c r="E697" s="7" t="n">
        <f aca="false">Deploy!C11</f>
        <v>23.3995380420639</v>
      </c>
      <c r="F697" s="7" t="n">
        <f aca="false">Deploy!D11</f>
        <v>41.6467658260637</v>
      </c>
      <c r="G697" s="7" t="n">
        <f aca="false">Deploy!E11</f>
        <v>31.6752829147488</v>
      </c>
      <c r="H697" s="7" t="n">
        <f aca="false">Deploy!F11</f>
        <v>36.0831550416669</v>
      </c>
      <c r="I697" s="12" t="s">
        <v>4001</v>
      </c>
    </row>
    <row r="699" customFormat="false" ht="17.15" hidden="false" customHeight="false" outlineLevel="0" collapsed="false">
      <c r="A699" s="10" t="s">
        <v>4002</v>
      </c>
    </row>
    <row r="700" customFormat="false" ht="17.15" hidden="false" customHeight="false" outlineLevel="0" collapsed="false">
      <c r="A700" s="0" t="s">
        <v>4003</v>
      </c>
      <c r="B700" s="0" t="s">
        <v>4004</v>
      </c>
      <c r="C700" s="0" t="s">
        <v>500</v>
      </c>
      <c r="E700" s="39" t="n">
        <f aca="false">ABF!C19</f>
        <v>1</v>
      </c>
      <c r="F700" s="39" t="n">
        <f aca="false">ABF!D19</f>
        <v>1.3149200792858</v>
      </c>
      <c r="G700" s="39" t="n">
        <f aca="false">ABF!E19</f>
        <v>1.51871652600206</v>
      </c>
      <c r="H700" s="39" t="n">
        <f aca="false">ABF!F19</f>
        <v>1.78409269640899</v>
      </c>
      <c r="I700" s="12" t="s">
        <v>4005</v>
      </c>
    </row>
    <row r="701" customFormat="false" ht="17.15" hidden="false" customHeight="false" outlineLevel="0" collapsed="false">
      <c r="A701" s="0" t="s">
        <v>4006</v>
      </c>
      <c r="B701" s="0" t="s">
        <v>4007</v>
      </c>
      <c r="C701" s="0" t="s">
        <v>500</v>
      </c>
      <c r="E701" s="39" t="n">
        <f aca="false">ABF!C20</f>
        <v>1</v>
      </c>
      <c r="F701" s="39" t="n">
        <f aca="false">ABF!D20</f>
        <v>1.3149200792858</v>
      </c>
      <c r="G701" s="39" t="n">
        <f aca="false">ABF!E20</f>
        <v>1.35604155784815</v>
      </c>
      <c r="H701" s="39" t="n">
        <f aca="false">ABF!F20</f>
        <v>1.62644843296439</v>
      </c>
      <c r="I701" s="12" t="s">
        <v>4008</v>
      </c>
    </row>
    <row r="702" customFormat="false" ht="17.15" hidden="false" customHeight="false" outlineLevel="0" collapsed="false">
      <c r="A702" s="0" t="s">
        <v>4009</v>
      </c>
      <c r="B702" s="0" t="s">
        <v>4010</v>
      </c>
      <c r="C702" s="0" t="s">
        <v>500</v>
      </c>
      <c r="E702" s="39" t="n">
        <f aca="false">ABF!C21</f>
        <v>1</v>
      </c>
      <c r="F702" s="39" t="n">
        <f aca="false">ABF!D21</f>
        <v>1.3149200792858</v>
      </c>
      <c r="G702" s="39" t="n">
        <f aca="false">ABF!E21</f>
        <v>1.18968702447534</v>
      </c>
      <c r="H702" s="39" t="n">
        <f aca="false">ABF!F21</f>
        <v>1.35894775285069</v>
      </c>
      <c r="I702" s="12" t="s">
        <v>4011</v>
      </c>
    </row>
    <row r="703" customFormat="false" ht="17.15" hidden="false" customHeight="false" outlineLevel="0" collapsed="false">
      <c r="A703" s="0" t="s">
        <v>4012</v>
      </c>
      <c r="B703" s="6" t="s">
        <v>4013</v>
      </c>
      <c r="C703" s="0" t="s">
        <v>500</v>
      </c>
      <c r="E703" s="39" t="n">
        <f aca="false">ABF!C34</f>
        <v>1</v>
      </c>
      <c r="F703" s="39" t="n">
        <f aca="false">ABF!D34</f>
        <v>1.23949599623175</v>
      </c>
      <c r="G703" s="39" t="n">
        <f aca="false">ABF!E34</f>
        <v>1.49096404459099</v>
      </c>
      <c r="H703" s="39" t="n">
        <f aca="false">ABF!F34</f>
        <v>1.73090163290941</v>
      </c>
      <c r="I703" s="12" t="s">
        <v>4014</v>
      </c>
    </row>
    <row r="704" customFormat="false" ht="17.15" hidden="false" customHeight="false" outlineLevel="0" collapsed="false">
      <c r="A704" s="0" t="s">
        <v>4015</v>
      </c>
      <c r="B704" s="6" t="s">
        <v>4016</v>
      </c>
      <c r="C704" s="0" t="s">
        <v>500</v>
      </c>
      <c r="E704" s="39" t="n">
        <f aca="false">ABF!C35</f>
        <v>1</v>
      </c>
      <c r="F704" s="39" t="n">
        <f aca="false">ABF!D35</f>
        <v>1.3</v>
      </c>
      <c r="G704" s="39" t="n">
        <f aca="false">ABF!E35</f>
        <v>1.55</v>
      </c>
      <c r="H704" s="39" t="n">
        <f aca="false">ABF!F35</f>
        <v>1.8</v>
      </c>
      <c r="I704" s="12" t="s">
        <v>4017</v>
      </c>
    </row>
    <row r="705" customFormat="false" ht="15" hidden="false" customHeight="false" outlineLevel="0" collapsed="false">
      <c r="A705" s="0" t="s">
        <v>4018</v>
      </c>
      <c r="B705" s="6" t="s">
        <v>4019</v>
      </c>
      <c r="C705" s="0" t="s">
        <v>500</v>
      </c>
      <c r="E705" s="39" t="n">
        <f aca="false">ABF!C36</f>
        <v>1</v>
      </c>
      <c r="F705" s="39" t="n">
        <f aca="false">ABF!D36</f>
        <v>1.23949599623175</v>
      </c>
      <c r="G705" s="39" t="n">
        <f aca="false">ABF!E36</f>
        <v>1.49096404459099</v>
      </c>
      <c r="H705" s="39" t="n">
        <f aca="false">ABF!F36</f>
        <v>1.73090163290941</v>
      </c>
      <c r="I705" s="12" t="s">
        <v>4020</v>
      </c>
    </row>
    <row r="706" customFormat="false" ht="17.15" hidden="false" customHeight="false" outlineLevel="0" collapsed="false">
      <c r="A706" s="0" t="s">
        <v>4021</v>
      </c>
      <c r="B706" s="0" t="s">
        <v>4022</v>
      </c>
      <c r="C706" s="0" t="s">
        <v>66</v>
      </c>
      <c r="E706" s="20" t="n">
        <f aca="false">ABF!C39</f>
        <v>0.0900000000000001</v>
      </c>
      <c r="F706" s="20" t="n">
        <f aca="false">ABF!D39</f>
        <v>0.156327161022588</v>
      </c>
      <c r="G706" s="20" t="n">
        <f aca="false">ABF!E39</f>
        <v>0.110289023633947</v>
      </c>
      <c r="H706" s="20" t="n">
        <f aca="false">ABF!F39</f>
        <v>0.123495987358389</v>
      </c>
      <c r="I706" s="12" t="s">
        <v>4023</v>
      </c>
    </row>
    <row r="707" customFormat="false" ht="17.15" hidden="false" customHeight="false" outlineLevel="0" collapsed="false">
      <c r="A707" s="0" t="s">
        <v>4024</v>
      </c>
      <c r="B707" s="0" t="s">
        <v>4025</v>
      </c>
      <c r="C707" s="0" t="s">
        <v>66</v>
      </c>
      <c r="E707" s="20" t="n">
        <f aca="false">ABF!C40</f>
        <v>0.0900000000000001</v>
      </c>
      <c r="F707" s="20" t="n">
        <f aca="false">ABF!D40</f>
        <v>0.156327161022588</v>
      </c>
      <c r="G707" s="20" t="n">
        <f aca="false">ABF!E40</f>
        <v>-0.00863786526793242</v>
      </c>
      <c r="H707" s="20" t="n">
        <f aca="false">ABF!F40</f>
        <v>0.0242227277533411</v>
      </c>
      <c r="I707" s="12" t="s">
        <v>4026</v>
      </c>
    </row>
    <row r="708" customFormat="false" ht="17.15" hidden="false" customHeight="false" outlineLevel="0" collapsed="false">
      <c r="A708" s="0" t="s">
        <v>4027</v>
      </c>
      <c r="B708" s="0" t="s">
        <v>4028</v>
      </c>
      <c r="C708" s="0" t="s">
        <v>66</v>
      </c>
      <c r="E708" s="20" t="n">
        <f aca="false">ABF!C41</f>
        <v>0.0900000000000001</v>
      </c>
      <c r="F708" s="20" t="n">
        <f aca="false">ABF!D41</f>
        <v>0.156327161022588</v>
      </c>
      <c r="G708" s="20" t="n">
        <f aca="false">ABF!E41</f>
        <v>-0.130254776174792</v>
      </c>
      <c r="H708" s="20" t="n">
        <f aca="false">ABF!F41</f>
        <v>-0.144230369626799</v>
      </c>
      <c r="I708" s="12" t="s">
        <v>4029</v>
      </c>
    </row>
    <row r="710" customFormat="false" ht="17.15" hidden="false" customHeight="false" outlineLevel="0" collapsed="false">
      <c r="A710" s="10" t="s">
        <v>4030</v>
      </c>
    </row>
    <row r="711" customFormat="false" ht="17.15" hidden="false" customHeight="false" outlineLevel="0" collapsed="false">
      <c r="A711" s="0" t="s">
        <v>4031</v>
      </c>
      <c r="B711" s="6" t="s">
        <v>4032</v>
      </c>
      <c r="C711" s="0" t="s">
        <v>1463</v>
      </c>
      <c r="E711" s="40" t="n">
        <f aca="false">PGW!C8</f>
        <v>450</v>
      </c>
      <c r="F711" s="40" t="n">
        <f aca="false">PGW!D8</f>
        <v>682</v>
      </c>
      <c r="G711" s="40" t="n">
        <f aca="false">PGW!E8</f>
        <v>792</v>
      </c>
      <c r="H711" s="40" t="n">
        <f aca="false">PGW!F8</f>
        <v>877</v>
      </c>
      <c r="I711" s="12" t="s">
        <v>4033</v>
      </c>
    </row>
    <row r="712" customFormat="false" ht="17.15" hidden="false" customHeight="false" outlineLevel="0" collapsed="false">
      <c r="A712" s="0" t="s">
        <v>4034</v>
      </c>
      <c r="B712" s="6" t="s">
        <v>4035</v>
      </c>
      <c r="C712" s="0" t="s">
        <v>1463</v>
      </c>
      <c r="E712" s="40" t="n">
        <f aca="false">PGW!C17</f>
        <v>350</v>
      </c>
      <c r="F712" s="40" t="n">
        <f aca="false">PGW!D17</f>
        <v>527.5</v>
      </c>
      <c r="G712" s="40" t="n">
        <f aca="false">PGW!E17</f>
        <v>609</v>
      </c>
      <c r="H712" s="40" t="n">
        <f aca="false">PGW!F17</f>
        <v>662.5</v>
      </c>
      <c r="I712" s="12" t="s">
        <v>4036</v>
      </c>
    </row>
    <row r="713" customFormat="false" ht="17.15" hidden="false" customHeight="false" outlineLevel="0" collapsed="false">
      <c r="A713" s="0" t="s">
        <v>4037</v>
      </c>
      <c r="B713" s="0" t="s">
        <v>4038</v>
      </c>
      <c r="C713" s="0" t="s">
        <v>1350</v>
      </c>
      <c r="E713" s="40" t="n">
        <f aca="false">PGW!C9</f>
        <v>10.5297921189288</v>
      </c>
      <c r="F713" s="40" t="n">
        <f aca="false">PGW!D9</f>
        <v>28.4030942933754</v>
      </c>
      <c r="G713" s="40" t="n">
        <f aca="false">PGW!E9</f>
        <v>41.8113734474684</v>
      </c>
      <c r="H713" s="40" t="n">
        <f aca="false">PGW!F9</f>
        <v>52.7415449525698</v>
      </c>
      <c r="I713" s="12" t="s">
        <v>4039</v>
      </c>
    </row>
    <row r="714" customFormat="false" ht="17.15" hidden="false" customHeight="false" outlineLevel="0" collapsed="false">
      <c r="A714" s="0" t="s">
        <v>4040</v>
      </c>
      <c r="B714" s="0" t="s">
        <v>4041</v>
      </c>
      <c r="C714" s="0" t="s">
        <v>1350</v>
      </c>
      <c r="E714" s="40" t="n">
        <f aca="false">PGW!C10</f>
        <v>10.5297921189288</v>
      </c>
      <c r="F714" s="40" t="n">
        <f aca="false">PGW!D10</f>
        <v>28.4030942933754</v>
      </c>
      <c r="G714" s="40" t="n">
        <f aca="false">PGW!E10</f>
        <v>33.4490987579747</v>
      </c>
      <c r="H714" s="40" t="n">
        <f aca="false">PGW!F10</f>
        <v>44.8303132096843</v>
      </c>
      <c r="I714" s="12" t="s">
        <v>4042</v>
      </c>
    </row>
    <row r="715" customFormat="false" ht="17.15" hidden="false" customHeight="false" outlineLevel="0" collapsed="false">
      <c r="A715" s="0" t="s">
        <v>4043</v>
      </c>
      <c r="B715" s="0" t="s">
        <v>4044</v>
      </c>
      <c r="C715" s="0" t="s">
        <v>1350</v>
      </c>
      <c r="E715" s="40" t="n">
        <f aca="false">PGW!C11</f>
        <v>10.5297921189288</v>
      </c>
      <c r="F715" s="40" t="n">
        <f aca="false">PGW!D11</f>
        <v>28.4030942933754</v>
      </c>
      <c r="G715" s="40" t="n">
        <f aca="false">PGW!E11</f>
        <v>25.086824068481</v>
      </c>
      <c r="H715" s="40" t="n">
        <f aca="false">PGW!F11</f>
        <v>31.6449269715419</v>
      </c>
      <c r="I715" s="12" t="s">
        <v>4045</v>
      </c>
    </row>
    <row r="716" customFormat="false" ht="17.15" hidden="false" customHeight="false" outlineLevel="0" collapsed="false">
      <c r="A716" s="0" t="s">
        <v>4046</v>
      </c>
      <c r="B716" s="0" t="s">
        <v>4047</v>
      </c>
      <c r="C716" s="0" t="s">
        <v>1350</v>
      </c>
      <c r="E716" s="40" t="n">
        <f aca="false">PGW!C18</f>
        <v>8.18983831472237</v>
      </c>
      <c r="F716" s="40" t="n">
        <f aca="false">PGW!D18</f>
        <v>21.9686689732486</v>
      </c>
      <c r="G716" s="40" t="n">
        <f aca="false">PGW!E18</f>
        <v>32.15041215847</v>
      </c>
      <c r="H716" s="40" t="n">
        <f aca="false">PGW!F18</f>
        <v>39.8418170251739</v>
      </c>
      <c r="I716" s="12" t="s">
        <v>4048</v>
      </c>
    </row>
    <row r="717" customFormat="false" ht="17.15" hidden="false" customHeight="false" outlineLevel="0" collapsed="false">
      <c r="A717" s="0" t="s">
        <v>4049</v>
      </c>
      <c r="B717" s="0" t="s">
        <v>4050</v>
      </c>
      <c r="C717" s="0" t="s">
        <v>1350</v>
      </c>
      <c r="E717" s="40" t="n">
        <f aca="false">PGW!C19</f>
        <v>8.18983831472237</v>
      </c>
      <c r="F717" s="40" t="n">
        <f aca="false">PGW!D19</f>
        <v>21.9686689732486</v>
      </c>
      <c r="G717" s="40" t="n">
        <f aca="false">PGW!E19</f>
        <v>25.720329726776</v>
      </c>
      <c r="H717" s="40" t="n">
        <f aca="false">PGW!F19</f>
        <v>33.8655444713978</v>
      </c>
      <c r="I717" s="12" t="s">
        <v>4051</v>
      </c>
    </row>
    <row r="718" customFormat="false" ht="17.15" hidden="false" customHeight="false" outlineLevel="0" collapsed="false">
      <c r="A718" s="0" t="s">
        <v>4052</v>
      </c>
      <c r="B718" s="0" t="s">
        <v>4053</v>
      </c>
      <c r="C718" s="0" t="s">
        <v>1350</v>
      </c>
      <c r="E718" s="40" t="n">
        <f aca="false">PGW!C20</f>
        <v>8.18983831472237</v>
      </c>
      <c r="F718" s="40" t="n">
        <f aca="false">PGW!D20</f>
        <v>21.9686689732486</v>
      </c>
      <c r="G718" s="40" t="n">
        <f aca="false">PGW!E20</f>
        <v>19.290247295082</v>
      </c>
      <c r="H718" s="40" t="n">
        <f aca="false">PGW!F20</f>
        <v>23.9050902151043</v>
      </c>
      <c r="I718" s="12" t="s">
        <v>4054</v>
      </c>
    </row>
    <row r="720" customFormat="false" ht="17.15" hidden="false" customHeight="false" outlineLevel="0" collapsed="false">
      <c r="A720" s="10" t="s">
        <v>4055</v>
      </c>
    </row>
    <row r="721" customFormat="false" ht="17.15" hidden="false" customHeight="false" outlineLevel="0" collapsed="false">
      <c r="A721" s="0" t="s">
        <v>4056</v>
      </c>
      <c r="B721" s="6" t="s">
        <v>4057</v>
      </c>
      <c r="C721" s="0" t="s">
        <v>4058</v>
      </c>
      <c r="E721" s="41" t="n">
        <f aca="false">Rack!C5</f>
        <v>27.1209</v>
      </c>
      <c r="F721" s="41" t="n">
        <f aca="false">Rack!D5</f>
        <v>27.351</v>
      </c>
      <c r="G721" s="41" t="n">
        <f aca="false">Rack!E5</f>
        <v>27.351</v>
      </c>
      <c r="H721" s="41" t="n">
        <f aca="false">Rack!F5</f>
        <v>27.351</v>
      </c>
      <c r="I721" s="12" t="s">
        <v>4059</v>
      </c>
    </row>
    <row r="722" customFormat="false" ht="17.15" hidden="false" customHeight="false" outlineLevel="0" collapsed="false">
      <c r="A722" s="0" t="s">
        <v>4060</v>
      </c>
      <c r="B722" s="0" t="s">
        <v>4061</v>
      </c>
      <c r="C722" s="0" t="s">
        <v>1350</v>
      </c>
      <c r="E722" s="41" t="n">
        <f aca="false">Rack!C6</f>
        <v>634.616531285011</v>
      </c>
      <c r="F722" s="41" t="n">
        <f aca="false">Rack!D6</f>
        <v>1139.08069210867</v>
      </c>
      <c r="G722" s="41" t="n">
        <f aca="false">Rack!E6</f>
        <v>1443.91777166882</v>
      </c>
      <c r="H722" s="41" t="n">
        <f aca="false">Rack!F6</f>
        <v>1644.85062257439</v>
      </c>
      <c r="I722" s="12" t="s">
        <v>4062</v>
      </c>
    </row>
    <row r="723" customFormat="false" ht="17.15" hidden="false" customHeight="false" outlineLevel="0" collapsed="false">
      <c r="A723" s="0" t="s">
        <v>4063</v>
      </c>
      <c r="B723" s="0" t="s">
        <v>4064</v>
      </c>
      <c r="C723" s="0" t="s">
        <v>1350</v>
      </c>
      <c r="E723" s="41" t="n">
        <f aca="false">Rack!C7</f>
        <v>634.616531285011</v>
      </c>
      <c r="F723" s="41" t="n">
        <f aca="false">Rack!D7</f>
        <v>1139.08069210867</v>
      </c>
      <c r="G723" s="41" t="n">
        <f aca="false">Rack!E7</f>
        <v>1155.13421733506</v>
      </c>
      <c r="H723" s="41" t="n">
        <f aca="false">Rack!F7</f>
        <v>1398.12302918823</v>
      </c>
      <c r="I723" s="12" t="s">
        <v>4065</v>
      </c>
    </row>
    <row r="724" customFormat="false" ht="17.15" hidden="false" customHeight="false" outlineLevel="0" collapsed="false">
      <c r="A724" s="0" t="s">
        <v>4066</v>
      </c>
      <c r="B724" s="0" t="s">
        <v>4067</v>
      </c>
      <c r="C724" s="0" t="s">
        <v>1350</v>
      </c>
      <c r="E724" s="41" t="n">
        <f aca="false">Rack!C8</f>
        <v>634.616531285011</v>
      </c>
      <c r="F724" s="41" t="n">
        <f aca="false">Rack!D8</f>
        <v>1139.08069210867</v>
      </c>
      <c r="G724" s="41" t="n">
        <f aca="false">Rack!E8</f>
        <v>866.350663001294</v>
      </c>
      <c r="H724" s="41" t="n">
        <f aca="false">Rack!F8</f>
        <v>986.910373544631</v>
      </c>
      <c r="I724" s="12" t="s">
        <v>4068</v>
      </c>
    </row>
    <row r="725" customFormat="false" ht="17.15" hidden="false" customHeight="false" outlineLevel="0" collapsed="false">
      <c r="A725" s="0" t="s">
        <v>4069</v>
      </c>
      <c r="B725" s="6" t="s">
        <v>4070</v>
      </c>
      <c r="C725" s="0" t="s">
        <v>637</v>
      </c>
      <c r="E725" s="41" t="n">
        <f aca="false">Rack!C11</f>
        <v>59.7222222222222</v>
      </c>
      <c r="F725" s="41" t="n">
        <f aca="false">Rack!D11</f>
        <v>59.7222222222222</v>
      </c>
      <c r="G725" s="41" t="n">
        <f aca="false">Rack!E11</f>
        <v>59.7222222222222</v>
      </c>
      <c r="H725" s="41" t="n">
        <f aca="false">Rack!F11</f>
        <v>59.7222222222222</v>
      </c>
      <c r="I725" s="12" t="s">
        <v>4071</v>
      </c>
    </row>
    <row r="726" customFormat="false" ht="17.15" hidden="false" customHeight="false" outlineLevel="0" collapsed="false">
      <c r="A726" s="0" t="s">
        <v>4072</v>
      </c>
      <c r="B726" s="6" t="s">
        <v>4073</v>
      </c>
      <c r="C726" s="0" t="s">
        <v>637</v>
      </c>
      <c r="E726" s="41" t="n">
        <f aca="false">Rack!C12</f>
        <v>116.666666666667</v>
      </c>
      <c r="F726" s="41" t="n">
        <f aca="false">Rack!D12</f>
        <v>116.666666666667</v>
      </c>
      <c r="G726" s="41" t="n">
        <f aca="false">Rack!E12</f>
        <v>116.666666666667</v>
      </c>
      <c r="H726" s="41" t="n">
        <f aca="false">Rack!F12</f>
        <v>116.666666666667</v>
      </c>
      <c r="I726" s="12" t="s">
        <v>4074</v>
      </c>
    </row>
    <row r="727" customFormat="false" ht="17.15" hidden="false" customHeight="false" outlineLevel="0" collapsed="false">
      <c r="A727" s="0" t="s">
        <v>4075</v>
      </c>
      <c r="B727" s="0" t="s">
        <v>4076</v>
      </c>
      <c r="C727" s="6" t="s">
        <v>342</v>
      </c>
      <c r="E727" s="41" t="n">
        <f aca="false">Rack!C13</f>
        <v>6.65</v>
      </c>
      <c r="F727" s="41" t="n">
        <f aca="false">Rack!D13</f>
        <v>2.4</v>
      </c>
      <c r="G727" s="41" t="n">
        <f aca="false">Rack!E13</f>
        <v>0.5</v>
      </c>
      <c r="H727" s="41" t="n">
        <f aca="false">Rack!F13</f>
        <v>0.25</v>
      </c>
      <c r="I727" s="12" t="s">
        <v>4077</v>
      </c>
    </row>
    <row r="728" customFormat="false" ht="17.15" hidden="false" customHeight="false" outlineLevel="0" collapsed="false">
      <c r="A728" s="0" t="s">
        <v>4078</v>
      </c>
      <c r="B728" s="0" t="s">
        <v>4079</v>
      </c>
      <c r="C728" s="6" t="s">
        <v>342</v>
      </c>
      <c r="E728" s="41" t="n">
        <f aca="false">Rack!C14</f>
        <v>1.7</v>
      </c>
      <c r="F728" s="41" t="n">
        <f aca="false">Rack!D14</f>
        <v>8.8</v>
      </c>
      <c r="G728" s="41" t="n">
        <f aca="false">Rack!E14</f>
        <v>11</v>
      </c>
      <c r="H728" s="41" t="n">
        <f aca="false">Rack!F14</f>
        <v>12.65</v>
      </c>
      <c r="I728" s="12" t="s">
        <v>4080</v>
      </c>
    </row>
    <row r="729" customFormat="false" ht="17.15" hidden="false" customHeight="false" outlineLevel="0" collapsed="false">
      <c r="A729" s="0" t="s">
        <v>4081</v>
      </c>
      <c r="B729" s="6" t="s">
        <v>4082</v>
      </c>
      <c r="C729" s="0" t="s">
        <v>1350</v>
      </c>
      <c r="E729" s="41" t="n">
        <f aca="false">Rack!C15</f>
        <v>595.486111111111</v>
      </c>
      <c r="F729" s="41" t="n">
        <f aca="false">Rack!D15</f>
        <v>1170</v>
      </c>
      <c r="G729" s="41" t="n">
        <f aca="false">Rack!E15</f>
        <v>1313.19444444444</v>
      </c>
      <c r="H729" s="41" t="n">
        <f aca="false">Rack!F15</f>
        <v>1490.76388888889</v>
      </c>
      <c r="I729" s="12" t="s">
        <v>4083</v>
      </c>
    </row>
    <row r="730" customFormat="false" ht="17.15" hidden="false" customHeight="false" outlineLevel="0" collapsed="false">
      <c r="A730" s="0" t="s">
        <v>4084</v>
      </c>
      <c r="B730" s="6" t="s">
        <v>4085</v>
      </c>
      <c r="C730" s="0" t="s">
        <v>1350</v>
      </c>
      <c r="E730" s="41" t="n">
        <f aca="false">Rack!C16</f>
        <v>595.486111111111</v>
      </c>
      <c r="F730" s="41" t="n">
        <f aca="false">Rack!D16</f>
        <v>1170</v>
      </c>
      <c r="G730" s="41" t="n">
        <f aca="false">Rack!E16</f>
        <v>1050.55555555556</v>
      </c>
      <c r="H730" s="41" t="n">
        <f aca="false">Rack!F16</f>
        <v>1267.14930555556</v>
      </c>
      <c r="I730" s="12" t="s">
        <v>4086</v>
      </c>
    </row>
    <row r="731" customFormat="false" ht="17.15" hidden="false" customHeight="false" outlineLevel="0" collapsed="false">
      <c r="A731" s="0" t="s">
        <v>4087</v>
      </c>
      <c r="B731" s="6" t="s">
        <v>4088</v>
      </c>
      <c r="C731" s="0" t="s">
        <v>1350</v>
      </c>
      <c r="E731" s="41" t="n">
        <f aca="false">Rack!C17</f>
        <v>595.486111111111</v>
      </c>
      <c r="F731" s="41" t="n">
        <f aca="false">Rack!D17</f>
        <v>1170</v>
      </c>
      <c r="G731" s="41" t="n">
        <f aca="false">Rack!E17</f>
        <v>787.916666666667</v>
      </c>
      <c r="H731" s="41" t="n">
        <f aca="false">Rack!F17</f>
        <v>894.458333333333</v>
      </c>
      <c r="I731" s="12" t="s">
        <v>4089</v>
      </c>
    </row>
    <row r="732" customFormat="false" ht="17.15" hidden="false" customHeight="false" outlineLevel="0" collapsed="false">
      <c r="A732" s="0" t="s">
        <v>4090</v>
      </c>
      <c r="B732" s="0" t="s">
        <v>4091</v>
      </c>
      <c r="C732" s="0" t="s">
        <v>1350</v>
      </c>
      <c r="E732" s="41" t="n">
        <f aca="false">Rack!C21</f>
        <v>10.5297921189288</v>
      </c>
      <c r="F732" s="41" t="n">
        <f aca="false">Rack!D21</f>
        <v>24.9880594956382</v>
      </c>
      <c r="G732" s="41" t="n">
        <f aca="false">Rack!E21</f>
        <v>35.8986539700486</v>
      </c>
      <c r="H732" s="41" t="n">
        <f aca="false">Rack!F21</f>
        <v>43.2997860500003</v>
      </c>
      <c r="I732" s="12" t="s">
        <v>4092</v>
      </c>
    </row>
    <row r="733" customFormat="false" ht="17.15" hidden="false" customHeight="false" outlineLevel="0" collapsed="false">
      <c r="A733" s="0" t="s">
        <v>4093</v>
      </c>
      <c r="B733" s="0" t="s">
        <v>4094</v>
      </c>
      <c r="C733" s="0" t="s">
        <v>1350</v>
      </c>
      <c r="E733" s="41" t="n">
        <f aca="false">Rack!C22</f>
        <v>10.5297921189288</v>
      </c>
      <c r="F733" s="41" t="n">
        <f aca="false">Rack!D22</f>
        <v>24.9880594956382</v>
      </c>
      <c r="G733" s="41" t="n">
        <f aca="false">Rack!E22</f>
        <v>28.7189231760389</v>
      </c>
      <c r="H733" s="41" t="n">
        <f aca="false">Rack!F22</f>
        <v>36.8048181425002</v>
      </c>
      <c r="I733" s="12" t="s">
        <v>4095</v>
      </c>
    </row>
    <row r="734" customFormat="false" ht="17.15" hidden="false" customHeight="false" outlineLevel="0" collapsed="false">
      <c r="A734" s="0" t="s">
        <v>4096</v>
      </c>
      <c r="B734" s="0" t="s">
        <v>4097</v>
      </c>
      <c r="C734" s="0" t="s">
        <v>1350</v>
      </c>
      <c r="E734" s="41" t="n">
        <f aca="false">Rack!C23</f>
        <v>10.5297921189288</v>
      </c>
      <c r="F734" s="41" t="n">
        <f aca="false">Rack!D23</f>
        <v>24.9880594956382</v>
      </c>
      <c r="G734" s="41" t="n">
        <f aca="false">Rack!E23</f>
        <v>21.5391923820292</v>
      </c>
      <c r="H734" s="41" t="n">
        <f aca="false">Rack!F23</f>
        <v>25.9798716300002</v>
      </c>
      <c r="I734" s="12" t="s">
        <v>4098</v>
      </c>
    </row>
    <row r="735" customFormat="false" ht="17.15" hidden="false" customHeight="false" outlineLevel="0" collapsed="false">
      <c r="A735" s="0" t="s">
        <v>4099</v>
      </c>
      <c r="B735" s="6" t="s">
        <v>4100</v>
      </c>
      <c r="C735" s="0" t="s">
        <v>1463</v>
      </c>
      <c r="E735" s="41" t="n">
        <f aca="false">Rack!C28</f>
        <v>350.7208</v>
      </c>
      <c r="F735" s="41" t="n">
        <f aca="false">Rack!D28</f>
        <v>326.5912</v>
      </c>
      <c r="G735" s="41" t="n">
        <f aca="false">Rack!E28</f>
        <v>351.7136</v>
      </c>
      <c r="H735" s="41" t="n">
        <f aca="false">Rack!F28</f>
        <v>351.7136</v>
      </c>
      <c r="I735" s="12" t="s">
        <v>4101</v>
      </c>
    </row>
    <row r="736" customFormat="false" ht="17.15" hidden="false" customHeight="false" outlineLevel="0" collapsed="false">
      <c r="A736" s="0" t="s">
        <v>4102</v>
      </c>
      <c r="B736" s="6" t="s">
        <v>4103</v>
      </c>
      <c r="C736" s="0" t="s">
        <v>66</v>
      </c>
      <c r="E736" s="41" t="n">
        <f aca="false">Rack!C29</f>
        <v>0.55</v>
      </c>
      <c r="F736" s="41" t="n">
        <f aca="false">Rack!D29</f>
        <v>0.85</v>
      </c>
      <c r="G736" s="41" t="n">
        <f aca="false">Rack!E29</f>
        <v>0.95</v>
      </c>
      <c r="H736" s="41" t="n">
        <f aca="false">Rack!F29</f>
        <v>0.95</v>
      </c>
      <c r="I736" s="12" t="s">
        <v>4104</v>
      </c>
    </row>
    <row r="737" customFormat="false" ht="17.15" hidden="false" customHeight="false" outlineLevel="0" collapsed="false">
      <c r="A737" s="0" t="s">
        <v>4105</v>
      </c>
      <c r="B737" s="6" t="s">
        <v>4106</v>
      </c>
      <c r="C737" s="0" t="s">
        <v>66</v>
      </c>
      <c r="E737" s="41" t="n">
        <f aca="false">Rack!C30</f>
        <v>0.55</v>
      </c>
      <c r="F737" s="41" t="n">
        <f aca="false">Rack!D30</f>
        <v>0.75</v>
      </c>
      <c r="G737" s="41" t="n">
        <f aca="false">Rack!E30</f>
        <v>0.85</v>
      </c>
      <c r="H737" s="41" t="n">
        <f aca="false">Rack!F30</f>
        <v>0.9</v>
      </c>
      <c r="I737" s="12" t="s">
        <v>4107</v>
      </c>
    </row>
    <row r="738" customFormat="false" ht="17.15" hidden="false" customHeight="false" outlineLevel="0" collapsed="false">
      <c r="A738" s="0" t="s">
        <v>4108</v>
      </c>
      <c r="B738" s="6" t="s">
        <v>4109</v>
      </c>
      <c r="C738" s="0" t="s">
        <v>66</v>
      </c>
      <c r="E738" s="41" t="n">
        <f aca="false">Rack!C31</f>
        <v>0.55</v>
      </c>
      <c r="F738" s="41" t="n">
        <f aca="false">Rack!D31</f>
        <v>0.6</v>
      </c>
      <c r="G738" s="41" t="n">
        <f aca="false">Rack!E31</f>
        <v>0.7</v>
      </c>
      <c r="H738" s="41" t="n">
        <f aca="false">Rack!F31</f>
        <v>0.75</v>
      </c>
      <c r="I738" s="12" t="s">
        <v>4110</v>
      </c>
    </row>
    <row r="739" customFormat="false" ht="17.15" hidden="false" customHeight="false" outlineLevel="0" collapsed="false">
      <c r="A739" s="0" t="s">
        <v>4111</v>
      </c>
      <c r="B739" s="0" t="s">
        <v>4112</v>
      </c>
      <c r="C739" s="0" t="s">
        <v>1350</v>
      </c>
      <c r="E739" s="41" t="n">
        <f aca="false">Rack!C32</f>
        <v>4.5136875859587</v>
      </c>
      <c r="F739" s="41" t="n">
        <f aca="false">Rack!D32</f>
        <v>11.5612471431652</v>
      </c>
      <c r="G739" s="41" t="n">
        <f aca="false">Rack!E32</f>
        <v>17.6393273261942</v>
      </c>
      <c r="H739" s="41" t="n">
        <f aca="false">Rack!F32</f>
        <v>20.0939825685161</v>
      </c>
      <c r="I739" s="12" t="s">
        <v>4113</v>
      </c>
    </row>
    <row r="740" customFormat="false" ht="17.15" hidden="false" customHeight="false" outlineLevel="0" collapsed="false">
      <c r="A740" s="0" t="s">
        <v>4114</v>
      </c>
      <c r="B740" s="0" t="s">
        <v>4115</v>
      </c>
      <c r="C740" s="0" t="s">
        <v>1350</v>
      </c>
      <c r="E740" s="41" t="n">
        <f aca="false">Rack!C33</f>
        <v>4.5136875859587</v>
      </c>
      <c r="F740" s="41" t="n">
        <f aca="false">Rack!D33</f>
        <v>10.2011004204398</v>
      </c>
      <c r="G740" s="41" t="n">
        <f aca="false">Rack!E33</f>
        <v>12.6260448229601</v>
      </c>
      <c r="H740" s="41" t="n">
        <f aca="false">Rack!F33</f>
        <v>16.1809438578051</v>
      </c>
      <c r="I740" s="12" t="s">
        <v>4116</v>
      </c>
    </row>
    <row r="741" customFormat="false" ht="17.15" hidden="false" customHeight="false" outlineLevel="0" collapsed="false">
      <c r="A741" s="0" t="s">
        <v>4117</v>
      </c>
      <c r="B741" s="0" t="s">
        <v>4118</v>
      </c>
      <c r="C741" s="0" t="s">
        <v>1350</v>
      </c>
      <c r="E741" s="41" t="n">
        <f aca="false">Rack!C34</f>
        <v>4.5136875859587</v>
      </c>
      <c r="F741" s="41" t="n">
        <f aca="false">Rack!D34</f>
        <v>8.16088033635188</v>
      </c>
      <c r="G741" s="41" t="n">
        <f aca="false">Rack!E34</f>
        <v>7.79843944947535</v>
      </c>
      <c r="H741" s="41" t="n">
        <f aca="false">Rack!F34</f>
        <v>9.51820226929711</v>
      </c>
      <c r="I741" s="12" t="s">
        <v>4119</v>
      </c>
    </row>
    <row r="743" customFormat="false" ht="17.15" hidden="false" customHeight="false" outlineLevel="0" collapsed="false">
      <c r="A743" s="10" t="s">
        <v>4120</v>
      </c>
    </row>
    <row r="744" customFormat="false" ht="17.15" hidden="false" customHeight="false" outlineLevel="0" collapsed="false">
      <c r="A744" s="0" t="s">
        <v>4121</v>
      </c>
      <c r="B744" s="0" t="s">
        <v>4122</v>
      </c>
      <c r="C744" s="0" t="s">
        <v>1350</v>
      </c>
      <c r="D744" s="7" t="n">
        <f aca="false">Equip!C5</f>
        <v>27.9136690647482</v>
      </c>
      <c r="E744" s="7" t="n">
        <f aca="false">Equip!D5</f>
        <v>38.8</v>
      </c>
      <c r="F744" s="7" t="n">
        <f aca="false">Equip!E5</f>
        <v>49.4312</v>
      </c>
      <c r="G744" s="7" t="n">
        <f aca="false">Equip!F5</f>
        <v>56.84588</v>
      </c>
      <c r="H744" s="7" t="n">
        <f aca="false">Equip!G5</f>
        <v>61.3935504</v>
      </c>
      <c r="I744" s="12" t="s">
        <v>4123</v>
      </c>
    </row>
    <row r="745" customFormat="false" ht="17.15" hidden="false" customHeight="false" outlineLevel="0" collapsed="false">
      <c r="A745" s="0" t="s">
        <v>4124</v>
      </c>
      <c r="B745" s="0" t="s">
        <v>4125</v>
      </c>
      <c r="C745" s="0" t="s">
        <v>1350</v>
      </c>
      <c r="D745" s="7" t="n">
        <f aca="false">Equip!C6</f>
        <v>10.6350420811018</v>
      </c>
      <c r="E745" s="7" t="n">
        <f aca="false">Equip!D6</f>
        <v>13.9</v>
      </c>
      <c r="F745" s="7" t="n">
        <f aca="false">Equip!E6</f>
        <v>18.2229</v>
      </c>
      <c r="G745" s="7" t="n">
        <f aca="false">Equip!F6</f>
        <v>20.8652205</v>
      </c>
      <c r="H745" s="7" t="n">
        <f aca="false">Equip!G6</f>
        <v>22.53443814</v>
      </c>
      <c r="I745" s="12" t="s">
        <v>4126</v>
      </c>
    </row>
    <row r="746" customFormat="false" ht="17.15" hidden="false" customHeight="false" outlineLevel="0" collapsed="false">
      <c r="A746" s="0" t="s">
        <v>4127</v>
      </c>
      <c r="B746" s="0" t="s">
        <v>4128</v>
      </c>
      <c r="C746" s="0" t="s">
        <v>1350</v>
      </c>
      <c r="D746" s="7" t="n">
        <f aca="false">Equip!C7</f>
        <v>65.6013456686291</v>
      </c>
      <c r="E746" s="7" t="n">
        <f aca="false">Equip!D7</f>
        <v>78</v>
      </c>
      <c r="F746" s="7" t="n">
        <f aca="false">Equip!E7</f>
        <v>92.118</v>
      </c>
      <c r="G746" s="7" t="n">
        <f aca="false">Equip!F7</f>
        <v>104.646048</v>
      </c>
      <c r="H746" s="7" t="n">
        <f aca="false">Equip!G7</f>
        <v>113.01773184</v>
      </c>
      <c r="I746" s="12" t="s">
        <v>4129</v>
      </c>
    </row>
    <row r="747" customFormat="false" ht="17.15" hidden="false" customHeight="false" outlineLevel="0" collapsed="false">
      <c r="A747" s="0" t="s">
        <v>4130</v>
      </c>
      <c r="B747" s="0" t="s">
        <v>4131</v>
      </c>
      <c r="C747" s="0" t="s">
        <v>1350</v>
      </c>
      <c r="D747" s="7" t="n">
        <f aca="false">Equip!C8</f>
        <v>116.896831844029</v>
      </c>
      <c r="E747" s="7" t="n">
        <f aca="false">Equip!D8</f>
        <v>143.9</v>
      </c>
      <c r="F747" s="7" t="n">
        <f aca="false">Equip!E8</f>
        <v>175.2702</v>
      </c>
      <c r="G747" s="7" t="n">
        <f aca="false">Equip!F8</f>
        <v>199.9832982</v>
      </c>
      <c r="H747" s="7" t="n">
        <f aca="false">Equip!G8</f>
        <v>215.981962056</v>
      </c>
      <c r="I747" s="12" t="s">
        <v>4132</v>
      </c>
    </row>
    <row r="748" customFormat="false" ht="17.15" hidden="false" customHeight="false" outlineLevel="0" collapsed="false">
      <c r="A748" s="0" t="s">
        <v>4133</v>
      </c>
      <c r="B748" s="0" t="s">
        <v>4134</v>
      </c>
      <c r="C748" s="0" t="s">
        <v>1350</v>
      </c>
      <c r="D748" s="7" t="n">
        <f aca="false">Equip!C9</f>
        <v>11.6793893129771</v>
      </c>
      <c r="E748" s="7" t="n">
        <f aca="false">Equip!D9</f>
        <v>15.3</v>
      </c>
      <c r="F748" s="7" t="n">
        <f aca="false">Equip!E9</f>
        <v>17.8392824967822</v>
      </c>
      <c r="G748" s="7" t="n">
        <f aca="false">Equip!F9</f>
        <v>20.8</v>
      </c>
      <c r="H748" s="7" t="n">
        <f aca="false">Equip!G9</f>
        <v>22.464</v>
      </c>
      <c r="I748" s="12" t="s">
        <v>4135</v>
      </c>
    </row>
    <row r="749" customFormat="false" ht="17.15" hidden="false" customHeight="false" outlineLevel="0" collapsed="false">
      <c r="A749" s="0" t="s">
        <v>4136</v>
      </c>
      <c r="B749" s="0" t="s">
        <v>4137</v>
      </c>
      <c r="C749" s="0" t="s">
        <v>1350</v>
      </c>
      <c r="D749" s="7" t="n">
        <f aca="false">Equip!C10</f>
        <v>6.11313868613139</v>
      </c>
      <c r="E749" s="7" t="n">
        <f aca="false">Equip!D10</f>
        <v>6.7</v>
      </c>
      <c r="F749" s="7" t="n">
        <f aca="false">Equip!E10</f>
        <v>7.59078388573934</v>
      </c>
      <c r="G749" s="7" t="n">
        <f aca="false">Equip!F10</f>
        <v>8.6</v>
      </c>
      <c r="H749" s="7" t="n">
        <f aca="false">Equip!G10</f>
        <v>9.288</v>
      </c>
      <c r="I749" s="12" t="s">
        <v>4138</v>
      </c>
    </row>
    <row r="750" customFormat="false" ht="17.15" hidden="false" customHeight="false" outlineLevel="0" collapsed="false">
      <c r="A750" s="0" t="s">
        <v>4139</v>
      </c>
      <c r="B750" s="0" t="s">
        <v>4140</v>
      </c>
      <c r="C750" s="0" t="s">
        <v>1350</v>
      </c>
      <c r="D750" s="7" t="n">
        <f aca="false">Equip!C11</f>
        <v>134.689359843138</v>
      </c>
      <c r="E750" s="7" t="n">
        <f aca="false">Equip!D11</f>
        <v>165.9</v>
      </c>
      <c r="F750" s="7" t="n">
        <f aca="false">Equip!E11</f>
        <v>200.700266382522</v>
      </c>
      <c r="G750" s="7" t="n">
        <f aca="false">Equip!F11</f>
        <v>229.3832982</v>
      </c>
      <c r="H750" s="7" t="n">
        <f aca="false">Equip!G11</f>
        <v>247.733962056</v>
      </c>
      <c r="I750" s="12" t="s">
        <v>4141</v>
      </c>
    </row>
    <row r="751" customFormat="false" ht="17.15" hidden="false" customHeight="false" outlineLevel="0" collapsed="false">
      <c r="A751" s="0" t="s">
        <v>4142</v>
      </c>
      <c r="B751" s="0" t="s">
        <v>4143</v>
      </c>
      <c r="C751" s="0" t="s">
        <v>1350</v>
      </c>
      <c r="D751" s="39" t="n">
        <f aca="false">Equip!C19</f>
        <v>6.9</v>
      </c>
      <c r="E751" s="39" t="n">
        <f aca="false">Equip!D19</f>
        <v>11.5</v>
      </c>
      <c r="F751" s="39" t="n">
        <f aca="false">Equip!E19</f>
        <v>16.2309519650655</v>
      </c>
      <c r="G751" s="39" t="n">
        <f aca="false">Equip!F19</f>
        <v>18.2430869197178</v>
      </c>
      <c r="H751" s="39" t="n">
        <f aca="false">Equip!G19</f>
        <v>20.3107479175008</v>
      </c>
      <c r="I751" s="12" t="s">
        <v>4144</v>
      </c>
    </row>
    <row r="752" customFormat="false" ht="17.15" hidden="false" customHeight="false" outlineLevel="0" collapsed="false">
      <c r="A752" s="0" t="s">
        <v>4145</v>
      </c>
      <c r="B752" s="0" t="s">
        <v>4146</v>
      </c>
      <c r="C752" s="0" t="s">
        <v>1350</v>
      </c>
      <c r="D752" s="39" t="n">
        <f aca="false">Equip!C20</f>
        <v>6.9</v>
      </c>
      <c r="E752" s="39" t="n">
        <f aca="false">Equip!D20</f>
        <v>11.5</v>
      </c>
      <c r="F752" s="39" t="n">
        <f aca="false">Equip!E20</f>
        <v>16.2309519650655</v>
      </c>
      <c r="G752" s="39" t="n">
        <f aca="false">Equip!F20</f>
        <v>15.5246455357743</v>
      </c>
      <c r="H752" s="39" t="n">
        <f aca="false">Equip!G20</f>
        <v>17.9896730098757</v>
      </c>
      <c r="I752" s="12" t="s">
        <v>4147</v>
      </c>
    </row>
    <row r="753" customFormat="false" ht="17.15" hidden="false" customHeight="false" outlineLevel="0" collapsed="false">
      <c r="A753" s="0" t="s">
        <v>4148</v>
      </c>
      <c r="B753" s="0" t="s">
        <v>4149</v>
      </c>
      <c r="C753" s="0" t="s">
        <v>1350</v>
      </c>
      <c r="D753" s="39" t="n">
        <f aca="false">Equip!C21</f>
        <v>6.9</v>
      </c>
      <c r="E753" s="39" t="n">
        <f aca="false">Equip!D21</f>
        <v>11.5</v>
      </c>
      <c r="F753" s="39" t="n">
        <f aca="false">Equip!E21</f>
        <v>16.2309519650655</v>
      </c>
      <c r="G753" s="39" t="n">
        <f aca="false">Equip!F21</f>
        <v>12.8062041518307</v>
      </c>
      <c r="H753" s="39" t="n">
        <f aca="false">Equip!G21</f>
        <v>14.1212148305005</v>
      </c>
      <c r="I753" s="12" t="s">
        <v>4150</v>
      </c>
    </row>
    <row r="754" customFormat="false" ht="17.15" hidden="false" customHeight="false" outlineLevel="0" collapsed="false">
      <c r="A754" s="0" t="s">
        <v>4151</v>
      </c>
      <c r="B754" s="0" t="s">
        <v>4152</v>
      </c>
      <c r="C754" s="0" t="s">
        <v>66</v>
      </c>
      <c r="D754" s="20" t="n">
        <f aca="false">Equip!C24</f>
        <v>0.0999119405439528</v>
      </c>
      <c r="E754" s="20" t="n">
        <f aca="false">Equip!D24</f>
        <v>0.10632383599722</v>
      </c>
      <c r="F754" s="20" t="n">
        <f aca="false">Equip!E24</f>
        <v>0.101781606324305</v>
      </c>
      <c r="G754" s="20" t="n">
        <f aca="false">Equip!F24</f>
        <v>0.104008685661331</v>
      </c>
      <c r="H754" s="20" t="n">
        <f aca="false">Equip!G24</f>
        <v>0.104008685661331</v>
      </c>
      <c r="I754" s="12" t="s">
        <v>4153</v>
      </c>
    </row>
    <row r="755" customFormat="false" ht="17.15" hidden="false" customHeight="false" outlineLevel="0" collapsed="false">
      <c r="A755" s="0" t="s">
        <v>4154</v>
      </c>
      <c r="B755" s="0" t="s">
        <v>4155</v>
      </c>
      <c r="C755" s="0" t="s">
        <v>66</v>
      </c>
      <c r="D755" s="20" t="n">
        <f aca="false">Equip!C25</f>
        <v>0.0590264072272411</v>
      </c>
      <c r="E755" s="20" t="n">
        <f aca="false">Equip!D25</f>
        <v>0.0799166087560806</v>
      </c>
      <c r="F755" s="20" t="n">
        <f aca="false">Equip!E25</f>
        <v>0.0926053143378937</v>
      </c>
      <c r="G755" s="20" t="n">
        <f aca="false">Equip!F25</f>
        <v>0.0912230525444841</v>
      </c>
      <c r="H755" s="20" t="n">
        <f aca="false">Equip!G25</f>
        <v>0.0940390934694567</v>
      </c>
      <c r="I755" s="12" t="s">
        <v>4156</v>
      </c>
    </row>
    <row r="756" customFormat="false" ht="17.15" hidden="false" customHeight="false" outlineLevel="0" collapsed="false">
      <c r="A756" s="0" t="s">
        <v>4157</v>
      </c>
      <c r="B756" s="6" t="s">
        <v>4158</v>
      </c>
      <c r="C756" s="0" t="s">
        <v>66</v>
      </c>
      <c r="D756" s="20" t="n">
        <f aca="false">Equip!C29</f>
        <v>0</v>
      </c>
      <c r="E756" s="20" t="n">
        <f aca="false">Equip!D29</f>
        <v>0</v>
      </c>
      <c r="F756" s="20" t="n">
        <f aca="false">Equip!E29</f>
        <v>0</v>
      </c>
      <c r="G756" s="20" t="n">
        <f aca="false">Equip!F29</f>
        <v>0.15</v>
      </c>
      <c r="H756" s="20" t="n">
        <f aca="false">Equip!G29</f>
        <v>0.3</v>
      </c>
      <c r="I756" s="12" t="s">
        <v>4159</v>
      </c>
    </row>
    <row r="757" customFormat="false" ht="17.15" hidden="false" customHeight="false" outlineLevel="0" collapsed="false">
      <c r="A757" s="0" t="s">
        <v>4160</v>
      </c>
      <c r="B757" s="6" t="s">
        <v>4161</v>
      </c>
      <c r="C757" s="0" t="s">
        <v>66</v>
      </c>
      <c r="D757" s="20" t="n">
        <f aca="false">Equip!C30</f>
        <v>0</v>
      </c>
      <c r="E757" s="20" t="n">
        <f aca="false">Equip!D30</f>
        <v>0</v>
      </c>
      <c r="F757" s="20" t="n">
        <f aca="false">Equip!E30</f>
        <v>0</v>
      </c>
      <c r="G757" s="20" t="n">
        <f aca="false">Equip!F30</f>
        <v>0.05</v>
      </c>
      <c r="H757" s="20" t="n">
        <f aca="false">Equip!G30</f>
        <v>0.15</v>
      </c>
      <c r="I757" s="12" t="s">
        <v>4162</v>
      </c>
    </row>
    <row r="758" customFormat="false" ht="17.15" hidden="false" customHeight="false" outlineLevel="0" collapsed="false">
      <c r="A758" s="0" t="s">
        <v>4163</v>
      </c>
      <c r="B758" s="6" t="s">
        <v>4164</v>
      </c>
      <c r="C758" s="0" t="s">
        <v>66</v>
      </c>
      <c r="D758" s="20" t="n">
        <f aca="false">Equip!C31</f>
        <v>0</v>
      </c>
      <c r="E758" s="20" t="n">
        <f aca="false">Equip!D31</f>
        <v>0</v>
      </c>
      <c r="F758" s="20" t="n">
        <f aca="false">Equip!E31</f>
        <v>0</v>
      </c>
      <c r="G758" s="20" t="n">
        <f aca="false">Equip!F31</f>
        <v>0</v>
      </c>
      <c r="H758" s="20" t="n">
        <f aca="false">Equip!G31</f>
        <v>0.05</v>
      </c>
      <c r="I758" s="12" t="s">
        <v>4165</v>
      </c>
    </row>
    <row r="760" customFormat="false" ht="17.15" hidden="false" customHeight="false" outlineLevel="0" collapsed="false">
      <c r="A760" s="10" t="s">
        <v>4166</v>
      </c>
    </row>
    <row r="761" customFormat="false" ht="17.15" hidden="false" customHeight="false" outlineLevel="0" collapsed="false">
      <c r="A761" s="0" t="s">
        <v>4167</v>
      </c>
      <c r="B761" s="6" t="s">
        <v>4168</v>
      </c>
      <c r="C761" s="0" t="s">
        <v>66</v>
      </c>
      <c r="E761" s="20" t="n">
        <f aca="false">ShareTbl!D75</f>
        <v>0.657628417556847</v>
      </c>
      <c r="F761" s="20" t="n">
        <f aca="false">ShareTbl!E75</f>
        <v>0.655617074323022</v>
      </c>
      <c r="G761" s="20" t="n">
        <f aca="false">ShareTbl!F75</f>
        <v>0.645670692267188</v>
      </c>
      <c r="H761" s="20" t="n">
        <f aca="false">ShareTbl!G75</f>
        <v>0.635724310211354</v>
      </c>
      <c r="I761" s="12" t="s">
        <v>4169</v>
      </c>
    </row>
    <row r="762" customFormat="false" ht="17.15" hidden="false" customHeight="false" outlineLevel="0" collapsed="false">
      <c r="A762" s="0" t="s">
        <v>4170</v>
      </c>
      <c r="B762" s="6" t="s">
        <v>4171</v>
      </c>
      <c r="C762" s="0" t="s">
        <v>66</v>
      </c>
      <c r="E762" s="20" t="n">
        <f aca="false">ShareTbl!D81</f>
        <v>0.657628417556847</v>
      </c>
      <c r="F762" s="20" t="n">
        <f aca="false">ShareTbl!E81</f>
        <v>0.632746996679005</v>
      </c>
      <c r="G762" s="20" t="n">
        <f aca="false">ShareTbl!F81</f>
        <v>0.606865575801162</v>
      </c>
      <c r="H762" s="20" t="n">
        <f aca="false">ShareTbl!G81</f>
        <v>0.58398415492332</v>
      </c>
      <c r="I762" s="12" t="s">
        <v>4172</v>
      </c>
    </row>
    <row r="763" customFormat="false" ht="17.15" hidden="false" customHeight="false" outlineLevel="0" collapsed="false">
      <c r="A763" s="0" t="s">
        <v>4173</v>
      </c>
      <c r="B763" s="6" t="s">
        <v>4174</v>
      </c>
      <c r="C763" s="0" t="s">
        <v>66</v>
      </c>
      <c r="E763" s="20" t="n">
        <f aca="false">ShareTbl!D87</f>
        <v>0.657628417556847</v>
      </c>
      <c r="F763" s="20" t="n">
        <f aca="false">ShareTbl!E87</f>
        <v>0.611876919034988</v>
      </c>
      <c r="G763" s="20" t="n">
        <f aca="false">ShareTbl!F87</f>
        <v>0.574060459335137</v>
      </c>
      <c r="H763" s="20" t="n">
        <f aca="false">ShareTbl!G87</f>
        <v>0.545179038457294</v>
      </c>
      <c r="I763" s="12" t="s">
        <v>4175</v>
      </c>
    </row>
    <row r="765" customFormat="false" ht="17.15" hidden="false" customHeight="false" outlineLevel="0" collapsed="false">
      <c r="A765" s="10" t="s">
        <v>4176</v>
      </c>
    </row>
    <row r="766" customFormat="false" ht="15" hidden="false" customHeight="false" outlineLevel="0" collapsed="false">
      <c r="A766" s="0" t="s">
        <v>4177</v>
      </c>
      <c r="B766" s="6" t="s">
        <v>4178</v>
      </c>
      <c r="C766" s="0" t="s">
        <v>66</v>
      </c>
      <c r="E766" s="20" t="n">
        <f aca="false">ShareTbl!D107</f>
        <v>0.430493339841029</v>
      </c>
      <c r="F766" s="20" t="n">
        <f aca="false">ShareTbl!E107</f>
        <v>0.445899112449306</v>
      </c>
      <c r="G766" s="20" t="n">
        <f aca="false">ShareTbl!F107</f>
        <v>0.435855161598586</v>
      </c>
      <c r="H766" s="20" t="n">
        <f aca="false">ShareTbl!G107</f>
        <v>0.413994920647769</v>
      </c>
      <c r="I766" s="12" t="s">
        <v>4179</v>
      </c>
    </row>
    <row r="767" customFormat="false" ht="17.15" hidden="false" customHeight="false" outlineLevel="0" collapsed="false">
      <c r="A767" s="0" t="s">
        <v>4180</v>
      </c>
      <c r="B767" s="6" t="s">
        <v>4181</v>
      </c>
      <c r="C767" s="0" t="s">
        <v>500</v>
      </c>
      <c r="E767" s="39" t="n">
        <f aca="false">ShareTbl!D102</f>
        <v>1</v>
      </c>
      <c r="F767" s="39" t="n">
        <f aca="false">ShareTbl!E102</f>
        <v>1.44683544303797</v>
      </c>
      <c r="G767" s="39" t="n">
        <f aca="false">ShareTbl!F102</f>
        <v>1.47660377358491</v>
      </c>
      <c r="H767" s="39" t="n">
        <f aca="false">ShareTbl!G102</f>
        <v>1.49144278606965</v>
      </c>
      <c r="I767" s="12" t="s">
        <v>4182</v>
      </c>
    </row>
    <row r="768" customFormat="false" ht="17.15" hidden="false" customHeight="false" outlineLevel="0" collapsed="false">
      <c r="A768" s="0" t="s">
        <v>4183</v>
      </c>
      <c r="B768" s="6" t="s">
        <v>4184</v>
      </c>
      <c r="C768" s="0" t="s">
        <v>66</v>
      </c>
      <c r="E768" s="20" t="n">
        <f aca="false">ShareTbl!D106</f>
        <v>0.0344775081035094</v>
      </c>
      <c r="F768" s="20" t="n">
        <f aca="false">ShareTbl!E106</f>
        <v>0.0498832807117864</v>
      </c>
      <c r="G768" s="20" t="n">
        <f aca="false">ShareTbl!F106</f>
        <v>0.0509096185694462</v>
      </c>
      <c r="H768" s="20" t="n">
        <f aca="false">ShareTbl!G106</f>
        <v>0.0488501692055052</v>
      </c>
      <c r="I768" s="12" t="s">
        <v>4185</v>
      </c>
    </row>
    <row r="770" customFormat="false" ht="17.15" hidden="false" customHeight="false" outlineLevel="0" collapsed="false">
      <c r="A770" s="10" t="s">
        <v>4186</v>
      </c>
    </row>
    <row r="771" customFormat="false" ht="17.15" hidden="false" customHeight="false" outlineLevel="0" collapsed="false">
      <c r="A771" s="0" t="s">
        <v>4187</v>
      </c>
      <c r="B771" s="0" t="s">
        <v>4188</v>
      </c>
      <c r="C771" s="0" t="s">
        <v>66</v>
      </c>
      <c r="D771" s="20" t="n">
        <f aca="false">ShareTbl!D98</f>
        <v>0.96</v>
      </c>
      <c r="E771" s="20" t="n">
        <f aca="false">ShareTbl!E98</f>
        <v>1</v>
      </c>
      <c r="F771" s="20" t="n">
        <f aca="false">ShareTbl!F98</f>
        <v>1</v>
      </c>
      <c r="G771" s="20" t="n">
        <f aca="false">ShareTbl!G98</f>
        <v>1</v>
      </c>
      <c r="H771" s="20" t="n">
        <f aca="false">ShareTbl!H98</f>
        <v>1</v>
      </c>
      <c r="I771" s="12" t="s">
        <v>4189</v>
      </c>
    </row>
    <row r="773" customFormat="false" ht="17.15" hidden="false" customHeight="false" outlineLevel="0" collapsed="false">
      <c r="A773" s="10" t="s">
        <v>4190</v>
      </c>
    </row>
    <row r="774" customFormat="false" ht="17.15" hidden="false" customHeight="false" outlineLevel="0" collapsed="false">
      <c r="A774" s="0" t="s">
        <v>4191</v>
      </c>
      <c r="B774" s="6" t="s">
        <v>4192</v>
      </c>
      <c r="C774" s="0" t="s">
        <v>66</v>
      </c>
      <c r="E774" s="20" t="n">
        <f aca="false">ShareTbl!D58</f>
        <v>0.759815255723819</v>
      </c>
      <c r="F774" s="20" t="n">
        <f aca="false">ShareTbl!E58</f>
        <v>0.748245990386685</v>
      </c>
      <c r="G774" s="20" t="n">
        <f aca="false">ShareTbl!F58</f>
        <v>0.736676725049551</v>
      </c>
      <c r="H774" s="20" t="n">
        <f aca="false">ShareTbl!G58</f>
        <v>0.716300293896065</v>
      </c>
      <c r="I774" s="12" t="s">
        <v>4193</v>
      </c>
    </row>
    <row r="775" customFormat="false" ht="17.15" hidden="false" customHeight="false" outlineLevel="0" collapsed="false">
      <c r="A775" s="0" t="s">
        <v>4194</v>
      </c>
      <c r="B775" s="6" t="s">
        <v>4195</v>
      </c>
      <c r="C775" s="0" t="s">
        <v>66</v>
      </c>
      <c r="E775" s="20" t="n">
        <f aca="false">ShareTbl!D63</f>
        <v>0.759815255723819</v>
      </c>
      <c r="F775" s="20" t="n">
        <f aca="false">ShareTbl!E63</f>
        <v>0.73063165875398</v>
      </c>
      <c r="G775" s="20" t="n">
        <f aca="false">ShareTbl!F63</f>
        <v>0.701448061784142</v>
      </c>
      <c r="H775" s="20" t="n">
        <f aca="false">ShareTbl!G63</f>
        <v>0.672264464814303</v>
      </c>
      <c r="I775" s="12" t="s">
        <v>4196</v>
      </c>
    </row>
    <row r="776" customFormat="false" ht="17.15" hidden="false" customHeight="false" outlineLevel="0" collapsed="false">
      <c r="A776" s="0" t="s">
        <v>4197</v>
      </c>
      <c r="B776" s="6" t="s">
        <v>4198</v>
      </c>
      <c r="C776" s="0" t="s">
        <v>66</v>
      </c>
      <c r="E776" s="20" t="n">
        <f aca="false">ShareTbl!D68</f>
        <v>0.759815255723819</v>
      </c>
      <c r="F776" s="20" t="n">
        <f aca="false">ShareTbl!E68</f>
        <v>0.704210161304923</v>
      </c>
      <c r="G776" s="20" t="n">
        <f aca="false">ShareTbl!F68</f>
        <v>0.666219398518733</v>
      </c>
      <c r="H776" s="20" t="n">
        <f aca="false">ShareTbl!G68</f>
        <v>0.628228635732542</v>
      </c>
      <c r="I776" s="12" t="s">
        <v>4199</v>
      </c>
    </row>
    <row r="778" customFormat="false" ht="17.15" hidden="false" customHeight="false" outlineLevel="0" collapsed="false">
      <c r="A778" s="10" t="s">
        <v>4200</v>
      </c>
    </row>
    <row r="779" customFormat="false" ht="15" hidden="false" customHeight="false" outlineLevel="0" collapsed="false">
      <c r="A779" s="4" t="s">
        <v>30</v>
      </c>
      <c r="B779" s="4" t="s">
        <v>54</v>
      </c>
      <c r="C779" s="4" t="s">
        <v>55</v>
      </c>
      <c r="D779" s="4" t="s">
        <v>56</v>
      </c>
      <c r="E779" s="4" t="s">
        <v>57</v>
      </c>
      <c r="F779" s="4" t="s">
        <v>58</v>
      </c>
      <c r="G779" s="4"/>
      <c r="H779" s="4" t="s">
        <v>3224</v>
      </c>
    </row>
    <row r="780" customFormat="false" ht="17.15" hidden="false" customHeight="false" outlineLevel="0" collapsed="false">
      <c r="A780" s="0" t="s">
        <v>4201</v>
      </c>
      <c r="B780" s="6" t="s">
        <v>4202</v>
      </c>
      <c r="C780" s="6" t="s">
        <v>2824</v>
      </c>
      <c r="D780" s="35" t="n">
        <f aca="false">IF(ISBLANK(TK_In!D5),"",TK_In!D5)</f>
        <v>22439</v>
      </c>
      <c r="E780" s="35" t="n">
        <f aca="false">IF(ISBLANK(TK_In!E5),"",TK_In!E5)</f>
        <v>22439</v>
      </c>
      <c r="F780" s="35" t="n">
        <f aca="false">IF(ISBLANK(TK_In!F5),"",TK_In!F5)</f>
        <v>22439</v>
      </c>
      <c r="H780" s="12" t="s">
        <v>4203</v>
      </c>
    </row>
    <row r="781" customFormat="false" ht="17.15" hidden="false" customHeight="false" outlineLevel="0" collapsed="false">
      <c r="A781" s="0" t="s">
        <v>4204</v>
      </c>
      <c r="B781" s="6" t="s">
        <v>4205</v>
      </c>
      <c r="C781" s="6" t="s">
        <v>2824</v>
      </c>
      <c r="D781" s="35" t="n">
        <f aca="false">IF(ISBLANK(TK_In!D6),"",TK_In!D6)</f>
        <v>6969</v>
      </c>
      <c r="E781" s="35" t="n">
        <f aca="false">IF(ISBLANK(TK_In!E6),"",TK_In!E6)</f>
        <v>6969</v>
      </c>
      <c r="F781" s="35" t="n">
        <f aca="false">IF(ISBLANK(TK_In!F6),"",TK_In!F6)</f>
        <v>6969</v>
      </c>
      <c r="H781" s="12" t="s">
        <v>4206</v>
      </c>
    </row>
    <row r="782" customFormat="false" ht="17.15" hidden="false" customHeight="false" outlineLevel="0" collapsed="false">
      <c r="A782" s="0" t="s">
        <v>4207</v>
      </c>
      <c r="B782" s="6" t="s">
        <v>4208</v>
      </c>
      <c r="C782" s="6" t="s">
        <v>2824</v>
      </c>
      <c r="D782" s="35" t="n">
        <f aca="false">IF(ISBLANK(TK_In!D7),"",TK_In!D7)</f>
        <v>6764</v>
      </c>
      <c r="E782" s="35" t="n">
        <f aca="false">IF(ISBLANK(TK_In!E7),"",TK_In!E7)</f>
        <v>6764</v>
      </c>
      <c r="F782" s="35" t="n">
        <f aca="false">IF(ISBLANK(TK_In!F7),"",TK_In!F7)</f>
        <v>6764</v>
      </c>
      <c r="H782" s="12" t="s">
        <v>4209</v>
      </c>
    </row>
    <row r="783" customFormat="false" ht="17.15" hidden="false" customHeight="false" outlineLevel="0" collapsed="false">
      <c r="A783" s="0" t="s">
        <v>4210</v>
      </c>
      <c r="B783" s="6" t="s">
        <v>4211</v>
      </c>
      <c r="C783" s="6" t="s">
        <v>2824</v>
      </c>
      <c r="D783" s="35" t="n">
        <f aca="false">IF(ISBLANK(TK_In!D8),"",TK_In!D8)</f>
        <v>4052</v>
      </c>
      <c r="E783" s="35" t="n">
        <f aca="false">IF(ISBLANK(TK_In!E8),"",TK_In!E8)</f>
        <v>4052</v>
      </c>
      <c r="F783" s="35" t="n">
        <f aca="false">IF(ISBLANK(TK_In!F8),"",TK_In!F8)</f>
        <v>4052</v>
      </c>
      <c r="H783" s="12" t="s">
        <v>4212</v>
      </c>
    </row>
    <row r="784" customFormat="false" ht="17.15" hidden="false" customHeight="false" outlineLevel="0" collapsed="false">
      <c r="A784" s="0" t="s">
        <v>4213</v>
      </c>
      <c r="B784" s="6" t="s">
        <v>4214</v>
      </c>
      <c r="C784" s="6" t="s">
        <v>2824</v>
      </c>
      <c r="D784" s="35" t="n">
        <f aca="false">IF(ISBLANK(TK_In!D9),"",TK_In!D9)</f>
        <v>2705</v>
      </c>
      <c r="E784" s="35" t="n">
        <f aca="false">IF(ISBLANK(TK_In!E9),"",TK_In!E9)</f>
        <v>2705</v>
      </c>
      <c r="F784" s="35" t="n">
        <f aca="false">IF(ISBLANK(TK_In!F9),"",TK_In!F9)</f>
        <v>2705</v>
      </c>
      <c r="H784" s="12" t="s">
        <v>4215</v>
      </c>
    </row>
    <row r="785" customFormat="false" ht="17.15" hidden="false" customHeight="false" outlineLevel="0" collapsed="false">
      <c r="A785" s="0" t="s">
        <v>4216</v>
      </c>
      <c r="B785" s="6" t="s">
        <v>4217</v>
      </c>
      <c r="C785" s="6" t="s">
        <v>2837</v>
      </c>
      <c r="D785" s="35" t="n">
        <f aca="false">IF(ISBLANK(TK_In!D10),"",TK_In!D10)</f>
        <v>718048</v>
      </c>
      <c r="E785" s="35" t="n">
        <f aca="false">IF(ISBLANK(TK_In!E10),"",TK_In!E10)</f>
        <v>718048</v>
      </c>
      <c r="F785" s="35" t="n">
        <f aca="false">IF(ISBLANK(TK_In!F10),"",TK_In!F10)</f>
        <v>718048</v>
      </c>
      <c r="H785" s="12" t="s">
        <v>4218</v>
      </c>
    </row>
    <row r="786" customFormat="false" ht="17.15" hidden="false" customHeight="false" outlineLevel="0" collapsed="false">
      <c r="A786" s="0" t="s">
        <v>4219</v>
      </c>
      <c r="B786" s="6" t="s">
        <v>4220</v>
      </c>
      <c r="C786" s="6" t="s">
        <v>2837</v>
      </c>
      <c r="D786" s="35" t="n">
        <f aca="false">IF(ISBLANK(TK_In!D11),"",TK_In!D11)</f>
        <v>501768</v>
      </c>
      <c r="E786" s="35" t="n">
        <f aca="false">IF(ISBLANK(TK_In!E11),"",TK_In!E11)</f>
        <v>501768</v>
      </c>
      <c r="F786" s="35" t="n">
        <f aca="false">IF(ISBLANK(TK_In!F11),"",TK_In!F11)</f>
        <v>501768</v>
      </c>
      <c r="H786" s="12" t="s">
        <v>4221</v>
      </c>
    </row>
    <row r="787" customFormat="false" ht="17.15" hidden="false" customHeight="false" outlineLevel="0" collapsed="false">
      <c r="A787" s="0" t="s">
        <v>4222</v>
      </c>
      <c r="B787" s="6" t="s">
        <v>4223</v>
      </c>
      <c r="C787" s="6" t="s">
        <v>2837</v>
      </c>
      <c r="D787" s="35" t="n">
        <f aca="false">IF(ISBLANK(TK_In!D12),"",TK_In!D12)</f>
        <v>487008</v>
      </c>
      <c r="E787" s="35" t="n">
        <f aca="false">IF(ISBLANK(TK_In!E12),"",TK_In!E12)</f>
        <v>487008</v>
      </c>
      <c r="F787" s="35" t="n">
        <f aca="false">IF(ISBLANK(TK_In!F12),"",TK_In!F12)</f>
        <v>487008</v>
      </c>
      <c r="H787" s="12" t="s">
        <v>4224</v>
      </c>
    </row>
    <row r="788" customFormat="false" ht="17.15" hidden="false" customHeight="false" outlineLevel="0" collapsed="false">
      <c r="A788" s="0" t="s">
        <v>4225</v>
      </c>
      <c r="B788" s="6" t="s">
        <v>4226</v>
      </c>
      <c r="C788" s="6" t="s">
        <v>2837</v>
      </c>
      <c r="D788" s="35" t="n">
        <f aca="false">IF(ISBLANK(TK_In!D13),"",TK_In!D13)</f>
        <v>291744</v>
      </c>
      <c r="E788" s="35" t="n">
        <f aca="false">IF(ISBLANK(TK_In!E13),"",TK_In!E13)</f>
        <v>291744</v>
      </c>
      <c r="F788" s="35" t="n">
        <f aca="false">IF(ISBLANK(TK_In!F13),"",TK_In!F13)</f>
        <v>291744</v>
      </c>
      <c r="H788" s="12" t="s">
        <v>4227</v>
      </c>
    </row>
    <row r="789" customFormat="false" ht="17.15" hidden="false" customHeight="false" outlineLevel="0" collapsed="false">
      <c r="A789" s="0" t="s">
        <v>4228</v>
      </c>
      <c r="B789" s="6" t="s">
        <v>4229</v>
      </c>
      <c r="C789" s="6" t="s">
        <v>2837</v>
      </c>
      <c r="D789" s="35" t="n">
        <f aca="false">IF(ISBLANK(TK_In!D14),"",TK_In!D14)</f>
        <v>194760</v>
      </c>
      <c r="E789" s="35" t="n">
        <f aca="false">IF(ISBLANK(TK_In!E14),"",TK_In!E14)</f>
        <v>194760</v>
      </c>
      <c r="F789" s="35" t="n">
        <f aca="false">IF(ISBLANK(TK_In!F14),"",TK_In!F14)</f>
        <v>194760</v>
      </c>
      <c r="H789" s="12" t="s">
        <v>4230</v>
      </c>
    </row>
    <row r="790" customFormat="false" ht="17.15" hidden="false" customHeight="false" outlineLevel="0" collapsed="false">
      <c r="A790" s="0" t="s">
        <v>4231</v>
      </c>
      <c r="B790" s="6" t="s">
        <v>4232</v>
      </c>
      <c r="C790" s="0" t="s">
        <v>521</v>
      </c>
      <c r="D790" s="35" t="n">
        <f aca="false">IF(ISBLANK(TK_In!D15),"",TK_In!D15)</f>
        <v>21.4202694</v>
      </c>
      <c r="E790" s="35" t="n">
        <f aca="false">IF(ISBLANK(TK_In!E15),"",TK_In!E15)</f>
        <v>27.510214</v>
      </c>
      <c r="F790" s="35" t="n">
        <f aca="false">IF(ISBLANK(TK_In!F15),"",TK_In!F15)</f>
        <v>34.1207434</v>
      </c>
      <c r="H790" s="12" t="s">
        <v>4233</v>
      </c>
    </row>
    <row r="791" customFormat="false" ht="17.15" hidden="false" customHeight="false" outlineLevel="0" collapsed="false">
      <c r="A791" s="0" t="s">
        <v>4234</v>
      </c>
      <c r="B791" s="6" t="s">
        <v>4235</v>
      </c>
      <c r="C791" s="0" t="s">
        <v>521</v>
      </c>
      <c r="D791" s="35" t="n">
        <f aca="false">IF(ISBLANK(TK_In!D16),"",TK_In!D16)</f>
        <v>20.6393904</v>
      </c>
      <c r="E791" s="35" t="n">
        <f aca="false">IF(ISBLANK(TK_In!E16),"",TK_In!E16)</f>
        <v>24.015174</v>
      </c>
      <c r="F791" s="35" t="n">
        <f aca="false">IF(ISBLANK(TK_In!F16),"",TK_In!F16)</f>
        <v>27.6502044</v>
      </c>
      <c r="H791" s="12" t="s">
        <v>4236</v>
      </c>
    </row>
    <row r="792" customFormat="false" ht="17.15" hidden="false" customHeight="false" outlineLevel="0" collapsed="false">
      <c r="A792" s="0" t="s">
        <v>4237</v>
      </c>
      <c r="B792" s="6" t="s">
        <v>4238</v>
      </c>
      <c r="C792" s="0" t="s">
        <v>521</v>
      </c>
      <c r="D792" s="35" t="n">
        <f aca="false">IF(ISBLANK(TK_In!D17),"",TK_In!D17)</f>
        <v>28.5549024</v>
      </c>
      <c r="E792" s="35" t="n">
        <f aca="false">IF(ISBLANK(TK_In!E17),"",TK_In!E17)</f>
        <v>32.237224</v>
      </c>
      <c r="F792" s="35" t="n">
        <f aca="false">IF(ISBLANK(TK_In!F17),"",TK_In!F17)</f>
        <v>39.2826064</v>
      </c>
      <c r="H792" s="12" t="s">
        <v>4239</v>
      </c>
    </row>
    <row r="793" customFormat="false" ht="17.15" hidden="false" customHeight="false" outlineLevel="0" collapsed="false">
      <c r="A793" s="0" t="s">
        <v>4240</v>
      </c>
      <c r="B793" s="6" t="s">
        <v>4241</v>
      </c>
      <c r="C793" s="0" t="s">
        <v>521</v>
      </c>
      <c r="D793" s="35" t="n">
        <f aca="false">IF(ISBLANK(TK_In!D18),"",TK_In!D18)</f>
        <v>31.9970232</v>
      </c>
      <c r="E793" s="35" t="n">
        <f aca="false">IF(ISBLANK(TK_In!E18),"",TK_In!E18)</f>
        <v>37.586352</v>
      </c>
      <c r="F793" s="35" t="n">
        <f aca="false">IF(ISBLANK(TK_In!F18),"",TK_In!F18)</f>
        <v>42.6375752</v>
      </c>
      <c r="H793" s="12" t="s">
        <v>4242</v>
      </c>
    </row>
    <row r="794" customFormat="false" ht="17.15" hidden="false" customHeight="false" outlineLevel="0" collapsed="false">
      <c r="A794" s="0" t="s">
        <v>4243</v>
      </c>
      <c r="B794" s="6" t="s">
        <v>4244</v>
      </c>
      <c r="C794" s="0" t="s">
        <v>521</v>
      </c>
      <c r="D794" s="35" t="n">
        <f aca="false">IF(ISBLANK(TK_In!D19),"",TK_In!D19)</f>
        <v>35.845578</v>
      </c>
      <c r="E794" s="35" t="n">
        <f aca="false">IF(ISBLANK(TK_In!E19),"",TK_In!E19)</f>
        <v>50.08578</v>
      </c>
      <c r="F794" s="35" t="n">
        <f aca="false">IF(ISBLANK(TK_In!F19),"",TK_In!F19)</f>
        <v>65.481558</v>
      </c>
      <c r="H794" s="12" t="s">
        <v>4245</v>
      </c>
    </row>
    <row r="795" customFormat="false" ht="17.15" hidden="false" customHeight="false" outlineLevel="0" collapsed="false">
      <c r="A795" s="0" t="s">
        <v>4246</v>
      </c>
      <c r="B795" s="6" t="s">
        <v>4247</v>
      </c>
      <c r="C795" s="0" t="s">
        <v>521</v>
      </c>
      <c r="D795" s="35" t="n">
        <f aca="false">IF(ISBLANK(TK_In!D20),"",TK_In!D20)</f>
        <v>10.212</v>
      </c>
      <c r="E795" s="35" t="n">
        <f aca="false">IF(ISBLANK(TK_In!E20),"",TK_In!E20)</f>
        <v>12.67</v>
      </c>
      <c r="F795" s="35" t="n">
        <f aca="false">IF(ISBLANK(TK_In!F20),"",TK_In!F20)</f>
        <v>16.186</v>
      </c>
      <c r="H795" s="12" t="s">
        <v>4248</v>
      </c>
    </row>
    <row r="796" customFormat="false" ht="17.15" hidden="false" customHeight="false" outlineLevel="0" collapsed="false">
      <c r="A796" s="0" t="s">
        <v>4249</v>
      </c>
      <c r="B796" s="6" t="s">
        <v>4250</v>
      </c>
      <c r="C796" s="0" t="s">
        <v>521</v>
      </c>
      <c r="D796" s="35" t="n">
        <f aca="false">IF(ISBLANK(TK_In!D21),"",TK_In!D21)</f>
        <v>10.212</v>
      </c>
      <c r="E796" s="35" t="n">
        <f aca="false">IF(ISBLANK(TK_In!E21),"",TK_In!E21)</f>
        <v>12.67</v>
      </c>
      <c r="F796" s="35" t="n">
        <f aca="false">IF(ISBLANK(TK_In!F21),"",TK_In!F21)</f>
        <v>16.186</v>
      </c>
      <c r="H796" s="12" t="s">
        <v>4251</v>
      </c>
    </row>
    <row r="797" customFormat="false" ht="17.15" hidden="false" customHeight="false" outlineLevel="0" collapsed="false">
      <c r="A797" s="0" t="s">
        <v>4252</v>
      </c>
      <c r="B797" s="6" t="s">
        <v>4253</v>
      </c>
      <c r="C797" s="0" t="s">
        <v>521</v>
      </c>
      <c r="D797" s="35" t="n">
        <f aca="false">IF(ISBLANK(TK_In!D22),"",TK_In!D22)</f>
        <v>10.212</v>
      </c>
      <c r="E797" s="35" t="n">
        <f aca="false">IF(ISBLANK(TK_In!E22),"",TK_In!E22)</f>
        <v>12.67</v>
      </c>
      <c r="F797" s="35" t="n">
        <f aca="false">IF(ISBLANK(TK_In!F22),"",TK_In!F22)</f>
        <v>16.186</v>
      </c>
      <c r="H797" s="12" t="s">
        <v>4254</v>
      </c>
    </row>
    <row r="798" customFormat="false" ht="17.15" hidden="false" customHeight="false" outlineLevel="0" collapsed="false">
      <c r="A798" s="0" t="s">
        <v>4255</v>
      </c>
      <c r="B798" s="6" t="s">
        <v>4256</v>
      </c>
      <c r="C798" s="0" t="s">
        <v>521</v>
      </c>
      <c r="D798" s="35" t="n">
        <f aca="false">IF(ISBLANK(TK_In!D23),"",TK_In!D23)</f>
        <v>10.212</v>
      </c>
      <c r="E798" s="35" t="n">
        <f aca="false">IF(ISBLANK(TK_In!E23),"",TK_In!E23)</f>
        <v>12.67</v>
      </c>
      <c r="F798" s="35" t="n">
        <f aca="false">IF(ISBLANK(TK_In!F23),"",TK_In!F23)</f>
        <v>16.186</v>
      </c>
      <c r="H798" s="12" t="s">
        <v>4257</v>
      </c>
    </row>
    <row r="799" customFormat="false" ht="17.15" hidden="false" customHeight="false" outlineLevel="0" collapsed="false">
      <c r="A799" s="0" t="s">
        <v>4258</v>
      </c>
      <c r="B799" s="6" t="s">
        <v>4259</v>
      </c>
      <c r="C799" s="0" t="s">
        <v>521</v>
      </c>
      <c r="D799" s="35" t="n">
        <f aca="false">IF(ISBLANK(TK_In!D24),"",TK_In!D24)</f>
        <v>10.212</v>
      </c>
      <c r="E799" s="35" t="n">
        <f aca="false">IF(ISBLANK(TK_In!E24),"",TK_In!E24)</f>
        <v>12.67</v>
      </c>
      <c r="F799" s="35" t="n">
        <f aca="false">IF(ISBLANK(TK_In!F24),"",TK_In!F24)</f>
        <v>16.186</v>
      </c>
      <c r="H799" s="12" t="s">
        <v>4260</v>
      </c>
    </row>
    <row r="800" customFormat="false" ht="17.15" hidden="false" customHeight="false" outlineLevel="0" collapsed="false">
      <c r="A800" s="0" t="s">
        <v>4261</v>
      </c>
      <c r="B800" s="6" t="s">
        <v>4262</v>
      </c>
      <c r="C800" s="0" t="s">
        <v>521</v>
      </c>
      <c r="D800" s="35" t="n">
        <f aca="false">IF(ISBLANK(TK_In!D25),"",TK_In!D25)</f>
        <v>31.6322694</v>
      </c>
      <c r="E800" s="35" t="n">
        <f aca="false">IF(ISBLANK(TK_In!E25),"",TK_In!E25)</f>
        <v>40.180214</v>
      </c>
      <c r="F800" s="35" t="n">
        <f aca="false">IF(ISBLANK(TK_In!F25),"",TK_In!F25)</f>
        <v>50.3067434</v>
      </c>
      <c r="H800" s="12" t="s">
        <v>4263</v>
      </c>
    </row>
    <row r="801" customFormat="false" ht="17.15" hidden="false" customHeight="false" outlineLevel="0" collapsed="false">
      <c r="A801" s="0" t="s">
        <v>4264</v>
      </c>
      <c r="B801" s="6" t="s">
        <v>4265</v>
      </c>
      <c r="C801" s="0" t="s">
        <v>521</v>
      </c>
      <c r="D801" s="35" t="n">
        <f aca="false">IF(ISBLANK(TK_In!D26),"",TK_In!D26)</f>
        <v>30.8513904</v>
      </c>
      <c r="E801" s="35" t="n">
        <f aca="false">IF(ISBLANK(TK_In!E26),"",TK_In!E26)</f>
        <v>36.685174</v>
      </c>
      <c r="F801" s="35" t="n">
        <f aca="false">IF(ISBLANK(TK_In!F26),"",TK_In!F26)</f>
        <v>43.8362044</v>
      </c>
      <c r="H801" s="12" t="s">
        <v>4266</v>
      </c>
    </row>
    <row r="802" customFormat="false" ht="17.15" hidden="false" customHeight="false" outlineLevel="0" collapsed="false">
      <c r="A802" s="0" t="s">
        <v>4267</v>
      </c>
      <c r="B802" s="6" t="s">
        <v>4268</v>
      </c>
      <c r="C802" s="0" t="s">
        <v>521</v>
      </c>
      <c r="D802" s="35" t="n">
        <f aca="false">IF(ISBLANK(TK_In!D27),"",TK_In!D27)</f>
        <v>38.7669024</v>
      </c>
      <c r="E802" s="35" t="n">
        <f aca="false">IF(ISBLANK(TK_In!E27),"",TK_In!E27)</f>
        <v>44.907224</v>
      </c>
      <c r="F802" s="35" t="n">
        <f aca="false">IF(ISBLANK(TK_In!F27),"",TK_In!F27)</f>
        <v>55.4686064</v>
      </c>
      <c r="H802" s="12" t="s">
        <v>4269</v>
      </c>
    </row>
    <row r="803" customFormat="false" ht="17.15" hidden="false" customHeight="false" outlineLevel="0" collapsed="false">
      <c r="A803" s="0" t="s">
        <v>4270</v>
      </c>
      <c r="B803" s="6" t="s">
        <v>4271</v>
      </c>
      <c r="C803" s="0" t="s">
        <v>521</v>
      </c>
      <c r="D803" s="35" t="n">
        <f aca="false">IF(ISBLANK(TK_In!D28),"",TK_In!D28)</f>
        <v>42.2090232</v>
      </c>
      <c r="E803" s="35" t="n">
        <f aca="false">IF(ISBLANK(TK_In!E28),"",TK_In!E28)</f>
        <v>50.256352</v>
      </c>
      <c r="F803" s="35" t="n">
        <f aca="false">IF(ISBLANK(TK_In!F28),"",TK_In!F28)</f>
        <v>58.8235752</v>
      </c>
      <c r="H803" s="12" t="s">
        <v>4272</v>
      </c>
    </row>
    <row r="804" customFormat="false" ht="17.15" hidden="false" customHeight="false" outlineLevel="0" collapsed="false">
      <c r="A804" s="0" t="s">
        <v>4273</v>
      </c>
      <c r="B804" s="6" t="s">
        <v>4274</v>
      </c>
      <c r="C804" s="0" t="s">
        <v>521</v>
      </c>
      <c r="D804" s="35" t="n">
        <f aca="false">IF(ISBLANK(TK_In!D29),"",TK_In!D29)</f>
        <v>46.057578</v>
      </c>
      <c r="E804" s="35" t="n">
        <f aca="false">IF(ISBLANK(TK_In!E29),"",TK_In!E29)</f>
        <v>62.75578</v>
      </c>
      <c r="F804" s="35" t="n">
        <f aca="false">IF(ISBLANK(TK_In!F29),"",TK_In!F29)</f>
        <v>81.667558</v>
      </c>
      <c r="H804" s="12" t="s">
        <v>4275</v>
      </c>
    </row>
    <row r="805" customFormat="false" ht="17.15" hidden="false" customHeight="false" outlineLevel="0" collapsed="false">
      <c r="A805" s="0" t="s">
        <v>4276</v>
      </c>
      <c r="B805" s="6" t="s">
        <v>4277</v>
      </c>
      <c r="C805" s="0" t="s">
        <v>2868</v>
      </c>
      <c r="D805" s="35" t="n">
        <f aca="false">IF(ISBLANK(TK_In!D30),"",TK_In!D30)</f>
        <v>0.9</v>
      </c>
      <c r="E805" s="35" t="n">
        <f aca="false">IF(ISBLANK(TK_In!E30),"",TK_In!E30)</f>
        <v>1.1</v>
      </c>
      <c r="F805" s="35" t="n">
        <f aca="false">IF(ISBLANK(TK_In!F30),"",TK_In!F30)</f>
        <v>1.3</v>
      </c>
      <c r="H805" s="12" t="s">
        <v>4278</v>
      </c>
    </row>
    <row r="806" customFormat="false" ht="17.15" hidden="false" customHeight="false" outlineLevel="0" collapsed="false">
      <c r="A806" s="0" t="s">
        <v>4279</v>
      </c>
      <c r="B806" s="6" t="s">
        <v>4280</v>
      </c>
      <c r="C806" s="0" t="s">
        <v>2868</v>
      </c>
      <c r="D806" s="35" t="n">
        <f aca="false">IF(ISBLANK(TK_In!D31),"",TK_In!D31)</f>
        <v>2.8</v>
      </c>
      <c r="E806" s="35" t="n">
        <f aca="false">IF(ISBLANK(TK_In!E31),"",TK_In!E31)</f>
        <v>3.1</v>
      </c>
      <c r="F806" s="35" t="n">
        <f aca="false">IF(ISBLANK(TK_In!F31),"",TK_In!F31)</f>
        <v>3.4</v>
      </c>
      <c r="H806" s="12" t="s">
        <v>4281</v>
      </c>
    </row>
    <row r="807" customFormat="false" ht="17.15" hidden="false" customHeight="false" outlineLevel="0" collapsed="false">
      <c r="A807" s="0" t="s">
        <v>4282</v>
      </c>
      <c r="B807" s="6" t="s">
        <v>4283</v>
      </c>
      <c r="C807" s="0" t="s">
        <v>2868</v>
      </c>
      <c r="D807" s="35" t="n">
        <f aca="false">IF(ISBLANK(TK_In!D32),"",TK_In!D32)</f>
        <v>4</v>
      </c>
      <c r="E807" s="35" t="n">
        <f aca="false">IF(ISBLANK(TK_In!E32),"",TK_In!E32)</f>
        <v>4.3</v>
      </c>
      <c r="F807" s="35" t="n">
        <f aca="false">IF(ISBLANK(TK_In!F32),"",TK_In!F32)</f>
        <v>5</v>
      </c>
      <c r="H807" s="12" t="s">
        <v>4284</v>
      </c>
    </row>
    <row r="808" customFormat="false" ht="17.15" hidden="false" customHeight="false" outlineLevel="0" collapsed="false">
      <c r="A808" s="0" t="s">
        <v>4285</v>
      </c>
      <c r="B808" s="6" t="s">
        <v>4286</v>
      </c>
      <c r="C808" s="0" t="s">
        <v>2868</v>
      </c>
      <c r="D808" s="35" t="n">
        <f aca="false">IF(ISBLANK(TK_In!D33),"",TK_In!D33)</f>
        <v>7.5</v>
      </c>
      <c r="E808" s="35" t="n">
        <f aca="false">IF(ISBLANK(TK_In!E33),"",TK_In!E33)</f>
        <v>8.4</v>
      </c>
      <c r="F808" s="35" t="n">
        <f aca="false">IF(ISBLANK(TK_In!F33),"",TK_In!F33)</f>
        <v>9.1</v>
      </c>
      <c r="H808" s="12" t="s">
        <v>4287</v>
      </c>
    </row>
    <row r="809" customFormat="false" ht="17.15" hidden="false" customHeight="false" outlineLevel="0" collapsed="false">
      <c r="A809" s="0" t="s">
        <v>4288</v>
      </c>
      <c r="B809" s="6" t="s">
        <v>4289</v>
      </c>
      <c r="C809" s="0" t="s">
        <v>2868</v>
      </c>
      <c r="D809" s="35" t="n">
        <f aca="false">IF(ISBLANK(TK_In!D34),"",TK_In!D34)</f>
        <v>12.6</v>
      </c>
      <c r="E809" s="35" t="n">
        <f aca="false">IF(ISBLANK(TK_In!E34),"",TK_In!E34)</f>
        <v>16.8</v>
      </c>
      <c r="F809" s="35" t="n">
        <f aca="false">IF(ISBLANK(TK_In!F34),"",TK_In!F34)</f>
        <v>21</v>
      </c>
      <c r="H809" s="12" t="s">
        <v>4290</v>
      </c>
    </row>
    <row r="810" customFormat="false" ht="17.15" hidden="false" customHeight="false" outlineLevel="0" collapsed="false">
      <c r="A810" s="0" t="s">
        <v>4291</v>
      </c>
      <c r="B810" s="0" t="s">
        <v>4292</v>
      </c>
      <c r="C810" s="6" t="s">
        <v>2877</v>
      </c>
      <c r="D810" s="35" t="n">
        <f aca="false">IF(ISBLANK(TK_In!D35),"",TK_In!D35)</f>
        <v>0.05</v>
      </c>
      <c r="E810" s="35" t="n">
        <f aca="false">IF(ISBLANK(TK_In!E35),"",TK_In!E35)</f>
        <v>0.1</v>
      </c>
      <c r="F810" s="35" t="n">
        <f aca="false">IF(ISBLANK(TK_In!F35),"",TK_In!F35)</f>
        <v>0.15</v>
      </c>
      <c r="H810" s="12" t="s">
        <v>4293</v>
      </c>
    </row>
    <row r="811" customFormat="false" ht="17.15" hidden="false" customHeight="false" outlineLevel="0" collapsed="false">
      <c r="A811" s="0" t="s">
        <v>4294</v>
      </c>
      <c r="B811" s="0" t="s">
        <v>4295</v>
      </c>
      <c r="C811" s="6" t="s">
        <v>2877</v>
      </c>
      <c r="D811" s="35" t="n">
        <f aca="false">IF(ISBLANK(TK_In!D36),"",TK_In!D36)</f>
        <v>0.05</v>
      </c>
      <c r="E811" s="35" t="n">
        <f aca="false">IF(ISBLANK(TK_In!E36),"",TK_In!E36)</f>
        <v>0.1</v>
      </c>
      <c r="F811" s="35" t="n">
        <f aca="false">IF(ISBLANK(TK_In!F36),"",TK_In!F36)</f>
        <v>0.15</v>
      </c>
      <c r="H811" s="12" t="s">
        <v>4296</v>
      </c>
    </row>
    <row r="812" customFormat="false" ht="17.15" hidden="false" customHeight="false" outlineLevel="0" collapsed="false">
      <c r="A812" s="0" t="s">
        <v>4297</v>
      </c>
      <c r="B812" s="0" t="s">
        <v>4298</v>
      </c>
      <c r="C812" s="6" t="s">
        <v>2877</v>
      </c>
      <c r="D812" s="35" t="n">
        <f aca="false">IF(ISBLANK(TK_In!D37),"",TK_In!D37)</f>
        <v>0.05</v>
      </c>
      <c r="E812" s="35" t="n">
        <f aca="false">IF(ISBLANK(TK_In!E37),"",TK_In!E37)</f>
        <v>0.1</v>
      </c>
      <c r="F812" s="35" t="n">
        <f aca="false">IF(ISBLANK(TK_In!F37),"",TK_In!F37)</f>
        <v>0.15</v>
      </c>
      <c r="H812" s="12" t="s">
        <v>4299</v>
      </c>
    </row>
    <row r="813" customFormat="false" ht="17.15" hidden="false" customHeight="false" outlineLevel="0" collapsed="false">
      <c r="A813" s="0" t="s">
        <v>4300</v>
      </c>
      <c r="B813" s="0" t="s">
        <v>4301</v>
      </c>
      <c r="C813" s="6" t="s">
        <v>2877</v>
      </c>
      <c r="D813" s="35" t="n">
        <f aca="false">IF(ISBLANK(TK_In!D38),"",TK_In!D38)</f>
        <v>0.05</v>
      </c>
      <c r="E813" s="35" t="n">
        <f aca="false">IF(ISBLANK(TK_In!E38),"",TK_In!E38)</f>
        <v>0.1</v>
      </c>
      <c r="F813" s="35" t="n">
        <f aca="false">IF(ISBLANK(TK_In!F38),"",TK_In!F38)</f>
        <v>0.15</v>
      </c>
      <c r="H813" s="12" t="s">
        <v>4302</v>
      </c>
    </row>
    <row r="814" customFormat="false" ht="17.15" hidden="false" customHeight="false" outlineLevel="0" collapsed="false">
      <c r="A814" s="0" t="s">
        <v>4303</v>
      </c>
      <c r="B814" s="0" t="s">
        <v>4304</v>
      </c>
      <c r="C814" s="6" t="s">
        <v>2877</v>
      </c>
      <c r="D814" s="35" t="n">
        <f aca="false">IF(ISBLANK(TK_In!D39),"",TK_In!D39)</f>
        <v>0.05</v>
      </c>
      <c r="E814" s="35" t="n">
        <f aca="false">IF(ISBLANK(TK_In!E39),"",TK_In!E39)</f>
        <v>0.1</v>
      </c>
      <c r="F814" s="35" t="n">
        <f aca="false">IF(ISBLANK(TK_In!F39),"",TK_In!F39)</f>
        <v>0.15</v>
      </c>
      <c r="H814" s="12" t="s">
        <v>4305</v>
      </c>
    </row>
    <row r="815" customFormat="false" ht="17.15" hidden="false" customHeight="false" outlineLevel="0" collapsed="false">
      <c r="A815" s="0" t="s">
        <v>4306</v>
      </c>
      <c r="B815" s="6" t="s">
        <v>4307</v>
      </c>
      <c r="C815" s="0" t="s">
        <v>2886</v>
      </c>
      <c r="D815" s="35" t="n">
        <f aca="false">IF(ISBLANK(TK_In!D40),"",TK_In!D40)</f>
        <v>300</v>
      </c>
      <c r="E815" s="35" t="n">
        <f aca="false">IF(ISBLANK(TK_In!E40),"",TK_In!E40)</f>
        <v>500</v>
      </c>
      <c r="F815" s="35" t="n">
        <f aca="false">IF(ISBLANK(TK_In!F40),"",TK_In!F40)</f>
        <v>800</v>
      </c>
      <c r="H815" s="12" t="s">
        <v>4308</v>
      </c>
    </row>
    <row r="816" customFormat="false" ht="17.15" hidden="false" customHeight="false" outlineLevel="0" collapsed="false">
      <c r="A816" s="0" t="s">
        <v>4309</v>
      </c>
      <c r="B816" s="6" t="s">
        <v>4310</v>
      </c>
      <c r="C816" s="0" t="s">
        <v>2886</v>
      </c>
      <c r="D816" s="35" t="n">
        <f aca="false">IF(ISBLANK(TK_In!D41),"",TK_In!D41)</f>
        <v>300</v>
      </c>
      <c r="E816" s="35" t="n">
        <f aca="false">IF(ISBLANK(TK_In!E41),"",TK_In!E41)</f>
        <v>500</v>
      </c>
      <c r="F816" s="35" t="n">
        <f aca="false">IF(ISBLANK(TK_In!F41),"",TK_In!F41)</f>
        <v>800</v>
      </c>
      <c r="H816" s="12" t="s">
        <v>4311</v>
      </c>
    </row>
    <row r="817" customFormat="false" ht="17.15" hidden="false" customHeight="false" outlineLevel="0" collapsed="false">
      <c r="A817" s="0" t="s">
        <v>4312</v>
      </c>
      <c r="B817" s="6" t="s">
        <v>4313</v>
      </c>
      <c r="C817" s="0" t="s">
        <v>2886</v>
      </c>
      <c r="D817" s="35" t="n">
        <f aca="false">IF(ISBLANK(TK_In!D42),"",TK_In!D42)</f>
        <v>300</v>
      </c>
      <c r="E817" s="35" t="n">
        <f aca="false">IF(ISBLANK(TK_In!E42),"",TK_In!E42)</f>
        <v>500</v>
      </c>
      <c r="F817" s="35" t="n">
        <f aca="false">IF(ISBLANK(TK_In!F42),"",TK_In!F42)</f>
        <v>800</v>
      </c>
      <c r="H817" s="12" t="s">
        <v>4314</v>
      </c>
    </row>
    <row r="818" customFormat="false" ht="17.15" hidden="false" customHeight="false" outlineLevel="0" collapsed="false">
      <c r="A818" s="0" t="s">
        <v>4315</v>
      </c>
      <c r="B818" s="6" t="s">
        <v>4316</v>
      </c>
      <c r="C818" s="0" t="s">
        <v>2886</v>
      </c>
      <c r="D818" s="35" t="n">
        <f aca="false">IF(ISBLANK(TK_In!D43),"",TK_In!D43)</f>
        <v>300</v>
      </c>
      <c r="E818" s="35" t="n">
        <f aca="false">IF(ISBLANK(TK_In!E43),"",TK_In!E43)</f>
        <v>500</v>
      </c>
      <c r="F818" s="35" t="n">
        <f aca="false">IF(ISBLANK(TK_In!F43),"",TK_In!F43)</f>
        <v>800</v>
      </c>
      <c r="H818" s="12" t="s">
        <v>4317</v>
      </c>
    </row>
    <row r="819" customFormat="false" ht="17.15" hidden="false" customHeight="false" outlineLevel="0" collapsed="false">
      <c r="A819" s="0" t="s">
        <v>4318</v>
      </c>
      <c r="B819" s="6" t="s">
        <v>4319</v>
      </c>
      <c r="C819" s="0" t="s">
        <v>2886</v>
      </c>
      <c r="D819" s="35" t="n">
        <f aca="false">IF(ISBLANK(TK_In!D44),"",TK_In!D44)</f>
        <v>300</v>
      </c>
      <c r="E819" s="35" t="n">
        <f aca="false">IF(ISBLANK(TK_In!E44),"",TK_In!E44)</f>
        <v>500</v>
      </c>
      <c r="F819" s="35" t="n">
        <f aca="false">IF(ISBLANK(TK_In!F44),"",TK_In!F44)</f>
        <v>800</v>
      </c>
      <c r="H819" s="12" t="s">
        <v>4320</v>
      </c>
    </row>
    <row r="820" customFormat="false" ht="17.15" hidden="false" customHeight="false" outlineLevel="0" collapsed="false">
      <c r="A820" s="0" t="s">
        <v>4321</v>
      </c>
      <c r="B820" s="0" t="s">
        <v>2893</v>
      </c>
      <c r="C820" s="6" t="s">
        <v>2895</v>
      </c>
      <c r="D820" s="35" t="n">
        <f aca="false">IF(ISBLANK(TK_In!D45),"",TK_In!D45)</f>
        <v>0.7</v>
      </c>
      <c r="E820" s="35" t="n">
        <f aca="false">IF(ISBLANK(TK_In!E45),"",TK_In!E45)</f>
        <v>0.8</v>
      </c>
      <c r="F820" s="35" t="n">
        <f aca="false">IF(ISBLANK(TK_In!F45),"",TK_In!F45)</f>
        <v>1.15</v>
      </c>
      <c r="H820" s="12" t="s">
        <v>4322</v>
      </c>
    </row>
    <row r="821" customFormat="false" ht="17.15" hidden="false" customHeight="false" outlineLevel="0" collapsed="false">
      <c r="A821" s="0" t="s">
        <v>4323</v>
      </c>
      <c r="B821" s="0" t="s">
        <v>2899</v>
      </c>
      <c r="C821" s="6" t="s">
        <v>2895</v>
      </c>
      <c r="D821" s="35" t="n">
        <f aca="false">IF(ISBLANK(TK_In!D46),"",TK_In!D46)</f>
        <v>0.6</v>
      </c>
      <c r="E821" s="35" t="n">
        <f aca="false">IF(ISBLANK(TK_In!E46),"",TK_In!E46)</f>
        <v>0.8</v>
      </c>
      <c r="F821" s="35" t="n">
        <f aca="false">IF(ISBLANK(TK_In!F46),"",TK_In!F46)</f>
        <v>1.1</v>
      </c>
      <c r="H821" s="12" t="s">
        <v>4324</v>
      </c>
    </row>
    <row r="822" customFormat="false" ht="17.15" hidden="false" customHeight="false" outlineLevel="0" collapsed="false">
      <c r="A822" s="0" t="s">
        <v>4325</v>
      </c>
      <c r="B822" s="0" t="s">
        <v>2903</v>
      </c>
      <c r="C822" s="6" t="s">
        <v>2895</v>
      </c>
      <c r="D822" s="35" t="n">
        <f aca="false">IF(ISBLANK(TK_In!D47),"",TK_In!D47)</f>
        <v>0.3</v>
      </c>
      <c r="E822" s="35" t="n">
        <f aca="false">IF(ISBLANK(TK_In!E47),"",TK_In!E47)</f>
        <v>0.5</v>
      </c>
      <c r="F822" s="35" t="n">
        <f aca="false">IF(ISBLANK(TK_In!F47),"",TK_In!F47)</f>
        <v>0.8</v>
      </c>
      <c r="H822" s="12" t="s">
        <v>4326</v>
      </c>
    </row>
    <row r="823" customFormat="false" ht="17.15" hidden="false" customHeight="false" outlineLevel="0" collapsed="false">
      <c r="A823" s="0" t="s">
        <v>4327</v>
      </c>
      <c r="B823" s="0" t="s">
        <v>2907</v>
      </c>
      <c r="C823" s="6" t="s">
        <v>2895</v>
      </c>
      <c r="D823" s="35" t="n">
        <f aca="false">IF(ISBLANK(TK_In!D48),"",TK_In!D48)</f>
        <v>0.2</v>
      </c>
      <c r="E823" s="35" t="n">
        <f aca="false">IF(ISBLANK(TK_In!E48),"",TK_In!E48)</f>
        <v>0.4</v>
      </c>
      <c r="F823" s="35" t="n">
        <f aca="false">IF(ISBLANK(TK_In!F48),"",TK_In!F48)</f>
        <v>0.8</v>
      </c>
      <c r="H823" s="12" t="s">
        <v>4328</v>
      </c>
    </row>
    <row r="824" customFormat="false" ht="17.15" hidden="false" customHeight="false" outlineLevel="0" collapsed="false">
      <c r="A824" s="0" t="s">
        <v>4329</v>
      </c>
      <c r="B824" s="0" t="s">
        <v>2911</v>
      </c>
      <c r="C824" s="6" t="s">
        <v>2895</v>
      </c>
      <c r="D824" s="35" t="n">
        <f aca="false">IF(ISBLANK(TK_In!D49),"",TK_In!D49)</f>
        <v>0.4</v>
      </c>
      <c r="E824" s="35" t="n">
        <f aca="false">IF(ISBLANK(TK_In!E49),"",TK_In!E49)</f>
        <v>0.6</v>
      </c>
      <c r="F824" s="35" t="n">
        <f aca="false">IF(ISBLANK(TK_In!F49),"",TK_In!F49)</f>
        <v>0.9</v>
      </c>
      <c r="H824" s="12" t="s">
        <v>4330</v>
      </c>
    </row>
    <row r="825" customFormat="false" ht="17.15" hidden="false" customHeight="false" outlineLevel="0" collapsed="false">
      <c r="A825" s="0" t="s">
        <v>4331</v>
      </c>
      <c r="B825" s="6" t="s">
        <v>2915</v>
      </c>
      <c r="C825" s="6" t="s">
        <v>2895</v>
      </c>
      <c r="D825" s="35" t="n">
        <f aca="false">IF(ISBLANK(TK_In!D50),"",TK_In!D50)</f>
        <v>0.05</v>
      </c>
      <c r="E825" s="35" t="n">
        <f aca="false">IF(ISBLANK(TK_In!E50),"",TK_In!E50)</f>
        <v>0.08</v>
      </c>
      <c r="F825" s="35" t="n">
        <f aca="false">IF(ISBLANK(TK_In!F50),"",TK_In!F50)</f>
        <v>0.15</v>
      </c>
      <c r="H825" s="12" t="s">
        <v>4332</v>
      </c>
    </row>
    <row r="826" customFormat="false" ht="17.15" hidden="false" customHeight="false" outlineLevel="0" collapsed="false">
      <c r="A826" s="0" t="s">
        <v>4333</v>
      </c>
      <c r="B826" s="0" t="s">
        <v>2919</v>
      </c>
      <c r="C826" s="6" t="s">
        <v>2895</v>
      </c>
      <c r="D826" s="35" t="n">
        <f aca="false">IF(ISBLANK(TK_In!D51),"",TK_In!D51)</f>
        <v>0.25</v>
      </c>
      <c r="E826" s="35" t="n">
        <f aca="false">IF(ISBLANK(TK_In!E51),"",TK_In!E51)</f>
        <v>0.55</v>
      </c>
      <c r="F826" s="35" t="n">
        <f aca="false">IF(ISBLANK(TK_In!F51),"",TK_In!F51)</f>
        <v>0.75</v>
      </c>
      <c r="H826" s="12" t="s">
        <v>4334</v>
      </c>
    </row>
    <row r="827" customFormat="false" ht="17.15" hidden="false" customHeight="false" outlineLevel="0" collapsed="false">
      <c r="A827" s="0" t="s">
        <v>4335</v>
      </c>
      <c r="B827" s="0" t="s">
        <v>2923</v>
      </c>
      <c r="C827" s="6" t="s">
        <v>2895</v>
      </c>
      <c r="D827" s="35" t="n">
        <f aca="false">IF(ISBLANK(TK_In!D52),"",TK_In!D52)</f>
        <v>0.67</v>
      </c>
      <c r="E827" s="35" t="n">
        <f aca="false">IF(ISBLANK(TK_In!E52),"",TK_In!E52)</f>
        <v>0.85</v>
      </c>
      <c r="F827" s="35" t="n">
        <f aca="false">IF(ISBLANK(TK_In!F52),"",TK_In!F52)</f>
        <v>1.12</v>
      </c>
      <c r="H827" s="12" t="s">
        <v>4336</v>
      </c>
    </row>
    <row r="828" customFormat="false" ht="17.15" hidden="false" customHeight="false" outlineLevel="0" collapsed="false">
      <c r="A828" s="0" t="s">
        <v>4337</v>
      </c>
      <c r="B828" s="0" t="s">
        <v>2927</v>
      </c>
      <c r="C828" s="6" t="s">
        <v>2895</v>
      </c>
      <c r="D828" s="35" t="n">
        <f aca="false">IF(ISBLANK(TK_In!D53),"",TK_In!D53)</f>
        <v>0.65</v>
      </c>
      <c r="E828" s="35" t="n">
        <f aca="false">IF(ISBLANK(TK_In!E53),"",TK_In!E53)</f>
        <v>0.7</v>
      </c>
      <c r="F828" s="35" t="n">
        <f aca="false">IF(ISBLANK(TK_In!F53),"",TK_In!F53)</f>
        <v>0.9</v>
      </c>
      <c r="H828" s="12" t="s">
        <v>4338</v>
      </c>
    </row>
    <row r="829" customFormat="false" ht="17.15" hidden="false" customHeight="false" outlineLevel="0" collapsed="false">
      <c r="A829" s="0" t="s">
        <v>4339</v>
      </c>
      <c r="B829" s="0" t="s">
        <v>2931</v>
      </c>
      <c r="C829" s="6" t="s">
        <v>2895</v>
      </c>
      <c r="D829" s="35" t="n">
        <f aca="false">IF(ISBLANK(TK_In!D54),"",TK_In!D54)</f>
        <v>0.45</v>
      </c>
      <c r="E829" s="35" t="n">
        <f aca="false">IF(ISBLANK(TK_In!E54),"",TK_In!E54)</f>
        <v>0.61</v>
      </c>
      <c r="F829" s="35" t="n">
        <f aca="false">IF(ISBLANK(TK_In!F54),"",TK_In!F54)</f>
        <v>0.7</v>
      </c>
      <c r="H829" s="12" t="s">
        <v>4340</v>
      </c>
    </row>
    <row r="830" customFormat="false" ht="17.15" hidden="false" customHeight="false" outlineLevel="0" collapsed="false">
      <c r="A830" s="0" t="s">
        <v>4341</v>
      </c>
      <c r="B830" s="0" t="s">
        <v>2935</v>
      </c>
      <c r="C830" s="6" t="s">
        <v>2895</v>
      </c>
      <c r="D830" s="35" t="n">
        <f aca="false">IF(ISBLANK(TK_In!D55),"",TK_In!D55)</f>
        <v>0.8</v>
      </c>
      <c r="E830" s="35" t="n">
        <f aca="false">IF(ISBLANK(TK_In!E55),"",TK_In!E55)</f>
        <v>1</v>
      </c>
      <c r="F830" s="35" t="n">
        <f aca="false">IF(ISBLANK(TK_In!F55),"",TK_In!F55)</f>
        <v>1.2</v>
      </c>
      <c r="H830" s="12" t="s">
        <v>4342</v>
      </c>
    </row>
    <row r="831" customFormat="false" ht="17.15" hidden="false" customHeight="false" outlineLevel="0" collapsed="false">
      <c r="A831" s="0" t="s">
        <v>4343</v>
      </c>
      <c r="B831" s="0" t="s">
        <v>2939</v>
      </c>
      <c r="C831" s="6" t="s">
        <v>2895</v>
      </c>
      <c r="D831" s="35" t="n">
        <f aca="false">IF(ISBLANK(TK_In!D56),"",TK_In!D56)</f>
        <v>0.7</v>
      </c>
      <c r="E831" s="35" t="n">
        <f aca="false">IF(ISBLANK(TK_In!E56),"",TK_In!E56)</f>
        <v>0.8</v>
      </c>
      <c r="F831" s="35" t="n">
        <f aca="false">IF(ISBLANK(TK_In!F56),"",TK_In!F56)</f>
        <v>1</v>
      </c>
      <c r="H831" s="12" t="s">
        <v>4344</v>
      </c>
    </row>
    <row r="832" customFormat="false" ht="17.15" hidden="false" customHeight="false" outlineLevel="0" collapsed="false">
      <c r="A832" s="0" t="s">
        <v>4345</v>
      </c>
      <c r="B832" s="6" t="s">
        <v>2943</v>
      </c>
      <c r="C832" s="6" t="s">
        <v>2895</v>
      </c>
      <c r="D832" s="35" t="n">
        <f aca="false">IF(ISBLANK(TK_In!D57),"",TK_In!D57)</f>
        <v>0.45</v>
      </c>
      <c r="E832" s="35" t="n">
        <f aca="false">IF(ISBLANK(TK_In!E57),"",TK_In!E57)</f>
        <v>0.55</v>
      </c>
      <c r="F832" s="35" t="n">
        <f aca="false">IF(ISBLANK(TK_In!F57),"",TK_In!F57)</f>
        <v>0.7</v>
      </c>
      <c r="H832" s="12" t="s">
        <v>4346</v>
      </c>
    </row>
    <row r="833" customFormat="false" ht="17.15" hidden="false" customHeight="false" outlineLevel="0" collapsed="false">
      <c r="A833" s="0" t="s">
        <v>4347</v>
      </c>
      <c r="B833" s="0" t="s">
        <v>2947</v>
      </c>
      <c r="C833" s="6" t="s">
        <v>2895</v>
      </c>
      <c r="D833" s="35" t="n">
        <f aca="false">IF(ISBLANK(TK_In!D58),"",TK_In!D58)</f>
        <v>0.4</v>
      </c>
      <c r="E833" s="35" t="n">
        <f aca="false">IF(ISBLANK(TK_In!E58),"",TK_In!E58)</f>
        <v>0.5</v>
      </c>
      <c r="F833" s="35" t="n">
        <f aca="false">IF(ISBLANK(TK_In!F58),"",TK_In!F58)</f>
        <v>0.6</v>
      </c>
      <c r="H833" s="12" t="s">
        <v>4348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8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4349</v>
      </c>
    </row>
    <row r="3" customFormat="false" ht="15" hidden="false" customHeight="false" outlineLevel="0" collapsed="false">
      <c r="A3" s="5" t="s">
        <v>2952</v>
      </c>
      <c r="B3" s="4" t="s">
        <v>54</v>
      </c>
      <c r="C3" s="4" t="s">
        <v>4350</v>
      </c>
      <c r="D3" s="4" t="s">
        <v>4351</v>
      </c>
      <c r="E3" s="4" t="s">
        <v>4352</v>
      </c>
      <c r="F3" s="4" t="s">
        <v>4353</v>
      </c>
      <c r="G3" s="4" t="s">
        <v>2959</v>
      </c>
      <c r="H3" s="4" t="s">
        <v>49</v>
      </c>
    </row>
    <row r="4" customFormat="false" ht="17.15" hidden="false" customHeight="false" outlineLevel="0" collapsed="false">
      <c r="A4" s="0" t="s">
        <v>4354</v>
      </c>
      <c r="B4" s="0" t="s">
        <v>4355</v>
      </c>
      <c r="C4" s="23" t="n">
        <f aca="false">Mkt!C33</f>
        <v>35</v>
      </c>
      <c r="D4" s="0" t="n">
        <v>35</v>
      </c>
      <c r="E4" s="12" t="n">
        <f aca="false">IF(ISNUMBER(D4),C4-D4,"")</f>
        <v>0</v>
      </c>
      <c r="F4" s="0" t="str">
        <f aca="false">IF(NOT(ISNUMBER(D4)),"WARN",IF(ABS(E4)&lt;0.000000001,"OK","ERROR"))</f>
        <v>OK</v>
      </c>
      <c r="G4" s="6" t="s">
        <v>4356</v>
      </c>
      <c r="H4" s="12" t="s">
        <v>4357</v>
      </c>
    </row>
    <row r="5" customFormat="false" ht="17.15" hidden="false" customHeight="false" outlineLevel="0" collapsed="false">
      <c r="A5" s="0" t="s">
        <v>4358</v>
      </c>
      <c r="B5" s="0" t="s">
        <v>4359</v>
      </c>
      <c r="C5" s="23" t="n">
        <f aca="false">Mkt!D33</f>
        <v>55.227347</v>
      </c>
      <c r="D5" s="0" t="n">
        <v>55.227347</v>
      </c>
      <c r="E5" s="12" t="n">
        <f aca="false">IF(ISNUMBER(D5),C5-D5,"")</f>
        <v>0</v>
      </c>
      <c r="F5" s="0" t="str">
        <f aca="false">IF(NOT(ISNUMBER(D5)),"WARN",IF(ABS(E5)&lt;0.000000001,"OK","ERROR"))</f>
        <v>OK</v>
      </c>
      <c r="G5" s="6" t="s">
        <v>4356</v>
      </c>
      <c r="H5" s="12" t="s">
        <v>4357</v>
      </c>
    </row>
    <row r="6" customFormat="false" ht="17.15" hidden="false" customHeight="false" outlineLevel="0" collapsed="false">
      <c r="A6" s="0" t="s">
        <v>4360</v>
      </c>
      <c r="B6" s="0" t="s">
        <v>4361</v>
      </c>
      <c r="C6" s="23" t="n">
        <f aca="false">Mkt!E33</f>
        <v>154.08429813</v>
      </c>
      <c r="D6" s="0" t="n">
        <v>154.08429813</v>
      </c>
      <c r="E6" s="12" t="n">
        <f aca="false">IF(ISNUMBER(D6),C6-D6,"")</f>
        <v>0</v>
      </c>
      <c r="F6" s="0" t="str">
        <f aca="false">IF(NOT(ISNUMBER(D6)),"WARN",IF(ABS(E6)&lt;0.000000001,"OK","ERROR"))</f>
        <v>OK</v>
      </c>
      <c r="G6" s="6" t="s">
        <v>4356</v>
      </c>
      <c r="H6" s="12" t="s">
        <v>4357</v>
      </c>
    </row>
    <row r="7" customFormat="false" ht="17.15" hidden="false" customHeight="false" outlineLevel="0" collapsed="false">
      <c r="A7" s="0" t="s">
        <v>4362</v>
      </c>
      <c r="B7" s="0" t="s">
        <v>4363</v>
      </c>
      <c r="C7" s="23" t="n">
        <f aca="false">Mkt!F33</f>
        <v>245.76445551735</v>
      </c>
      <c r="D7" s="0" t="n">
        <v>245.76445551735</v>
      </c>
      <c r="E7" s="12" t="n">
        <f aca="false">IF(ISNUMBER(D7),C7-D7,"")</f>
        <v>0</v>
      </c>
      <c r="F7" s="0" t="str">
        <f aca="false">IF(NOT(ISNUMBER(D7)),"WARN",IF(ABS(E7)&lt;0.000000001,"OK","ERROR"))</f>
        <v>OK</v>
      </c>
      <c r="G7" s="6" t="s">
        <v>4356</v>
      </c>
      <c r="H7" s="12" t="s">
        <v>4357</v>
      </c>
    </row>
    <row r="8" customFormat="false" ht="17.15" hidden="false" customHeight="false" outlineLevel="0" collapsed="false">
      <c r="A8" s="0" t="s">
        <v>4364</v>
      </c>
      <c r="B8" s="0" t="s">
        <v>4365</v>
      </c>
      <c r="C8" s="23" t="n">
        <f aca="false">Mkt!G33</f>
        <v>315.192914201001</v>
      </c>
      <c r="D8" s="0" t="n">
        <v>315.192914201001</v>
      </c>
      <c r="E8" s="12" t="n">
        <f aca="false">IF(ISNUMBER(D8),C8-D8,"")</f>
        <v>0</v>
      </c>
      <c r="F8" s="0" t="str">
        <f aca="false">IF(NOT(ISNUMBER(D8)),"WARN",IF(ABS(E8)&lt;0.000000001,"OK","ERROR"))</f>
        <v>OK</v>
      </c>
      <c r="G8" s="6" t="s">
        <v>4356</v>
      </c>
      <c r="H8" s="12" t="s">
        <v>4357</v>
      </c>
    </row>
    <row r="9" customFormat="false" ht="17.15" hidden="false" customHeight="false" outlineLevel="0" collapsed="false">
      <c r="A9" s="0" t="s">
        <v>4366</v>
      </c>
      <c r="B9" s="0" t="s">
        <v>4367</v>
      </c>
      <c r="C9" s="23" t="n">
        <f aca="false">Mkt!C34</f>
        <v>35</v>
      </c>
      <c r="D9" s="0" t="n">
        <v>35</v>
      </c>
      <c r="E9" s="12" t="n">
        <f aca="false">IF(ISNUMBER(D9),C9-D9,"")</f>
        <v>0</v>
      </c>
      <c r="F9" s="0" t="str">
        <f aca="false">IF(NOT(ISNUMBER(D9)),"WARN",IF(ABS(E9)&lt;0.000000001,"OK","ERROR"))</f>
        <v>OK</v>
      </c>
      <c r="G9" s="6" t="s">
        <v>4356</v>
      </c>
      <c r="H9" s="12" t="s">
        <v>4357</v>
      </c>
    </row>
    <row r="10" customFormat="false" ht="17.15" hidden="false" customHeight="false" outlineLevel="0" collapsed="false">
      <c r="A10" s="0" t="s">
        <v>4368</v>
      </c>
      <c r="B10" s="0" t="s">
        <v>4369</v>
      </c>
      <c r="C10" s="23" t="n">
        <f aca="false">Mkt!D34</f>
        <v>55.227347</v>
      </c>
      <c r="D10" s="0" t="n">
        <v>55.227347</v>
      </c>
      <c r="E10" s="12" t="n">
        <f aca="false">IF(ISNUMBER(D10),C10-D10,"")</f>
        <v>0</v>
      </c>
      <c r="F10" s="0" t="str">
        <f aca="false">IF(NOT(ISNUMBER(D10)),"WARN",IF(ABS(E10)&lt;0.000000001,"OK","ERROR"))</f>
        <v>OK</v>
      </c>
      <c r="G10" s="6" t="s">
        <v>4356</v>
      </c>
      <c r="H10" s="12" t="s">
        <v>4357</v>
      </c>
    </row>
    <row r="11" customFormat="false" ht="17.15" hidden="false" customHeight="false" outlineLevel="0" collapsed="false">
      <c r="A11" s="0" t="s">
        <v>4370</v>
      </c>
      <c r="B11" s="0" t="s">
        <v>4371</v>
      </c>
      <c r="C11" s="23" t="n">
        <f aca="false">Mkt!E34</f>
        <v>154.08429813</v>
      </c>
      <c r="D11" s="0" t="n">
        <v>154.08429813</v>
      </c>
      <c r="E11" s="12" t="n">
        <f aca="false">IF(ISNUMBER(D11),C11-D11,"")</f>
        <v>0</v>
      </c>
      <c r="F11" s="0" t="str">
        <f aca="false">IF(NOT(ISNUMBER(D11)),"WARN",IF(ABS(E11)&lt;0.000000001,"OK","ERROR"))</f>
        <v>OK</v>
      </c>
      <c r="G11" s="6" t="s">
        <v>4356</v>
      </c>
      <c r="H11" s="12" t="s">
        <v>4357</v>
      </c>
    </row>
    <row r="12" customFormat="false" ht="17.15" hidden="false" customHeight="false" outlineLevel="0" collapsed="false">
      <c r="A12" s="0" t="s">
        <v>4372</v>
      </c>
      <c r="B12" s="0" t="s">
        <v>4373</v>
      </c>
      <c r="C12" s="23" t="n">
        <f aca="false">Mkt!F34</f>
        <v>162.0745416</v>
      </c>
      <c r="D12" s="0" t="n">
        <v>162.0745416</v>
      </c>
      <c r="E12" s="12" t="n">
        <f aca="false">IF(ISNUMBER(D12),C12-D12,"")</f>
        <v>0</v>
      </c>
      <c r="F12" s="0" t="str">
        <f aca="false">IF(NOT(ISNUMBER(D12)),"WARN",IF(ABS(E12)&lt;0.000000001,"OK","ERROR"))</f>
        <v>OK</v>
      </c>
      <c r="G12" s="6" t="s">
        <v>4356</v>
      </c>
      <c r="H12" s="12" t="s">
        <v>4357</v>
      </c>
    </row>
    <row r="13" customFormat="false" ht="17.15" hidden="false" customHeight="false" outlineLevel="0" collapsed="false">
      <c r="A13" s="0" t="s">
        <v>4374</v>
      </c>
      <c r="B13" s="0" t="s">
        <v>4375</v>
      </c>
      <c r="C13" s="23" t="n">
        <f aca="false">Mkt!G34</f>
        <v>223.865460585</v>
      </c>
      <c r="D13" s="0" t="n">
        <v>223.865460585</v>
      </c>
      <c r="E13" s="12" t="n">
        <f aca="false">IF(ISNUMBER(D13),C13-D13,"")</f>
        <v>0</v>
      </c>
      <c r="F13" s="0" t="str">
        <f aca="false">IF(NOT(ISNUMBER(D13)),"WARN",IF(ABS(E13)&lt;0.000000001,"OK","ERROR"))</f>
        <v>OK</v>
      </c>
      <c r="G13" s="6" t="s">
        <v>4356</v>
      </c>
      <c r="H13" s="12" t="s">
        <v>4357</v>
      </c>
    </row>
    <row r="14" customFormat="false" ht="17.15" hidden="false" customHeight="false" outlineLevel="0" collapsed="false">
      <c r="A14" s="0" t="s">
        <v>4376</v>
      </c>
      <c r="B14" s="0" t="s">
        <v>4377</v>
      </c>
      <c r="C14" s="23" t="n">
        <f aca="false">Mkt!C35</f>
        <v>35</v>
      </c>
      <c r="D14" s="0" t="n">
        <v>35</v>
      </c>
      <c r="E14" s="12" t="n">
        <f aca="false">IF(ISNUMBER(D14),C14-D14,"")</f>
        <v>0</v>
      </c>
      <c r="F14" s="0" t="str">
        <f aca="false">IF(NOT(ISNUMBER(D14)),"WARN",IF(ABS(E14)&lt;0.000000001,"OK","ERROR"))</f>
        <v>OK</v>
      </c>
      <c r="G14" s="6" t="s">
        <v>4356</v>
      </c>
      <c r="H14" s="12" t="s">
        <v>4357</v>
      </c>
    </row>
    <row r="15" customFormat="false" ht="17.15" hidden="false" customHeight="false" outlineLevel="0" collapsed="false">
      <c r="A15" s="0" t="s">
        <v>4378</v>
      </c>
      <c r="B15" s="0" t="s">
        <v>4379</v>
      </c>
      <c r="C15" s="23" t="n">
        <f aca="false">Mkt!D35</f>
        <v>55.227347</v>
      </c>
      <c r="D15" s="0" t="n">
        <v>55.227347</v>
      </c>
      <c r="E15" s="12" t="n">
        <f aca="false">IF(ISNUMBER(D15),C15-D15,"")</f>
        <v>0</v>
      </c>
      <c r="F15" s="0" t="str">
        <f aca="false">IF(NOT(ISNUMBER(D15)),"WARN",IF(ABS(E15)&lt;0.000000001,"OK","ERROR"))</f>
        <v>OK</v>
      </c>
      <c r="G15" s="6" t="s">
        <v>4356</v>
      </c>
      <c r="H15" s="12" t="s">
        <v>4357</v>
      </c>
    </row>
    <row r="16" customFormat="false" ht="17.15" hidden="false" customHeight="false" outlineLevel="0" collapsed="false">
      <c r="A16" s="0" t="s">
        <v>4380</v>
      </c>
      <c r="B16" s="0" t="s">
        <v>4381</v>
      </c>
      <c r="C16" s="23" t="n">
        <f aca="false">Mkt!E35</f>
        <v>154.08429813</v>
      </c>
      <c r="D16" s="0" t="n">
        <v>154.08429813</v>
      </c>
      <c r="E16" s="12" t="n">
        <f aca="false">IF(ISNUMBER(D16),C16-D16,"")</f>
        <v>0</v>
      </c>
      <c r="F16" s="0" t="str">
        <f aca="false">IF(NOT(ISNUMBER(D16)),"WARN",IF(ABS(E16)&lt;0.000000001,"OK","ERROR"))</f>
        <v>OK</v>
      </c>
      <c r="G16" s="6" t="s">
        <v>4356</v>
      </c>
      <c r="H16" s="12" t="s">
        <v>4357</v>
      </c>
    </row>
    <row r="17" customFormat="false" ht="17.15" hidden="false" customHeight="false" outlineLevel="0" collapsed="false">
      <c r="A17" s="0" t="s">
        <v>4382</v>
      </c>
      <c r="B17" s="0" t="s">
        <v>4383</v>
      </c>
      <c r="C17" s="23" t="n">
        <f aca="false">Mkt!F35</f>
        <v>97.24472496</v>
      </c>
      <c r="D17" s="0" t="n">
        <v>97.24472496</v>
      </c>
      <c r="E17" s="12" t="n">
        <f aca="false">IF(ISNUMBER(D17),C17-D17,"")</f>
        <v>0</v>
      </c>
      <c r="F17" s="0" t="str">
        <f aca="false">IF(NOT(ISNUMBER(D17)),"WARN",IF(ABS(E17)&lt;0.000000001,"OK","ERROR"))</f>
        <v>OK</v>
      </c>
      <c r="G17" s="6" t="s">
        <v>4356</v>
      </c>
      <c r="H17" s="12" t="s">
        <v>4357</v>
      </c>
    </row>
    <row r="18" customFormat="false" ht="17.15" hidden="false" customHeight="false" outlineLevel="0" collapsed="false">
      <c r="A18" s="0" t="s">
        <v>4384</v>
      </c>
      <c r="B18" s="0" t="s">
        <v>4385</v>
      </c>
      <c r="C18" s="23" t="n">
        <f aca="false">Mkt!G35</f>
        <v>132.7390495704</v>
      </c>
      <c r="D18" s="0" t="n">
        <v>132.7390495704</v>
      </c>
      <c r="E18" s="12" t="n">
        <f aca="false">IF(ISNUMBER(D18),C18-D18,"")</f>
        <v>0</v>
      </c>
      <c r="F18" s="0" t="str">
        <f aca="false">IF(NOT(ISNUMBER(D18)),"WARN",IF(ABS(E18)&lt;0.000000001,"OK","ERROR"))</f>
        <v>OK</v>
      </c>
      <c r="G18" s="6" t="s">
        <v>4356</v>
      </c>
      <c r="H18" s="12" t="s">
        <v>4357</v>
      </c>
    </row>
    <row r="19" customFormat="false" ht="17.15" hidden="false" customHeight="false" outlineLevel="0" collapsed="false">
      <c r="A19" s="0" t="s">
        <v>4386</v>
      </c>
      <c r="B19" s="6" t="s">
        <v>4387</v>
      </c>
      <c r="C19" s="0" t="n">
        <f aca="false">um28_A</f>
        <v>1</v>
      </c>
      <c r="F19" s="0" t="str">
        <f aca="false">IF(ABS(C19-1)&lt;0.000000001,"OK","ERROR")</f>
        <v>OK</v>
      </c>
      <c r="G19" s="6" t="s">
        <v>4388</v>
      </c>
    </row>
    <row r="20" customFormat="false" ht="17.15" hidden="false" customHeight="false" outlineLevel="0" collapsed="false">
      <c r="A20" s="0" t="s">
        <v>4389</v>
      </c>
      <c r="B20" s="6" t="s">
        <v>4390</v>
      </c>
      <c r="C20" s="0" t="n">
        <f aca="false">um29_A</f>
        <v>1</v>
      </c>
      <c r="F20" s="0" t="str">
        <f aca="false">IF(ABS(C20-1)&lt;0.000000001,"OK","ERROR")</f>
        <v>OK</v>
      </c>
      <c r="G20" s="6" t="s">
        <v>4388</v>
      </c>
    </row>
    <row r="21" customFormat="false" ht="17.15" hidden="false" customHeight="false" outlineLevel="0" collapsed="false">
      <c r="A21" s="0" t="s">
        <v>4391</v>
      </c>
      <c r="B21" s="6" t="s">
        <v>4392</v>
      </c>
      <c r="C21" s="0" t="n">
        <f aca="false">um28_B</f>
        <v>0.8</v>
      </c>
      <c r="D21" s="0" t="str">
        <f aca="false">um28_B_lo&amp;"–"&amp;um28_B_hi</f>
        <v>0.7–0.9</v>
      </c>
      <c r="F21" s="0" t="str">
        <f aca="false">IF(AND(C21&gt;=um28_B_lo,C21&lt;=um28_B_hi),"OK","ERROR")</f>
        <v>OK</v>
      </c>
      <c r="G21" s="6" t="s">
        <v>4388</v>
      </c>
    </row>
    <row r="22" customFormat="false" ht="17.15" hidden="false" customHeight="false" outlineLevel="0" collapsed="false">
      <c r="A22" s="0" t="s">
        <v>4393</v>
      </c>
      <c r="B22" s="6" t="s">
        <v>4394</v>
      </c>
      <c r="C22" s="0" t="n">
        <f aca="false">um29_B</f>
        <v>0.85</v>
      </c>
      <c r="D22" s="0" t="str">
        <f aca="false">um29_B_lo&amp;"–"&amp;um29_B_hi</f>
        <v>0.75–0.95</v>
      </c>
      <c r="F22" s="0" t="str">
        <f aca="false">IF(AND(C22&gt;=um29_B_lo,C22&lt;=um29_B_hi),"OK","ERROR")</f>
        <v>OK</v>
      </c>
      <c r="G22" s="6" t="s">
        <v>4388</v>
      </c>
    </row>
    <row r="23" customFormat="false" ht="17.15" hidden="false" customHeight="false" outlineLevel="0" collapsed="false">
      <c r="A23" s="0" t="s">
        <v>4395</v>
      </c>
      <c r="B23" s="6" t="s">
        <v>4396</v>
      </c>
      <c r="C23" s="0" t="n">
        <f aca="false">um28_C</f>
        <v>0.6</v>
      </c>
      <c r="D23" s="0" t="str">
        <f aca="false">um28_C_lo&amp;"–"&amp;um28_C_hi</f>
        <v>0.5–0.7</v>
      </c>
      <c r="F23" s="0" t="str">
        <f aca="false">IF(AND(C23&gt;=um28_C_lo,C23&lt;=um28_C_hi),"OK","ERROR")</f>
        <v>OK</v>
      </c>
      <c r="G23" s="6" t="s">
        <v>4388</v>
      </c>
    </row>
    <row r="24" customFormat="false" ht="17.15" hidden="false" customHeight="false" outlineLevel="0" collapsed="false">
      <c r="A24" s="0" t="s">
        <v>4397</v>
      </c>
      <c r="B24" s="6" t="s">
        <v>4398</v>
      </c>
      <c r="C24" s="0" t="n">
        <f aca="false">um29_C</f>
        <v>0.6</v>
      </c>
      <c r="D24" s="0" t="str">
        <f aca="false">um29_C_lo&amp;"–"&amp;um29_C_hi</f>
        <v>0.5–0.7</v>
      </c>
      <c r="F24" s="0" t="str">
        <f aca="false">IF(AND(C24&gt;=um29_C_lo,C24&lt;=um29_C_hi),"OK","ERROR")</f>
        <v>OK</v>
      </c>
      <c r="G24" s="6" t="s">
        <v>4388</v>
      </c>
    </row>
    <row r="25" customFormat="false" ht="17.15" hidden="false" customHeight="false" outlineLevel="0" collapsed="false">
      <c r="A25" s="0" t="s">
        <v>4399</v>
      </c>
      <c r="B25" s="0" t="s">
        <v>4400</v>
      </c>
      <c r="F25" s="0" t="str">
        <f aca="false">IF(AND(um28_A&gt;=um28_B,um28_B&gt;=um28_C),"OK","ERROR")</f>
        <v>OK</v>
      </c>
      <c r="G25" s="6" t="s">
        <v>4388</v>
      </c>
    </row>
    <row r="26" customFormat="false" ht="17.15" hidden="false" customHeight="false" outlineLevel="0" collapsed="false">
      <c r="A26" s="0" t="s">
        <v>4401</v>
      </c>
      <c r="B26" s="0" t="s">
        <v>4402</v>
      </c>
      <c r="F26" s="0" t="str">
        <f aca="false">IF(AND(um29_A&gt;=um29_B,um29_B&gt;=um29_C),"OK","ERROR")</f>
        <v>OK</v>
      </c>
      <c r="G26" s="6" t="s">
        <v>4388</v>
      </c>
    </row>
    <row r="27" customFormat="false" ht="17.15" hidden="false" customHeight="false" outlineLevel="0" collapsed="false">
      <c r="A27" s="0" t="s">
        <v>4403</v>
      </c>
      <c r="B27" s="6" t="s">
        <v>4404</v>
      </c>
      <c r="C27" s="0" t="n">
        <f aca="false">TK_In!$M$60</f>
        <v>0</v>
      </c>
      <c r="F27" s="0" t="str">
        <f aca="false">IF(C27=0,"OK","WARN")</f>
        <v>OK</v>
      </c>
      <c r="G27" s="6" t="s">
        <v>4405</v>
      </c>
      <c r="H27" s="0" t="s">
        <v>4406</v>
      </c>
    </row>
    <row r="28" customFormat="false" ht="17.15" hidden="false" customHeight="false" outlineLevel="0" collapsed="false">
      <c r="A28" s="0" t="s">
        <v>4407</v>
      </c>
      <c r="B28" s="0" t="s">
        <v>4408</v>
      </c>
      <c r="C28" s="14" t="n">
        <f aca="false">Units!C12</f>
        <v>15.2</v>
      </c>
      <c r="D28" s="23" t="n">
        <f aca="false">Mkt!D15</f>
        <v>15.2</v>
      </c>
      <c r="E28" s="12" t="n">
        <f aca="false">C28-D28</f>
        <v>0</v>
      </c>
      <c r="F28" s="0" t="str">
        <f aca="false">IF(ABS(E28)&lt;0.000000001,"OK","ERROR")</f>
        <v>OK</v>
      </c>
      <c r="G28" s="6" t="s">
        <v>4409</v>
      </c>
    </row>
    <row r="29" customFormat="false" ht="17.15" hidden="false" customHeight="false" outlineLevel="0" collapsed="false">
      <c r="A29" s="0" t="s">
        <v>4410</v>
      </c>
      <c r="B29" s="0" t="s">
        <v>4411</v>
      </c>
      <c r="C29" s="14" t="n">
        <f aca="false">Units!D12</f>
        <v>23.7</v>
      </c>
      <c r="D29" s="23" t="n">
        <f aca="false">Mkt!E15</f>
        <v>23.7</v>
      </c>
      <c r="E29" s="12" t="n">
        <f aca="false">C29-D29</f>
        <v>0</v>
      </c>
      <c r="F29" s="0" t="str">
        <f aca="false">IF(ABS(E29)&lt;0.000000001,"OK","ERROR")</f>
        <v>OK</v>
      </c>
      <c r="G29" s="6" t="s">
        <v>4409</v>
      </c>
    </row>
    <row r="30" customFormat="false" ht="17.15" hidden="false" customHeight="false" outlineLevel="0" collapsed="false">
      <c r="A30" s="0" t="s">
        <v>4412</v>
      </c>
      <c r="B30" s="0" t="s">
        <v>4413</v>
      </c>
      <c r="C30" s="14" t="n">
        <f aca="false">Units!E12</f>
        <v>26.5</v>
      </c>
      <c r="D30" s="23" t="n">
        <f aca="false">Mkt!F15</f>
        <v>26.5</v>
      </c>
      <c r="E30" s="12" t="n">
        <f aca="false">C30-D30</f>
        <v>0</v>
      </c>
      <c r="F30" s="0" t="str">
        <f aca="false">IF(ABS(E30)&lt;0.000000001,"OK","ERROR")</f>
        <v>OK</v>
      </c>
      <c r="G30" s="6" t="s">
        <v>4409</v>
      </c>
    </row>
    <row r="31" customFormat="false" ht="17.15" hidden="false" customHeight="false" outlineLevel="0" collapsed="false">
      <c r="A31" s="0" t="s">
        <v>4414</v>
      </c>
      <c r="B31" s="0" t="s">
        <v>4415</v>
      </c>
      <c r="C31" s="17" t="n">
        <f aca="false">g29_bw</f>
        <v>-0.5</v>
      </c>
      <c r="D31" s="0" t="str">
        <f aca="false">g29_bw_lo&amp;"–"&amp;g29_bw_hi</f>
        <v>-0.7–-0.3</v>
      </c>
      <c r="F31" s="0" t="str">
        <f aca="false">IF(AND(C31&gt;=g29_bw_lo,C31&lt;=g29_bw_hi),"OK","ERROR")</f>
        <v>OK</v>
      </c>
      <c r="G31" s="6" t="s">
        <v>4388</v>
      </c>
    </row>
    <row r="32" customFormat="false" ht="17.15" hidden="false" customHeight="false" outlineLevel="0" collapsed="false">
      <c r="A32" s="0" t="s">
        <v>4416</v>
      </c>
      <c r="B32" s="0" t="s">
        <v>4417</v>
      </c>
      <c r="C32" s="17" t="n">
        <f aca="false">g29_rb</f>
        <v>0.15</v>
      </c>
      <c r="D32" s="0" t="str">
        <f aca="false">g29_rb_lo&amp;"–"&amp;g29_rb_hi</f>
        <v>0.05–0.25</v>
      </c>
      <c r="F32" s="0" t="str">
        <f aca="false">IF(AND(C32&gt;=g29_rb_lo,C32&lt;=g29_rb_hi),"OK","ERROR")</f>
        <v>OK</v>
      </c>
      <c r="G32" s="6" t="s">
        <v>4388</v>
      </c>
    </row>
    <row r="33" customFormat="false" ht="17.15" hidden="false" customHeight="false" outlineLevel="0" collapsed="false">
      <c r="A33" s="0" t="s">
        <v>4418</v>
      </c>
      <c r="B33" s="0" t="s">
        <v>4419</v>
      </c>
      <c r="C33" s="17" t="n">
        <f aca="false">g29_ru</f>
        <v>0.15</v>
      </c>
      <c r="D33" s="0" t="str">
        <f aca="false">g29_ru_lo&amp;"–"&amp;g29_ru_hi</f>
        <v>0.05–0.25</v>
      </c>
      <c r="F33" s="0" t="str">
        <f aca="false">IF(AND(C33&gt;=g29_ru_lo,C33&lt;=g29_ru_hi),"OK","ERROR")</f>
        <v>OK</v>
      </c>
      <c r="G33" s="6" t="s">
        <v>4388</v>
      </c>
    </row>
    <row r="34" customFormat="false" ht="17.15" hidden="false" customHeight="false" outlineLevel="0" collapsed="false">
      <c r="A34" s="0" t="s">
        <v>4420</v>
      </c>
      <c r="B34" s="0" t="s">
        <v>4421</v>
      </c>
      <c r="C34" s="17" t="n">
        <f aca="false">g29_hp</f>
        <v>0</v>
      </c>
      <c r="D34" s="0" t="str">
        <f aca="false">g29_hp_lo&amp;"–"&amp;g29_hp_hi</f>
        <v>0–0</v>
      </c>
      <c r="F34" s="0" t="str">
        <f aca="false">IF(AND(C34&gt;=g29_hp_lo,C34&lt;=g29_hp_hi),"OK","ERROR")</f>
        <v>OK</v>
      </c>
      <c r="G34" s="6" t="s">
        <v>4388</v>
      </c>
    </row>
    <row r="35" customFormat="false" ht="17.15" hidden="false" customHeight="false" outlineLevel="0" collapsed="false">
      <c r="A35" s="0" t="s">
        <v>4422</v>
      </c>
      <c r="B35" s="0" t="s">
        <v>4423</v>
      </c>
      <c r="C35" s="17" t="n">
        <f aca="false">g29_amd</f>
        <v>0.15</v>
      </c>
      <c r="D35" s="0" t="str">
        <f aca="false">g29_amd_lo&amp;"–"&amp;g29_amd_hi</f>
        <v>0.05–0.25</v>
      </c>
      <c r="F35" s="0" t="str">
        <f aca="false">IF(AND(C35&gt;=g29_amd_lo,C35&lt;=g29_amd_hi),"OK","ERROR")</f>
        <v>OK</v>
      </c>
      <c r="G35" s="6" t="s">
        <v>4388</v>
      </c>
    </row>
    <row r="36" customFormat="false" ht="17.15" hidden="false" customHeight="false" outlineLevel="0" collapsed="false">
      <c r="A36" s="0" t="s">
        <v>4424</v>
      </c>
      <c r="B36" s="0" t="s">
        <v>4425</v>
      </c>
      <c r="C36" s="17" t="n">
        <f aca="false">g29_tpu</f>
        <v>0.15</v>
      </c>
      <c r="D36" s="0" t="str">
        <f aca="false">g29_tpu_lo&amp;"–"&amp;g29_tpu_hi</f>
        <v>0.05–0.25</v>
      </c>
      <c r="F36" s="0" t="str">
        <f aca="false">IF(AND(C36&gt;=g29_tpu_lo,C36&lt;=g29_tpu_hi),"OK","ERROR")</f>
        <v>OK</v>
      </c>
      <c r="G36" s="6" t="s">
        <v>4388</v>
      </c>
    </row>
    <row r="37" customFormat="false" ht="17.15" hidden="false" customHeight="false" outlineLevel="0" collapsed="false">
      <c r="A37" s="0" t="s">
        <v>4426</v>
      </c>
      <c r="B37" s="0" t="s">
        <v>4427</v>
      </c>
      <c r="C37" s="17" t="n">
        <f aca="false">g29_trn</f>
        <v>0.15</v>
      </c>
      <c r="D37" s="0" t="str">
        <f aca="false">g29_trn_lo&amp;"–"&amp;g29_trn_hi</f>
        <v>0.05–0.25</v>
      </c>
      <c r="F37" s="0" t="str">
        <f aca="false">IF(AND(C37&gt;=g29_trn_lo,C37&lt;=g29_trn_hi),"OK","ERROR")</f>
        <v>OK</v>
      </c>
      <c r="G37" s="6" t="s">
        <v>4388</v>
      </c>
    </row>
    <row r="38" customFormat="false" ht="17.15" hidden="false" customHeight="false" outlineLevel="0" collapsed="false">
      <c r="A38" s="0" t="s">
        <v>4428</v>
      </c>
      <c r="B38" s="0" t="s">
        <v>4429</v>
      </c>
      <c r="C38" s="17" t="n">
        <f aca="false">g29_oth</f>
        <v>0.15</v>
      </c>
      <c r="D38" s="0" t="str">
        <f aca="false">g29_oth_lo&amp;"–"&amp;g29_oth_hi</f>
        <v>0.05–0.25</v>
      </c>
      <c r="F38" s="0" t="str">
        <f aca="false">IF(AND(C38&gt;=g29_oth_lo,C38&lt;=g29_oth_hi),"OK","ERROR")</f>
        <v>OK</v>
      </c>
      <c r="G38" s="6" t="s">
        <v>4388</v>
      </c>
    </row>
    <row r="39" customFormat="false" ht="17.15" hidden="false" customHeight="false" outlineLevel="0" collapsed="false">
      <c r="A39" s="0" t="s">
        <v>4430</v>
      </c>
      <c r="B39" s="0" t="s">
        <v>4431</v>
      </c>
      <c r="C39" s="15" t="n">
        <f aca="false">ShareTbl!D7</f>
        <v>0.95</v>
      </c>
      <c r="D39" s="0" t="n">
        <v>1</v>
      </c>
      <c r="F39" s="0" t="str">
        <f aca="false">IF(C39&lt;=1+0.000000001,"OK","ERROR")</f>
        <v>OK</v>
      </c>
      <c r="G39" s="6" t="s">
        <v>4432</v>
      </c>
    </row>
    <row r="40" customFormat="false" ht="17.15" hidden="false" customHeight="false" outlineLevel="0" collapsed="false">
      <c r="A40" s="0" t="s">
        <v>4433</v>
      </c>
      <c r="B40" s="0" t="s">
        <v>4434</v>
      </c>
      <c r="C40" s="15" t="n">
        <f aca="false">ShareTbl!E7</f>
        <v>0.95</v>
      </c>
      <c r="D40" s="0" t="n">
        <v>1</v>
      </c>
      <c r="F40" s="0" t="str">
        <f aca="false">IF(C40&lt;=1+0.000000001,"OK","ERROR")</f>
        <v>OK</v>
      </c>
      <c r="G40" s="6" t="s">
        <v>4432</v>
      </c>
    </row>
    <row r="41" customFormat="false" ht="17.15" hidden="false" customHeight="false" outlineLevel="0" collapsed="false">
      <c r="A41" s="0" t="s">
        <v>4435</v>
      </c>
      <c r="B41" s="0" t="s">
        <v>4436</v>
      </c>
      <c r="C41" s="15" t="n">
        <f aca="false">ShareTbl!F7</f>
        <v>0.98</v>
      </c>
      <c r="D41" s="0" t="n">
        <v>1</v>
      </c>
      <c r="F41" s="0" t="str">
        <f aca="false">IF(C41&lt;=1+0.000000001,"OK","ERROR")</f>
        <v>OK</v>
      </c>
      <c r="G41" s="6" t="s">
        <v>4432</v>
      </c>
    </row>
    <row r="42" customFormat="false" ht="17.15" hidden="false" customHeight="false" outlineLevel="0" collapsed="false">
      <c r="A42" s="0" t="s">
        <v>4437</v>
      </c>
      <c r="B42" s="6" t="s">
        <v>4438</v>
      </c>
      <c r="C42" s="15" t="n">
        <f aca="false">ShareTbl!D13</f>
        <v>0.4</v>
      </c>
      <c r="D42" s="0" t="n">
        <v>1</v>
      </c>
      <c r="F42" s="0" t="str">
        <f aca="false">IF(C42&lt;=1+0.000000001,"OK","ERROR")</f>
        <v>OK</v>
      </c>
      <c r="G42" s="6" t="s">
        <v>4432</v>
      </c>
    </row>
    <row r="43" customFormat="false" ht="17.15" hidden="false" customHeight="false" outlineLevel="0" collapsed="false">
      <c r="A43" s="0" t="s">
        <v>4439</v>
      </c>
      <c r="B43" s="6" t="s">
        <v>4440</v>
      </c>
      <c r="C43" s="15" t="n">
        <f aca="false">ShareTbl!E13</f>
        <v>0.61</v>
      </c>
      <c r="D43" s="0" t="n">
        <v>1</v>
      </c>
      <c r="F43" s="0" t="str">
        <f aca="false">IF(C43&lt;=1+0.000000001,"OK","ERROR")</f>
        <v>OK</v>
      </c>
      <c r="G43" s="6" t="s">
        <v>4432</v>
      </c>
    </row>
    <row r="44" customFormat="false" ht="17.15" hidden="false" customHeight="false" outlineLevel="0" collapsed="false">
      <c r="A44" s="0" t="s">
        <v>4441</v>
      </c>
      <c r="B44" s="6" t="s">
        <v>4442</v>
      </c>
      <c r="C44" s="15" t="n">
        <f aca="false">ShareTbl!F13</f>
        <v>0.7</v>
      </c>
      <c r="D44" s="0" t="n">
        <v>1</v>
      </c>
      <c r="F44" s="0" t="str">
        <f aca="false">IF(C44&lt;=1+0.000000001,"OK","ERROR")</f>
        <v>OK</v>
      </c>
      <c r="G44" s="6" t="s">
        <v>4432</v>
      </c>
    </row>
    <row r="45" customFormat="false" ht="17.15" hidden="false" customHeight="false" outlineLevel="0" collapsed="false">
      <c r="A45" s="0" t="s">
        <v>4443</v>
      </c>
      <c r="B45" s="0" t="s">
        <v>4444</v>
      </c>
      <c r="C45" s="15" t="n">
        <f aca="false">ShareTbl!D18</f>
        <v>0.4</v>
      </c>
      <c r="D45" s="0" t="n">
        <v>1</v>
      </c>
      <c r="F45" s="0" t="str">
        <f aca="false">IF(C45&lt;=1+0.000000001,"OK","ERROR")</f>
        <v>OK</v>
      </c>
      <c r="G45" s="6" t="s">
        <v>4432</v>
      </c>
    </row>
    <row r="46" customFormat="false" ht="17.15" hidden="false" customHeight="false" outlineLevel="0" collapsed="false">
      <c r="A46" s="0" t="s">
        <v>4445</v>
      </c>
      <c r="B46" s="0" t="s">
        <v>4446</v>
      </c>
      <c r="C46" s="15" t="n">
        <f aca="false">ShareTbl!E18</f>
        <v>0.65</v>
      </c>
      <c r="D46" s="0" t="n">
        <v>1</v>
      </c>
      <c r="F46" s="0" t="str">
        <f aca="false">IF(C46&lt;=1+0.000000001,"OK","ERROR")</f>
        <v>OK</v>
      </c>
      <c r="G46" s="6" t="s">
        <v>4432</v>
      </c>
    </row>
    <row r="47" customFormat="false" ht="17.15" hidden="false" customHeight="false" outlineLevel="0" collapsed="false">
      <c r="A47" s="0" t="s">
        <v>4447</v>
      </c>
      <c r="B47" s="0" t="s">
        <v>4448</v>
      </c>
      <c r="C47" s="15" t="n">
        <f aca="false">ShareTbl!F18</f>
        <v>0.63</v>
      </c>
      <c r="D47" s="0" t="n">
        <v>1</v>
      </c>
      <c r="F47" s="0" t="str">
        <f aca="false">IF(C47&lt;=1+0.000000001,"OK","ERROR")</f>
        <v>OK</v>
      </c>
      <c r="G47" s="6" t="s">
        <v>4432</v>
      </c>
    </row>
    <row r="48" customFormat="false" ht="17.15" hidden="false" customHeight="false" outlineLevel="0" collapsed="false">
      <c r="A48" s="0" t="s">
        <v>4449</v>
      </c>
      <c r="B48" s="0" t="s">
        <v>4450</v>
      </c>
      <c r="C48" s="15" t="n">
        <f aca="false">ShareTbl!D23</f>
        <v>0.4</v>
      </c>
      <c r="D48" s="0" t="n">
        <v>1</v>
      </c>
      <c r="F48" s="0" t="str">
        <f aca="false">IF(C48&lt;=1+0.000000001,"OK","ERROR")</f>
        <v>OK</v>
      </c>
      <c r="G48" s="6" t="s">
        <v>4432</v>
      </c>
    </row>
    <row r="49" customFormat="false" ht="17.15" hidden="false" customHeight="false" outlineLevel="0" collapsed="false">
      <c r="A49" s="0" t="s">
        <v>4451</v>
      </c>
      <c r="B49" s="0" t="s">
        <v>4452</v>
      </c>
      <c r="C49" s="15" t="n">
        <f aca="false">ShareTbl!E23</f>
        <v>0.6</v>
      </c>
      <c r="D49" s="0" t="n">
        <v>1</v>
      </c>
      <c r="F49" s="0" t="str">
        <f aca="false">IF(C49&lt;=1+0.000000001,"OK","ERROR")</f>
        <v>OK</v>
      </c>
      <c r="G49" s="6" t="s">
        <v>4432</v>
      </c>
    </row>
    <row r="50" customFormat="false" ht="17.15" hidden="false" customHeight="false" outlineLevel="0" collapsed="false">
      <c r="A50" s="0" t="s">
        <v>4453</v>
      </c>
      <c r="B50" s="0" t="s">
        <v>4454</v>
      </c>
      <c r="C50" s="15" t="n">
        <f aca="false">ShareTbl!F23</f>
        <v>0.53</v>
      </c>
      <c r="D50" s="0" t="n">
        <v>1</v>
      </c>
      <c r="F50" s="0" t="str">
        <f aca="false">IF(C50&lt;=1+0.000000001,"OK","ERROR")</f>
        <v>OK</v>
      </c>
      <c r="G50" s="6" t="s">
        <v>4432</v>
      </c>
    </row>
    <row r="51" customFormat="false" ht="17.15" hidden="false" customHeight="false" outlineLevel="0" collapsed="false">
      <c r="A51" s="0" t="s">
        <v>4455</v>
      </c>
      <c r="B51" s="0" t="s">
        <v>4456</v>
      </c>
      <c r="C51" s="15" t="n">
        <f aca="false">ShareTbl!D28</f>
        <v>0.4</v>
      </c>
      <c r="D51" s="0" t="n">
        <v>1</v>
      </c>
      <c r="F51" s="0" t="str">
        <f aca="false">IF(C51&lt;=1+0.000000001,"OK","ERROR")</f>
        <v>OK</v>
      </c>
      <c r="G51" s="6" t="s">
        <v>4432</v>
      </c>
    </row>
    <row r="52" customFormat="false" ht="17.15" hidden="false" customHeight="false" outlineLevel="0" collapsed="false">
      <c r="A52" s="0" t="s">
        <v>4457</v>
      </c>
      <c r="B52" s="0" t="s">
        <v>4458</v>
      </c>
      <c r="C52" s="15" t="n">
        <f aca="false">ShareTbl!E28</f>
        <v>0.5</v>
      </c>
      <c r="D52" s="0" t="n">
        <v>1</v>
      </c>
      <c r="F52" s="0" t="str">
        <f aca="false">IF(C52&lt;=1+0.000000001,"OK","ERROR")</f>
        <v>OK</v>
      </c>
      <c r="G52" s="6" t="s">
        <v>4432</v>
      </c>
    </row>
    <row r="53" customFormat="false" ht="17.15" hidden="false" customHeight="false" outlineLevel="0" collapsed="false">
      <c r="A53" s="0" t="s">
        <v>4459</v>
      </c>
      <c r="B53" s="0" t="s">
        <v>4460</v>
      </c>
      <c r="C53" s="15" t="n">
        <f aca="false">ShareTbl!F28</f>
        <v>0.43</v>
      </c>
      <c r="D53" s="0" t="n">
        <v>1</v>
      </c>
      <c r="F53" s="0" t="str">
        <f aca="false">IF(C53&lt;=1+0.000000001,"OK","ERROR")</f>
        <v>OK</v>
      </c>
      <c r="G53" s="6" t="s">
        <v>4432</v>
      </c>
    </row>
    <row r="54" customFormat="false" ht="17.15" hidden="false" customHeight="false" outlineLevel="0" collapsed="false">
      <c r="A54" s="0" t="s">
        <v>4461</v>
      </c>
      <c r="B54" s="0" t="s">
        <v>4462</v>
      </c>
      <c r="C54" s="15" t="n">
        <f aca="false">ShareTbl!D36</f>
        <v>0.5</v>
      </c>
      <c r="D54" s="0" t="n">
        <v>1</v>
      </c>
      <c r="F54" s="0" t="str">
        <f aca="false">IF(C54&lt;=1+0.000000001,"OK","ERROR")</f>
        <v>OK</v>
      </c>
      <c r="G54" s="6" t="s">
        <v>4432</v>
      </c>
    </row>
    <row r="55" customFormat="false" ht="17.15" hidden="false" customHeight="false" outlineLevel="0" collapsed="false">
      <c r="A55" s="0" t="s">
        <v>4463</v>
      </c>
      <c r="B55" s="0" t="s">
        <v>4464</v>
      </c>
      <c r="C55" s="15" t="n">
        <f aca="false">ShareTbl!E36</f>
        <v>0.65</v>
      </c>
      <c r="D55" s="0" t="n">
        <v>1</v>
      </c>
      <c r="F55" s="0" t="str">
        <f aca="false">IF(C55&lt;=1+0.000000001,"OK","ERROR")</f>
        <v>OK</v>
      </c>
      <c r="G55" s="6" t="s">
        <v>4432</v>
      </c>
    </row>
    <row r="56" customFormat="false" ht="17.15" hidden="false" customHeight="false" outlineLevel="0" collapsed="false">
      <c r="A56" s="0" t="s">
        <v>4465</v>
      </c>
      <c r="B56" s="0" t="s">
        <v>4466</v>
      </c>
      <c r="C56" s="15" t="n">
        <f aca="false">ShareTbl!F36</f>
        <v>0.75</v>
      </c>
      <c r="D56" s="0" t="n">
        <v>1</v>
      </c>
      <c r="F56" s="0" t="str">
        <f aca="false">IF(C56&lt;=1+0.000000001,"OK","ERROR")</f>
        <v>OK</v>
      </c>
      <c r="G56" s="6" t="s">
        <v>4432</v>
      </c>
    </row>
    <row r="57" customFormat="false" ht="17.15" hidden="false" customHeight="false" outlineLevel="0" collapsed="false">
      <c r="A57" s="0" t="s">
        <v>4467</v>
      </c>
      <c r="B57" s="0" t="s">
        <v>4468</v>
      </c>
      <c r="C57" s="17" t="n">
        <f aca="false">ShareTbl!D45</f>
        <v>0.99</v>
      </c>
      <c r="D57" s="0" t="n">
        <v>1</v>
      </c>
      <c r="F57" s="0" t="str">
        <f aca="false">IF(C57&lt;=1+0.000000001,"OK","ERROR")</f>
        <v>OK</v>
      </c>
      <c r="G57" s="6" t="s">
        <v>4432</v>
      </c>
    </row>
    <row r="58" customFormat="false" ht="17.15" hidden="false" customHeight="false" outlineLevel="0" collapsed="false">
      <c r="A58" s="0" t="s">
        <v>4469</v>
      </c>
      <c r="B58" s="0" t="s">
        <v>4470</v>
      </c>
      <c r="C58" s="17" t="n">
        <f aca="false">ShareTbl!E45</f>
        <v>0.995</v>
      </c>
      <c r="D58" s="0" t="n">
        <v>1</v>
      </c>
      <c r="F58" s="0" t="str">
        <f aca="false">IF(C58&lt;=1+0.000000001,"OK","ERROR")</f>
        <v>OK</v>
      </c>
      <c r="G58" s="6" t="s">
        <v>4432</v>
      </c>
    </row>
    <row r="59" customFormat="false" ht="17.15" hidden="false" customHeight="false" outlineLevel="0" collapsed="false">
      <c r="A59" s="0" t="s">
        <v>4471</v>
      </c>
      <c r="B59" s="0" t="s">
        <v>4472</v>
      </c>
      <c r="C59" s="17" t="n">
        <f aca="false">ShareTbl!F45</f>
        <v>0.996</v>
      </c>
      <c r="D59" s="0" t="n">
        <v>1</v>
      </c>
      <c r="F59" s="0" t="str">
        <f aca="false">IF(C59&lt;=1+0.000000001,"OK","ERROR")</f>
        <v>OK</v>
      </c>
      <c r="G59" s="6" t="s">
        <v>4432</v>
      </c>
    </row>
    <row r="60" customFormat="false" ht="17.15" hidden="false" customHeight="false" outlineLevel="0" collapsed="false">
      <c r="A60" s="0" t="s">
        <v>4473</v>
      </c>
      <c r="B60" s="0" t="s">
        <v>4474</v>
      </c>
      <c r="C60" s="17" t="n">
        <f aca="false">ShareTbl!G45</f>
        <v>0.995</v>
      </c>
      <c r="D60" s="0" t="n">
        <v>1</v>
      </c>
      <c r="F60" s="0" t="str">
        <f aca="false">IF(C60&lt;=1+0.000000001,"OK","ERROR")</f>
        <v>OK</v>
      </c>
      <c r="G60" s="6" t="s">
        <v>4432</v>
      </c>
    </row>
    <row r="61" customFormat="false" ht="17.15" hidden="false" customHeight="false" outlineLevel="0" collapsed="false">
      <c r="A61" s="0" t="s">
        <v>4475</v>
      </c>
      <c r="B61" s="6" t="s">
        <v>4476</v>
      </c>
      <c r="C61" s="17" t="n">
        <f aca="false">ShareTbl!D52</f>
        <v>0.88</v>
      </c>
      <c r="D61" s="0" t="n">
        <v>1</v>
      </c>
      <c r="F61" s="0" t="str">
        <f aca="false">IF(C61&lt;=1+0.000000001,"OK","ERROR")</f>
        <v>OK</v>
      </c>
      <c r="G61" s="6" t="s">
        <v>4432</v>
      </c>
    </row>
    <row r="62" customFormat="false" ht="17.15" hidden="false" customHeight="false" outlineLevel="0" collapsed="false">
      <c r="A62" s="0" t="s">
        <v>4477</v>
      </c>
      <c r="B62" s="6" t="s">
        <v>4478</v>
      </c>
      <c r="C62" s="17" t="n">
        <f aca="false">ShareTbl!E52</f>
        <v>0.895</v>
      </c>
      <c r="D62" s="0" t="n">
        <v>1</v>
      </c>
      <c r="F62" s="0" t="str">
        <f aca="false">IF(C62&lt;=1+0.000000001,"OK","ERROR")</f>
        <v>OK</v>
      </c>
      <c r="G62" s="6" t="s">
        <v>4432</v>
      </c>
    </row>
    <row r="63" customFormat="false" ht="17.15" hidden="false" customHeight="false" outlineLevel="0" collapsed="false">
      <c r="A63" s="0" t="s">
        <v>4479</v>
      </c>
      <c r="B63" s="6" t="s">
        <v>4480</v>
      </c>
      <c r="C63" s="17" t="n">
        <f aca="false">ShareTbl!F52</f>
        <v>0.89</v>
      </c>
      <c r="D63" s="0" t="n">
        <v>1</v>
      </c>
      <c r="F63" s="0" t="str">
        <f aca="false">IF(C63&lt;=1+0.000000001,"OK","ERROR")</f>
        <v>OK</v>
      </c>
      <c r="G63" s="6" t="s">
        <v>4432</v>
      </c>
    </row>
    <row r="64" customFormat="false" ht="17.15" hidden="false" customHeight="false" outlineLevel="0" collapsed="false">
      <c r="A64" s="0" t="s">
        <v>4481</v>
      </c>
      <c r="B64" s="6" t="s">
        <v>4482</v>
      </c>
      <c r="C64" s="17" t="n">
        <f aca="false">ShareTbl!G52</f>
        <v>0.885</v>
      </c>
      <c r="D64" s="0" t="n">
        <v>1</v>
      </c>
      <c r="F64" s="0" t="str">
        <f aca="false">IF(C64&lt;=1+0.000000001,"OK","ERROR")</f>
        <v>OK</v>
      </c>
      <c r="G64" s="6" t="s">
        <v>4432</v>
      </c>
    </row>
    <row r="65" customFormat="false" ht="17.15" hidden="false" customHeight="false" outlineLevel="0" collapsed="false">
      <c r="A65" s="0" t="s">
        <v>4483</v>
      </c>
      <c r="B65" s="0" t="s">
        <v>4484</v>
      </c>
      <c r="C65" s="17" t="n">
        <f aca="false">ShareTbl!D58</f>
        <v>0.759815255723819</v>
      </c>
      <c r="D65" s="0" t="n">
        <v>1</v>
      </c>
      <c r="F65" s="0" t="str">
        <f aca="false">IF(C65&lt;=1+0.000000001,"OK","ERROR")</f>
        <v>OK</v>
      </c>
      <c r="G65" s="6" t="s">
        <v>4432</v>
      </c>
    </row>
    <row r="66" customFormat="false" ht="17.15" hidden="false" customHeight="false" outlineLevel="0" collapsed="false">
      <c r="A66" s="0" t="s">
        <v>4485</v>
      </c>
      <c r="B66" s="0" t="s">
        <v>4486</v>
      </c>
      <c r="C66" s="17" t="n">
        <f aca="false">ShareTbl!E58</f>
        <v>0.748245990386685</v>
      </c>
      <c r="D66" s="0" t="n">
        <v>1</v>
      </c>
      <c r="F66" s="0" t="str">
        <f aca="false">IF(C66&lt;=1+0.000000001,"OK","ERROR")</f>
        <v>OK</v>
      </c>
      <c r="G66" s="6" t="s">
        <v>4432</v>
      </c>
    </row>
    <row r="67" customFormat="false" ht="17.15" hidden="false" customHeight="false" outlineLevel="0" collapsed="false">
      <c r="A67" s="0" t="s">
        <v>4487</v>
      </c>
      <c r="B67" s="0" t="s">
        <v>4488</v>
      </c>
      <c r="C67" s="17" t="n">
        <f aca="false">ShareTbl!F58</f>
        <v>0.736676725049551</v>
      </c>
      <c r="D67" s="0" t="n">
        <v>1</v>
      </c>
      <c r="F67" s="0" t="str">
        <f aca="false">IF(C67&lt;=1+0.000000001,"OK","ERROR")</f>
        <v>OK</v>
      </c>
      <c r="G67" s="6" t="s">
        <v>4432</v>
      </c>
    </row>
    <row r="68" customFormat="false" ht="17.15" hidden="false" customHeight="false" outlineLevel="0" collapsed="false">
      <c r="A68" s="0" t="s">
        <v>4489</v>
      </c>
      <c r="B68" s="0" t="s">
        <v>4490</v>
      </c>
      <c r="C68" s="17" t="n">
        <f aca="false">ShareTbl!G58</f>
        <v>0.716300293896065</v>
      </c>
      <c r="D68" s="0" t="n">
        <v>1</v>
      </c>
      <c r="F68" s="0" t="str">
        <f aca="false">IF(C68&lt;=1+0.000000001,"OK","ERROR")</f>
        <v>OK</v>
      </c>
      <c r="G68" s="6" t="s">
        <v>4432</v>
      </c>
    </row>
    <row r="69" customFormat="false" ht="17.15" hidden="false" customHeight="false" outlineLevel="0" collapsed="false">
      <c r="A69" s="0" t="s">
        <v>4491</v>
      </c>
      <c r="B69" s="0" t="s">
        <v>4492</v>
      </c>
      <c r="C69" s="17" t="n">
        <f aca="false">ShareTbl!D63</f>
        <v>0.759815255723819</v>
      </c>
      <c r="D69" s="0" t="n">
        <v>1</v>
      </c>
      <c r="F69" s="0" t="str">
        <f aca="false">IF(C69&lt;=1+0.000000001,"OK","ERROR")</f>
        <v>OK</v>
      </c>
      <c r="G69" s="6" t="s">
        <v>4432</v>
      </c>
    </row>
    <row r="70" customFormat="false" ht="17.15" hidden="false" customHeight="false" outlineLevel="0" collapsed="false">
      <c r="A70" s="0" t="s">
        <v>4493</v>
      </c>
      <c r="B70" s="0" t="s">
        <v>4494</v>
      </c>
      <c r="C70" s="17" t="n">
        <f aca="false">ShareTbl!E63</f>
        <v>0.73063165875398</v>
      </c>
      <c r="D70" s="0" t="n">
        <v>1</v>
      </c>
      <c r="F70" s="0" t="str">
        <f aca="false">IF(C70&lt;=1+0.000000001,"OK","ERROR")</f>
        <v>OK</v>
      </c>
      <c r="G70" s="6" t="s">
        <v>4432</v>
      </c>
    </row>
    <row r="71" customFormat="false" ht="17.15" hidden="false" customHeight="false" outlineLevel="0" collapsed="false">
      <c r="A71" s="0" t="s">
        <v>4495</v>
      </c>
      <c r="B71" s="0" t="s">
        <v>4496</v>
      </c>
      <c r="C71" s="17" t="n">
        <f aca="false">ShareTbl!F63</f>
        <v>0.701448061784142</v>
      </c>
      <c r="D71" s="0" t="n">
        <v>1</v>
      </c>
      <c r="F71" s="0" t="str">
        <f aca="false">IF(C71&lt;=1+0.000000001,"OK","ERROR")</f>
        <v>OK</v>
      </c>
      <c r="G71" s="6" t="s">
        <v>4432</v>
      </c>
    </row>
    <row r="72" customFormat="false" ht="17.15" hidden="false" customHeight="false" outlineLevel="0" collapsed="false">
      <c r="A72" s="0" t="s">
        <v>4497</v>
      </c>
      <c r="B72" s="0" t="s">
        <v>4498</v>
      </c>
      <c r="C72" s="17" t="n">
        <f aca="false">ShareTbl!G63</f>
        <v>0.672264464814303</v>
      </c>
      <c r="D72" s="0" t="n">
        <v>1</v>
      </c>
      <c r="F72" s="0" t="str">
        <f aca="false">IF(C72&lt;=1+0.000000001,"OK","ERROR")</f>
        <v>OK</v>
      </c>
      <c r="G72" s="6" t="s">
        <v>4432</v>
      </c>
    </row>
    <row r="73" customFormat="false" ht="17.15" hidden="false" customHeight="false" outlineLevel="0" collapsed="false">
      <c r="A73" s="0" t="s">
        <v>4499</v>
      </c>
      <c r="B73" s="0" t="s">
        <v>4500</v>
      </c>
      <c r="C73" s="17" t="n">
        <f aca="false">ShareTbl!D68</f>
        <v>0.759815255723819</v>
      </c>
      <c r="D73" s="0" t="n">
        <v>1</v>
      </c>
      <c r="F73" s="0" t="str">
        <f aca="false">IF(C73&lt;=1+0.000000001,"OK","ERROR")</f>
        <v>OK</v>
      </c>
      <c r="G73" s="6" t="s">
        <v>4432</v>
      </c>
    </row>
    <row r="74" customFormat="false" ht="17.15" hidden="false" customHeight="false" outlineLevel="0" collapsed="false">
      <c r="A74" s="0" t="s">
        <v>4501</v>
      </c>
      <c r="B74" s="0" t="s">
        <v>4502</v>
      </c>
      <c r="C74" s="17" t="n">
        <f aca="false">ShareTbl!E68</f>
        <v>0.704210161304923</v>
      </c>
      <c r="D74" s="0" t="n">
        <v>1</v>
      </c>
      <c r="F74" s="0" t="str">
        <f aca="false">IF(C74&lt;=1+0.000000001,"OK","ERROR")</f>
        <v>OK</v>
      </c>
      <c r="G74" s="6" t="s">
        <v>4432</v>
      </c>
    </row>
    <row r="75" customFormat="false" ht="17.15" hidden="false" customHeight="false" outlineLevel="0" collapsed="false">
      <c r="A75" s="0" t="s">
        <v>4503</v>
      </c>
      <c r="B75" s="0" t="s">
        <v>4504</v>
      </c>
      <c r="C75" s="17" t="n">
        <f aca="false">ShareTbl!F68</f>
        <v>0.666219398518733</v>
      </c>
      <c r="D75" s="0" t="n">
        <v>1</v>
      </c>
      <c r="F75" s="0" t="str">
        <f aca="false">IF(C75&lt;=1+0.000000001,"OK","ERROR")</f>
        <v>OK</v>
      </c>
      <c r="G75" s="6" t="s">
        <v>4432</v>
      </c>
    </row>
    <row r="76" customFormat="false" ht="17.15" hidden="false" customHeight="false" outlineLevel="0" collapsed="false">
      <c r="A76" s="0" t="s">
        <v>4505</v>
      </c>
      <c r="B76" s="0" t="s">
        <v>4506</v>
      </c>
      <c r="C76" s="17" t="n">
        <f aca="false">ShareTbl!G68</f>
        <v>0.628228635732542</v>
      </c>
      <c r="D76" s="0" t="n">
        <v>1</v>
      </c>
      <c r="F76" s="0" t="str">
        <f aca="false">IF(C76&lt;=1+0.000000001,"OK","ERROR")</f>
        <v>OK</v>
      </c>
      <c r="G76" s="6" t="s">
        <v>4432</v>
      </c>
    </row>
    <row r="77" customFormat="false" ht="17.15" hidden="false" customHeight="false" outlineLevel="0" collapsed="false">
      <c r="A77" s="0" t="s">
        <v>4507</v>
      </c>
      <c r="B77" s="0" t="s">
        <v>4508</v>
      </c>
      <c r="C77" s="17" t="n">
        <f aca="false">ShareTbl!D75</f>
        <v>0.657628417556847</v>
      </c>
      <c r="D77" s="0" t="n">
        <v>1</v>
      </c>
      <c r="F77" s="0" t="str">
        <f aca="false">IF(C77&lt;=1+0.000000001,"OK","ERROR")</f>
        <v>OK</v>
      </c>
      <c r="G77" s="6" t="s">
        <v>4432</v>
      </c>
    </row>
    <row r="78" customFormat="false" ht="17.15" hidden="false" customHeight="false" outlineLevel="0" collapsed="false">
      <c r="A78" s="0" t="s">
        <v>4509</v>
      </c>
      <c r="B78" s="0" t="s">
        <v>4510</v>
      </c>
      <c r="C78" s="17" t="n">
        <f aca="false">ShareTbl!E75</f>
        <v>0.655617074323022</v>
      </c>
      <c r="D78" s="0" t="n">
        <v>1</v>
      </c>
      <c r="F78" s="0" t="str">
        <f aca="false">IF(C78&lt;=1+0.000000001,"OK","ERROR")</f>
        <v>OK</v>
      </c>
      <c r="G78" s="6" t="s">
        <v>4432</v>
      </c>
    </row>
    <row r="79" customFormat="false" ht="17.15" hidden="false" customHeight="false" outlineLevel="0" collapsed="false">
      <c r="A79" s="0" t="s">
        <v>4511</v>
      </c>
      <c r="B79" s="0" t="s">
        <v>4512</v>
      </c>
      <c r="C79" s="17" t="n">
        <f aca="false">ShareTbl!F75</f>
        <v>0.645670692267188</v>
      </c>
      <c r="D79" s="0" t="n">
        <v>1</v>
      </c>
      <c r="F79" s="0" t="str">
        <f aca="false">IF(C79&lt;=1+0.000000001,"OK","ERROR")</f>
        <v>OK</v>
      </c>
      <c r="G79" s="6" t="s">
        <v>4432</v>
      </c>
    </row>
    <row r="80" customFormat="false" ht="17.15" hidden="false" customHeight="false" outlineLevel="0" collapsed="false">
      <c r="A80" s="0" t="s">
        <v>4513</v>
      </c>
      <c r="B80" s="0" t="s">
        <v>4514</v>
      </c>
      <c r="C80" s="17" t="n">
        <f aca="false">ShareTbl!G75</f>
        <v>0.635724310211354</v>
      </c>
      <c r="D80" s="0" t="n">
        <v>1</v>
      </c>
      <c r="F80" s="0" t="str">
        <f aca="false">IF(C80&lt;=1+0.000000001,"OK","ERROR")</f>
        <v>OK</v>
      </c>
      <c r="G80" s="6" t="s">
        <v>4432</v>
      </c>
    </row>
    <row r="81" customFormat="false" ht="17.15" hidden="false" customHeight="false" outlineLevel="0" collapsed="false">
      <c r="A81" s="0" t="s">
        <v>4515</v>
      </c>
      <c r="B81" s="0" t="s">
        <v>4516</v>
      </c>
      <c r="C81" s="17" t="n">
        <f aca="false">ShareTbl!D81</f>
        <v>0.657628417556847</v>
      </c>
      <c r="D81" s="0" t="n">
        <v>1</v>
      </c>
      <c r="F81" s="0" t="str">
        <f aca="false">IF(C81&lt;=1+0.000000001,"OK","ERROR")</f>
        <v>OK</v>
      </c>
      <c r="G81" s="6" t="s">
        <v>4432</v>
      </c>
    </row>
    <row r="82" customFormat="false" ht="17.15" hidden="false" customHeight="false" outlineLevel="0" collapsed="false">
      <c r="A82" s="0" t="s">
        <v>4517</v>
      </c>
      <c r="B82" s="0" t="s">
        <v>4518</v>
      </c>
      <c r="C82" s="17" t="n">
        <f aca="false">ShareTbl!E81</f>
        <v>0.632746996679005</v>
      </c>
      <c r="D82" s="0" t="n">
        <v>1</v>
      </c>
      <c r="F82" s="0" t="str">
        <f aca="false">IF(C82&lt;=1+0.000000001,"OK","ERROR")</f>
        <v>OK</v>
      </c>
      <c r="G82" s="6" t="s">
        <v>4432</v>
      </c>
    </row>
    <row r="83" customFormat="false" ht="17.15" hidden="false" customHeight="false" outlineLevel="0" collapsed="false">
      <c r="A83" s="0" t="s">
        <v>4519</v>
      </c>
      <c r="B83" s="0" t="s">
        <v>4520</v>
      </c>
      <c r="C83" s="17" t="n">
        <f aca="false">ShareTbl!F81</f>
        <v>0.606865575801162</v>
      </c>
      <c r="D83" s="0" t="n">
        <v>1</v>
      </c>
      <c r="F83" s="0" t="str">
        <f aca="false">IF(C83&lt;=1+0.000000001,"OK","ERROR")</f>
        <v>OK</v>
      </c>
      <c r="G83" s="6" t="s">
        <v>4432</v>
      </c>
    </row>
    <row r="84" customFormat="false" ht="17.15" hidden="false" customHeight="false" outlineLevel="0" collapsed="false">
      <c r="A84" s="0" t="s">
        <v>4521</v>
      </c>
      <c r="B84" s="0" t="s">
        <v>4522</v>
      </c>
      <c r="C84" s="17" t="n">
        <f aca="false">ShareTbl!G81</f>
        <v>0.58398415492332</v>
      </c>
      <c r="D84" s="0" t="n">
        <v>1</v>
      </c>
      <c r="F84" s="0" t="str">
        <f aca="false">IF(C84&lt;=1+0.000000001,"OK","ERROR")</f>
        <v>OK</v>
      </c>
      <c r="G84" s="6" t="s">
        <v>4432</v>
      </c>
    </row>
    <row r="85" customFormat="false" ht="17.15" hidden="false" customHeight="false" outlineLevel="0" collapsed="false">
      <c r="A85" s="0" t="s">
        <v>4523</v>
      </c>
      <c r="B85" s="0" t="s">
        <v>4524</v>
      </c>
      <c r="C85" s="17" t="n">
        <f aca="false">ShareTbl!D87</f>
        <v>0.657628417556847</v>
      </c>
      <c r="D85" s="0" t="n">
        <v>1</v>
      </c>
      <c r="F85" s="0" t="str">
        <f aca="false">IF(C85&lt;=1+0.000000001,"OK","ERROR")</f>
        <v>OK</v>
      </c>
      <c r="G85" s="6" t="s">
        <v>4432</v>
      </c>
    </row>
    <row r="86" customFormat="false" ht="17.15" hidden="false" customHeight="false" outlineLevel="0" collapsed="false">
      <c r="A86" s="0" t="s">
        <v>4525</v>
      </c>
      <c r="B86" s="0" t="s">
        <v>4526</v>
      </c>
      <c r="C86" s="17" t="n">
        <f aca="false">ShareTbl!E87</f>
        <v>0.611876919034988</v>
      </c>
      <c r="D86" s="0" t="n">
        <v>1</v>
      </c>
      <c r="F86" s="0" t="str">
        <f aca="false">IF(C86&lt;=1+0.000000001,"OK","ERROR")</f>
        <v>OK</v>
      </c>
      <c r="G86" s="6" t="s">
        <v>4432</v>
      </c>
    </row>
    <row r="87" customFormat="false" ht="17.15" hidden="false" customHeight="false" outlineLevel="0" collapsed="false">
      <c r="A87" s="0" t="s">
        <v>4527</v>
      </c>
      <c r="B87" s="0" t="s">
        <v>4528</v>
      </c>
      <c r="C87" s="17" t="n">
        <f aca="false">ShareTbl!F87</f>
        <v>0.574060459335137</v>
      </c>
      <c r="D87" s="0" t="n">
        <v>1</v>
      </c>
      <c r="F87" s="0" t="str">
        <f aca="false">IF(C87&lt;=1+0.000000001,"OK","ERROR")</f>
        <v>OK</v>
      </c>
      <c r="G87" s="6" t="s">
        <v>4432</v>
      </c>
    </row>
    <row r="88" customFormat="false" ht="17.15" hidden="false" customHeight="false" outlineLevel="0" collapsed="false">
      <c r="A88" s="0" t="s">
        <v>4529</v>
      </c>
      <c r="B88" s="0" t="s">
        <v>4530</v>
      </c>
      <c r="C88" s="17" t="n">
        <f aca="false">ShareTbl!G87</f>
        <v>0.545179038457294</v>
      </c>
      <c r="D88" s="0" t="n">
        <v>1</v>
      </c>
      <c r="F88" s="0" t="str">
        <f aca="false">IF(C88&lt;=1+0.000000001,"OK","ERROR")</f>
        <v>OK</v>
      </c>
      <c r="G88" s="6" t="s">
        <v>4432</v>
      </c>
    </row>
    <row r="89" customFormat="false" ht="17.15" hidden="false" customHeight="false" outlineLevel="0" collapsed="false">
      <c r="A89" s="0" t="s">
        <v>4531</v>
      </c>
      <c r="B89" s="0" t="s">
        <v>4532</v>
      </c>
      <c r="C89" s="17" t="n">
        <f aca="false">ShareTbl!D107</f>
        <v>0.430493339841029</v>
      </c>
      <c r="D89" s="0" t="n">
        <v>1</v>
      </c>
      <c r="F89" s="0" t="str">
        <f aca="false">IF(C89&lt;=1+0.000000001,"OK","ERROR")</f>
        <v>OK</v>
      </c>
      <c r="G89" s="6" t="s">
        <v>4432</v>
      </c>
    </row>
    <row r="90" customFormat="false" ht="17.15" hidden="false" customHeight="false" outlineLevel="0" collapsed="false">
      <c r="A90" s="0" t="s">
        <v>4533</v>
      </c>
      <c r="B90" s="0" t="s">
        <v>4534</v>
      </c>
      <c r="C90" s="17" t="n">
        <f aca="false">ShareTbl!E107</f>
        <v>0.445899112449306</v>
      </c>
      <c r="D90" s="0" t="n">
        <v>1</v>
      </c>
      <c r="F90" s="0" t="str">
        <f aca="false">IF(C90&lt;=1+0.000000001,"OK","ERROR")</f>
        <v>OK</v>
      </c>
      <c r="G90" s="6" t="s">
        <v>4432</v>
      </c>
    </row>
    <row r="91" customFormat="false" ht="17.15" hidden="false" customHeight="false" outlineLevel="0" collapsed="false">
      <c r="A91" s="0" t="s">
        <v>4535</v>
      </c>
      <c r="B91" s="0" t="s">
        <v>4536</v>
      </c>
      <c r="C91" s="17" t="n">
        <f aca="false">ShareTbl!F107</f>
        <v>0.435855161598586</v>
      </c>
      <c r="D91" s="0" t="n">
        <v>1</v>
      </c>
      <c r="F91" s="0" t="str">
        <f aca="false">IF(C91&lt;=1+0.000000001,"OK","ERROR")</f>
        <v>OK</v>
      </c>
      <c r="G91" s="6" t="s">
        <v>4432</v>
      </c>
    </row>
    <row r="92" customFormat="false" ht="17.15" hidden="false" customHeight="false" outlineLevel="0" collapsed="false">
      <c r="A92" s="0" t="s">
        <v>4537</v>
      </c>
      <c r="B92" s="0" t="s">
        <v>4538</v>
      </c>
      <c r="C92" s="17" t="n">
        <f aca="false">ShareTbl!G107</f>
        <v>0.413994920647769</v>
      </c>
      <c r="D92" s="0" t="n">
        <v>1</v>
      </c>
      <c r="F92" s="0" t="str">
        <f aca="false">IF(C92&lt;=1+0.000000001,"OK","ERROR")</f>
        <v>OK</v>
      </c>
      <c r="G92" s="6" t="s">
        <v>4432</v>
      </c>
    </row>
    <row r="93" customFormat="false" ht="17.15" hidden="false" customHeight="false" outlineLevel="0" collapsed="false">
      <c r="A93" s="0" t="s">
        <v>4539</v>
      </c>
      <c r="B93" s="0" t="s">
        <v>4540</v>
      </c>
      <c r="C93" s="17" t="n">
        <f aca="false">ShareTbl!D98</f>
        <v>0.96</v>
      </c>
      <c r="D93" s="0" t="n">
        <v>1</v>
      </c>
      <c r="F93" s="0" t="str">
        <f aca="false">IF(C93&lt;=1+0.000000001,"OK","ERROR")</f>
        <v>OK</v>
      </c>
      <c r="G93" s="6" t="s">
        <v>4432</v>
      </c>
    </row>
    <row r="94" customFormat="false" ht="17.15" hidden="false" customHeight="false" outlineLevel="0" collapsed="false">
      <c r="A94" s="0" t="s">
        <v>4541</v>
      </c>
      <c r="B94" s="0" t="s">
        <v>4542</v>
      </c>
      <c r="C94" s="17" t="n">
        <f aca="false">ShareTbl!E98</f>
        <v>1</v>
      </c>
      <c r="D94" s="0" t="n">
        <v>1</v>
      </c>
      <c r="F94" s="0" t="str">
        <f aca="false">IF(C94&lt;=1+0.000000001,"OK","ERROR")</f>
        <v>OK</v>
      </c>
      <c r="G94" s="6" t="s">
        <v>4432</v>
      </c>
    </row>
    <row r="95" customFormat="false" ht="17.15" hidden="false" customHeight="false" outlineLevel="0" collapsed="false">
      <c r="A95" s="0" t="s">
        <v>4543</v>
      </c>
      <c r="B95" s="0" t="s">
        <v>4544</v>
      </c>
      <c r="C95" s="17" t="n">
        <f aca="false">ShareTbl!F98</f>
        <v>1</v>
      </c>
      <c r="D95" s="0" t="n">
        <v>1</v>
      </c>
      <c r="F95" s="0" t="str">
        <f aca="false">IF(C95&lt;=1+0.000000001,"OK","ERROR")</f>
        <v>OK</v>
      </c>
      <c r="G95" s="6" t="s">
        <v>4432</v>
      </c>
    </row>
    <row r="96" customFormat="false" ht="17.15" hidden="false" customHeight="false" outlineLevel="0" collapsed="false">
      <c r="A96" s="0" t="s">
        <v>4545</v>
      </c>
      <c r="B96" s="0" t="s">
        <v>4546</v>
      </c>
      <c r="C96" s="17" t="n">
        <f aca="false">ShareTbl!G98</f>
        <v>1</v>
      </c>
      <c r="D96" s="0" t="n">
        <v>1</v>
      </c>
      <c r="F96" s="0" t="str">
        <f aca="false">IF(C96&lt;=1+0.000000001,"OK","ERROR")</f>
        <v>OK</v>
      </c>
      <c r="G96" s="6" t="s">
        <v>4432</v>
      </c>
    </row>
    <row r="97" customFormat="false" ht="17.15" hidden="false" customHeight="false" outlineLevel="0" collapsed="false">
      <c r="A97" s="0" t="s">
        <v>4547</v>
      </c>
      <c r="B97" s="0" t="s">
        <v>4548</v>
      </c>
      <c r="C97" s="17" t="n">
        <f aca="false">ShareTbl!H98</f>
        <v>1</v>
      </c>
      <c r="D97" s="0" t="n">
        <v>1</v>
      </c>
      <c r="F97" s="0" t="str">
        <f aca="false">IF(C97&lt;=1+0.000000001,"OK","ERROR")</f>
        <v>OK</v>
      </c>
      <c r="G97" s="6" t="s">
        <v>4432</v>
      </c>
    </row>
    <row r="98" customFormat="false" ht="17.15" hidden="false" customHeight="false" outlineLevel="0" collapsed="false">
      <c r="A98" s="0" t="s">
        <v>4549</v>
      </c>
      <c r="B98" s="0" t="s">
        <v>4550</v>
      </c>
      <c r="C98" s="17" t="n">
        <f aca="false">Equip!D25</f>
        <v>0.0799166087560806</v>
      </c>
      <c r="D98" s="0" t="str">
        <f aca="false">TEXT(ts_tw_lo,"0%")&amp;"–"&amp;TEXT(ts_tw_hi,"0%")</f>
        <v>7%–9%</v>
      </c>
      <c r="F98" s="0" t="str">
        <f aca="false">IF(AND(C98&gt;=ts_tw_lo,C98&lt;=ts_tw_hi),"OK","WARN")</f>
        <v>OK</v>
      </c>
      <c r="G98" s="6" t="s">
        <v>4551</v>
      </c>
    </row>
    <row r="99" customFormat="false" ht="17.15" hidden="false" customHeight="false" outlineLevel="0" collapsed="false">
      <c r="A99" s="0" t="s">
        <v>4552</v>
      </c>
      <c r="B99" s="0" t="s">
        <v>4553</v>
      </c>
      <c r="C99" s="17" t="n">
        <f aca="false">Equip!E25</f>
        <v>0.0926053143378937</v>
      </c>
      <c r="D99" s="0" t="str">
        <f aca="false">TEXT(ts_tw_lo,"0%")&amp;"–"&amp;TEXT(ts_tw_hi,"0%")</f>
        <v>7%–9%</v>
      </c>
      <c r="F99" s="0" t="str">
        <f aca="false">IF(AND(C99&gt;=ts_tw_lo,C99&lt;=ts_tw_hi),"OK","WARN")</f>
        <v>WARN</v>
      </c>
      <c r="G99" s="6" t="s">
        <v>4551</v>
      </c>
    </row>
    <row r="100" customFormat="false" ht="17.15" hidden="false" customHeight="false" outlineLevel="0" collapsed="false">
      <c r="A100" s="0" t="s">
        <v>4554</v>
      </c>
      <c r="B100" s="0" t="s">
        <v>4555</v>
      </c>
      <c r="C100" s="17" t="n">
        <f aca="false">Equip!F25</f>
        <v>0.0912230525444841</v>
      </c>
      <c r="D100" s="0" t="str">
        <f aca="false">TEXT(ts_tw_lo,"0%")&amp;"–"&amp;TEXT(ts_tw_hi,"0%")</f>
        <v>7%–9%</v>
      </c>
      <c r="F100" s="0" t="str">
        <f aca="false">IF(AND(C100&gt;=ts_tw_lo,C100&lt;=ts_tw_hi),"OK","WARN")</f>
        <v>WARN</v>
      </c>
      <c r="G100" s="6" t="s">
        <v>4551</v>
      </c>
    </row>
    <row r="101" customFormat="false" ht="17.15" hidden="false" customHeight="false" outlineLevel="0" collapsed="false">
      <c r="A101" s="0" t="s">
        <v>4556</v>
      </c>
      <c r="B101" s="0" t="s">
        <v>4557</v>
      </c>
      <c r="C101" s="32" t="n">
        <f aca="false">Rack!C15</f>
        <v>595.486111111111</v>
      </c>
      <c r="D101" s="23" t="n">
        <f aca="false">Deploy!C5</f>
        <v>781.872916666667</v>
      </c>
      <c r="F101" s="0" t="str">
        <f aca="false">IF(C101&lt;=D101+0.000000001,"OK","ERROR")</f>
        <v>OK</v>
      </c>
      <c r="G101" s="6" t="s">
        <v>4558</v>
      </c>
    </row>
    <row r="102" customFormat="false" ht="17.15" hidden="false" customHeight="false" outlineLevel="0" collapsed="false">
      <c r="A102" s="0" t="s">
        <v>4559</v>
      </c>
      <c r="B102" s="0" t="s">
        <v>4560</v>
      </c>
      <c r="C102" s="0" t="n">
        <f aca="false">SUMPRODUCT((In!A5:A677&lt;&gt;"")*(In!E5:E677&lt;&gt;"")*(In!G5:G677=""))</f>
        <v>0</v>
      </c>
      <c r="F102" s="0" t="str">
        <f aca="false">IF(C102=0,"OK","ERROR")</f>
        <v>OK</v>
      </c>
      <c r="G102" s="6" t="s">
        <v>4561</v>
      </c>
    </row>
    <row r="103" customFormat="false" ht="17.15" hidden="false" customHeight="false" outlineLevel="0" collapsed="false">
      <c r="A103" s="0" t="s">
        <v>4562</v>
      </c>
      <c r="B103" s="0" t="s">
        <v>4563</v>
      </c>
      <c r="C103" s="0" t="n">
        <f aca="false">SUMPRODUCT((In!A5:A677&lt;&gt;"")*(In!E5:E677&lt;&gt;"")*(In!H5:H677=""))</f>
        <v>0</v>
      </c>
      <c r="F103" s="0" t="str">
        <f aca="false">IF(C103=0,"OK","ERROR")</f>
        <v>OK</v>
      </c>
      <c r="G103" s="6" t="s">
        <v>4561</v>
      </c>
      <c r="H103" s="0" t="s">
        <v>4564</v>
      </c>
    </row>
    <row r="104" customFormat="false" ht="17.15" hidden="false" customHeight="false" outlineLevel="0" collapsed="false">
      <c r="A104" s="0" t="s">
        <v>4565</v>
      </c>
      <c r="B104" s="6" t="s">
        <v>4566</v>
      </c>
      <c r="C104" s="0" t="n">
        <f aca="false">SUMPRODUCT((In!A5:A677&lt;&gt;"")*(In!E5:E677&lt;&gt;"")*(ISNUMBER(SEARCH("Assumed",In!G5:G677))+ISNUMBER(SEARCH("Analogy",In!G5:G677))&gt;0)*((In!D5:D677="")+(In!F5:F677="")&gt;0))</f>
        <v>0</v>
      </c>
      <c r="F104" s="0" t="str">
        <f aca="false">IF(C104=0,"OK","ERROR")</f>
        <v>OK</v>
      </c>
      <c r="G104" s="6" t="s">
        <v>4561</v>
      </c>
      <c r="H104" s="0" t="s">
        <v>4567</v>
      </c>
    </row>
    <row r="105" customFormat="false" ht="17.15" hidden="false" customHeight="false" outlineLevel="0" collapsed="false">
      <c r="A105" s="0" t="s">
        <v>4568</v>
      </c>
      <c r="B105" s="0" t="s">
        <v>4569</v>
      </c>
      <c r="C105" s="0" t="n">
        <v>0</v>
      </c>
      <c r="F105" s="0" t="str">
        <f aca="false">IF(C105=0,"OK","ERROR")</f>
        <v>OK</v>
      </c>
      <c r="G105" s="6" t="s">
        <v>4561</v>
      </c>
    </row>
    <row r="106" customFormat="false" ht="17.15" hidden="false" customHeight="false" outlineLevel="0" collapsed="false">
      <c r="A106" s="0" t="s">
        <v>4570</v>
      </c>
      <c r="B106" s="6" t="s">
        <v>4571</v>
      </c>
      <c r="C106" s="0" t="n">
        <f aca="false">COUNTIF(Conflicts!L4:L26,"待*")</f>
        <v>4</v>
      </c>
      <c r="F106" s="0" t="str">
        <f aca="false">IF(C106=0,"OK","WARN")</f>
        <v>WARN</v>
      </c>
      <c r="G106" s="6" t="s">
        <v>4561</v>
      </c>
      <c r="H106" s="0" t="s">
        <v>4572</v>
      </c>
    </row>
    <row r="108" customFormat="false" ht="15" hidden="false" customHeight="false" outlineLevel="0" collapsed="false">
      <c r="A108" s="10" t="s">
        <v>4573</v>
      </c>
      <c r="C108" s="36" t="n">
        <f aca="false">COUNTIF(F4:F106,"ERROR")</f>
        <v>0</v>
      </c>
    </row>
    <row r="109" customFormat="false" ht="15" hidden="false" customHeight="false" outlineLevel="0" collapsed="false">
      <c r="A109" s="10" t="s">
        <v>4574</v>
      </c>
      <c r="C109" s="36" t="n">
        <f aca="false">COUNTIF(F4:F106,"WARN")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60"/>
    <col collapsed="false" customWidth="true" hidden="false" outlineLevel="0" max="5" min="5" style="0" width="12"/>
    <col collapsed="false" customWidth="true" hidden="false" outlineLevel="0" max="6" min="6" style="0" width="50"/>
    <col collapsed="false" customWidth="true" hidden="false" outlineLevel="0" max="7" min="7" style="0" width="16"/>
  </cols>
  <sheetData>
    <row r="1" customFormat="false" ht="17.15" hidden="false" customHeight="false" outlineLevel="0" collapsed="false">
      <c r="A1" s="0" t="s">
        <v>4575</v>
      </c>
    </row>
    <row r="3" customFormat="false" ht="17.15" hidden="false" customHeight="false" outlineLevel="0" collapsed="false">
      <c r="A3" s="4" t="s">
        <v>4576</v>
      </c>
      <c r="B3" s="4" t="s">
        <v>4577</v>
      </c>
      <c r="C3" s="4" t="s">
        <v>54</v>
      </c>
      <c r="D3" s="4" t="s">
        <v>4578</v>
      </c>
      <c r="E3" s="4" t="s">
        <v>4579</v>
      </c>
      <c r="F3" s="5" t="s">
        <v>4580</v>
      </c>
      <c r="G3" s="4" t="s">
        <v>2962</v>
      </c>
    </row>
    <row r="4" customFormat="false" ht="79.85" hidden="false" customHeight="false" outlineLevel="0" collapsed="false">
      <c r="A4" s="3" t="s">
        <v>4581</v>
      </c>
      <c r="B4" s="2" t="s">
        <v>4582</v>
      </c>
      <c r="C4" s="2" t="s">
        <v>4583</v>
      </c>
      <c r="D4" s="2" t="s">
        <v>4584</v>
      </c>
      <c r="E4" s="3" t="s">
        <v>4585</v>
      </c>
      <c r="F4" s="2" t="s">
        <v>4586</v>
      </c>
      <c r="G4" s="2" t="s">
        <v>4587</v>
      </c>
    </row>
    <row r="5" customFormat="false" ht="79.85" hidden="false" customHeight="false" outlineLevel="0" collapsed="false">
      <c r="A5" s="37" t="s">
        <v>4588</v>
      </c>
      <c r="B5" s="38" t="s">
        <v>4589</v>
      </c>
      <c r="C5" s="38" t="s">
        <v>30</v>
      </c>
      <c r="D5" s="37" t="s">
        <v>4590</v>
      </c>
      <c r="E5" s="37" t="s">
        <v>4591</v>
      </c>
      <c r="F5" s="38" t="s">
        <v>4592</v>
      </c>
      <c r="G5" s="38" t="s">
        <v>4593</v>
      </c>
    </row>
    <row r="6" customFormat="false" ht="64.15" hidden="false" customHeight="false" outlineLevel="0" collapsed="false">
      <c r="A6" s="3" t="s">
        <v>4594</v>
      </c>
      <c r="B6" s="2" t="s">
        <v>4595</v>
      </c>
      <c r="C6" s="2" t="s">
        <v>4596</v>
      </c>
      <c r="D6" s="3" t="s">
        <v>4597</v>
      </c>
      <c r="E6" s="3" t="s">
        <v>4591</v>
      </c>
      <c r="F6" s="2" t="s">
        <v>4598</v>
      </c>
      <c r="G6" s="2" t="s">
        <v>4587</v>
      </c>
    </row>
    <row r="7" customFormat="false" ht="95.5" hidden="false" customHeight="false" outlineLevel="0" collapsed="false">
      <c r="A7" s="37" t="s">
        <v>4599</v>
      </c>
      <c r="B7" s="38" t="s">
        <v>4582</v>
      </c>
      <c r="C7" s="38" t="s">
        <v>4600</v>
      </c>
      <c r="D7" s="38" t="s">
        <v>4601</v>
      </c>
      <c r="E7" s="37" t="s">
        <v>4591</v>
      </c>
      <c r="F7" s="38" t="s">
        <v>4602</v>
      </c>
      <c r="G7" s="38" t="s">
        <v>4593</v>
      </c>
    </row>
    <row r="8" customFormat="false" ht="64.15" hidden="false" customHeight="false" outlineLevel="0" collapsed="false">
      <c r="A8" s="3" t="s">
        <v>4603</v>
      </c>
      <c r="B8" s="2" t="s">
        <v>4595</v>
      </c>
      <c r="C8" s="2" t="s">
        <v>4604</v>
      </c>
      <c r="D8" s="3" t="s">
        <v>4605</v>
      </c>
      <c r="E8" s="3" t="s">
        <v>4591</v>
      </c>
      <c r="F8" s="2" t="s">
        <v>4598</v>
      </c>
      <c r="G8" s="2" t="s">
        <v>4587</v>
      </c>
    </row>
    <row r="9" customFormat="false" ht="48.5" hidden="false" customHeight="false" outlineLevel="0" collapsed="false">
      <c r="A9" s="37" t="s">
        <v>4606</v>
      </c>
      <c r="B9" s="38" t="s">
        <v>4582</v>
      </c>
      <c r="C9" s="38" t="s">
        <v>4607</v>
      </c>
      <c r="D9" s="37" t="s">
        <v>4608</v>
      </c>
      <c r="E9" s="37" t="s">
        <v>4591</v>
      </c>
      <c r="F9" s="38" t="s">
        <v>4609</v>
      </c>
      <c r="G9" s="38" t="s">
        <v>4593</v>
      </c>
    </row>
    <row r="10" customFormat="false" ht="48.5" hidden="false" customHeight="false" outlineLevel="0" collapsed="false">
      <c r="A10" s="3" t="s">
        <v>4610</v>
      </c>
      <c r="B10" s="2" t="s">
        <v>4561</v>
      </c>
      <c r="C10" s="2" t="s">
        <v>4611</v>
      </c>
      <c r="D10" s="2" t="s">
        <v>4612</v>
      </c>
      <c r="E10" s="3" t="s">
        <v>4591</v>
      </c>
      <c r="F10" s="2" t="s">
        <v>4613</v>
      </c>
      <c r="G10" s="2" t="s">
        <v>4587</v>
      </c>
    </row>
    <row r="11" customFormat="false" ht="95.5" hidden="false" customHeight="false" outlineLevel="0" collapsed="false">
      <c r="A11" s="37" t="s">
        <v>4614</v>
      </c>
      <c r="B11" s="38" t="s">
        <v>4582</v>
      </c>
      <c r="C11" s="37" t="s">
        <v>4615</v>
      </c>
      <c r="D11" s="37" t="s">
        <v>4616</v>
      </c>
      <c r="E11" s="37" t="s">
        <v>4591</v>
      </c>
      <c r="F11" s="38" t="s">
        <v>4617</v>
      </c>
      <c r="G11" s="38" t="s">
        <v>4593</v>
      </c>
    </row>
    <row r="12" customFormat="false" ht="48.5" hidden="false" customHeight="false" outlineLevel="0" collapsed="false">
      <c r="A12" s="3" t="s">
        <v>4618</v>
      </c>
      <c r="B12" s="2" t="s">
        <v>4561</v>
      </c>
      <c r="C12" s="3" t="s">
        <v>4619</v>
      </c>
      <c r="D12" s="3" t="s">
        <v>4620</v>
      </c>
      <c r="E12" s="3" t="s">
        <v>4591</v>
      </c>
      <c r="F12" s="2" t="s">
        <v>4621</v>
      </c>
      <c r="G12" s="2" t="s">
        <v>4587</v>
      </c>
    </row>
    <row r="13" customFormat="false" ht="48.5" hidden="false" customHeight="false" outlineLevel="0" collapsed="false">
      <c r="A13" s="3" t="s">
        <v>4622</v>
      </c>
      <c r="B13" s="2" t="s">
        <v>4595</v>
      </c>
      <c r="C13" s="2" t="s">
        <v>4623</v>
      </c>
      <c r="D13" s="3" t="s">
        <v>4624</v>
      </c>
      <c r="E13" s="3" t="s">
        <v>4591</v>
      </c>
      <c r="F13" s="2" t="s">
        <v>4621</v>
      </c>
      <c r="G13" s="2" t="s">
        <v>4587</v>
      </c>
    </row>
    <row r="14" customFormat="false" ht="95.5" hidden="false" customHeight="false" outlineLevel="0" collapsed="false">
      <c r="A14" s="3" t="s">
        <v>4625</v>
      </c>
      <c r="B14" s="2" t="s">
        <v>4582</v>
      </c>
      <c r="C14" s="3" t="s">
        <v>4626</v>
      </c>
      <c r="D14" s="3" t="s">
        <v>4627</v>
      </c>
      <c r="E14" s="3" t="s">
        <v>4591</v>
      </c>
      <c r="F14" s="2" t="s">
        <v>4621</v>
      </c>
      <c r="G14" s="2" t="s">
        <v>4587</v>
      </c>
    </row>
    <row r="15" customFormat="false" ht="48.5" hidden="false" customHeight="false" outlineLevel="0" collapsed="false">
      <c r="A15" s="3" t="s">
        <v>4628</v>
      </c>
      <c r="B15" s="2" t="s">
        <v>4595</v>
      </c>
      <c r="C15" s="2" t="s">
        <v>4629</v>
      </c>
      <c r="D15" s="2" t="s">
        <v>4630</v>
      </c>
      <c r="E15" s="3" t="s">
        <v>4591</v>
      </c>
      <c r="F15" s="2" t="s">
        <v>4621</v>
      </c>
      <c r="G15" s="2" t="s">
        <v>4587</v>
      </c>
    </row>
    <row r="16" customFormat="false" ht="48.5" hidden="false" customHeight="false" outlineLevel="0" collapsed="false">
      <c r="A16" s="3" t="s">
        <v>4631</v>
      </c>
      <c r="B16" s="2" t="s">
        <v>4632</v>
      </c>
      <c r="C16" s="3" t="s">
        <v>4633</v>
      </c>
      <c r="D16" s="2" t="s">
        <v>4634</v>
      </c>
      <c r="E16" s="3" t="s">
        <v>4635</v>
      </c>
      <c r="F16" s="2" t="s">
        <v>4636</v>
      </c>
      <c r="G16" s="2" t="s">
        <v>4587</v>
      </c>
    </row>
    <row r="17" customFormat="false" ht="111.15" hidden="false" customHeight="false" outlineLevel="0" collapsed="false">
      <c r="A17" s="37" t="s">
        <v>4637</v>
      </c>
      <c r="B17" s="38" t="s">
        <v>4582</v>
      </c>
      <c r="C17" s="37" t="s">
        <v>4638</v>
      </c>
      <c r="D17" s="37" t="s">
        <v>4639</v>
      </c>
      <c r="E17" s="37" t="s">
        <v>4591</v>
      </c>
      <c r="F17" s="38" t="s">
        <v>4617</v>
      </c>
      <c r="G17" s="38" t="s">
        <v>4593</v>
      </c>
    </row>
    <row r="18" customFormat="false" ht="111.15" hidden="false" customHeight="false" outlineLevel="0" collapsed="false">
      <c r="A18" s="37" t="s">
        <v>4640</v>
      </c>
      <c r="B18" s="38" t="s">
        <v>4582</v>
      </c>
      <c r="C18" s="37" t="s">
        <v>4641</v>
      </c>
      <c r="D18" s="38" t="s">
        <v>4642</v>
      </c>
      <c r="E18" s="37" t="s">
        <v>4591</v>
      </c>
      <c r="F18" s="38" t="s">
        <v>4643</v>
      </c>
      <c r="G18" s="38" t="s">
        <v>4593</v>
      </c>
    </row>
    <row r="19" customFormat="false" ht="142.5" hidden="false" customHeight="false" outlineLevel="0" collapsed="false">
      <c r="A19" s="37" t="s">
        <v>4644</v>
      </c>
      <c r="B19" s="38" t="s">
        <v>4582</v>
      </c>
      <c r="C19" s="37" t="s">
        <v>4645</v>
      </c>
      <c r="D19" s="37" t="s">
        <v>4646</v>
      </c>
      <c r="E19" s="37" t="s">
        <v>4591</v>
      </c>
      <c r="F19" s="38" t="s">
        <v>4647</v>
      </c>
      <c r="G19" s="38" t="s">
        <v>4593</v>
      </c>
    </row>
    <row r="20" customFormat="false" ht="48.5" hidden="false" customHeight="false" outlineLevel="0" collapsed="false">
      <c r="A20" s="3" t="s">
        <v>4648</v>
      </c>
      <c r="B20" s="2" t="s">
        <v>4649</v>
      </c>
      <c r="C20" s="3" t="s">
        <v>4650</v>
      </c>
      <c r="D20" s="2" t="s">
        <v>4651</v>
      </c>
      <c r="E20" s="3" t="s">
        <v>4591</v>
      </c>
      <c r="F20" s="3" t="s">
        <v>4652</v>
      </c>
      <c r="G20" s="2" t="s">
        <v>4653</v>
      </c>
    </row>
    <row r="21" customFormat="false" ht="111.15" hidden="false" customHeight="false" outlineLevel="0" collapsed="false">
      <c r="A21" s="37" t="s">
        <v>4654</v>
      </c>
      <c r="B21" s="38" t="s">
        <v>4582</v>
      </c>
      <c r="C21" s="37" t="s">
        <v>4655</v>
      </c>
      <c r="D21" s="38" t="s">
        <v>4656</v>
      </c>
      <c r="E21" s="37" t="s">
        <v>4591</v>
      </c>
      <c r="F21" s="38" t="s">
        <v>4657</v>
      </c>
      <c r="G21" s="38" t="s">
        <v>4593</v>
      </c>
    </row>
    <row r="22" customFormat="false" ht="79.85" hidden="false" customHeight="false" outlineLevel="0" collapsed="false">
      <c r="A22" s="37" t="s">
        <v>4658</v>
      </c>
      <c r="B22" s="38" t="s">
        <v>4582</v>
      </c>
      <c r="C22" s="37" t="s">
        <v>4659</v>
      </c>
      <c r="D22" s="37" t="s">
        <v>4660</v>
      </c>
      <c r="E22" s="37" t="s">
        <v>4591</v>
      </c>
      <c r="F22" s="37" t="s">
        <v>4661</v>
      </c>
      <c r="G22" s="38" t="s">
        <v>4593</v>
      </c>
    </row>
    <row r="23" customFormat="false" ht="173.85" hidden="false" customHeight="false" outlineLevel="0" collapsed="false">
      <c r="A23" s="37" t="s">
        <v>4662</v>
      </c>
      <c r="B23" s="38" t="s">
        <v>4582</v>
      </c>
      <c r="C23" s="37" t="s">
        <v>4663</v>
      </c>
      <c r="D23" s="37" t="s">
        <v>4664</v>
      </c>
      <c r="E23" s="37" t="s">
        <v>4591</v>
      </c>
      <c r="F23" s="37" t="s">
        <v>4665</v>
      </c>
      <c r="G23" s="38" t="s">
        <v>4593</v>
      </c>
    </row>
    <row r="24" customFormat="false" ht="126.85" hidden="false" customHeight="false" outlineLevel="0" collapsed="false">
      <c r="A24" s="37" t="s">
        <v>4666</v>
      </c>
      <c r="B24" s="38" t="s">
        <v>4582</v>
      </c>
      <c r="C24" s="37" t="s">
        <v>4667</v>
      </c>
      <c r="D24" s="37" t="s">
        <v>4668</v>
      </c>
      <c r="E24" s="37" t="s">
        <v>4591</v>
      </c>
      <c r="F24" s="37" t="s">
        <v>4669</v>
      </c>
      <c r="G24" s="38" t="s">
        <v>4593</v>
      </c>
    </row>
    <row r="25" customFormat="false" ht="142.5" hidden="false" customHeight="false" outlineLevel="0" collapsed="false">
      <c r="A25" s="37" t="s">
        <v>4670</v>
      </c>
      <c r="B25" s="38" t="s">
        <v>4582</v>
      </c>
      <c r="C25" s="37" t="s">
        <v>4671</v>
      </c>
      <c r="D25" s="37" t="s">
        <v>4672</v>
      </c>
      <c r="E25" s="37" t="s">
        <v>4673</v>
      </c>
      <c r="F25" s="37" t="s">
        <v>4674</v>
      </c>
      <c r="G25" s="38" t="s">
        <v>4593</v>
      </c>
    </row>
    <row r="26" customFormat="false" ht="142.5" hidden="false" customHeight="false" outlineLevel="0" collapsed="false">
      <c r="A26" s="37" t="s">
        <v>4675</v>
      </c>
      <c r="B26" s="38" t="s">
        <v>4582</v>
      </c>
      <c r="C26" s="37" t="s">
        <v>4676</v>
      </c>
      <c r="D26" s="37" t="s">
        <v>4677</v>
      </c>
      <c r="E26" s="37" t="s">
        <v>4673</v>
      </c>
      <c r="F26" s="37" t="s">
        <v>4674</v>
      </c>
      <c r="G26" s="38" t="s">
        <v>4593</v>
      </c>
    </row>
    <row r="27" customFormat="false" ht="95.5" hidden="false" customHeight="false" outlineLevel="0" collapsed="false">
      <c r="A27" s="37" t="s">
        <v>4678</v>
      </c>
      <c r="B27" s="38" t="s">
        <v>4582</v>
      </c>
      <c r="C27" s="37" t="s">
        <v>4679</v>
      </c>
      <c r="D27" s="37" t="s">
        <v>4680</v>
      </c>
      <c r="E27" s="37" t="s">
        <v>4673</v>
      </c>
      <c r="F27" s="37" t="s">
        <v>4681</v>
      </c>
      <c r="G27" s="38" t="s">
        <v>4593</v>
      </c>
    </row>
    <row r="28" customFormat="false" ht="95.5" hidden="false" customHeight="false" outlineLevel="0" collapsed="false">
      <c r="A28" s="37" t="s">
        <v>4682</v>
      </c>
      <c r="B28" s="38" t="s">
        <v>4582</v>
      </c>
      <c r="C28" s="37" t="s">
        <v>4683</v>
      </c>
      <c r="D28" s="38" t="s">
        <v>4684</v>
      </c>
      <c r="E28" s="37" t="s">
        <v>4673</v>
      </c>
      <c r="F28" s="37" t="s">
        <v>4681</v>
      </c>
      <c r="G28" s="38" t="s">
        <v>4593</v>
      </c>
    </row>
    <row r="29" customFormat="false" ht="126.85" hidden="false" customHeight="false" outlineLevel="0" collapsed="false">
      <c r="A29" s="37" t="s">
        <v>4685</v>
      </c>
      <c r="B29" s="38" t="s">
        <v>4582</v>
      </c>
      <c r="C29" s="37" t="s">
        <v>4686</v>
      </c>
      <c r="D29" s="38" t="s">
        <v>4687</v>
      </c>
      <c r="E29" s="37" t="s">
        <v>4673</v>
      </c>
      <c r="F29" s="37" t="s">
        <v>4681</v>
      </c>
      <c r="G29" s="38" t="s">
        <v>4593</v>
      </c>
    </row>
    <row r="30" customFormat="false" ht="111.15" hidden="false" customHeight="false" outlineLevel="0" collapsed="false">
      <c r="A30" s="37" t="s">
        <v>4688</v>
      </c>
      <c r="B30" s="38" t="s">
        <v>4561</v>
      </c>
      <c r="C30" s="37" t="s">
        <v>4689</v>
      </c>
      <c r="D30" s="38" t="s">
        <v>4690</v>
      </c>
      <c r="E30" s="37" t="s">
        <v>4673</v>
      </c>
      <c r="F30" s="37" t="s">
        <v>4681</v>
      </c>
      <c r="G30" s="38" t="s">
        <v>4593</v>
      </c>
    </row>
    <row r="31" customFormat="false" ht="111.15" hidden="false" customHeight="false" outlineLevel="0" collapsed="false">
      <c r="A31" s="37" t="s">
        <v>4691</v>
      </c>
      <c r="B31" s="38" t="s">
        <v>2963</v>
      </c>
      <c r="C31" s="37" t="s">
        <v>4692</v>
      </c>
      <c r="D31" s="37" t="s">
        <v>4693</v>
      </c>
      <c r="E31" s="37" t="s">
        <v>4694</v>
      </c>
      <c r="F31" s="37" t="s">
        <v>4695</v>
      </c>
      <c r="G31" s="38" t="s">
        <v>4593</v>
      </c>
    </row>
    <row r="32" customFormat="false" ht="111.15" hidden="false" customHeight="false" outlineLevel="0" collapsed="false">
      <c r="A32" s="37" t="s">
        <v>4696</v>
      </c>
      <c r="B32" s="38" t="s">
        <v>4697</v>
      </c>
      <c r="C32" s="37" t="s">
        <v>4698</v>
      </c>
      <c r="D32" s="37" t="s">
        <v>4699</v>
      </c>
      <c r="E32" s="37" t="s">
        <v>4700</v>
      </c>
      <c r="F32" s="37" t="s">
        <v>4701</v>
      </c>
      <c r="G32" s="38" t="s">
        <v>4593</v>
      </c>
    </row>
    <row r="33" customFormat="false" ht="189.55" hidden="false" customHeight="false" outlineLevel="0" collapsed="false">
      <c r="A33" s="37" t="s">
        <v>4702</v>
      </c>
      <c r="B33" s="38" t="s">
        <v>4697</v>
      </c>
      <c r="C33" s="37" t="s">
        <v>4703</v>
      </c>
      <c r="D33" s="37" t="s">
        <v>4704</v>
      </c>
      <c r="E33" s="37" t="s">
        <v>4700</v>
      </c>
      <c r="F33" s="37" t="s">
        <v>4705</v>
      </c>
      <c r="G33" s="38" t="s">
        <v>4593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4706</v>
      </c>
    </row>
    <row r="3" customFormat="false" ht="15" hidden="false" customHeight="false" outlineLevel="0" collapsed="false">
      <c r="A3" s="5" t="s">
        <v>2952</v>
      </c>
      <c r="B3" s="4" t="s">
        <v>4579</v>
      </c>
      <c r="C3" s="4" t="s">
        <v>4707</v>
      </c>
      <c r="D3" s="4" t="s">
        <v>2963</v>
      </c>
      <c r="E3" s="4" t="s">
        <v>59</v>
      </c>
      <c r="F3" s="4" t="s">
        <v>4708</v>
      </c>
      <c r="G3" s="4" t="s">
        <v>4709</v>
      </c>
      <c r="H3" s="4" t="s">
        <v>4710</v>
      </c>
      <c r="I3" s="4" t="s">
        <v>4711</v>
      </c>
      <c r="J3" s="4" t="s">
        <v>4712</v>
      </c>
      <c r="K3" s="4" t="s">
        <v>4713</v>
      </c>
      <c r="L3" s="4" t="s">
        <v>4714</v>
      </c>
    </row>
    <row r="4" customFormat="false" ht="17.15" hidden="false" customHeight="false" outlineLevel="0" collapsed="false">
      <c r="A4" s="6" t="s">
        <v>4715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2026-10-31T02:56:08Z</dcterms:created>
  <dc:creator>openpyxl</dc:creator>
  <dc:description/>
  <dc:language>en-US</dc:language>
  <cp:lastModifiedBy/>
  <dcterms:modified xsi:type="dcterms:W3CDTF">2026-10-31T02:56:08Z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