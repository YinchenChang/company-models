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cen" sheetId="2" state="visible" r:id="rId4"/>
    <sheet name="In" sheetId="3" state="visible" r:id="rId5"/>
    <sheet name="Units" sheetId="4" state="visible" r:id="rId6"/>
    <sheet name="ShareTbl" sheetId="5" state="visible" r:id="rId7"/>
    <sheet name="Path" sheetId="6" state="visible" r:id="rId8"/>
    <sheet name="Mkt" sheetId="7" state="visible" r:id="rId9"/>
    <sheet name="TK_In" sheetId="8" state="visible" r:id="rId10"/>
    <sheet name="Conflicts" sheetId="9" state="visible" r:id="rId11"/>
    <sheet name="Interface" sheetId="10" state="visible" r:id="rId12"/>
    <sheet name="Checks" sheetId="11" state="visible" r:id="rId13"/>
    <sheet name="Decisions" sheetId="12" state="visible" r:id="rId14"/>
    <sheet name="DB_Evidence" sheetId="13" state="visible" r:id="rId15"/>
  </sheets>
  <definedNames>
    <definedName function="false" hidden="false" name="al27_A" vbProcedure="false">In!$E$211</definedName>
    <definedName function="false" hidden="false" name="al27_A_hi" vbProcedure="false">In!$F$211</definedName>
    <definedName function="false" hidden="false" name="al27_A_lo" vbProcedure="false">In!$D$211</definedName>
    <definedName function="false" hidden="false" name="al27_B" vbProcedure="false">In!$E$212</definedName>
    <definedName function="false" hidden="false" name="al27_B_hi" vbProcedure="false">In!$F$212</definedName>
    <definedName function="false" hidden="false" name="al27_B_lo" vbProcedure="false">In!$D$212</definedName>
    <definedName function="false" hidden="false" name="al27_C" vbProcedure="false">In!$E$213</definedName>
    <definedName function="false" hidden="false" name="al27_C_hi" vbProcedure="false">In!$F$213</definedName>
    <definedName function="false" hidden="false" name="al27_C_lo" vbProcedure="false">In!$D$213</definedName>
    <definedName function="false" hidden="false" name="al28_A" vbProcedure="false">In!$E$214</definedName>
    <definedName function="false" hidden="false" name="al28_A_hi" vbProcedure="false">In!$F$214</definedName>
    <definedName function="false" hidden="false" name="al28_A_lo" vbProcedure="false">In!$D$214</definedName>
    <definedName function="false" hidden="false" name="al28_B" vbProcedure="false">In!$E$215</definedName>
    <definedName function="false" hidden="false" name="al28_B_hi" vbProcedure="false">In!$F$215</definedName>
    <definedName function="false" hidden="false" name="al28_B_lo" vbProcedure="false">In!$D$215</definedName>
    <definedName function="false" hidden="false" name="al28_C" vbProcedure="false">In!$E$216</definedName>
    <definedName function="false" hidden="false" name="al28_C_hi" vbProcedure="false">In!$F$216</definedName>
    <definedName function="false" hidden="false" name="al28_C_lo" vbProcedure="false">In!$D$216</definedName>
    <definedName function="false" hidden="false" name="al_trn_26" vbProcedure="false">In!$E$210</definedName>
    <definedName function="false" hidden="false" name="al_trn_26_hi" vbProcedure="false">In!$F$210</definedName>
    <definedName function="false" hidden="false" name="al_trn_26_lo" vbProcedure="false">In!$D$210</definedName>
    <definedName function="false" hidden="false" name="core_oth" vbProcedure="false">In!$E$186</definedName>
    <definedName function="false" hidden="false" name="core_oth_hi" vbProcedure="false">In!$F$186</definedName>
    <definedName function="false" hidden="false" name="core_oth_lo" vbProcedure="false">In!$D$186</definedName>
    <definedName function="false" hidden="false" name="core_tpu" vbProcedure="false">In!$E$185</definedName>
    <definedName function="false" hidden="false" name="core_tpu_hi" vbProcedure="false">In!$F$185</definedName>
    <definedName function="false" hidden="false" name="core_tpu_lo" vbProcedure="false">In!$D$185</definedName>
    <definedName function="false" hidden="false" name="cqA_10" vbProcedure="false">In!$E$15</definedName>
    <definedName function="false" hidden="false" name="cqA_11" vbProcedure="false">In!$E$16</definedName>
    <definedName function="false" hidden="false" name="cqA_12" vbProcedure="false">In!$E$17</definedName>
    <definedName function="false" hidden="false" name="cqA_13" vbProcedure="false">In!$E$18</definedName>
    <definedName function="false" hidden="false" name="cqA_14" vbProcedure="false">In!$E$19</definedName>
    <definedName function="false" hidden="false" name="cqA_15" vbProcedure="false">In!$E$20</definedName>
    <definedName function="false" hidden="false" name="cqA_16" vbProcedure="false">In!$E$21</definedName>
    <definedName function="false" hidden="false" name="cqA_17" vbProcedure="false">In!$E$22</definedName>
    <definedName function="false" hidden="false" name="cqA_18" vbProcedure="false">In!$E$23</definedName>
    <definedName function="false" hidden="false" name="cqA_19" vbProcedure="false">In!$E$24</definedName>
    <definedName function="false" hidden="false" name="cqA_8" vbProcedure="false">In!$E$13</definedName>
    <definedName function="false" hidden="false" name="cqA_9" vbProcedure="false">In!$E$14</definedName>
    <definedName function="false" hidden="false" name="cqB_10" vbProcedure="false">In!$E$27</definedName>
    <definedName function="false" hidden="false" name="cqB_11" vbProcedure="false">In!$E$28</definedName>
    <definedName function="false" hidden="false" name="cqB_12" vbProcedure="false">In!$E$29</definedName>
    <definedName function="false" hidden="false" name="cqB_13" vbProcedure="false">In!$E$30</definedName>
    <definedName function="false" hidden="false" name="cqB_14" vbProcedure="false">In!$E$31</definedName>
    <definedName function="false" hidden="false" name="cqB_15" vbProcedure="false">In!$E$32</definedName>
    <definedName function="false" hidden="false" name="cqB_16" vbProcedure="false">In!$E$33</definedName>
    <definedName function="false" hidden="false" name="cqB_17" vbProcedure="false">In!$E$34</definedName>
    <definedName function="false" hidden="false" name="cqB_18" vbProcedure="false">In!$E$35</definedName>
    <definedName function="false" hidden="false" name="cqB_19" vbProcedure="false">In!$E$36</definedName>
    <definedName function="false" hidden="false" name="cqB_8" vbProcedure="false">In!$E$25</definedName>
    <definedName function="false" hidden="false" name="cqB_9" vbProcedure="false">In!$E$26</definedName>
    <definedName function="false" hidden="false" name="cqC_10" vbProcedure="false">In!$E$39</definedName>
    <definedName function="false" hidden="false" name="cqC_10_hi" vbProcedure="false">In!$F$39</definedName>
    <definedName function="false" hidden="false" name="cqC_10_lo" vbProcedure="false">In!$D$39</definedName>
    <definedName function="false" hidden="false" name="cqC_11" vbProcedure="false">In!$E$40</definedName>
    <definedName function="false" hidden="false" name="cqC_11_hi" vbProcedure="false">In!$F$40</definedName>
    <definedName function="false" hidden="false" name="cqC_11_lo" vbProcedure="false">In!$D$40</definedName>
    <definedName function="false" hidden="false" name="cqC_12" vbProcedure="false">In!$E$41</definedName>
    <definedName function="false" hidden="false" name="cqC_12_hi" vbProcedure="false">In!$F$41</definedName>
    <definedName function="false" hidden="false" name="cqC_12_lo" vbProcedure="false">In!$D$41</definedName>
    <definedName function="false" hidden="false" name="cqC_13" vbProcedure="false">In!$E$42</definedName>
    <definedName function="false" hidden="false" name="cqC_13_hi" vbProcedure="false">In!$F$42</definedName>
    <definedName function="false" hidden="false" name="cqC_13_lo" vbProcedure="false">In!$D$42</definedName>
    <definedName function="false" hidden="false" name="cqC_14" vbProcedure="false">In!$E$43</definedName>
    <definedName function="false" hidden="false" name="cqC_14_hi" vbProcedure="false">In!$F$43</definedName>
    <definedName function="false" hidden="false" name="cqC_14_lo" vbProcedure="false">In!$D$43</definedName>
    <definedName function="false" hidden="false" name="cqC_15" vbProcedure="false">In!$E$44</definedName>
    <definedName function="false" hidden="false" name="cqC_15_hi" vbProcedure="false">In!$F$44</definedName>
    <definedName function="false" hidden="false" name="cqC_15_lo" vbProcedure="false">In!$D$44</definedName>
    <definedName function="false" hidden="false" name="cqC_16" vbProcedure="false">In!$E$45</definedName>
    <definedName function="false" hidden="false" name="cqC_16_hi" vbProcedure="false">In!$F$45</definedName>
    <definedName function="false" hidden="false" name="cqC_16_lo" vbProcedure="false">In!$D$45</definedName>
    <definedName function="false" hidden="false" name="cqC_17" vbProcedure="false">In!$E$46</definedName>
    <definedName function="false" hidden="false" name="cqC_17_hi" vbProcedure="false">In!$F$46</definedName>
    <definedName function="false" hidden="false" name="cqC_17_lo" vbProcedure="false">In!$D$46</definedName>
    <definedName function="false" hidden="false" name="cqC_18" vbProcedure="false">In!$E$47</definedName>
    <definedName function="false" hidden="false" name="cqC_18_hi" vbProcedure="false">In!$F$47</definedName>
    <definedName function="false" hidden="false" name="cqC_18_lo" vbProcedure="false">In!$D$47</definedName>
    <definedName function="false" hidden="false" name="cqC_19" vbProcedure="false">In!$E$48</definedName>
    <definedName function="false" hidden="false" name="cqC_19_hi" vbProcedure="false">In!$F$48</definedName>
    <definedName function="false" hidden="false" name="cqC_19_lo" vbProcedure="false">In!$D$48</definedName>
    <definedName function="false" hidden="false" name="cqC_8" vbProcedure="false">In!$E$37</definedName>
    <definedName function="false" hidden="false" name="cqC_8_hi" vbProcedure="false">In!$F$37</definedName>
    <definedName function="false" hidden="false" name="cqC_8_lo" vbProcedure="false">In!$D$37</definedName>
    <definedName function="false" hidden="false" name="cqC_9" vbProcedure="false">In!$E$38</definedName>
    <definedName function="false" hidden="false" name="cqC_9_hi" vbProcedure="false">In!$F$38</definedName>
    <definedName function="false" hidden="false" name="cqC_9_lo" vbProcedure="false">In!$D$38</definedName>
    <definedName function="false" hidden="false" name="cq_1" vbProcedure="false">In!$E$6</definedName>
    <definedName function="false" hidden="false" name="cq_2" vbProcedure="false">In!$E$7</definedName>
    <definedName function="false" hidden="false" name="cq_3" vbProcedure="false">In!$E$8</definedName>
    <definedName function="false" hidden="false" name="cq_4" vbProcedure="false">In!$E$9</definedName>
    <definedName function="false" hidden="false" name="cq_5" vbProcedure="false">In!$E$10</definedName>
    <definedName function="false" hidden="false" name="cq_6" vbProcedure="false">In!$E$11</definedName>
    <definedName function="false" hidden="false" name="cq_7" vbProcedure="false">In!$E$12</definedName>
    <definedName function="false" hidden="false" name="f_hbm" vbProcedure="false">In!$E$187</definedName>
    <definedName function="false" hidden="false" name="f_hbm_hi" vbProcedure="false">In!$F$187</definedName>
    <definedName function="false" hidden="false" name="f_hbm_lo" vbProcedure="false">In!$D$187</definedName>
    <definedName function="false" hidden="false" name="g29_amd" vbProcedure="false">In!$E$176</definedName>
    <definedName function="false" hidden="false" name="g29_amd_hi" vbProcedure="false">In!$F$176</definedName>
    <definedName function="false" hidden="false" name="g29_amd_lo" vbProcedure="false">In!$D$176</definedName>
    <definedName function="false" hidden="false" name="g29_bw" vbProcedure="false">In!$E$172</definedName>
    <definedName function="false" hidden="false" name="g29_bw_hi" vbProcedure="false">In!$F$172</definedName>
    <definedName function="false" hidden="false" name="g29_bw_lo" vbProcedure="false">In!$D$172</definedName>
    <definedName function="false" hidden="false" name="g29_hp" vbProcedure="false">In!$E$175</definedName>
    <definedName function="false" hidden="false" name="g29_hp_hi" vbProcedure="false">In!$F$175</definedName>
    <definedName function="false" hidden="false" name="g29_hp_lo" vbProcedure="false">In!$D$175</definedName>
    <definedName function="false" hidden="false" name="g29_oth" vbProcedure="false">In!$E$179</definedName>
    <definedName function="false" hidden="false" name="g29_oth_hi" vbProcedure="false">In!$F$179</definedName>
    <definedName function="false" hidden="false" name="g29_oth_lo" vbProcedure="false">In!$D$179</definedName>
    <definedName function="false" hidden="false" name="g29_rb" vbProcedure="false">In!$E$173</definedName>
    <definedName function="false" hidden="false" name="g29_rb_hi" vbProcedure="false">In!$F$173</definedName>
    <definedName function="false" hidden="false" name="g29_rb_lo" vbProcedure="false">In!$D$173</definedName>
    <definedName function="false" hidden="false" name="g29_ru" vbProcedure="false">In!$E$174</definedName>
    <definedName function="false" hidden="false" name="g29_ru_hi" vbProcedure="false">In!$F$174</definedName>
    <definedName function="false" hidden="false" name="g29_ru_lo" vbProcedure="false">In!$D$174</definedName>
    <definedName function="false" hidden="false" name="g29_tpu" vbProcedure="false">In!$E$177</definedName>
    <definedName function="false" hidden="false" name="g29_tpu_hi" vbProcedure="false">In!$F$177</definedName>
    <definedName function="false" hidden="false" name="g29_tpu_lo" vbProcedure="false">In!$D$177</definedName>
    <definedName function="false" hidden="false" name="g29_trn" vbProcedure="false">In!$E$178</definedName>
    <definedName function="false" hidden="false" name="g29_trn_hi" vbProcedure="false">In!$F$178</definedName>
    <definedName function="false" hidden="false" name="g29_trn_lo" vbProcedure="false">In!$D$178</definedName>
    <definedName function="false" hidden="false" name="g_amd_26" vbProcedure="false">In!$E$120</definedName>
    <definedName function="false" hidden="false" name="g_amd_26_hi" vbProcedure="false">In!$F$120</definedName>
    <definedName function="false" hidden="false" name="g_amd_26_lo" vbProcedure="false">In!$D$120</definedName>
    <definedName function="false" hidden="false" name="g_amd_27" vbProcedure="false">In!$E$121</definedName>
    <definedName function="false" hidden="false" name="g_amd_27_hi" vbProcedure="false">In!$F$121</definedName>
    <definedName function="false" hidden="false" name="g_amd_27_lo" vbProcedure="false">In!$D$121</definedName>
    <definedName function="false" hidden="false" name="g_amd_28" vbProcedure="false">In!$E$122</definedName>
    <definedName function="false" hidden="false" name="g_amd_28_hi" vbProcedure="false">In!$F$122</definedName>
    <definedName function="false" hidden="false" name="g_amd_28_lo" vbProcedure="false">In!$D$122</definedName>
    <definedName function="false" hidden="false" name="g_bw_26" vbProcedure="false">In!$E$96</definedName>
    <definedName function="false" hidden="false" name="g_bw_27" vbProcedure="false">In!$E$97</definedName>
    <definedName function="false" hidden="false" name="g_bw_28" vbProcedure="false">In!$E$98</definedName>
    <definedName function="false" hidden="false" name="g_hp_26" vbProcedure="false">In!$E$114</definedName>
    <definedName function="false" hidden="false" name="g_hp_27" vbProcedure="false">In!$E$115</definedName>
    <definedName function="false" hidden="false" name="g_hp_28" vbProcedure="false">In!$E$116</definedName>
    <definedName function="false" hidden="false" name="g_oth_26" vbProcedure="false">In!$E$138</definedName>
    <definedName function="false" hidden="false" name="g_oth_26_hi" vbProcedure="false">In!$F$138</definedName>
    <definedName function="false" hidden="false" name="g_oth_26_lo" vbProcedure="false">In!$D$138</definedName>
    <definedName function="false" hidden="false" name="g_oth_27" vbProcedure="false">In!$E$139</definedName>
    <definedName function="false" hidden="false" name="g_oth_27_hi" vbProcedure="false">In!$F$139</definedName>
    <definedName function="false" hidden="false" name="g_oth_27_lo" vbProcedure="false">In!$D$139</definedName>
    <definedName function="false" hidden="false" name="g_oth_28" vbProcedure="false">In!$E$140</definedName>
    <definedName function="false" hidden="false" name="g_oth_28_hi" vbProcedure="false">In!$F$140</definedName>
    <definedName function="false" hidden="false" name="g_oth_28_lo" vbProcedure="false">In!$D$140</definedName>
    <definedName function="false" hidden="false" name="g_rb_26" vbProcedure="false">In!$E$102</definedName>
    <definedName function="false" hidden="false" name="g_rb_27" vbProcedure="false">In!$E$103</definedName>
    <definedName function="false" hidden="false" name="g_rb_28" vbProcedure="false">In!$E$104</definedName>
    <definedName function="false" hidden="false" name="g_ru_26" vbProcedure="false">In!$E$108</definedName>
    <definedName function="false" hidden="false" name="g_ru_27" vbProcedure="false">In!$E$109</definedName>
    <definedName function="false" hidden="false" name="g_ru_28" vbProcedure="false">In!$E$110</definedName>
    <definedName function="false" hidden="false" name="g_tpu_26" vbProcedure="false">In!$E$126</definedName>
    <definedName function="false" hidden="false" name="g_tpu_27" vbProcedure="false">In!$E$127</definedName>
    <definedName function="false" hidden="false" name="g_tpu_28" vbProcedure="false">In!$E$128</definedName>
    <definedName function="false" hidden="false" name="g_trn_26" vbProcedure="false">In!$E$132</definedName>
    <definedName function="false" hidden="false" name="g_trn_26_hi" vbProcedure="false">In!$F$132</definedName>
    <definedName function="false" hidden="false" name="g_trn_26_lo" vbProcedure="false">In!$D$132</definedName>
    <definedName function="false" hidden="false" name="g_trn_27" vbProcedure="false">In!$E$133</definedName>
    <definedName function="false" hidden="false" name="g_trn_27_hi" vbProcedure="false">In!$F$133</definedName>
    <definedName function="false" hidden="false" name="g_trn_27_lo" vbProcedure="false">In!$D$133</definedName>
    <definedName function="false" hidden="false" name="g_trn_28" vbProcedure="false">In!$E$134</definedName>
    <definedName function="false" hidden="false" name="g_trn_28_hi" vbProcedure="false">In!$F$134</definedName>
    <definedName function="false" hidden="false" name="g_trn_28_lo" vbProcedure="false">In!$D$134</definedName>
    <definedName function="false" hidden="false" name="hbm_dem29" vbProcedure="false">In!$E$159</definedName>
    <definedName function="false" hidden="false" name="hbm_dem29_hi" vbProcedure="false">In!$F$159</definedName>
    <definedName function="false" hidden="false" name="hbm_dem29_lo" vbProcedure="false">In!$D$159</definedName>
    <definedName function="false" hidden="false" name="hbm_g26" vbProcedure="false">In!$E$150</definedName>
    <definedName function="false" hidden="false" name="hbm_g26_hi" vbProcedure="false">In!$F$150</definedName>
    <definedName function="false" hidden="false" name="hbm_g26_lo" vbProcedure="false">In!$D$150</definedName>
    <definedName function="false" hidden="false" name="hbm_gross" vbProcedure="false">In!$E$151</definedName>
    <definedName function="false" hidden="false" name="hbm_gross_hi" vbProcedure="false">In!$F$151</definedName>
    <definedName function="false" hidden="false" name="hbm_gross_lo" vbProcedure="false">In!$D$151</definedName>
    <definedName function="false" hidden="false" name="hbm_mkt25" vbProcedure="false">In!$E$149</definedName>
    <definedName function="false" hidden="false" name="hbm_mkt25_hi" vbProcedure="false">In!$F$149</definedName>
    <definedName function="false" hidden="false" name="hbm_mkt25_lo" vbProcedure="false">In!$D$149</definedName>
    <definedName function="false" hidden="false" name="hbm_p26" vbProcedure="false">In!$E$154</definedName>
    <definedName function="false" hidden="false" name="hbm_p26_hi" vbProcedure="false">In!$F$154</definedName>
    <definedName function="false" hidden="false" name="hbm_p26_lo" vbProcedure="false">In!$D$154</definedName>
    <definedName function="false" hidden="false" name="hbm_p27" vbProcedure="false">In!$E$155</definedName>
    <definedName function="false" hidden="false" name="hbm_p27_hi" vbProcedure="false">In!$F$155</definedName>
    <definedName function="false" hidden="false" name="hbm_p27_lo" vbProcedure="false">In!$D$155</definedName>
    <definedName function="false" hidden="false" name="hbm_p28_A" vbProcedure="false">In!$E$156</definedName>
    <definedName function="false" hidden="false" name="hbm_p28_A_hi" vbProcedure="false">In!$F$156</definedName>
    <definedName function="false" hidden="false" name="hbm_p28_A_lo" vbProcedure="false">In!$D$156</definedName>
    <definedName function="false" hidden="false" name="hbm_p28_B" vbProcedure="false">In!$E$157</definedName>
    <definedName function="false" hidden="false" name="hbm_p28_B_hi" vbProcedure="false">In!$F$157</definedName>
    <definedName function="false" hidden="false" name="hbm_p28_B_lo" vbProcedure="false">In!$D$157</definedName>
    <definedName function="false" hidden="false" name="hbm_p28_C" vbProcedure="false">In!$E$158</definedName>
    <definedName function="false" hidden="false" name="hbm_p28_C_hi" vbProcedure="false">In!$F$158</definedName>
    <definedName function="false" hidden="false" name="hbm_p28_C_lo" vbProcedure="false">In!$D$158</definedName>
    <definedName function="false" hidden="false" name="hbm_p29_A" vbProcedure="false">In!$E$161</definedName>
    <definedName function="false" hidden="false" name="hbm_p29_A_hi" vbProcedure="false">In!$F$161</definedName>
    <definedName function="false" hidden="false" name="hbm_p29_A_lo" vbProcedure="false">In!$D$161</definedName>
    <definedName function="false" hidden="false" name="hbm_p29_B" vbProcedure="false">In!$E$162</definedName>
    <definedName function="false" hidden="false" name="hbm_p29_B_hi" vbProcedure="false">In!$F$162</definedName>
    <definedName function="false" hidden="false" name="hbm_p29_B_lo" vbProcedure="false">In!$D$162</definedName>
    <definedName function="false" hidden="false" name="hbm_p29_C" vbProcedure="false">In!$E$163</definedName>
    <definedName function="false" hidden="false" name="hbm_p29_C_hi" vbProcedure="false">In!$F$163</definedName>
    <definedName function="false" hidden="false" name="hbm_p29_C_lo" vbProcedure="false">In!$D$163</definedName>
    <definedName function="false" hidden="false" name="hbm_sup27" vbProcedure="false">In!$E$152</definedName>
    <definedName function="false" hidden="false" name="hbm_sup27_hi" vbProcedure="false">In!$F$152</definedName>
    <definedName function="false" hidden="false" name="hbm_sup27_lo" vbProcedure="false">In!$D$152</definedName>
    <definedName function="false" hidden="false" name="hbm_sup28" vbProcedure="false">In!$E$153</definedName>
    <definedName function="false" hidden="false" name="hbm_sup28_hi" vbProcedure="false">In!$F$153</definedName>
    <definedName function="false" hidden="false" name="hbm_sup28_lo" vbProcedure="false">In!$D$153</definedName>
    <definedName function="false" hidden="false" name="hbm_sup29" vbProcedure="false">In!$E$160</definedName>
    <definedName function="false" hidden="false" name="hbm_sup29_hi" vbProcedure="false">In!$F$160</definedName>
    <definedName function="false" hidden="false" name="hbm_sup29_lo" vbProcedure="false">In!$D$160</definedName>
    <definedName function="false" hidden="false" name="msh_oth_26" vbProcedure="false">In!$E$198</definedName>
    <definedName function="false" hidden="false" name="msh_oth_26_hi" vbProcedure="false">In!$F$198</definedName>
    <definedName function="false" hidden="false" name="msh_oth_26_lo" vbProcedure="false">In!$D$198</definedName>
    <definedName function="false" hidden="false" name="msh_oth_27" vbProcedure="false">In!$E$199</definedName>
    <definedName function="false" hidden="false" name="msh_oth_27_hi" vbProcedure="false">In!$F$199</definedName>
    <definedName function="false" hidden="false" name="msh_oth_27_lo" vbProcedure="false">In!$D$199</definedName>
    <definedName function="false" hidden="false" name="msh_oth_28" vbProcedure="false">In!$E$200</definedName>
    <definedName function="false" hidden="false" name="msh_oth_28_hi" vbProcedure="false">In!$F$200</definedName>
    <definedName function="false" hidden="false" name="msh_oth_28_lo" vbProcedure="false">In!$D$200</definedName>
    <definedName function="false" hidden="false" name="msh_tpu_26" vbProcedure="false">In!$E$201</definedName>
    <definedName function="false" hidden="false" name="msh_tpu_26_hi" vbProcedure="false">In!$F$201</definedName>
    <definedName function="false" hidden="false" name="msh_tpu_26_lo" vbProcedure="false">In!$D$201</definedName>
    <definedName function="false" hidden="false" name="msh_tpu_27" vbProcedure="false">In!$E$202</definedName>
    <definedName function="false" hidden="false" name="msh_tpu_27_hi" vbProcedure="false">In!$F$202</definedName>
    <definedName function="false" hidden="false" name="msh_tpu_27_lo" vbProcedure="false">In!$D$202</definedName>
    <definedName function="false" hidden="false" name="msh_tpu_28" vbProcedure="false">In!$E$203</definedName>
    <definedName function="false" hidden="false" name="msh_tpu_28_hi" vbProcedure="false">In!$F$203</definedName>
    <definedName function="false" hidden="false" name="msh_tpu_28_lo" vbProcedure="false">In!$D$203</definedName>
    <definedName function="false" hidden="false" name="msh_trn_26" vbProcedure="false">In!$E$195</definedName>
    <definedName function="false" hidden="false" name="msh_trn_26_hi" vbProcedure="false">In!$F$195</definedName>
    <definedName function="false" hidden="false" name="msh_trn_26_lo" vbProcedure="false">In!$D$195</definedName>
    <definedName function="false" hidden="false" name="msh_trn_27" vbProcedure="false">In!$E$196</definedName>
    <definedName function="false" hidden="false" name="msh_trn_27_hi" vbProcedure="false">In!$F$196</definedName>
    <definedName function="false" hidden="false" name="msh_trn_27_lo" vbProcedure="false">In!$D$196</definedName>
    <definedName function="false" hidden="false" name="msh_trn_28" vbProcedure="false">In!$E$197</definedName>
    <definedName function="false" hidden="false" name="msh_trn_28_hi" vbProcedure="false">In!$F$197</definedName>
    <definedName function="false" hidden="false" name="msh_trn_28_lo" vbProcedure="false">In!$D$197</definedName>
    <definedName function="false" hidden="false" name="mtk_oth_26" vbProcedure="false">In!$E$207</definedName>
    <definedName function="false" hidden="false" name="mtk_oth_26_hi" vbProcedure="false">In!$F$207</definedName>
    <definedName function="false" hidden="false" name="mtk_oth_26_lo" vbProcedure="false">In!$D$207</definedName>
    <definedName function="false" hidden="false" name="mtk_oth_27" vbProcedure="false">In!$E$208</definedName>
    <definedName function="false" hidden="false" name="mtk_oth_27_hi" vbProcedure="false">In!$F$208</definedName>
    <definedName function="false" hidden="false" name="mtk_oth_27_lo" vbProcedure="false">In!$D$208</definedName>
    <definedName function="false" hidden="false" name="mtk_oth_28" vbProcedure="false">In!$E$209</definedName>
    <definedName function="false" hidden="false" name="mtk_oth_28_hi" vbProcedure="false">In!$F$209</definedName>
    <definedName function="false" hidden="false" name="mtk_oth_28_lo" vbProcedure="false">In!$D$209</definedName>
    <definedName function="false" hidden="false" name="mtk_tpu_26" vbProcedure="false">In!$E$204</definedName>
    <definedName function="false" hidden="false" name="mtk_tpu_26_hi" vbProcedure="false">In!$F$204</definedName>
    <definedName function="false" hidden="false" name="mtk_tpu_26_lo" vbProcedure="false">In!$D$204</definedName>
    <definedName function="false" hidden="false" name="mtk_tpu_27" vbProcedure="false">In!$E$205</definedName>
    <definedName function="false" hidden="false" name="mtk_tpu_27_hi" vbProcedure="false">In!$F$205</definedName>
    <definedName function="false" hidden="false" name="mtk_tpu_27_lo" vbProcedure="false">In!$D$205</definedName>
    <definedName function="false" hidden="false" name="mtk_tpu_28" vbProcedure="false">In!$E$206</definedName>
    <definedName function="false" hidden="false" name="mtk_tpu_28_hi" vbProcedure="false">In!$F$206</definedName>
    <definedName function="false" hidden="false" name="mtk_tpu_28_lo" vbProcedure="false">In!$D$206</definedName>
    <definedName function="false" hidden="false" name="nqA_10" vbProcedure="false">In!$E$58</definedName>
    <definedName function="false" hidden="false" name="nqA_11" vbProcedure="false">In!$E$59</definedName>
    <definedName function="false" hidden="false" name="nqA_12" vbProcedure="false">In!$E$60</definedName>
    <definedName function="false" hidden="false" name="nqA_13" vbProcedure="false">In!$E$61</definedName>
    <definedName function="false" hidden="false" name="nqA_14" vbProcedure="false">In!$E$62</definedName>
    <definedName function="false" hidden="false" name="nqA_15" vbProcedure="false">In!$E$63</definedName>
    <definedName function="false" hidden="false" name="nqA_16" vbProcedure="false">In!$E$64</definedName>
    <definedName function="false" hidden="false" name="nqA_17" vbProcedure="false">In!$E$65</definedName>
    <definedName function="false" hidden="false" name="nqA_18" vbProcedure="false">In!$E$66</definedName>
    <definedName function="false" hidden="false" name="nqA_19" vbProcedure="false">In!$E$67</definedName>
    <definedName function="false" hidden="false" name="nqA_8" vbProcedure="false">In!$E$56</definedName>
    <definedName function="false" hidden="false" name="nqA_9" vbProcedure="false">In!$E$57</definedName>
    <definedName function="false" hidden="false" name="nqB_10" vbProcedure="false">In!$E$70</definedName>
    <definedName function="false" hidden="false" name="nqB_11" vbProcedure="false">In!$E$71</definedName>
    <definedName function="false" hidden="false" name="nqB_12" vbProcedure="false">In!$E$72</definedName>
    <definedName function="false" hidden="false" name="nqB_13" vbProcedure="false">In!$E$73</definedName>
    <definedName function="false" hidden="false" name="nqB_14" vbProcedure="false">In!$E$74</definedName>
    <definedName function="false" hidden="false" name="nqB_15" vbProcedure="false">In!$E$75</definedName>
    <definedName function="false" hidden="false" name="nqB_16" vbProcedure="false">In!$E$76</definedName>
    <definedName function="false" hidden="false" name="nqB_17" vbProcedure="false">In!$E$77</definedName>
    <definedName function="false" hidden="false" name="nqB_18" vbProcedure="false">In!$E$78</definedName>
    <definedName function="false" hidden="false" name="nqB_19" vbProcedure="false">In!$E$79</definedName>
    <definedName function="false" hidden="false" name="nqB_8" vbProcedure="false">In!$E$68</definedName>
    <definedName function="false" hidden="false" name="nqB_9" vbProcedure="false">In!$E$69</definedName>
    <definedName function="false" hidden="false" name="nqC_10" vbProcedure="false">In!$E$82</definedName>
    <definedName function="false" hidden="false" name="nqC_10_hi" vbProcedure="false">In!$F$82</definedName>
    <definedName function="false" hidden="false" name="nqC_10_lo" vbProcedure="false">In!$D$82</definedName>
    <definedName function="false" hidden="false" name="nqC_11" vbProcedure="false">In!$E$83</definedName>
    <definedName function="false" hidden="false" name="nqC_11_hi" vbProcedure="false">In!$F$83</definedName>
    <definedName function="false" hidden="false" name="nqC_11_lo" vbProcedure="false">In!$D$83</definedName>
    <definedName function="false" hidden="false" name="nqC_12" vbProcedure="false">In!$E$84</definedName>
    <definedName function="false" hidden="false" name="nqC_12_hi" vbProcedure="false">In!$F$84</definedName>
    <definedName function="false" hidden="false" name="nqC_12_lo" vbProcedure="false">In!$D$84</definedName>
    <definedName function="false" hidden="false" name="nqC_13" vbProcedure="false">In!$E$85</definedName>
    <definedName function="false" hidden="false" name="nqC_13_hi" vbProcedure="false">In!$F$85</definedName>
    <definedName function="false" hidden="false" name="nqC_13_lo" vbProcedure="false">In!$D$85</definedName>
    <definedName function="false" hidden="false" name="nqC_14" vbProcedure="false">In!$E$86</definedName>
    <definedName function="false" hidden="false" name="nqC_14_hi" vbProcedure="false">In!$F$86</definedName>
    <definedName function="false" hidden="false" name="nqC_14_lo" vbProcedure="false">In!$D$86</definedName>
    <definedName function="false" hidden="false" name="nqC_15" vbProcedure="false">In!$E$87</definedName>
    <definedName function="false" hidden="false" name="nqC_15_hi" vbProcedure="false">In!$F$87</definedName>
    <definedName function="false" hidden="false" name="nqC_15_lo" vbProcedure="false">In!$D$87</definedName>
    <definedName function="false" hidden="false" name="nqC_16" vbProcedure="false">In!$E$88</definedName>
    <definedName function="false" hidden="false" name="nqC_16_hi" vbProcedure="false">In!$F$88</definedName>
    <definedName function="false" hidden="false" name="nqC_16_lo" vbProcedure="false">In!$D$88</definedName>
    <definedName function="false" hidden="false" name="nqC_17" vbProcedure="false">In!$E$89</definedName>
    <definedName function="false" hidden="false" name="nqC_17_hi" vbProcedure="false">In!$F$89</definedName>
    <definedName function="false" hidden="false" name="nqC_17_lo" vbProcedure="false">In!$D$89</definedName>
    <definedName function="false" hidden="false" name="nqC_18" vbProcedure="false">In!$E$90</definedName>
    <definedName function="false" hidden="false" name="nqC_18_hi" vbProcedure="false">In!$F$90</definedName>
    <definedName function="false" hidden="false" name="nqC_18_lo" vbProcedure="false">In!$D$90</definedName>
    <definedName function="false" hidden="false" name="nqC_19" vbProcedure="false">In!$E$91</definedName>
    <definedName function="false" hidden="false" name="nqC_19_hi" vbProcedure="false">In!$F$91</definedName>
    <definedName function="false" hidden="false" name="nqC_19_lo" vbProcedure="false">In!$D$91</definedName>
    <definedName function="false" hidden="false" name="nqC_8" vbProcedure="false">In!$E$80</definedName>
    <definedName function="false" hidden="false" name="nqC_8_hi" vbProcedure="false">In!$F$80</definedName>
    <definedName function="false" hidden="false" name="nqC_8_lo" vbProcedure="false">In!$D$80</definedName>
    <definedName function="false" hidden="false" name="nqC_9" vbProcedure="false">In!$E$81</definedName>
    <definedName function="false" hidden="false" name="nqC_9_hi" vbProcedure="false">In!$F$81</definedName>
    <definedName function="false" hidden="false" name="nqC_9_lo" vbProcedure="false">In!$D$81</definedName>
    <definedName function="false" hidden="false" name="nq_1" vbProcedure="false">In!$E$49</definedName>
    <definedName function="false" hidden="false" name="nq_2" vbProcedure="false">In!$E$50</definedName>
    <definedName function="false" hidden="false" name="nq_3" vbProcedure="false">In!$E$51</definedName>
    <definedName function="false" hidden="false" name="nq_4" vbProcedure="false">In!$E$52</definedName>
    <definedName function="false" hidden="false" name="nq_5" vbProcedure="false">In!$E$53</definedName>
    <definedName function="false" hidden="false" name="nq_6" vbProcedure="false">In!$E$54</definedName>
    <definedName function="false" hidden="false" name="nq_7" vbProcedure="false">In!$E$55</definedName>
    <definedName function="false" hidden="false" name="nv_content" vbProcedure="false">In!$E$166</definedName>
    <definedName function="false" hidden="false" name="nv_content_hi" vbProcedure="false">In!$F$166</definedName>
    <definedName function="false" hidden="false" name="nv_content_lo" vbProcedure="false">In!$D$166</definedName>
    <definedName function="false" hidden="false" name="nv_dc26" vbProcedure="false">In!$E$165</definedName>
    <definedName function="false" hidden="false" name="nv_dc26_hi" vbProcedure="false">In!$F$165</definedName>
    <definedName function="false" hidden="false" name="nv_dc26_lo" vbProcedure="false">In!$D$165</definedName>
    <definedName function="false" hidden="false" name="nv_hbm" vbProcedure="false">In!$E$167</definedName>
    <definedName function="false" hidden="false" name="nv_hbm_hi" vbProcedure="false">In!$F$167</definedName>
    <definedName function="false" hidden="false" name="nv_hbm_lo" vbProcedure="false">In!$D$167</definedName>
    <definedName function="false" hidden="false" name="pa_amd" vbProcedure="false">In!$E$181</definedName>
    <definedName function="false" hidden="false" name="pa_amd_hi" vbProcedure="false">In!$F$181</definedName>
    <definedName function="false" hidden="false" name="pa_amd_lo" vbProcedure="false">In!$D$181</definedName>
    <definedName function="false" hidden="false" name="pa_oth" vbProcedure="false">In!$E$184</definedName>
    <definedName function="false" hidden="false" name="pa_oth_hi" vbProcedure="false">In!$F$184</definedName>
    <definedName function="false" hidden="false" name="pa_oth_lo" vbProcedure="false">In!$D$184</definedName>
    <definedName function="false" hidden="false" name="pa_tpu" vbProcedure="false">In!$E$182</definedName>
    <definedName function="false" hidden="false" name="pa_tpu_hi" vbProcedure="false">In!$F$182</definedName>
    <definedName function="false" hidden="false" name="pa_tpu_lo" vbProcedure="false">In!$D$182</definedName>
    <definedName function="false" hidden="false" name="pa_trn" vbProcedure="false">In!$E$183</definedName>
    <definedName function="false" hidden="false" name="pa_trn_hi" vbProcedure="false">In!$F$183</definedName>
    <definedName function="false" hidden="false" name="pa_trn_lo" vbProcedure="false">In!$D$183</definedName>
    <definedName function="false" hidden="false" name="pub26_hi" vbProcedure="false">In!$E$169</definedName>
    <definedName function="false" hidden="false" name="pub26_lo" vbProcedure="false">In!$E$168</definedName>
    <definedName function="false" hidden="false" name="pub27" vbProcedure="false">In!$E$170</definedName>
    <definedName function="false" hidden="false" name="SGOV_Errors" vbProcedure="false">Checks!$C$60</definedName>
    <definedName function="false" hidden="false" name="SGOV_Warn" vbProcedure="false">Checks!$C$61</definedName>
    <definedName function="false" hidden="false" name="sh_oth_26" vbProcedure="false">In!$E$192</definedName>
    <definedName function="false" hidden="false" name="sh_oth_26_hi" vbProcedure="false">In!$F$192</definedName>
    <definedName function="false" hidden="false" name="sh_oth_26_lo" vbProcedure="false">In!$D$192</definedName>
    <definedName function="false" hidden="false" name="sh_oth_27" vbProcedure="false">In!$E$193</definedName>
    <definedName function="false" hidden="false" name="sh_oth_27_hi" vbProcedure="false">In!$F$193</definedName>
    <definedName function="false" hidden="false" name="sh_oth_27_lo" vbProcedure="false">In!$D$193</definedName>
    <definedName function="false" hidden="false" name="sh_oth_28" vbProcedure="false">In!$E$194</definedName>
    <definedName function="false" hidden="false" name="sh_oth_28_hi" vbProcedure="false">In!$F$194</definedName>
    <definedName function="false" hidden="false" name="sh_oth_28_lo" vbProcedure="false">In!$D$194</definedName>
    <definedName function="false" hidden="false" name="sh_tpu_26" vbProcedure="false">In!$E$189</definedName>
    <definedName function="false" hidden="false" name="sh_tpu_26_hi" vbProcedure="false">In!$F$189</definedName>
    <definedName function="false" hidden="false" name="sh_tpu_26_lo" vbProcedure="false">In!$D$189</definedName>
    <definedName function="false" hidden="false" name="sh_tpu_27" vbProcedure="false">In!$E$190</definedName>
    <definedName function="false" hidden="false" name="sh_tpu_27_hi" vbProcedure="false">In!$F$190</definedName>
    <definedName function="false" hidden="false" name="sh_tpu_27_lo" vbProcedure="false">In!$D$190</definedName>
    <definedName function="false" hidden="false" name="sh_tpu_28" vbProcedure="false">In!$E$191</definedName>
    <definedName function="false" hidden="false" name="sh_tpu_28_hi" vbProcedure="false">In!$F$191</definedName>
    <definedName function="false" hidden="false" name="sh_tpu_28_lo" vbProcedure="false">In!$D$191</definedName>
    <definedName function="false" hidden="false" name="SIF_al27_A" vbProcedure="false">Interface!$E$204</definedName>
    <definedName function="false" hidden="false" name="SIF_al27_A_hi" vbProcedure="false">Interface!$F$204</definedName>
    <definedName function="false" hidden="false" name="SIF_al27_A_lo" vbProcedure="false">Interface!$D$204</definedName>
    <definedName function="false" hidden="false" name="SIF_al27_B" vbProcedure="false">Interface!$E$205</definedName>
    <definedName function="false" hidden="false" name="SIF_al27_B_hi" vbProcedure="false">Interface!$F$205</definedName>
    <definedName function="false" hidden="false" name="SIF_al27_B_lo" vbProcedure="false">Interface!$D$205</definedName>
    <definedName function="false" hidden="false" name="SIF_al27_C" vbProcedure="false">Interface!$E$206</definedName>
    <definedName function="false" hidden="false" name="SIF_al27_C_hi" vbProcedure="false">Interface!$F$206</definedName>
    <definedName function="false" hidden="false" name="SIF_al27_C_lo" vbProcedure="false">Interface!$D$206</definedName>
    <definedName function="false" hidden="false" name="SIF_al28_A" vbProcedure="false">Interface!$E$207</definedName>
    <definedName function="false" hidden="false" name="SIF_al28_A_hi" vbProcedure="false">Interface!$F$207</definedName>
    <definedName function="false" hidden="false" name="SIF_al28_A_lo" vbProcedure="false">Interface!$D$207</definedName>
    <definedName function="false" hidden="false" name="SIF_al28_B" vbProcedure="false">Interface!$E$208</definedName>
    <definedName function="false" hidden="false" name="SIF_al28_B_hi" vbProcedure="false">Interface!$F$208</definedName>
    <definedName function="false" hidden="false" name="SIF_al28_B_lo" vbProcedure="false">Interface!$D$208</definedName>
    <definedName function="false" hidden="false" name="SIF_al28_C" vbProcedure="false">Interface!$E$209</definedName>
    <definedName function="false" hidden="false" name="SIF_al28_C_hi" vbProcedure="false">Interface!$F$209</definedName>
    <definedName function="false" hidden="false" name="SIF_al28_C_lo" vbProcedure="false">Interface!$D$209</definedName>
    <definedName function="false" hidden="false" name="SIF_al_trn_26" vbProcedure="false">Interface!$E$203</definedName>
    <definedName function="false" hidden="false" name="SIF_al_trn_26_hi" vbProcedure="false">Interface!$F$203</definedName>
    <definedName function="false" hidden="false" name="SIF_al_trn_26_lo" vbProcedure="false">Interface!$D$203</definedName>
    <definedName function="false" hidden="false" name="SIF_ASICShareSum_oth" vbProcedure="false">Interface!$E$251:$G$251</definedName>
    <definedName function="false" hidden="false" name="SIF_ASICShareSum_tpu" vbProcedure="false">Interface!$E$250:$G$250</definedName>
    <definedName function="false" hidden="false" name="SIF_ASICShareSum_trnA" vbProcedure="false">Interface!$E$252:$G$252</definedName>
    <definedName function="false" hidden="false" name="SIF_ASICShareSum_trnB" vbProcedure="false">Interface!$E$253:$G$253</definedName>
    <definedName function="false" hidden="false" name="SIF_ASICShareSum_trnC" vbProcedure="false">Interface!$E$254:$G$254</definedName>
    <definedName function="false" hidden="false" name="SIF_core_oth" vbProcedure="false">Interface!$E$180</definedName>
    <definedName function="false" hidden="false" name="SIF_core_oth_hi" vbProcedure="false">Interface!$F$180</definedName>
    <definedName function="false" hidden="false" name="SIF_core_oth_lo" vbProcedure="false">Interface!$D$180</definedName>
    <definedName function="false" hidden="false" name="SIF_core_tpu" vbProcedure="false">Interface!$E$179</definedName>
    <definedName function="false" hidden="false" name="SIF_core_tpu_hi" vbProcedure="false">Interface!$F$179</definedName>
    <definedName function="false" hidden="false" name="SIF_core_tpu_lo" vbProcedure="false">Interface!$D$179</definedName>
    <definedName function="false" hidden="false" name="SIF_cqA_10" vbProcedure="false">Interface!$E$15</definedName>
    <definedName function="false" hidden="false" name="SIF_cqA_11" vbProcedure="false">Interface!$E$16</definedName>
    <definedName function="false" hidden="false" name="SIF_cqA_12" vbProcedure="false">Interface!$E$17</definedName>
    <definedName function="false" hidden="false" name="SIF_cqA_13" vbProcedure="false">Interface!$E$18</definedName>
    <definedName function="false" hidden="false" name="SIF_cqA_14" vbProcedure="false">Interface!$E$19</definedName>
    <definedName function="false" hidden="false" name="SIF_cqA_15" vbProcedure="false">Interface!$E$20</definedName>
    <definedName function="false" hidden="false" name="SIF_cqA_16" vbProcedure="false">Interface!$E$21</definedName>
    <definedName function="false" hidden="false" name="SIF_cqA_17" vbProcedure="false">Interface!$E$22</definedName>
    <definedName function="false" hidden="false" name="SIF_cqA_18" vbProcedure="false">Interface!$E$23</definedName>
    <definedName function="false" hidden="false" name="SIF_cqA_19" vbProcedure="false">Interface!$E$24</definedName>
    <definedName function="false" hidden="false" name="SIF_cqA_8" vbProcedure="false">Interface!$E$13</definedName>
    <definedName function="false" hidden="false" name="SIF_cqA_9" vbProcedure="false">Interface!$E$14</definedName>
    <definedName function="false" hidden="false" name="SIF_cqB_10" vbProcedure="false">Interface!$E$27</definedName>
    <definedName function="false" hidden="false" name="SIF_cqB_11" vbProcedure="false">Interface!$E$28</definedName>
    <definedName function="false" hidden="false" name="SIF_cqB_12" vbProcedure="false">Interface!$E$29</definedName>
    <definedName function="false" hidden="false" name="SIF_cqB_13" vbProcedure="false">Interface!$E$30</definedName>
    <definedName function="false" hidden="false" name="SIF_cqB_14" vbProcedure="false">Interface!$E$31</definedName>
    <definedName function="false" hidden="false" name="SIF_cqB_15" vbProcedure="false">Interface!$E$32</definedName>
    <definedName function="false" hidden="false" name="SIF_cqB_16" vbProcedure="false">Interface!$E$33</definedName>
    <definedName function="false" hidden="false" name="SIF_cqB_17" vbProcedure="false">Interface!$E$34</definedName>
    <definedName function="false" hidden="false" name="SIF_cqB_18" vbProcedure="false">Interface!$E$35</definedName>
    <definedName function="false" hidden="false" name="SIF_cqB_19" vbProcedure="false">Interface!$E$36</definedName>
    <definedName function="false" hidden="false" name="SIF_cqB_8" vbProcedure="false">Interface!$E$25</definedName>
    <definedName function="false" hidden="false" name="SIF_cqB_9" vbProcedure="false">Interface!$E$26</definedName>
    <definedName function="false" hidden="false" name="SIF_cqC_10" vbProcedure="false">Interface!$E$39</definedName>
    <definedName function="false" hidden="false" name="SIF_cqC_10_hi" vbProcedure="false">Interface!$F$39</definedName>
    <definedName function="false" hidden="false" name="SIF_cqC_10_lo" vbProcedure="false">Interface!$D$39</definedName>
    <definedName function="false" hidden="false" name="SIF_cqC_11" vbProcedure="false">Interface!$E$40</definedName>
    <definedName function="false" hidden="false" name="SIF_cqC_11_hi" vbProcedure="false">Interface!$F$40</definedName>
    <definedName function="false" hidden="false" name="SIF_cqC_11_lo" vbProcedure="false">Interface!$D$40</definedName>
    <definedName function="false" hidden="false" name="SIF_cqC_12" vbProcedure="false">Interface!$E$41</definedName>
    <definedName function="false" hidden="false" name="SIF_cqC_12_hi" vbProcedure="false">Interface!$F$41</definedName>
    <definedName function="false" hidden="false" name="SIF_cqC_12_lo" vbProcedure="false">Interface!$D$41</definedName>
    <definedName function="false" hidden="false" name="SIF_cqC_13" vbProcedure="false">Interface!$E$42</definedName>
    <definedName function="false" hidden="false" name="SIF_cqC_13_hi" vbProcedure="false">Interface!$F$42</definedName>
    <definedName function="false" hidden="false" name="SIF_cqC_13_lo" vbProcedure="false">Interface!$D$42</definedName>
    <definedName function="false" hidden="false" name="SIF_cqC_14" vbProcedure="false">Interface!$E$43</definedName>
    <definedName function="false" hidden="false" name="SIF_cqC_14_hi" vbProcedure="false">Interface!$F$43</definedName>
    <definedName function="false" hidden="false" name="SIF_cqC_14_lo" vbProcedure="false">Interface!$D$43</definedName>
    <definedName function="false" hidden="false" name="SIF_cqC_15" vbProcedure="false">Interface!$E$44</definedName>
    <definedName function="false" hidden="false" name="SIF_cqC_15_hi" vbProcedure="false">Interface!$F$44</definedName>
    <definedName function="false" hidden="false" name="SIF_cqC_15_lo" vbProcedure="false">Interface!$D$44</definedName>
    <definedName function="false" hidden="false" name="SIF_cqC_16" vbProcedure="false">Interface!$E$45</definedName>
    <definedName function="false" hidden="false" name="SIF_cqC_16_hi" vbProcedure="false">Interface!$F$45</definedName>
    <definedName function="false" hidden="false" name="SIF_cqC_16_lo" vbProcedure="false">Interface!$D$45</definedName>
    <definedName function="false" hidden="false" name="SIF_cqC_17" vbProcedure="false">Interface!$E$46</definedName>
    <definedName function="false" hidden="false" name="SIF_cqC_17_hi" vbProcedure="false">Interface!$F$46</definedName>
    <definedName function="false" hidden="false" name="SIF_cqC_17_lo" vbProcedure="false">Interface!$D$46</definedName>
    <definedName function="false" hidden="false" name="SIF_cqC_18" vbProcedure="false">Interface!$E$47</definedName>
    <definedName function="false" hidden="false" name="SIF_cqC_18_hi" vbProcedure="false">Interface!$F$47</definedName>
    <definedName function="false" hidden="false" name="SIF_cqC_18_lo" vbProcedure="false">Interface!$D$47</definedName>
    <definedName function="false" hidden="false" name="SIF_cqC_19" vbProcedure="false">Interface!$E$48</definedName>
    <definedName function="false" hidden="false" name="SIF_cqC_19_hi" vbProcedure="false">Interface!$F$48</definedName>
    <definedName function="false" hidden="false" name="SIF_cqC_19_lo" vbProcedure="false">Interface!$D$48</definedName>
    <definedName function="false" hidden="false" name="SIF_cqC_8" vbProcedure="false">Interface!$E$37</definedName>
    <definedName function="false" hidden="false" name="SIF_cqC_8_hi" vbProcedure="false">Interface!$F$37</definedName>
    <definedName function="false" hidden="false" name="SIF_cqC_8_lo" vbProcedure="false">Interface!$D$37</definedName>
    <definedName function="false" hidden="false" name="SIF_cqC_9" vbProcedure="false">Interface!$E$38</definedName>
    <definedName function="false" hidden="false" name="SIF_cqC_9_hi" vbProcedure="false">Interface!$F$38</definedName>
    <definedName function="false" hidden="false" name="SIF_cqC_9_lo" vbProcedure="false">Interface!$D$38</definedName>
    <definedName function="false" hidden="false" name="SIF_cq_1" vbProcedure="false">Interface!$E$6</definedName>
    <definedName function="false" hidden="false" name="SIF_cq_2" vbProcedure="false">Interface!$E$7</definedName>
    <definedName function="false" hidden="false" name="SIF_cq_3" vbProcedure="false">Interface!$E$8</definedName>
    <definedName function="false" hidden="false" name="SIF_cq_4" vbProcedure="false">Interface!$E$9</definedName>
    <definedName function="false" hidden="false" name="SIF_cq_5" vbProcedure="false">Interface!$E$10</definedName>
    <definedName function="false" hidden="false" name="SIF_cq_6" vbProcedure="false">Interface!$E$11</definedName>
    <definedName function="false" hidden="false" name="SIF_cq_7" vbProcedure="false">Interface!$E$12</definedName>
    <definedName function="false" hidden="false" name="SIF_f_hbm" vbProcedure="false">Interface!$E$181</definedName>
    <definedName function="false" hidden="false" name="SIF_f_hbm_hi" vbProcedure="false">Interface!$F$181</definedName>
    <definedName function="false" hidden="false" name="SIF_f_hbm_lo" vbProcedure="false">Interface!$D$181</definedName>
    <definedName function="false" hidden="false" name="SIF_g29_amd" vbProcedure="false">Interface!$E$171</definedName>
    <definedName function="false" hidden="false" name="SIF_g29_amd_hi" vbProcedure="false">Interface!$F$171</definedName>
    <definedName function="false" hidden="false" name="SIF_g29_amd_lo" vbProcedure="false">Interface!$D$171</definedName>
    <definedName function="false" hidden="false" name="SIF_g29_bw" vbProcedure="false">Interface!$E$167</definedName>
    <definedName function="false" hidden="false" name="SIF_g29_bw_hi" vbProcedure="false">Interface!$F$167</definedName>
    <definedName function="false" hidden="false" name="SIF_g29_bw_lo" vbProcedure="false">Interface!$D$167</definedName>
    <definedName function="false" hidden="false" name="SIF_g29_hp" vbProcedure="false">Interface!$E$170</definedName>
    <definedName function="false" hidden="false" name="SIF_g29_hp_hi" vbProcedure="false">Interface!$F$170</definedName>
    <definedName function="false" hidden="false" name="SIF_g29_hp_lo" vbProcedure="false">Interface!$D$170</definedName>
    <definedName function="false" hidden="false" name="SIF_g29_oth" vbProcedure="false">Interface!$E$174</definedName>
    <definedName function="false" hidden="false" name="SIF_g29_oth_hi" vbProcedure="false">Interface!$F$174</definedName>
    <definedName function="false" hidden="false" name="SIF_g29_oth_lo" vbProcedure="false">Interface!$D$174</definedName>
    <definedName function="false" hidden="false" name="SIF_g29_rb" vbProcedure="false">Interface!$E$168</definedName>
    <definedName function="false" hidden="false" name="SIF_g29_rb_hi" vbProcedure="false">Interface!$F$168</definedName>
    <definedName function="false" hidden="false" name="SIF_g29_rb_lo" vbProcedure="false">Interface!$D$168</definedName>
    <definedName function="false" hidden="false" name="SIF_g29_ru" vbProcedure="false">Interface!$E$169</definedName>
    <definedName function="false" hidden="false" name="SIF_g29_ru_hi" vbProcedure="false">Interface!$F$169</definedName>
    <definedName function="false" hidden="false" name="SIF_g29_ru_lo" vbProcedure="false">Interface!$D$169</definedName>
    <definedName function="false" hidden="false" name="SIF_g29_tpu" vbProcedure="false">Interface!$E$172</definedName>
    <definedName function="false" hidden="false" name="SIF_g29_tpu_hi" vbProcedure="false">Interface!$F$172</definedName>
    <definedName function="false" hidden="false" name="SIF_g29_tpu_lo" vbProcedure="false">Interface!$D$172</definedName>
    <definedName function="false" hidden="false" name="SIF_g29_trn" vbProcedure="false">Interface!$E$173</definedName>
    <definedName function="false" hidden="false" name="SIF_g29_trn_hi" vbProcedure="false">Interface!$F$173</definedName>
    <definedName function="false" hidden="false" name="SIF_g29_trn_lo" vbProcedure="false">Interface!$D$173</definedName>
    <definedName function="false" hidden="false" name="SIF_g_amd_26" vbProcedure="false">Interface!$E$119</definedName>
    <definedName function="false" hidden="false" name="SIF_g_amd_26_hi" vbProcedure="false">Interface!$F$119</definedName>
    <definedName function="false" hidden="false" name="SIF_g_amd_26_lo" vbProcedure="false">Interface!$D$119</definedName>
    <definedName function="false" hidden="false" name="SIF_g_amd_27" vbProcedure="false">Interface!$E$120</definedName>
    <definedName function="false" hidden="false" name="SIF_g_amd_27_hi" vbProcedure="false">Interface!$F$120</definedName>
    <definedName function="false" hidden="false" name="SIF_g_amd_27_lo" vbProcedure="false">Interface!$D$120</definedName>
    <definedName function="false" hidden="false" name="SIF_g_amd_28" vbProcedure="false">Interface!$E$121</definedName>
    <definedName function="false" hidden="false" name="SIF_g_amd_28_hi" vbProcedure="false">Interface!$F$121</definedName>
    <definedName function="false" hidden="false" name="SIF_g_amd_28_lo" vbProcedure="false">Interface!$D$121</definedName>
    <definedName function="false" hidden="false" name="SIF_g_bw_26" vbProcedure="false">Interface!$E$95</definedName>
    <definedName function="false" hidden="false" name="SIF_g_bw_27" vbProcedure="false">Interface!$E$96</definedName>
    <definedName function="false" hidden="false" name="SIF_g_bw_28" vbProcedure="false">Interface!$E$97</definedName>
    <definedName function="false" hidden="false" name="SIF_g_hp_26" vbProcedure="false">Interface!$E$113</definedName>
    <definedName function="false" hidden="false" name="SIF_g_hp_27" vbProcedure="false">Interface!$E$114</definedName>
    <definedName function="false" hidden="false" name="SIF_g_hp_28" vbProcedure="false">Interface!$E$115</definedName>
    <definedName function="false" hidden="false" name="SIF_g_oth_26" vbProcedure="false">Interface!$E$137</definedName>
    <definedName function="false" hidden="false" name="SIF_g_oth_26_hi" vbProcedure="false">Interface!$F$137</definedName>
    <definedName function="false" hidden="false" name="SIF_g_oth_26_lo" vbProcedure="false">Interface!$D$137</definedName>
    <definedName function="false" hidden="false" name="SIF_g_oth_27" vbProcedure="false">Interface!$E$138</definedName>
    <definedName function="false" hidden="false" name="SIF_g_oth_27_hi" vbProcedure="false">Interface!$F$138</definedName>
    <definedName function="false" hidden="false" name="SIF_g_oth_27_lo" vbProcedure="false">Interface!$D$138</definedName>
    <definedName function="false" hidden="false" name="SIF_g_oth_28" vbProcedure="false">Interface!$E$139</definedName>
    <definedName function="false" hidden="false" name="SIF_g_oth_28_hi" vbProcedure="false">Interface!$F$139</definedName>
    <definedName function="false" hidden="false" name="SIF_g_oth_28_lo" vbProcedure="false">Interface!$D$139</definedName>
    <definedName function="false" hidden="false" name="SIF_g_rb_26" vbProcedure="false">Interface!$E$101</definedName>
    <definedName function="false" hidden="false" name="SIF_g_rb_27" vbProcedure="false">Interface!$E$102</definedName>
    <definedName function="false" hidden="false" name="SIF_g_rb_28" vbProcedure="false">Interface!$E$103</definedName>
    <definedName function="false" hidden="false" name="SIF_g_ru_26" vbProcedure="false">Interface!$E$107</definedName>
    <definedName function="false" hidden="false" name="SIF_g_ru_27" vbProcedure="false">Interface!$E$108</definedName>
    <definedName function="false" hidden="false" name="SIF_g_ru_28" vbProcedure="false">Interface!$E$109</definedName>
    <definedName function="false" hidden="false" name="SIF_g_tpu_26" vbProcedure="false">Interface!$E$125</definedName>
    <definedName function="false" hidden="false" name="SIF_g_tpu_27" vbProcedure="false">Interface!$E$126</definedName>
    <definedName function="false" hidden="false" name="SIF_g_tpu_28" vbProcedure="false">Interface!$E$127</definedName>
    <definedName function="false" hidden="false" name="SIF_g_trn_26" vbProcedure="false">Interface!$E$131</definedName>
    <definedName function="false" hidden="false" name="SIF_g_trn_26_hi" vbProcedure="false">Interface!$F$131</definedName>
    <definedName function="false" hidden="false" name="SIF_g_trn_26_lo" vbProcedure="false">Interface!$D$131</definedName>
    <definedName function="false" hidden="false" name="SIF_g_trn_27" vbProcedure="false">Interface!$E$132</definedName>
    <definedName function="false" hidden="false" name="SIF_g_trn_27_hi" vbProcedure="false">Interface!$F$132</definedName>
    <definedName function="false" hidden="false" name="SIF_g_trn_27_lo" vbProcedure="false">Interface!$D$132</definedName>
    <definedName function="false" hidden="false" name="SIF_g_trn_28" vbProcedure="false">Interface!$E$133</definedName>
    <definedName function="false" hidden="false" name="SIF_g_trn_28_hi" vbProcedure="false">Interface!$F$133</definedName>
    <definedName function="false" hidden="false" name="SIF_g_trn_28_lo" vbProcedure="false">Interface!$D$133</definedName>
    <definedName function="false" hidden="false" name="SIF_hbm_dem29" vbProcedure="false">Interface!$E$156</definedName>
    <definedName function="false" hidden="false" name="SIF_hbm_dem29_hi" vbProcedure="false">Interface!$F$156</definedName>
    <definedName function="false" hidden="false" name="SIF_hbm_dem29_lo" vbProcedure="false">Interface!$D$156</definedName>
    <definedName function="false" hidden="false" name="SIF_HBM_DemandEB" vbProcedure="false">Interface!$D$213:$H$213</definedName>
    <definedName function="false" hidden="false" name="SIF_HBM_DemandGrossEB" vbProcedure="false">Interface!$D$214:$H$214</definedName>
    <definedName function="false" hidden="false" name="SIF_hbm_g26" vbProcedure="false">Interface!$E$147</definedName>
    <definedName function="false" hidden="false" name="SIF_hbm_g26_hi" vbProcedure="false">Interface!$F$147</definedName>
    <definedName function="false" hidden="false" name="SIF_hbm_g26_lo" vbProcedure="false">Interface!$D$147</definedName>
    <definedName function="false" hidden="false" name="SIF_HBM_GapEB_A" vbProcedure="false">Interface!$D$220:$H$220</definedName>
    <definedName function="false" hidden="false" name="SIF_HBM_GapEB_B" vbProcedure="false">Interface!$D$225:$H$225</definedName>
    <definedName function="false" hidden="false" name="SIF_HBM_GapEB_C" vbProcedure="false">Interface!$D$230:$H$230</definedName>
    <definedName function="false" hidden="false" name="SIF_HBM_GBperUnit" vbProcedure="false">Interface!$D$216:$H$216</definedName>
    <definedName function="false" hidden="false" name="SIF_hbm_gross" vbProcedure="false">Interface!$E$148</definedName>
    <definedName function="false" hidden="false" name="SIF_hbm_gross_hi" vbProcedure="false">Interface!$F$148</definedName>
    <definedName function="false" hidden="false" name="SIF_hbm_gross_lo" vbProcedure="false">Interface!$D$148</definedName>
    <definedName function="false" hidden="false" name="SIF_hbm_mkt25" vbProcedure="false">Interface!$E$146</definedName>
    <definedName function="false" hidden="false" name="SIF_hbm_mkt25_hi" vbProcedure="false">Interface!$F$146</definedName>
    <definedName function="false" hidden="false" name="SIF_hbm_mkt25_lo" vbProcedure="false">Interface!$D$146</definedName>
    <definedName function="false" hidden="false" name="SIF_HBM_Mkt_A" vbProcedure="false">Interface!$D$222:$H$222</definedName>
    <definedName function="false" hidden="false" name="SIF_HBM_Mkt_B" vbProcedure="false">Interface!$D$227:$H$227</definedName>
    <definedName function="false" hidden="false" name="SIF_HBM_Mkt_C" vbProcedure="false">Interface!$D$232:$H$232</definedName>
    <definedName function="false" hidden="false" name="SIF_hbm_p26" vbProcedure="false">Interface!$E$151</definedName>
    <definedName function="false" hidden="false" name="SIF_hbm_p26_hi" vbProcedure="false">Interface!$F$151</definedName>
    <definedName function="false" hidden="false" name="SIF_hbm_p26_lo" vbProcedure="false">Interface!$D$151</definedName>
    <definedName function="false" hidden="false" name="SIF_hbm_p27" vbProcedure="false">Interface!$E$152</definedName>
    <definedName function="false" hidden="false" name="SIF_hbm_p27_hi" vbProcedure="false">Interface!$F$152</definedName>
    <definedName function="false" hidden="false" name="SIF_hbm_p27_lo" vbProcedure="false">Interface!$D$152</definedName>
    <definedName function="false" hidden="false" name="SIF_hbm_p28_A" vbProcedure="false">Interface!$E$153</definedName>
    <definedName function="false" hidden="false" name="SIF_hbm_p28_A_hi" vbProcedure="false">Interface!$F$153</definedName>
    <definedName function="false" hidden="false" name="SIF_hbm_p28_A_lo" vbProcedure="false">Interface!$D$153</definedName>
    <definedName function="false" hidden="false" name="SIF_hbm_p28_B" vbProcedure="false">Interface!$E$154</definedName>
    <definedName function="false" hidden="false" name="SIF_hbm_p28_B_hi" vbProcedure="false">Interface!$F$154</definedName>
    <definedName function="false" hidden="false" name="SIF_hbm_p28_B_lo" vbProcedure="false">Interface!$D$154</definedName>
    <definedName function="false" hidden="false" name="SIF_hbm_p28_C" vbProcedure="false">Interface!$E$155</definedName>
    <definedName function="false" hidden="false" name="SIF_hbm_p28_C_hi" vbProcedure="false">Interface!$F$155</definedName>
    <definedName function="false" hidden="false" name="SIF_hbm_p28_C_lo" vbProcedure="false">Interface!$D$155</definedName>
    <definedName function="false" hidden="false" name="SIF_hbm_p29_A" vbProcedure="false">Interface!$E$158</definedName>
    <definedName function="false" hidden="false" name="SIF_hbm_p29_A_hi" vbProcedure="false">Interface!$F$158</definedName>
    <definedName function="false" hidden="false" name="SIF_hbm_p29_A_lo" vbProcedure="false">Interface!$D$158</definedName>
    <definedName function="false" hidden="false" name="SIF_hbm_p29_B" vbProcedure="false">Interface!$E$159</definedName>
    <definedName function="false" hidden="false" name="SIF_hbm_p29_B_hi" vbProcedure="false">Interface!$F$159</definedName>
    <definedName function="false" hidden="false" name="SIF_hbm_p29_B_lo" vbProcedure="false">Interface!$D$159</definedName>
    <definedName function="false" hidden="false" name="SIF_hbm_p29_C" vbProcedure="false">Interface!$E$160</definedName>
    <definedName function="false" hidden="false" name="SIF_hbm_p29_C_hi" vbProcedure="false">Interface!$F$160</definedName>
    <definedName function="false" hidden="false" name="SIF_hbm_p29_C_lo" vbProcedure="false">Interface!$D$160</definedName>
    <definedName function="false" hidden="false" name="SIF_HBM_Price_A" vbProcedure="false">Interface!$D$221:$H$221</definedName>
    <definedName function="false" hidden="false" name="SIF_HBM_Price_B" vbProcedure="false">Interface!$D$226:$H$226</definedName>
    <definedName function="false" hidden="false" name="SIF_HBM_Price_C" vbProcedure="false">Interface!$D$231:$H$231</definedName>
    <definedName function="false" hidden="false" name="SIF_HBM_ShipEB_A" vbProcedure="false">Interface!$D$219:$H$219</definedName>
    <definedName function="false" hidden="false" name="SIF_HBM_ShipEB_B" vbProcedure="false">Interface!$D$224:$H$224</definedName>
    <definedName function="false" hidden="false" name="SIF_HBM_ShipEB_C" vbProcedure="false">Interface!$D$229:$H$229</definedName>
    <definedName function="false" hidden="false" name="SIF_hbm_sup27" vbProcedure="false">Interface!$E$149</definedName>
    <definedName function="false" hidden="false" name="SIF_hbm_sup27_hi" vbProcedure="false">Interface!$F$149</definedName>
    <definedName function="false" hidden="false" name="SIF_hbm_sup27_lo" vbProcedure="false">Interface!$D$149</definedName>
    <definedName function="false" hidden="false" name="SIF_hbm_sup28" vbProcedure="false">Interface!$E$150</definedName>
    <definedName function="false" hidden="false" name="SIF_hbm_sup28_hi" vbProcedure="false">Interface!$F$150</definedName>
    <definedName function="false" hidden="false" name="SIF_hbm_sup28_lo" vbProcedure="false">Interface!$D$150</definedName>
    <definedName function="false" hidden="false" name="SIF_hbm_sup29" vbProcedure="false">Interface!$E$157</definedName>
    <definedName function="false" hidden="false" name="SIF_hbm_sup29_hi" vbProcedure="false">Interface!$F$157</definedName>
    <definedName function="false" hidden="false" name="SIF_hbm_sup29_lo" vbProcedure="false">Interface!$D$157</definedName>
    <definedName function="false" hidden="false" name="SIF_HBM_SupplyEB" vbProcedure="false">Interface!$D$217:$H$217</definedName>
    <definedName function="false" hidden="false" name="SIF_msh_oth_26" vbProcedure="false">Interface!$E$191</definedName>
    <definedName function="false" hidden="false" name="SIF_msh_oth_26_hi" vbProcedure="false">Interface!$F$191</definedName>
    <definedName function="false" hidden="false" name="SIF_msh_oth_26_lo" vbProcedure="false">Interface!$D$191</definedName>
    <definedName function="false" hidden="false" name="SIF_msh_oth_27" vbProcedure="false">Interface!$E$192</definedName>
    <definedName function="false" hidden="false" name="SIF_msh_oth_27_hi" vbProcedure="false">Interface!$F$192</definedName>
    <definedName function="false" hidden="false" name="SIF_msh_oth_27_lo" vbProcedure="false">Interface!$D$192</definedName>
    <definedName function="false" hidden="false" name="SIF_msh_oth_28" vbProcedure="false">Interface!$E$193</definedName>
    <definedName function="false" hidden="false" name="SIF_msh_oth_28_hi" vbProcedure="false">Interface!$F$193</definedName>
    <definedName function="false" hidden="false" name="SIF_msh_oth_28_lo" vbProcedure="false">Interface!$D$193</definedName>
    <definedName function="false" hidden="false" name="SIF_msh_tpu_26" vbProcedure="false">Interface!$E$194</definedName>
    <definedName function="false" hidden="false" name="SIF_msh_tpu_26_hi" vbProcedure="false">Interface!$F$194</definedName>
    <definedName function="false" hidden="false" name="SIF_msh_tpu_26_lo" vbProcedure="false">Interface!$D$194</definedName>
    <definedName function="false" hidden="false" name="SIF_msh_tpu_27" vbProcedure="false">Interface!$E$195</definedName>
    <definedName function="false" hidden="false" name="SIF_msh_tpu_27_hi" vbProcedure="false">Interface!$F$195</definedName>
    <definedName function="false" hidden="false" name="SIF_msh_tpu_27_lo" vbProcedure="false">Interface!$D$195</definedName>
    <definedName function="false" hidden="false" name="SIF_msh_tpu_28" vbProcedure="false">Interface!$E$196</definedName>
    <definedName function="false" hidden="false" name="SIF_msh_tpu_28_hi" vbProcedure="false">Interface!$F$196</definedName>
    <definedName function="false" hidden="false" name="SIF_msh_tpu_28_lo" vbProcedure="false">Interface!$D$196</definedName>
    <definedName function="false" hidden="false" name="SIF_msh_trn_26" vbProcedure="false">Interface!$E$188</definedName>
    <definedName function="false" hidden="false" name="SIF_msh_trn_26_hi" vbProcedure="false">Interface!$F$188</definedName>
    <definedName function="false" hidden="false" name="SIF_msh_trn_26_lo" vbProcedure="false">Interface!$D$188</definedName>
    <definedName function="false" hidden="false" name="SIF_msh_trn_27" vbProcedure="false">Interface!$E$189</definedName>
    <definedName function="false" hidden="false" name="SIF_msh_trn_27_hi" vbProcedure="false">Interface!$F$189</definedName>
    <definedName function="false" hidden="false" name="SIF_msh_trn_27_lo" vbProcedure="false">Interface!$D$189</definedName>
    <definedName function="false" hidden="false" name="SIF_msh_trn_28" vbProcedure="false">Interface!$E$190</definedName>
    <definedName function="false" hidden="false" name="SIF_msh_trn_28_hi" vbProcedure="false">Interface!$F$190</definedName>
    <definedName function="false" hidden="false" name="SIF_msh_trn_28_lo" vbProcedure="false">Interface!$D$190</definedName>
    <definedName function="false" hidden="false" name="SIF_mtk_oth_26" vbProcedure="false">Interface!$E$200</definedName>
    <definedName function="false" hidden="false" name="SIF_mtk_oth_26_hi" vbProcedure="false">Interface!$F$200</definedName>
    <definedName function="false" hidden="false" name="SIF_mtk_oth_26_lo" vbProcedure="false">Interface!$D$200</definedName>
    <definedName function="false" hidden="false" name="SIF_mtk_oth_27" vbProcedure="false">Interface!$E$201</definedName>
    <definedName function="false" hidden="false" name="SIF_mtk_oth_27_hi" vbProcedure="false">Interface!$F$201</definedName>
    <definedName function="false" hidden="false" name="SIF_mtk_oth_27_lo" vbProcedure="false">Interface!$D$201</definedName>
    <definedName function="false" hidden="false" name="SIF_mtk_oth_28" vbProcedure="false">Interface!$E$202</definedName>
    <definedName function="false" hidden="false" name="SIF_mtk_oth_28_hi" vbProcedure="false">Interface!$F$202</definedName>
    <definedName function="false" hidden="false" name="SIF_mtk_oth_28_lo" vbProcedure="false">Interface!$D$202</definedName>
    <definedName function="false" hidden="false" name="SIF_mtk_tpu_26" vbProcedure="false">Interface!$E$197</definedName>
    <definedName function="false" hidden="false" name="SIF_mtk_tpu_26_hi" vbProcedure="false">Interface!$F$197</definedName>
    <definedName function="false" hidden="false" name="SIF_mtk_tpu_26_lo" vbProcedure="false">Interface!$D$197</definedName>
    <definedName function="false" hidden="false" name="SIF_mtk_tpu_27" vbProcedure="false">Interface!$E$198</definedName>
    <definedName function="false" hidden="false" name="SIF_mtk_tpu_27_hi" vbProcedure="false">Interface!$F$198</definedName>
    <definedName function="false" hidden="false" name="SIF_mtk_tpu_27_lo" vbProcedure="false">Interface!$D$198</definedName>
    <definedName function="false" hidden="false" name="SIF_mtk_tpu_28" vbProcedure="false">Interface!$E$199</definedName>
    <definedName function="false" hidden="false" name="SIF_mtk_tpu_28_hi" vbProcedure="false">Interface!$F$199</definedName>
    <definedName function="false" hidden="false" name="SIF_mtk_tpu_28_lo" vbProcedure="false">Interface!$D$199</definedName>
    <definedName function="false" hidden="false" name="SIF_nqA_10" vbProcedure="false">Interface!$E$58</definedName>
    <definedName function="false" hidden="false" name="SIF_nqA_11" vbProcedure="false">Interface!$E$59</definedName>
    <definedName function="false" hidden="false" name="SIF_nqA_12" vbProcedure="false">Interface!$E$60</definedName>
    <definedName function="false" hidden="false" name="SIF_nqA_13" vbProcedure="false">Interface!$E$61</definedName>
    <definedName function="false" hidden="false" name="SIF_nqA_14" vbProcedure="false">Interface!$E$62</definedName>
    <definedName function="false" hidden="false" name="SIF_nqA_15" vbProcedure="false">Interface!$E$63</definedName>
    <definedName function="false" hidden="false" name="SIF_nqA_16" vbProcedure="false">Interface!$E$64</definedName>
    <definedName function="false" hidden="false" name="SIF_nqA_17" vbProcedure="false">Interface!$E$65</definedName>
    <definedName function="false" hidden="false" name="SIF_nqA_18" vbProcedure="false">Interface!$E$66</definedName>
    <definedName function="false" hidden="false" name="SIF_nqA_19" vbProcedure="false">Interface!$E$67</definedName>
    <definedName function="false" hidden="false" name="SIF_nqA_8" vbProcedure="false">Interface!$E$56</definedName>
    <definedName function="false" hidden="false" name="SIF_nqA_9" vbProcedure="false">Interface!$E$57</definedName>
    <definedName function="false" hidden="false" name="SIF_nqB_10" vbProcedure="false">Interface!$E$70</definedName>
    <definedName function="false" hidden="false" name="SIF_nqB_11" vbProcedure="false">Interface!$E$71</definedName>
    <definedName function="false" hidden="false" name="SIF_nqB_12" vbProcedure="false">Interface!$E$72</definedName>
    <definedName function="false" hidden="false" name="SIF_nqB_13" vbProcedure="false">Interface!$E$73</definedName>
    <definedName function="false" hidden="false" name="SIF_nqB_14" vbProcedure="false">Interface!$E$74</definedName>
    <definedName function="false" hidden="false" name="SIF_nqB_15" vbProcedure="false">Interface!$E$75</definedName>
    <definedName function="false" hidden="false" name="SIF_nqB_16" vbProcedure="false">Interface!$E$76</definedName>
    <definedName function="false" hidden="false" name="SIF_nqB_17" vbProcedure="false">Interface!$E$77</definedName>
    <definedName function="false" hidden="false" name="SIF_nqB_18" vbProcedure="false">Interface!$E$78</definedName>
    <definedName function="false" hidden="false" name="SIF_nqB_19" vbProcedure="false">Interface!$E$79</definedName>
    <definedName function="false" hidden="false" name="SIF_nqB_8" vbProcedure="false">Interface!$E$68</definedName>
    <definedName function="false" hidden="false" name="SIF_nqB_9" vbProcedure="false">Interface!$E$69</definedName>
    <definedName function="false" hidden="false" name="SIF_nqC_10" vbProcedure="false">Interface!$E$82</definedName>
    <definedName function="false" hidden="false" name="SIF_nqC_10_hi" vbProcedure="false">Interface!$F$82</definedName>
    <definedName function="false" hidden="false" name="SIF_nqC_10_lo" vbProcedure="false">Interface!$D$82</definedName>
    <definedName function="false" hidden="false" name="SIF_nqC_11" vbProcedure="false">Interface!$E$83</definedName>
    <definedName function="false" hidden="false" name="SIF_nqC_11_hi" vbProcedure="false">Interface!$F$83</definedName>
    <definedName function="false" hidden="false" name="SIF_nqC_11_lo" vbProcedure="false">Interface!$D$83</definedName>
    <definedName function="false" hidden="false" name="SIF_nqC_12" vbProcedure="false">Interface!$E$84</definedName>
    <definedName function="false" hidden="false" name="SIF_nqC_12_hi" vbProcedure="false">Interface!$F$84</definedName>
    <definedName function="false" hidden="false" name="SIF_nqC_12_lo" vbProcedure="false">Interface!$D$84</definedName>
    <definedName function="false" hidden="false" name="SIF_nqC_13" vbProcedure="false">Interface!$E$85</definedName>
    <definedName function="false" hidden="false" name="SIF_nqC_13_hi" vbProcedure="false">Interface!$F$85</definedName>
    <definedName function="false" hidden="false" name="SIF_nqC_13_lo" vbProcedure="false">Interface!$D$85</definedName>
    <definedName function="false" hidden="false" name="SIF_nqC_14" vbProcedure="false">Interface!$E$86</definedName>
    <definedName function="false" hidden="false" name="SIF_nqC_14_hi" vbProcedure="false">Interface!$F$86</definedName>
    <definedName function="false" hidden="false" name="SIF_nqC_14_lo" vbProcedure="false">Interface!$D$86</definedName>
    <definedName function="false" hidden="false" name="SIF_nqC_15" vbProcedure="false">Interface!$E$87</definedName>
    <definedName function="false" hidden="false" name="SIF_nqC_15_hi" vbProcedure="false">Interface!$F$87</definedName>
    <definedName function="false" hidden="false" name="SIF_nqC_15_lo" vbProcedure="false">Interface!$D$87</definedName>
    <definedName function="false" hidden="false" name="SIF_nqC_16" vbProcedure="false">Interface!$E$88</definedName>
    <definedName function="false" hidden="false" name="SIF_nqC_16_hi" vbProcedure="false">Interface!$F$88</definedName>
    <definedName function="false" hidden="false" name="SIF_nqC_16_lo" vbProcedure="false">Interface!$D$88</definedName>
    <definedName function="false" hidden="false" name="SIF_nqC_17" vbProcedure="false">Interface!$E$89</definedName>
    <definedName function="false" hidden="false" name="SIF_nqC_17_hi" vbProcedure="false">Interface!$F$89</definedName>
    <definedName function="false" hidden="false" name="SIF_nqC_17_lo" vbProcedure="false">Interface!$D$89</definedName>
    <definedName function="false" hidden="false" name="SIF_nqC_18" vbProcedure="false">Interface!$E$90</definedName>
    <definedName function="false" hidden="false" name="SIF_nqC_18_hi" vbProcedure="false">Interface!$F$90</definedName>
    <definedName function="false" hidden="false" name="SIF_nqC_18_lo" vbProcedure="false">Interface!$D$90</definedName>
    <definedName function="false" hidden="false" name="SIF_nqC_19" vbProcedure="false">Interface!$E$91</definedName>
    <definedName function="false" hidden="false" name="SIF_nqC_19_hi" vbProcedure="false">Interface!$F$91</definedName>
    <definedName function="false" hidden="false" name="SIF_nqC_19_lo" vbProcedure="false">Interface!$D$91</definedName>
    <definedName function="false" hidden="false" name="SIF_nqC_8" vbProcedure="false">Interface!$E$80</definedName>
    <definedName function="false" hidden="false" name="SIF_nqC_8_hi" vbProcedure="false">Interface!$F$80</definedName>
    <definedName function="false" hidden="false" name="SIF_nqC_8_lo" vbProcedure="false">Interface!$D$80</definedName>
    <definedName function="false" hidden="false" name="SIF_nqC_9" vbProcedure="false">Interface!$E$81</definedName>
    <definedName function="false" hidden="false" name="SIF_nqC_9_hi" vbProcedure="false">Interface!$F$81</definedName>
    <definedName function="false" hidden="false" name="SIF_nqC_9_lo" vbProcedure="false">Interface!$D$81</definedName>
    <definedName function="false" hidden="false" name="SIF_nq_1" vbProcedure="false">Interface!$E$49</definedName>
    <definedName function="false" hidden="false" name="SIF_nq_2" vbProcedure="false">Interface!$E$50</definedName>
    <definedName function="false" hidden="false" name="SIF_nq_3" vbProcedure="false">Interface!$E$51</definedName>
    <definedName function="false" hidden="false" name="SIF_nq_4" vbProcedure="false">Interface!$E$52</definedName>
    <definedName function="false" hidden="false" name="SIF_nq_5" vbProcedure="false">Interface!$E$53</definedName>
    <definedName function="false" hidden="false" name="SIF_nq_6" vbProcedure="false">Interface!$E$54</definedName>
    <definedName function="false" hidden="false" name="SIF_nq_7" vbProcedure="false">Interface!$E$55</definedName>
    <definedName function="false" hidden="false" name="SIF_nv_content" vbProcedure="false">Interface!$E$162</definedName>
    <definedName function="false" hidden="false" name="SIF_nv_content_hi" vbProcedure="false">Interface!$F$162</definedName>
    <definedName function="false" hidden="false" name="SIF_nv_content_lo" vbProcedure="false">Interface!$D$162</definedName>
    <definedName function="false" hidden="false" name="SIF_nv_dc26" vbProcedure="false">Interface!$E$161</definedName>
    <definedName function="false" hidden="false" name="SIF_nv_dc26_hi" vbProcedure="false">Interface!$F$161</definedName>
    <definedName function="false" hidden="false" name="SIF_nv_dc26_lo" vbProcedure="false">Interface!$D$161</definedName>
    <definedName function="false" hidden="false" name="SIF_nv_hbm" vbProcedure="false">Interface!$E$163</definedName>
    <definedName function="false" hidden="false" name="SIF_nv_hbm_hi" vbProcedure="false">Interface!$F$163</definedName>
    <definedName function="false" hidden="false" name="SIF_nv_hbm_lo" vbProcedure="false">Interface!$D$163</definedName>
    <definedName function="false" hidden="false" name="SIF_pa_amd" vbProcedure="false">Interface!$E$175</definedName>
    <definedName function="false" hidden="false" name="SIF_pa_amd_hi" vbProcedure="false">Interface!$F$175</definedName>
    <definedName function="false" hidden="false" name="SIF_pa_amd_lo" vbProcedure="false">Interface!$D$175</definedName>
    <definedName function="false" hidden="false" name="SIF_pa_oth" vbProcedure="false">Interface!$E$178</definedName>
    <definedName function="false" hidden="false" name="SIF_pa_oth_hi" vbProcedure="false">Interface!$F$178</definedName>
    <definedName function="false" hidden="false" name="SIF_pa_oth_lo" vbProcedure="false">Interface!$D$178</definedName>
    <definedName function="false" hidden="false" name="SIF_pa_tpu" vbProcedure="false">Interface!$E$176</definedName>
    <definedName function="false" hidden="false" name="SIF_pa_tpu_hi" vbProcedure="false">Interface!$F$176</definedName>
    <definedName function="false" hidden="false" name="SIF_pa_tpu_lo" vbProcedure="false">Interface!$D$176</definedName>
    <definedName function="false" hidden="false" name="SIF_pa_trn" vbProcedure="false">Interface!$E$177</definedName>
    <definedName function="false" hidden="false" name="SIF_pa_trn_hi" vbProcedure="false">Interface!$F$177</definedName>
    <definedName function="false" hidden="false" name="SIF_pa_trn_lo" vbProcedure="false">Interface!$D$177</definedName>
    <definedName function="false" hidden="false" name="SIF_pub26_hi" vbProcedure="false">Interface!$E$165</definedName>
    <definedName function="false" hidden="false" name="SIF_pub26_lo" vbProcedure="false">Interface!$E$164</definedName>
    <definedName function="false" hidden="false" name="SIF_pub27" vbProcedure="false">Interface!$E$166</definedName>
    <definedName function="false" hidden="false" name="SIF_sh_oth_26" vbProcedure="false">Interface!$E$185</definedName>
    <definedName function="false" hidden="false" name="SIF_sh_oth_26_hi" vbProcedure="false">Interface!$F$185</definedName>
    <definedName function="false" hidden="false" name="SIF_sh_oth_26_lo" vbProcedure="false">Interface!$D$185</definedName>
    <definedName function="false" hidden="false" name="SIF_sh_oth_27" vbProcedure="false">Interface!$E$186</definedName>
    <definedName function="false" hidden="false" name="SIF_sh_oth_27_hi" vbProcedure="false">Interface!$F$186</definedName>
    <definedName function="false" hidden="false" name="SIF_sh_oth_27_lo" vbProcedure="false">Interface!$D$186</definedName>
    <definedName function="false" hidden="false" name="SIF_sh_oth_28" vbProcedure="false">Interface!$E$187</definedName>
    <definedName function="false" hidden="false" name="SIF_sh_oth_28_hi" vbProcedure="false">Interface!$F$187</definedName>
    <definedName function="false" hidden="false" name="SIF_sh_oth_28_lo" vbProcedure="false">Interface!$D$187</definedName>
    <definedName function="false" hidden="false" name="SIF_sh_tpu_26" vbProcedure="false">Interface!$E$182</definedName>
    <definedName function="false" hidden="false" name="SIF_sh_tpu_26_hi" vbProcedure="false">Interface!$F$182</definedName>
    <definedName function="false" hidden="false" name="SIF_sh_tpu_26_lo" vbProcedure="false">Interface!$D$182</definedName>
    <definedName function="false" hidden="false" name="SIF_sh_tpu_27" vbProcedure="false">Interface!$E$183</definedName>
    <definedName function="false" hidden="false" name="SIF_sh_tpu_27_hi" vbProcedure="false">Interface!$F$183</definedName>
    <definedName function="false" hidden="false" name="SIF_sh_tpu_27_lo" vbProcedure="false">Interface!$D$183</definedName>
    <definedName function="false" hidden="false" name="SIF_sh_tpu_28" vbProcedure="false">Interface!$E$184</definedName>
    <definedName function="false" hidden="false" name="SIF_sh_tpu_28_hi" vbProcedure="false">Interface!$F$184</definedName>
    <definedName function="false" hidden="false" name="SIF_sh_tpu_28_lo" vbProcedure="false">Interface!$D$184</definedName>
    <definedName function="false" hidden="false" name="SIF_TK_CapexFacility_GB200" vbProcedure="false">Interface!$E$274</definedName>
    <definedName function="false" hidden="false" name="SIF_TK_CapexFacility_GB200_hi" vbProcedure="false">Interface!$F$274</definedName>
    <definedName function="false" hidden="false" name="SIF_TK_CapexFacility_GB200_lo" vbProcedure="false">Interface!$D$274</definedName>
    <definedName function="false" hidden="false" name="SIF_TK_CapexFacility_GB300" vbProcedure="false">Interface!$E$275</definedName>
    <definedName function="false" hidden="false" name="SIF_TK_CapexFacility_GB300_hi" vbProcedure="false">Interface!$F$275</definedName>
    <definedName function="false" hidden="false" name="SIF_TK_CapexFacility_GB300_lo" vbProcedure="false">Interface!$D$275</definedName>
    <definedName function="false" hidden="false" name="SIF_TK_CapexFacility_H100" vbProcedure="false">Interface!$E$273</definedName>
    <definedName function="false" hidden="false" name="SIF_TK_CapexFacility_H100_hi" vbProcedure="false">Interface!$F$273</definedName>
    <definedName function="false" hidden="false" name="SIF_TK_CapexFacility_H100_lo" vbProcedure="false">Interface!$D$273</definedName>
    <definedName function="false" hidden="false" name="SIF_TK_CapexFacility_RU" vbProcedure="false">Interface!$E$277</definedName>
    <definedName function="false" hidden="false" name="SIF_TK_CapexFacility_RU_hi" vbProcedure="false">Interface!$F$277</definedName>
    <definedName function="false" hidden="false" name="SIF_TK_CapexFacility_RU_lo" vbProcedure="false">Interface!$D$277</definedName>
    <definedName function="false" hidden="false" name="SIF_TK_CapexFacility_VR200" vbProcedure="false">Interface!$E$276</definedName>
    <definedName function="false" hidden="false" name="SIF_TK_CapexFacility_VR200_hi" vbProcedure="false">Interface!$F$276</definedName>
    <definedName function="false" hidden="false" name="SIF_TK_CapexFacility_VR200_lo" vbProcedure="false">Interface!$D$276</definedName>
    <definedName function="false" hidden="false" name="SIF_TK_CapexIT_GB200" vbProcedure="false">Interface!$E$269</definedName>
    <definedName function="false" hidden="false" name="SIF_TK_CapexIT_GB200_hi" vbProcedure="false">Interface!$F$269</definedName>
    <definedName function="false" hidden="false" name="SIF_TK_CapexIT_GB200_lo" vbProcedure="false">Interface!$D$269</definedName>
    <definedName function="false" hidden="false" name="SIF_TK_CapexIT_GB300" vbProcedure="false">Interface!$E$270</definedName>
    <definedName function="false" hidden="false" name="SIF_TK_CapexIT_GB300_hi" vbProcedure="false">Interface!$F$270</definedName>
    <definedName function="false" hidden="false" name="SIF_TK_CapexIT_GB300_lo" vbProcedure="false">Interface!$D$270</definedName>
    <definedName function="false" hidden="false" name="SIF_TK_CapexIT_H100" vbProcedure="false">Interface!$E$268</definedName>
    <definedName function="false" hidden="false" name="SIF_TK_CapexIT_H100_hi" vbProcedure="false">Interface!$F$268</definedName>
    <definedName function="false" hidden="false" name="SIF_TK_CapexIT_H100_lo" vbProcedure="false">Interface!$D$268</definedName>
    <definedName function="false" hidden="false" name="SIF_TK_CapexIT_RU" vbProcedure="false">Interface!$E$272</definedName>
    <definedName function="false" hidden="false" name="SIF_TK_CapexIT_RU_hi" vbProcedure="false">Interface!$F$272</definedName>
    <definedName function="false" hidden="false" name="SIF_TK_CapexIT_RU_lo" vbProcedure="false">Interface!$D$272</definedName>
    <definedName function="false" hidden="false" name="SIF_TK_CapexIT_VR200" vbProcedure="false">Interface!$E$271</definedName>
    <definedName function="false" hidden="false" name="SIF_TK_CapexIT_VR200_hi" vbProcedure="false">Interface!$F$271</definedName>
    <definedName function="false" hidden="false" name="SIF_TK_CapexIT_VR200_lo" vbProcedure="false">Interface!$D$271</definedName>
    <definedName function="false" hidden="false" name="SIF_TK_CapexTotal_GB200" vbProcedure="false">Interface!$E$279</definedName>
    <definedName function="false" hidden="false" name="SIF_TK_CapexTotal_GB200_hi" vbProcedure="false">Interface!$F$279</definedName>
    <definedName function="false" hidden="false" name="SIF_TK_CapexTotal_GB200_lo" vbProcedure="false">Interface!$D$279</definedName>
    <definedName function="false" hidden="false" name="SIF_TK_CapexTotal_GB300" vbProcedure="false">Interface!$E$280</definedName>
    <definedName function="false" hidden="false" name="SIF_TK_CapexTotal_GB300_hi" vbProcedure="false">Interface!$F$280</definedName>
    <definedName function="false" hidden="false" name="SIF_TK_CapexTotal_GB300_lo" vbProcedure="false">Interface!$D$280</definedName>
    <definedName function="false" hidden="false" name="SIF_TK_CapexTotal_H100" vbProcedure="false">Interface!$E$278</definedName>
    <definedName function="false" hidden="false" name="SIF_TK_CapexTotal_H100_hi" vbProcedure="false">Interface!$F$278</definedName>
    <definedName function="false" hidden="false" name="SIF_TK_CapexTotal_H100_lo" vbProcedure="false">Interface!$D$278</definedName>
    <definedName function="false" hidden="false" name="SIF_TK_CapexTotal_RU" vbProcedure="false">Interface!$E$282</definedName>
    <definedName function="false" hidden="false" name="SIF_TK_CapexTotal_RU_hi" vbProcedure="false">Interface!$F$282</definedName>
    <definedName function="false" hidden="false" name="SIF_TK_CapexTotal_RU_lo" vbProcedure="false">Interface!$D$282</definedName>
    <definedName function="false" hidden="false" name="SIF_TK_CapexTotal_VR200" vbProcedure="false">Interface!$E$281</definedName>
    <definedName function="false" hidden="false" name="SIF_TK_CapexTotal_VR200_hi" vbProcedure="false">Interface!$F$281</definedName>
    <definedName function="false" hidden="false" name="SIF_TK_CapexTotal_VR200_lo" vbProcedure="false">Interface!$D$281</definedName>
    <definedName function="false" hidden="false" name="SIF_TK_GPUsPerGW_GB200" vbProcedure="false">Interface!$E$264</definedName>
    <definedName function="false" hidden="false" name="SIF_TK_GPUsPerGW_GB200_hi" vbProcedure="false">Interface!$F$264</definedName>
    <definedName function="false" hidden="false" name="SIF_TK_GPUsPerGW_GB200_lo" vbProcedure="false">Interface!$D$264</definedName>
    <definedName function="false" hidden="false" name="SIF_TK_GPUsPerGW_GB300" vbProcedure="false">Interface!$E$265</definedName>
    <definedName function="false" hidden="false" name="SIF_TK_GPUsPerGW_GB300_hi" vbProcedure="false">Interface!$F$265</definedName>
    <definedName function="false" hidden="false" name="SIF_TK_GPUsPerGW_GB300_lo" vbProcedure="false">Interface!$D$265</definedName>
    <definedName function="false" hidden="false" name="SIF_TK_GPUsPerGW_H100" vbProcedure="false">Interface!$E$263</definedName>
    <definedName function="false" hidden="false" name="SIF_TK_GPUsPerGW_H100_hi" vbProcedure="false">Interface!$F$263</definedName>
    <definedName function="false" hidden="false" name="SIF_TK_GPUsPerGW_H100_lo" vbProcedure="false">Interface!$D$263</definedName>
    <definedName function="false" hidden="false" name="SIF_TK_GPUsPerGW_RU" vbProcedure="false">Interface!$E$267</definedName>
    <definedName function="false" hidden="false" name="SIF_TK_GPUsPerGW_RU_hi" vbProcedure="false">Interface!$F$267</definedName>
    <definedName function="false" hidden="false" name="SIF_TK_GPUsPerGW_RU_lo" vbProcedure="false">Interface!$D$267</definedName>
    <definedName function="false" hidden="false" name="SIF_TK_GPUsPerGW_VR200" vbProcedure="false">Interface!$E$266</definedName>
    <definedName function="false" hidden="false" name="SIF_TK_GPUsPerGW_VR200_hi" vbProcedure="false">Interface!$F$266</definedName>
    <definedName function="false" hidden="false" name="SIF_TK_GPUsPerGW_VR200_lo" vbProcedure="false">Interface!$D$266</definedName>
    <definedName function="false" hidden="false" name="SIF_TK_NonNV_Hold_AMD" vbProcedure="false">Interface!$E$305</definedName>
    <definedName function="false" hidden="false" name="SIF_TK_NonNV_Hold_AMD_hi" vbProcedure="false">Interface!$F$305</definedName>
    <definedName function="false" hidden="false" name="SIF_TK_NonNV_Hold_AMD_lo" vbProcedure="false">Interface!$D$305</definedName>
    <definedName function="false" hidden="false" name="SIF_TK_NonNV_Hold_Ascend" vbProcedure="false">Interface!$E$310</definedName>
    <definedName function="false" hidden="false" name="SIF_TK_NonNV_Hold_Ascend_hi" vbProcedure="false">Interface!$F$310</definedName>
    <definedName function="false" hidden="false" name="SIF_TK_NonNV_Hold_Ascend_lo" vbProcedure="false">Interface!$D$310</definedName>
    <definedName function="false" hidden="false" name="SIF_TK_NonNV_Hold_CS" vbProcedure="false">Interface!$E$308</definedName>
    <definedName function="false" hidden="false" name="SIF_TK_NonNV_Hold_CS_hi" vbProcedure="false">Interface!$F$308</definedName>
    <definedName function="false" hidden="false" name="SIF_TK_NonNV_Hold_CS_lo" vbProcedure="false">Interface!$D$308</definedName>
    <definedName function="false" hidden="false" name="SIF_TK_NonNV_Hold_Maia" vbProcedure="false">Interface!$E$311</definedName>
    <definedName function="false" hidden="false" name="SIF_TK_NonNV_Hold_Maia_hi" vbProcedure="false">Interface!$F$311</definedName>
    <definedName function="false" hidden="false" name="SIF_TK_NonNV_Hold_Maia_lo" vbProcedure="false">Interface!$D$311</definedName>
    <definedName function="false" hidden="false" name="SIF_TK_NonNV_Hold_OAI" vbProcedure="false">Interface!$E$309</definedName>
    <definedName function="false" hidden="false" name="SIF_TK_NonNV_Hold_OAI_hi" vbProcedure="false">Interface!$F$309</definedName>
    <definedName function="false" hidden="false" name="SIF_TK_NonNV_Hold_OAI_lo" vbProcedure="false">Interface!$D$309</definedName>
    <definedName function="false" hidden="false" name="SIF_TK_NonNV_Hold_TPU" vbProcedure="false">Interface!$E$306</definedName>
    <definedName function="false" hidden="false" name="SIF_TK_NonNV_Hold_TPU_hi" vbProcedure="false">Interface!$F$306</definedName>
    <definedName function="false" hidden="false" name="SIF_TK_NonNV_Hold_TPU_lo" vbProcedure="false">Interface!$D$306</definedName>
    <definedName function="false" hidden="false" name="SIF_TK_NonNV_Hold_Trn" vbProcedure="false">Interface!$E$307</definedName>
    <definedName function="false" hidden="false" name="SIF_TK_NonNV_Hold_Trn_hi" vbProcedure="false">Interface!$F$307</definedName>
    <definedName function="false" hidden="false" name="SIF_TK_NonNV_Hold_Trn_lo" vbProcedure="false">Interface!$D$307</definedName>
    <definedName function="false" hidden="false" name="SIF_TK_NonNV_Out_AMD" vbProcedure="false">Interface!$E$298</definedName>
    <definedName function="false" hidden="false" name="SIF_TK_NonNV_Out_AMD_hi" vbProcedure="false">Interface!$F$298</definedName>
    <definedName function="false" hidden="false" name="SIF_TK_NonNV_Out_AMD_lo" vbProcedure="false">Interface!$D$298</definedName>
    <definedName function="false" hidden="false" name="SIF_TK_NonNV_Out_Ascend" vbProcedure="false">Interface!$E$303</definedName>
    <definedName function="false" hidden="false" name="SIF_TK_NonNV_Out_Ascend_hi" vbProcedure="false">Interface!$F$303</definedName>
    <definedName function="false" hidden="false" name="SIF_TK_NonNV_Out_Ascend_lo" vbProcedure="false">Interface!$D$303</definedName>
    <definedName function="false" hidden="false" name="SIF_TK_NonNV_Out_CS" vbProcedure="false">Interface!$E$301</definedName>
    <definedName function="false" hidden="false" name="SIF_TK_NonNV_Out_CS_hi" vbProcedure="false">Interface!$F$301</definedName>
    <definedName function="false" hidden="false" name="SIF_TK_NonNV_Out_CS_lo" vbProcedure="false">Interface!$D$301</definedName>
    <definedName function="false" hidden="false" name="SIF_TK_NonNV_Out_Maia" vbProcedure="false">Interface!$E$304</definedName>
    <definedName function="false" hidden="false" name="SIF_TK_NonNV_Out_Maia_hi" vbProcedure="false">Interface!$F$304</definedName>
    <definedName function="false" hidden="false" name="SIF_TK_NonNV_Out_Maia_lo" vbProcedure="false">Interface!$D$304</definedName>
    <definedName function="false" hidden="false" name="SIF_TK_NonNV_Out_OAI" vbProcedure="false">Interface!$E$302</definedName>
    <definedName function="false" hidden="false" name="SIF_TK_NonNV_Out_OAI_hi" vbProcedure="false">Interface!$F$302</definedName>
    <definedName function="false" hidden="false" name="SIF_TK_NonNV_Out_OAI_lo" vbProcedure="false">Interface!$D$302</definedName>
    <definedName function="false" hidden="false" name="SIF_TK_NonNV_Out_TPU" vbProcedure="false">Interface!$E$299</definedName>
    <definedName function="false" hidden="false" name="SIF_TK_NonNV_Out_TPU_hi" vbProcedure="false">Interface!$F$299</definedName>
    <definedName function="false" hidden="false" name="SIF_TK_NonNV_Out_TPU_lo" vbProcedure="false">Interface!$D$299</definedName>
    <definedName function="false" hidden="false" name="SIF_TK_NonNV_Out_Trn" vbProcedure="false">Interface!$E$300</definedName>
    <definedName function="false" hidden="false" name="SIF_TK_NonNV_Out_Trn_hi" vbProcedure="false">Interface!$F$300</definedName>
    <definedName function="false" hidden="false" name="SIF_TK_NonNV_Out_Trn_lo" vbProcedure="false">Interface!$D$300</definedName>
    <definedName function="false" hidden="false" name="SIF_TK_RackPrice_GB200" vbProcedure="false">Interface!$E$284</definedName>
    <definedName function="false" hidden="false" name="SIF_TK_RackPrice_GB200_hi" vbProcedure="false">Interface!$F$284</definedName>
    <definedName function="false" hidden="false" name="SIF_TK_RackPrice_GB200_lo" vbProcedure="false">Interface!$D$284</definedName>
    <definedName function="false" hidden="false" name="SIF_TK_RackPrice_GB300" vbProcedure="false">Interface!$E$285</definedName>
    <definedName function="false" hidden="false" name="SIF_TK_RackPrice_GB300_hi" vbProcedure="false">Interface!$F$285</definedName>
    <definedName function="false" hidden="false" name="SIF_TK_RackPrice_GB300_lo" vbProcedure="false">Interface!$D$285</definedName>
    <definedName function="false" hidden="false" name="SIF_TK_RackPrice_H100" vbProcedure="false">Interface!$E$283</definedName>
    <definedName function="false" hidden="false" name="SIF_TK_RackPrice_H100_hi" vbProcedure="false">Interface!$F$283</definedName>
    <definedName function="false" hidden="false" name="SIF_TK_RackPrice_H100_lo" vbProcedure="false">Interface!$D$283</definedName>
    <definedName function="false" hidden="false" name="SIF_TK_RackPrice_RU" vbProcedure="false">Interface!$E$287</definedName>
    <definedName function="false" hidden="false" name="SIF_TK_RackPrice_RU_hi" vbProcedure="false">Interface!$F$287</definedName>
    <definedName function="false" hidden="false" name="SIF_TK_RackPrice_RU_lo" vbProcedure="false">Interface!$D$287</definedName>
    <definedName function="false" hidden="false" name="SIF_TK_RackPrice_VR200" vbProcedure="false">Interface!$E$286</definedName>
    <definedName function="false" hidden="false" name="SIF_TK_RackPrice_VR200_hi" vbProcedure="false">Interface!$F$286</definedName>
    <definedName function="false" hidden="false" name="SIF_TK_RackPrice_VR200_lo" vbProcedure="false">Interface!$D$286</definedName>
    <definedName function="false" hidden="false" name="SIF_TK_RacksPerGW_GB200" vbProcedure="false">Interface!$E$259</definedName>
    <definedName function="false" hidden="false" name="SIF_TK_RacksPerGW_GB200_hi" vbProcedure="false">Interface!$F$259</definedName>
    <definedName function="false" hidden="false" name="SIF_TK_RacksPerGW_GB200_lo" vbProcedure="false">Interface!$D$259</definedName>
    <definedName function="false" hidden="false" name="SIF_TK_RacksPerGW_GB300" vbProcedure="false">Interface!$E$260</definedName>
    <definedName function="false" hidden="false" name="SIF_TK_RacksPerGW_GB300_hi" vbProcedure="false">Interface!$F$260</definedName>
    <definedName function="false" hidden="false" name="SIF_TK_RacksPerGW_GB300_lo" vbProcedure="false">Interface!$D$260</definedName>
    <definedName function="false" hidden="false" name="SIF_TK_RacksPerGW_H100" vbProcedure="false">Interface!$E$258</definedName>
    <definedName function="false" hidden="false" name="SIF_TK_RacksPerGW_H100_hi" vbProcedure="false">Interface!$F$258</definedName>
    <definedName function="false" hidden="false" name="SIF_TK_RacksPerGW_H100_lo" vbProcedure="false">Interface!$D$258</definedName>
    <definedName function="false" hidden="false" name="SIF_TK_RacksPerGW_RU" vbProcedure="false">Interface!$E$262</definedName>
    <definedName function="false" hidden="false" name="SIF_TK_RacksPerGW_RU_hi" vbProcedure="false">Interface!$F$262</definedName>
    <definedName function="false" hidden="false" name="SIF_TK_RacksPerGW_RU_lo" vbProcedure="false">Interface!$D$262</definedName>
    <definedName function="false" hidden="false" name="SIF_TK_RacksPerGW_VR200" vbProcedure="false">Interface!$E$261</definedName>
    <definedName function="false" hidden="false" name="SIF_TK_RacksPerGW_VR200_hi" vbProcedure="false">Interface!$F$261</definedName>
    <definedName function="false" hidden="false" name="SIF_TK_RacksPerGW_VR200_lo" vbProcedure="false">Interface!$D$261</definedName>
    <definedName function="false" hidden="false" name="SIF_TK_ScaleOutShare_GB200" vbProcedure="false">Interface!$E$289</definedName>
    <definedName function="false" hidden="false" name="SIF_TK_ScaleOutShare_GB200_hi" vbProcedure="false">Interface!$F$289</definedName>
    <definedName function="false" hidden="false" name="SIF_TK_ScaleOutShare_GB200_lo" vbProcedure="false">Interface!$D$289</definedName>
    <definedName function="false" hidden="false" name="SIF_TK_ScaleOutShare_GB300" vbProcedure="false">Interface!$E$290</definedName>
    <definedName function="false" hidden="false" name="SIF_TK_ScaleOutShare_GB300_hi" vbProcedure="false">Interface!$F$290</definedName>
    <definedName function="false" hidden="false" name="SIF_TK_ScaleOutShare_GB300_lo" vbProcedure="false">Interface!$D$290</definedName>
    <definedName function="false" hidden="false" name="SIF_TK_ScaleOutShare_H100" vbProcedure="false">Interface!$E$288</definedName>
    <definedName function="false" hidden="false" name="SIF_TK_ScaleOutShare_H100_hi" vbProcedure="false">Interface!$F$288</definedName>
    <definedName function="false" hidden="false" name="SIF_TK_ScaleOutShare_H100_lo" vbProcedure="false">Interface!$D$288</definedName>
    <definedName function="false" hidden="false" name="SIF_TK_ScaleOutShare_RU" vbProcedure="false">Interface!$E$292</definedName>
    <definedName function="false" hidden="false" name="SIF_TK_ScaleOutShare_RU_hi" vbProcedure="false">Interface!$F$292</definedName>
    <definedName function="false" hidden="false" name="SIF_TK_ScaleOutShare_RU_lo" vbProcedure="false">Interface!$D$292</definedName>
    <definedName function="false" hidden="false" name="SIF_TK_ScaleOutShare_VR200" vbProcedure="false">Interface!$E$291</definedName>
    <definedName function="false" hidden="false" name="SIF_TK_ScaleOutShare_VR200_hi" vbProcedure="false">Interface!$F$291</definedName>
    <definedName function="false" hidden="false" name="SIF_TK_ScaleOutShare_VR200_lo" vbProcedure="false">Interface!$D$291</definedName>
    <definedName function="false" hidden="false" name="SIF_TK_StoragePerGPU_GB200" vbProcedure="false">Interface!$E$294</definedName>
    <definedName function="false" hidden="false" name="SIF_TK_StoragePerGPU_GB200_hi" vbProcedure="false">Interface!$F$294</definedName>
    <definedName function="false" hidden="false" name="SIF_TK_StoragePerGPU_GB200_lo" vbProcedure="false">Interface!$D$294</definedName>
    <definedName function="false" hidden="false" name="SIF_TK_StoragePerGPU_GB300" vbProcedure="false">Interface!$E$295</definedName>
    <definedName function="false" hidden="false" name="SIF_TK_StoragePerGPU_GB300_hi" vbProcedure="false">Interface!$F$295</definedName>
    <definedName function="false" hidden="false" name="SIF_TK_StoragePerGPU_GB300_lo" vbProcedure="false">Interface!$D$295</definedName>
    <definedName function="false" hidden="false" name="SIF_TK_StoragePerGPU_H100" vbProcedure="false">Interface!$E$293</definedName>
    <definedName function="false" hidden="false" name="SIF_TK_StoragePerGPU_H100_hi" vbProcedure="false">Interface!$F$293</definedName>
    <definedName function="false" hidden="false" name="SIF_TK_StoragePerGPU_H100_lo" vbProcedure="false">Interface!$D$293</definedName>
    <definedName function="false" hidden="false" name="SIF_TK_StoragePerGPU_RU" vbProcedure="false">Interface!$E$297</definedName>
    <definedName function="false" hidden="false" name="SIF_TK_StoragePerGPU_RU_hi" vbProcedure="false">Interface!$F$297</definedName>
    <definedName function="false" hidden="false" name="SIF_TK_StoragePerGPU_RU_lo" vbProcedure="false">Interface!$D$297</definedName>
    <definedName function="false" hidden="false" name="SIF_TK_StoragePerGPU_VR200" vbProcedure="false">Interface!$E$296</definedName>
    <definedName function="false" hidden="false" name="SIF_TK_StoragePerGPU_VR200_hi" vbProcedure="false">Interface!$F$296</definedName>
    <definedName function="false" hidden="false" name="SIF_TK_StoragePerGPU_VR200_lo" vbProcedure="false">Interface!$D$296</definedName>
    <definedName function="false" hidden="false" name="SIF_um28_A" vbProcedure="false">Interface!$E$140</definedName>
    <definedName function="false" hidden="false" name="SIF_um28_B" vbProcedure="false">Interface!$E$142</definedName>
    <definedName function="false" hidden="false" name="SIF_um28_B_hi" vbProcedure="false">Interface!$F$142</definedName>
    <definedName function="false" hidden="false" name="SIF_um28_B_lo" vbProcedure="false">Interface!$D$142</definedName>
    <definedName function="false" hidden="false" name="SIF_um28_C" vbProcedure="false">Interface!$E$144</definedName>
    <definedName function="false" hidden="false" name="SIF_um28_C_hi" vbProcedure="false">Interface!$F$144</definedName>
    <definedName function="false" hidden="false" name="SIF_um28_C_lo" vbProcedure="false">Interface!$D$144</definedName>
    <definedName function="false" hidden="false" name="SIF_um29_A" vbProcedure="false">Interface!$E$141</definedName>
    <definedName function="false" hidden="false" name="SIF_um29_B" vbProcedure="false">Interface!$E$143</definedName>
    <definedName function="false" hidden="false" name="SIF_um29_B_hi" vbProcedure="false">Interface!$F$143</definedName>
    <definedName function="false" hidden="false" name="SIF_um29_B_lo" vbProcedure="false">Interface!$D$143</definedName>
    <definedName function="false" hidden="false" name="SIF_um29_C" vbProcedure="false">Interface!$E$145</definedName>
    <definedName function="false" hidden="false" name="SIF_um29_C_hi" vbProcedure="false">Interface!$F$145</definedName>
    <definedName function="false" hidden="false" name="SIF_um29_C_lo" vbProcedure="false">Interface!$D$145</definedName>
    <definedName function="false" hidden="false" name="SIF_UnitsCoef_A" vbProcedure="false">Interface!$D$218:$H$218</definedName>
    <definedName function="false" hidden="false" name="SIF_UnitsCoef_B" vbProcedure="false">Interface!$D$223:$H$223</definedName>
    <definedName function="false" hidden="false" name="SIF_UnitsCoef_C" vbProcedure="false">Interface!$D$228:$H$228</definedName>
    <definedName function="false" hidden="false" name="SIF_UnitsGrowth29" vbProcedure="false">Interface!$E$247</definedName>
    <definedName function="false" hidden="false" name="SIF_UnitsPlat_amd" vbProcedure="false">Interface!$D$239:$H$239</definedName>
    <definedName function="false" hidden="false" name="SIF_UnitsPlat_bw" vbProcedure="false">Interface!$D$235:$H$235</definedName>
    <definedName function="false" hidden="false" name="SIF_UnitsPlat_hp" vbProcedure="false">Interface!$D$238:$H$238</definedName>
    <definedName function="false" hidden="false" name="SIF_UnitsPlat_oth" vbProcedure="false">Interface!$D$242:$H$242</definedName>
    <definedName function="false" hidden="false" name="SIF_UnitsPlat_rb" vbProcedure="false">Interface!$D$236:$H$236</definedName>
    <definedName function="false" hidden="false" name="SIF_UnitsPlat_ru" vbProcedure="false">Interface!$D$237:$H$237</definedName>
    <definedName function="false" hidden="false" name="SIF_UnitsPlat_Total" vbProcedure="false">Interface!$D$243:$H$243</definedName>
    <definedName function="false" hidden="false" name="SIF_UnitsPlat_Total_A" vbProcedure="false">Interface!$D$244:$H$244</definedName>
    <definedName function="false" hidden="false" name="SIF_UnitsPlat_Total_B" vbProcedure="false">Interface!$D$245:$H$245</definedName>
    <definedName function="false" hidden="false" name="SIF_UnitsPlat_Total_C" vbProcedure="false">Interface!$D$246:$H$246</definedName>
    <definedName function="false" hidden="false" name="SIF_UnitsPlat_tpu" vbProcedure="false">Interface!$D$240:$H$240</definedName>
    <definedName function="false" hidden="false" name="SIF_UnitsPlat_trn" vbProcedure="false">Interface!$D$241:$H$241</definedName>
    <definedName function="false" hidden="false" name="SIF_Units_Total" vbProcedure="false">Interface!$D$215:$H$215</definedName>
    <definedName function="false" hidden="false" name="SIF_u_amd_26" vbProcedure="false">Interface!$E$116</definedName>
    <definedName function="false" hidden="false" name="SIF_u_amd_26_hi" vbProcedure="false">Interface!$F$116</definedName>
    <definedName function="false" hidden="false" name="SIF_u_amd_26_lo" vbProcedure="false">Interface!$D$116</definedName>
    <definedName function="false" hidden="false" name="SIF_u_amd_27" vbProcedure="false">Interface!$E$117</definedName>
    <definedName function="false" hidden="false" name="SIF_u_amd_27_hi" vbProcedure="false">Interface!$F$117</definedName>
    <definedName function="false" hidden="false" name="SIF_u_amd_27_lo" vbProcedure="false">Interface!$D$117</definedName>
    <definedName function="false" hidden="false" name="SIF_u_amd_28" vbProcedure="false">Interface!$E$118</definedName>
    <definedName function="false" hidden="false" name="SIF_u_amd_28_hi" vbProcedure="false">Interface!$F$118</definedName>
    <definedName function="false" hidden="false" name="SIF_u_amd_28_lo" vbProcedure="false">Interface!$D$118</definedName>
    <definedName function="false" hidden="false" name="SIF_u_bw_26" vbProcedure="false">Interface!$E$92</definedName>
    <definedName function="false" hidden="false" name="SIF_u_bw_27" vbProcedure="false">Interface!$E$93</definedName>
    <definedName function="false" hidden="false" name="SIF_u_bw_28" vbProcedure="false">Interface!$E$94</definedName>
    <definedName function="false" hidden="false" name="SIF_u_hp_26" vbProcedure="false">Interface!$E$110</definedName>
    <definedName function="false" hidden="false" name="SIF_u_hp_27" vbProcedure="false">Interface!$E$111</definedName>
    <definedName function="false" hidden="false" name="SIF_u_hp_28" vbProcedure="false">Interface!$E$112</definedName>
    <definedName function="false" hidden="false" name="SIF_u_oth_26" vbProcedure="false">Interface!$E$134</definedName>
    <definedName function="false" hidden="false" name="SIF_u_oth_26_hi" vbProcedure="false">Interface!$F$134</definedName>
    <definedName function="false" hidden="false" name="SIF_u_oth_26_lo" vbProcedure="false">Interface!$D$134</definedName>
    <definedName function="false" hidden="false" name="SIF_u_oth_27" vbProcedure="false">Interface!$E$135</definedName>
    <definedName function="false" hidden="false" name="SIF_u_oth_27_hi" vbProcedure="false">Interface!$F$135</definedName>
    <definedName function="false" hidden="false" name="SIF_u_oth_27_lo" vbProcedure="false">Interface!$D$135</definedName>
    <definedName function="false" hidden="false" name="SIF_u_oth_28" vbProcedure="false">Interface!$E$136</definedName>
    <definedName function="false" hidden="false" name="SIF_u_oth_28_hi" vbProcedure="false">Interface!$F$136</definedName>
    <definedName function="false" hidden="false" name="SIF_u_oth_28_lo" vbProcedure="false">Interface!$D$136</definedName>
    <definedName function="false" hidden="false" name="SIF_u_rb_26" vbProcedure="false">Interface!$E$98</definedName>
    <definedName function="false" hidden="false" name="SIF_u_rb_27" vbProcedure="false">Interface!$E$99</definedName>
    <definedName function="false" hidden="false" name="SIF_u_rb_28" vbProcedure="false">Interface!$E$100</definedName>
    <definedName function="false" hidden="false" name="SIF_u_ru_26" vbProcedure="false">Interface!$E$104</definedName>
    <definedName function="false" hidden="false" name="SIF_u_ru_26_hi" vbProcedure="false">Interface!$F$104</definedName>
    <definedName function="false" hidden="false" name="SIF_u_ru_26_lo" vbProcedure="false">Interface!$D$104</definedName>
    <definedName function="false" hidden="false" name="SIF_u_ru_27" vbProcedure="false">Interface!$E$105</definedName>
    <definedName function="false" hidden="false" name="SIF_u_ru_27_hi" vbProcedure="false">Interface!$F$105</definedName>
    <definedName function="false" hidden="false" name="SIF_u_ru_27_lo" vbProcedure="false">Interface!$D$105</definedName>
    <definedName function="false" hidden="false" name="SIF_u_ru_28" vbProcedure="false">Interface!$E$106</definedName>
    <definedName function="false" hidden="false" name="SIF_u_ru_28_hi" vbProcedure="false">Interface!$F$106</definedName>
    <definedName function="false" hidden="false" name="SIF_u_ru_28_lo" vbProcedure="false">Interface!$D$106</definedName>
    <definedName function="false" hidden="false" name="SIF_u_tpu_26" vbProcedure="false">Interface!$E$122</definedName>
    <definedName function="false" hidden="false" name="SIF_u_tpu_27" vbProcedure="false">Interface!$E$123</definedName>
    <definedName function="false" hidden="false" name="SIF_u_tpu_28" vbProcedure="false">Interface!$E$124</definedName>
    <definedName function="false" hidden="false" name="SIF_u_trn_26" vbProcedure="false">Interface!$E$128</definedName>
    <definedName function="false" hidden="false" name="SIF_u_trn_26_hi" vbProcedure="false">Interface!$F$128</definedName>
    <definedName function="false" hidden="false" name="SIF_u_trn_26_lo" vbProcedure="false">Interface!$D$128</definedName>
    <definedName function="false" hidden="false" name="SIF_u_trn_27" vbProcedure="false">Interface!$E$129</definedName>
    <definedName function="false" hidden="false" name="SIF_u_trn_27_hi" vbProcedure="false">Interface!$F$129</definedName>
    <definedName function="false" hidden="false" name="SIF_u_trn_27_lo" vbProcedure="false">Interface!$D$129</definedName>
    <definedName function="false" hidden="false" name="SIF_u_trn_28" vbProcedure="false">Interface!$E$130</definedName>
    <definedName function="false" hidden="false" name="SIF_u_trn_28_hi" vbProcedure="false">Interface!$F$130</definedName>
    <definedName function="false" hidden="false" name="SIF_u_trn_28_lo" vbProcedure="false">Interface!$D$130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um28_A" vbProcedure="false">In!$E$142</definedName>
    <definedName function="false" hidden="false" name="um28_B" vbProcedure="false">In!$E$144</definedName>
    <definedName function="false" hidden="false" name="um28_B_hi" vbProcedure="false">In!$F$144</definedName>
    <definedName function="false" hidden="false" name="um28_B_lo" vbProcedure="false">In!$D$144</definedName>
    <definedName function="false" hidden="false" name="um28_C" vbProcedure="false">In!$E$146</definedName>
    <definedName function="false" hidden="false" name="um28_C_hi" vbProcedure="false">In!$F$146</definedName>
    <definedName function="false" hidden="false" name="um28_C_lo" vbProcedure="false">In!$D$146</definedName>
    <definedName function="false" hidden="false" name="um29_A" vbProcedure="false">In!$E$143</definedName>
    <definedName function="false" hidden="false" name="um29_B" vbProcedure="false">In!$E$145</definedName>
    <definedName function="false" hidden="false" name="um29_B_hi" vbProcedure="false">In!$F$145</definedName>
    <definedName function="false" hidden="false" name="um29_B_lo" vbProcedure="false">In!$D$145</definedName>
    <definedName function="false" hidden="false" name="um29_C" vbProcedure="false">In!$E$147</definedName>
    <definedName function="false" hidden="false" name="um29_C_hi" vbProcedure="false">In!$F$147</definedName>
    <definedName function="false" hidden="false" name="um29_C_lo" vbProcedure="false">In!$D$147</definedName>
    <definedName function="false" hidden="false" name="u_amd_26" vbProcedure="false">In!$E$117</definedName>
    <definedName function="false" hidden="false" name="u_amd_26_hi" vbProcedure="false">In!$F$117</definedName>
    <definedName function="false" hidden="false" name="u_amd_26_lo" vbProcedure="false">In!$D$117</definedName>
    <definedName function="false" hidden="false" name="u_amd_27" vbProcedure="false">In!$E$118</definedName>
    <definedName function="false" hidden="false" name="u_amd_27_hi" vbProcedure="false">In!$F$118</definedName>
    <definedName function="false" hidden="false" name="u_amd_27_lo" vbProcedure="false">In!$D$118</definedName>
    <definedName function="false" hidden="false" name="u_amd_28" vbProcedure="false">In!$E$119</definedName>
    <definedName function="false" hidden="false" name="u_amd_28_hi" vbProcedure="false">In!$F$119</definedName>
    <definedName function="false" hidden="false" name="u_amd_28_lo" vbProcedure="false">In!$D$119</definedName>
    <definedName function="false" hidden="false" name="u_bw_26" vbProcedure="false">In!$E$93</definedName>
    <definedName function="false" hidden="false" name="u_bw_27" vbProcedure="false">In!$E$94</definedName>
    <definedName function="false" hidden="false" name="u_bw_28" vbProcedure="false">In!$E$95</definedName>
    <definedName function="false" hidden="false" name="u_hp_26" vbProcedure="false">In!$E$111</definedName>
    <definedName function="false" hidden="false" name="u_hp_27" vbProcedure="false">In!$E$112</definedName>
    <definedName function="false" hidden="false" name="u_hp_28" vbProcedure="false">In!$E$113</definedName>
    <definedName function="false" hidden="false" name="u_oth_26" vbProcedure="false">In!$E$135</definedName>
    <definedName function="false" hidden="false" name="u_oth_26_hi" vbProcedure="false">In!$F$135</definedName>
    <definedName function="false" hidden="false" name="u_oth_26_lo" vbProcedure="false">In!$D$135</definedName>
    <definedName function="false" hidden="false" name="u_oth_27" vbProcedure="false">In!$E$136</definedName>
    <definedName function="false" hidden="false" name="u_oth_27_hi" vbProcedure="false">In!$F$136</definedName>
    <definedName function="false" hidden="false" name="u_oth_27_lo" vbProcedure="false">In!$D$136</definedName>
    <definedName function="false" hidden="false" name="u_oth_28" vbProcedure="false">In!$E$137</definedName>
    <definedName function="false" hidden="false" name="u_oth_28_hi" vbProcedure="false">In!$F$137</definedName>
    <definedName function="false" hidden="false" name="u_oth_28_lo" vbProcedure="false">In!$D$137</definedName>
    <definedName function="false" hidden="false" name="u_rb_26" vbProcedure="false">In!$E$99</definedName>
    <definedName function="false" hidden="false" name="u_rb_27" vbProcedure="false">In!$E$100</definedName>
    <definedName function="false" hidden="false" name="u_rb_28" vbProcedure="false">In!$E$101</definedName>
    <definedName function="false" hidden="false" name="u_ru_26" vbProcedure="false">In!$E$105</definedName>
    <definedName function="false" hidden="false" name="u_ru_26_hi" vbProcedure="false">In!$F$105</definedName>
    <definedName function="false" hidden="false" name="u_ru_26_lo" vbProcedure="false">In!$D$105</definedName>
    <definedName function="false" hidden="false" name="u_ru_27" vbProcedure="false">In!$E$106</definedName>
    <definedName function="false" hidden="false" name="u_ru_27_hi" vbProcedure="false">In!$F$106</definedName>
    <definedName function="false" hidden="false" name="u_ru_27_lo" vbProcedure="false">In!$D$106</definedName>
    <definedName function="false" hidden="false" name="u_ru_28" vbProcedure="false">In!$E$107</definedName>
    <definedName function="false" hidden="false" name="u_ru_28_hi" vbProcedure="false">In!$F$107</definedName>
    <definedName function="false" hidden="false" name="u_ru_28_lo" vbProcedure="false">In!$D$107</definedName>
    <definedName function="false" hidden="false" name="u_tpu_26" vbProcedure="false">In!$E$123</definedName>
    <definedName function="false" hidden="false" name="u_tpu_27" vbProcedure="false">In!$E$124</definedName>
    <definedName function="false" hidden="false" name="u_tpu_28" vbProcedure="false">In!$E$125</definedName>
    <definedName function="false" hidden="false" name="u_trn_26" vbProcedure="false">In!$E$129</definedName>
    <definedName function="false" hidden="false" name="u_trn_26_hi" vbProcedure="false">In!$F$129</definedName>
    <definedName function="false" hidden="false" name="u_trn_26_lo" vbProcedure="false">In!$D$129</definedName>
    <definedName function="false" hidden="false" name="u_trn_27" vbProcedure="false">In!$E$130</definedName>
    <definedName function="false" hidden="false" name="u_trn_27_hi" vbProcedure="false">In!$F$130</definedName>
    <definedName function="false" hidden="false" name="u_trn_27_lo" vbProcedure="false">In!$D$130</definedName>
    <definedName function="false" hidden="false" name="u_trn_28" vbProcedure="false">In!$E$131</definedName>
    <definedName function="false" hidden="false" name="u_trn_28_hi" vbProcedure="false">In!$F$131</definedName>
    <definedName function="false" hidden="false" name="u_trn_28_lo" vbProcedure="false">In!$D$131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<sst xmlns="http://schemas.openxmlformats.org/spreadsheetml/2006/main" count="3754" uniqueCount="1949">
  <si>
    <r>
      <rPr>
        <b val="true"/>
        <sz val="13"/>
        <rFont val="Cambria"/>
        <family val="0"/>
        <charset val="1"/>
      </rPr>
      <t xml:space="preserve">Siliconomics v0.3 — AI </t>
    </r>
    <r>
      <rPr>
        <b val="true"/>
        <sz val="13"/>
        <rFont val="Noto Sans CJK SC"/>
        <family val="2"/>
      </rPr>
      <t xml:space="preserve">半導體產業基準庫（</t>
    </r>
    <r>
      <rPr>
        <b val="true"/>
        <sz val="13"/>
        <rFont val="Cambria"/>
        <family val="0"/>
        <charset val="1"/>
      </rPr>
      <t xml:space="preserve">20261027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</si>
  <si>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半導體各子產業的『唯一事實』——加速器顆數、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與記憶體價格、網通內容、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、載板、伺服器組裝、電源散熱、設備等行業變數只有一個值；各公司模型只讀本庫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名稱。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</si>
  <si>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的分工：每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硬體量、機架價、每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比例、產業年度部署路徑（</t>
    </r>
    <r>
      <rPr>
        <sz val="11"/>
        <color theme="1"/>
        <rFont val="Calibri"/>
        <family val="2"/>
        <charset val="1"/>
      </rPr>
      <t xml:space="preserve">R4</t>
    </r>
    <r>
      <rPr>
        <sz val="11"/>
        <color theme="1"/>
        <rFont val="Noto Sans CJK SC"/>
        <family val="2"/>
      </rPr>
      <t xml:space="preserve">）權威在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／算力收支，本庫只在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頁鏡像（綠字、不得修改）；晶片產業資訊（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單價與容量、每顆內容、網通內容、份額、出貨顆數、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規格、晶圓與設備）權威在本庫（《情境卡產生規則》第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</si>
  <si>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(1) Tokenomics v21.7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個名稱）與下游舊快照差異；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加速器顆數層、記憶體價格路徑、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逐字搬入，數值不變）；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跨模型衝突登錄；</t>
    </r>
    <r>
      <rPr>
        <sz val="11"/>
        <color theme="1"/>
        <rFont val="Calibri"/>
        <family val="2"/>
        <charset val="1"/>
      </rPr>
      <t xml:space="preserve">(4) 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。網通、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、載板、組裝電源散熱、設備依規劃書分段併入。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</si>
  <si>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列全部補上區間、缺來源列補來源；新增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平台別顆數成長（單一來源，取代台積電、網通模型的寫死值與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模型的合計年增）與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SIF_UnitsPlat_*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</si>
  <si>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M6 </t>
    </r>
    <r>
      <rPr>
        <sz val="11"/>
        <color theme="1"/>
        <rFont val="Noto Sans CJK SC"/>
        <family val="2"/>
      </rPr>
      <t xml:space="preserve">節（加速器每顆售價、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代購比例；原在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模型）與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設計服務份額；原在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alchip </t>
    </r>
    <r>
      <rPr>
        <sz val="11"/>
        <color theme="1"/>
        <rFont val="Noto Sans CJK SC"/>
        <family val="2"/>
      </rPr>
      <t xml:space="preserve">模型）、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頁（同一平台份額加總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欄第二來源。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</si>
  <si>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Scen</t>
    </r>
    <r>
      <rPr>
        <sz val="11"/>
        <color theme="1"/>
        <rFont val="Noto Sans CJK SC"/>
        <family val="2"/>
      </rPr>
      <t xml:space="preserve">（情境定義）→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（藍字輸入）→ 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（推導）→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（下游取數）→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SGOV_Errors </t>
    </r>
    <r>
      <rPr>
        <sz val="11"/>
        <color theme="1"/>
        <rFont val="Noto Sans CJK SC"/>
        <family val="2"/>
      </rPr>
      <t xml:space="preserve">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</si>
  <si>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顏色：藍字＝輸入（本活頁簿擁有）；黑字＝公式；綠字＝跨頁或外部連結；淡黃底＝關鍵輸出；亮黃底＝待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決定或未定。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</si>
  <si>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搬入列尚有缺區間者，見 </t>
    </r>
    <r>
      <rPr>
        <sz val="11"/>
        <color theme="1"/>
        <rFont val="Calibri"/>
        <family val="2"/>
        <charset val="1"/>
      </rPr>
      <t xml:space="preserve">Checks G3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</si>
  <si>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）。公式頁不要手改（重建時會被覆寫）。</t>
    </r>
  </si>
  <si>
    <r>
      <rPr>
        <sz val="11"/>
        <color theme="1"/>
        <rFont val="Noto Sans CJK SC"/>
        <family val="2"/>
      </rPr>
      <t xml:space="preserve">取數規則（下游）：只取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具名範圍（含 </t>
    </r>
    <r>
      <rPr>
        <sz val="11"/>
        <color theme="1"/>
        <rFont val="Calibri"/>
        <family val="2"/>
        <charset val="1"/>
      </rPr>
      <t xml:space="preserve">SIF_TK_* </t>
    </r>
    <r>
      <rPr>
        <sz val="11"/>
        <color theme="1"/>
        <rFont val="Noto Sans CJK SC"/>
        <family val="2"/>
      </rPr>
      <t xml:space="preserve">鏡像）；不得連結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等內部頁；以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匯成版本固定快照，版本號寫入公司模型。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</si>
  <si>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記錄現行檔名。只改證據或標記為修補版；輸入值或公式改變為次版；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名稱刪除或定義改變為主版（</t>
    </r>
    <r>
      <rPr>
        <sz val="11"/>
        <color theme="1"/>
        <rFont val="Calibri"/>
        <family val="2"/>
        <charset val="1"/>
      </rPr>
      <t xml:space="preserve">v1.0 </t>
    </r>
    <r>
      <rPr>
        <sz val="11"/>
        <color theme="1"/>
        <rFont val="Noto Sans CJK SC"/>
        <family val="2"/>
      </rPr>
      <t xml:space="preserve">前只新增名稱以次版處理）。</t>
    </r>
  </si>
  <si>
    <r>
      <rPr>
        <sz val="11"/>
        <color theme="1"/>
        <rFont val="Calibri"/>
        <family val="2"/>
        <charset val="1"/>
      </rPr>
      <t xml:space="preserve">Scen — </t>
    </r>
    <r>
      <rPr>
        <sz val="11"/>
        <color theme="1"/>
        <rFont val="Noto Sans CJK SC"/>
        <family val="2"/>
      </rPr>
      <t xml:space="preserve">行業情境定義（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＝不如預期）。各公司模型的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）</t>
    </r>
  </si>
  <si>
    <t xml:space="preserve">情境</t>
  </si>
  <si>
    <t xml:space="preserve">名稱</t>
  </si>
  <si>
    <t xml:space="preserve">定義（顆數與部署）</t>
  </si>
  <si>
    <t xml:space="preserve">記憶體價格路徑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</si>
  <si>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</si>
  <si>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</si>
  <si>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t xml:space="preserve">2030–2032</t>
  </si>
  <si>
    <t xml:space="preserve">A</t>
  </si>
  <si>
    <t xml:space="preserve">順利</t>
  </si>
  <si>
    <r>
      <rPr>
        <sz val="11"/>
        <color theme="1"/>
        <rFont val="Noto Sans CJK SC"/>
        <family val="2"/>
      </rPr>
      <t xml:space="preserve">基準顆數（市場層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預測）；部署順利、新技術導入快</t>
    </r>
  </si>
  <si>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</t>
    </r>
  </si>
  <si>
    <r>
      <rPr>
        <sz val="11"/>
        <color theme="1"/>
        <rFont val="Noto Sans CJK SC"/>
        <family val="2"/>
      </rPr>
      <t xml:space="preserve">未定：待算力收支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後）；各公司模型目前以收斂法自推</t>
    </r>
  </si>
  <si>
    <t xml:space="preserve">B</t>
  </si>
  <si>
    <t xml:space="preserve">平平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</si>
  <si>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0.85</t>
    </r>
  </si>
  <si>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</t>
    </r>
  </si>
  <si>
    <t xml:space="preserve">C</t>
  </si>
  <si>
    <t xml:space="preserve">不如預期</t>
  </si>
  <si>
    <r>
      <rPr>
        <sz val="11"/>
        <color theme="1"/>
        <rFont val="Noto Sans CJK SC"/>
        <family val="2"/>
      </rPr>
      <t xml:space="preserve">明顯下修：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</si>
  <si>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</si>
  <si>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t xml:space="preserve">說明</t>
  </si>
  <si>
    <r>
      <rPr>
        <sz val="11"/>
        <color theme="1"/>
        <rFont val="Noto Sans CJK SC"/>
        <family val="2"/>
      </rPr>
      <t xml:space="preserve">情境係數只定義 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，無外部預測可校準；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上線後，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的部署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三情境改讀算力收支（權威在算力收支，第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條），本頁的係數改為由部署路徑推導。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</si>
  <si>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產業輸入（藍字＝輸入，由本活頁簿擁有；要改值直接改本頁，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欄），另有 </t>
    </r>
    <r>
      <rPr>
        <sz val="11"/>
        <color theme="1"/>
        <rFont val="Calibri"/>
        <family val="2"/>
        <charset val="1"/>
      </rPr>
      <t xml:space="preserve">_lo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_hi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</si>
  <si>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內容由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逐字搬入（數值、標記、來源文字不變）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</si>
  <si>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</si>
  <si>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</si>
  <si>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</si>
  <si>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</si>
  <si>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</si>
  <si>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</si>
  <si>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</si>
  <si>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</si>
  <si>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名稱</t>
    </r>
  </si>
  <si>
    <t xml:space="preserve">第二來源／說明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</si>
  <si>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</si>
  <si>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</si>
  <si>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</si>
  <si>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</si>
  <si>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</si>
  <si>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</si>
  <si>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SIF_cq_1</t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</si>
  <si>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</si>
  <si>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</si>
  <si>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同上</t>
  </si>
  <si>
    <t xml:space="preserve">SIF_cq_2</t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</si>
  <si>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</si>
  <si>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</si>
  <si>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SIF_cq_3</t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</si>
  <si>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</si>
  <si>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</si>
  <si>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SIF_cq_4</t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</si>
  <si>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</si>
  <si>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</si>
  <si>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SIF_cq_5</t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</si>
  <si>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</si>
  <si>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</si>
  <si>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SIF_cq_6</t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</si>
  <si>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</si>
  <si>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</si>
  <si>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SIF_cq_7</t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</si>
  <si>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</si>
  <si>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</si>
  <si>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</si>
  <si>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SIF_cqA_8</t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</si>
  <si>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</si>
  <si>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</si>
  <si>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SIF_cqA_9</t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</si>
  <si>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</si>
  <si>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</si>
  <si>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SIF_cqA_10</t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</si>
  <si>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</si>
  <si>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</si>
  <si>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SIF_cqA_11</t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</si>
  <si>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</si>
  <si>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</si>
  <si>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SIF_cqA_12</t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</si>
  <si>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</si>
  <si>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</si>
  <si>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SIF_cqA_13</t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</si>
  <si>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</si>
  <si>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</si>
  <si>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SIF_cqA_14</t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</si>
  <si>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</si>
  <si>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</si>
  <si>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SIF_cqA_15</t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</si>
  <si>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</si>
  <si>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</si>
  <si>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SIF_cqA_16</t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</si>
  <si>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</si>
  <si>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</si>
  <si>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SIF_cqA_17</t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</si>
  <si>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</si>
  <si>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</si>
  <si>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SIF_cqA_18</t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</si>
  <si>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</si>
  <si>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</si>
  <si>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SIF_cqA_19</t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</si>
  <si>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</si>
  <si>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</si>
  <si>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</si>
  <si>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SIF_cqB_8</t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</si>
  <si>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</si>
  <si>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</si>
  <si>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SIF_cqB_9</t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</si>
  <si>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</si>
  <si>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</si>
  <si>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SIF_cqB_10</t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</si>
  <si>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</si>
  <si>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</si>
  <si>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SIF_cqB_11</t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</si>
  <si>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</si>
  <si>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</si>
  <si>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SIF_cqB_12</t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</si>
  <si>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</si>
  <si>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</si>
  <si>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SIF_cqB_13</t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</si>
  <si>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</si>
  <si>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</si>
  <si>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SIF_cqB_14</t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</si>
  <si>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</si>
  <si>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</si>
  <si>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SIF_cqB_15</t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</si>
  <si>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</si>
  <si>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</si>
  <si>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SIF_cqB_16</t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</si>
  <si>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</si>
  <si>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</si>
  <si>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SIF_cqB_17</t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</si>
  <si>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</si>
  <si>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</si>
  <si>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SIF_cqB_18</t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</si>
  <si>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</si>
  <si>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</si>
  <si>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SIF_cqB_19</t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</si>
  <si>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</si>
  <si>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</si>
  <si>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</si>
  <si>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</si>
  <si>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SIF_cqC_8</t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</si>
  <si>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</si>
  <si>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</si>
  <si>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SIF_cqC_9</t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</si>
  <si>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</si>
  <si>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</si>
  <si>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SIF_cqC_10</t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</si>
  <si>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</si>
  <si>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</si>
  <si>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SIF_cqC_11</t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</si>
  <si>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</si>
  <si>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</si>
  <si>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SIF_cqC_12</t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</si>
  <si>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</si>
  <si>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</si>
  <si>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SIF_cqC_13</t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</si>
  <si>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</si>
  <si>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</si>
  <si>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SIF_cqC_14</t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</si>
  <si>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</si>
  <si>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</si>
  <si>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SIF_cqC_15</t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</si>
  <si>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</si>
  <si>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</si>
  <si>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SIF_cqC_16</t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</si>
  <si>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</si>
  <si>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</si>
  <si>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SIF_cqC_17</t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</si>
  <si>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</si>
  <si>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</si>
  <si>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SIF_cqC_18</t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</si>
  <si>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</si>
  <si>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</si>
  <si>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SIF_cqC_19</t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</si>
  <si>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</si>
  <si>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</si>
  <si>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</si>
  <si>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SIF_nq_1</t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</si>
  <si>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</si>
  <si>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</si>
  <si>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SIF_nq_2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</si>
  <si>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</si>
  <si>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</si>
  <si>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SIF_nq_3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</si>
  <si>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</si>
  <si>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</si>
  <si>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SIF_nq_4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</si>
  <si>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</si>
  <si>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</si>
  <si>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SIF_nq_5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</si>
  <si>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</si>
  <si>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</si>
  <si>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SIF_nq_6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</si>
  <si>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</si>
  <si>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</si>
  <si>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SIF_nq_7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</si>
  <si>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</si>
  <si>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</si>
  <si>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</si>
  <si>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SIF_nqA_8</t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</si>
  <si>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</si>
  <si>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</si>
  <si>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SIF_nqA_9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</si>
  <si>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</si>
  <si>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</si>
  <si>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SIF_nqA_10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</si>
  <si>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</si>
  <si>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</si>
  <si>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SIF_nqA_11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</si>
  <si>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</si>
  <si>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</si>
  <si>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SIF_nqA_12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</si>
  <si>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</si>
  <si>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</si>
  <si>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SIF_nqA_13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</si>
  <si>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</si>
  <si>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</si>
  <si>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SIF_nqA_14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</si>
  <si>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</si>
  <si>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</si>
  <si>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SIF_nqA_15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</si>
  <si>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</si>
  <si>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</si>
  <si>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SIF_nqA_16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</si>
  <si>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</si>
  <si>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</si>
  <si>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SIF_nqA_17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</si>
  <si>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</si>
  <si>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</si>
  <si>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SIF_nqA_18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</si>
  <si>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</si>
  <si>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</si>
  <si>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SIF_nqA_19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</si>
  <si>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</si>
  <si>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</si>
  <si>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</si>
  <si>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SIF_nqB_8</t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</si>
  <si>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</si>
  <si>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</si>
  <si>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SIF_nqB_9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</si>
  <si>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</si>
  <si>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</si>
  <si>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SIF_nqB_10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</si>
  <si>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</si>
  <si>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</si>
  <si>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SIF_nqB_11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</si>
  <si>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</si>
  <si>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</si>
  <si>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SIF_nqB_12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</si>
  <si>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</si>
  <si>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</si>
  <si>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SIF_nqB_13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</si>
  <si>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</si>
  <si>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</si>
  <si>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SIF_nqB_14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</si>
  <si>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</si>
  <si>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</si>
  <si>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SIF_nqB_15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</si>
  <si>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</si>
  <si>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</si>
  <si>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SIF_nqB_16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</si>
  <si>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</si>
  <si>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</si>
  <si>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SIF_nqB_17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</si>
  <si>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</si>
  <si>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</si>
  <si>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SIF_nqB_18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</si>
  <si>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</si>
  <si>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</si>
  <si>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SIF_nqB_19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</si>
  <si>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</si>
  <si>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</si>
  <si>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</si>
  <si>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SIF_nqC_8</t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</si>
  <si>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</si>
  <si>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</si>
  <si>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SIF_nqC_9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</si>
  <si>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</si>
  <si>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</si>
  <si>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SIF_nqC_10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</si>
  <si>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</si>
  <si>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</si>
  <si>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SIF_nqC_11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</si>
  <si>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</si>
  <si>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</si>
  <si>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SIF_nqC_12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</si>
  <si>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</si>
  <si>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</si>
  <si>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SIF_nqC_13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</si>
  <si>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</si>
  <si>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</si>
  <si>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SIF_nqC_14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</si>
  <si>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</si>
  <si>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</si>
  <si>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SIF_nqC_15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</si>
  <si>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</si>
  <si>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</si>
  <si>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SIF_nqC_16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</si>
  <si>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</si>
  <si>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</si>
  <si>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SIF_nqC_17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</si>
  <si>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</si>
  <si>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</si>
  <si>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SIF_nqC_18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</si>
  <si>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</si>
  <si>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</si>
  <si>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SIF_nqC_19</t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</si>
  <si>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</si>
  <si>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</si>
  <si>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</si>
  <si>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</si>
  <si>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</si>
  <si>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SIF_u_bw_26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</si>
  <si>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</si>
  <si>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</si>
  <si>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SIF_u_bw_27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</si>
  <si>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</si>
  <si>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</si>
  <si>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SIF_u_bw_28</t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</si>
  <si>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</si>
  <si>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</si>
  <si>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</si>
  <si>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SIF_g_bw_26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</si>
  <si>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</si>
  <si>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</si>
  <si>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SIF_g_bw_27</t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</si>
  <si>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</si>
  <si>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</si>
  <si>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SIF_g_bw_28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</si>
  <si>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</si>
  <si>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</si>
  <si>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</si>
  <si>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SIF_u_rb_26</t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</si>
  <si>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</si>
  <si>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</si>
  <si>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SIF_u_rb_27</t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</si>
  <si>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</si>
  <si>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</si>
  <si>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SIF_u_rb_28</t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</si>
  <si>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</si>
  <si>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</si>
  <si>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SIF_g_rb_26</t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</si>
  <si>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</si>
  <si>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</si>
  <si>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SIF_g_rb_27</t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</si>
  <si>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</si>
  <si>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</si>
  <si>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SIF_g_rb_28</t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</si>
  <si>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</si>
  <si>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</si>
  <si>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</si>
  <si>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SIF_u_ru_26</t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</si>
  <si>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</si>
  <si>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</si>
  <si>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SIF_u_ru_27</t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</si>
  <si>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</si>
  <si>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</si>
  <si>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SIF_u_ru_28</t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</si>
  <si>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</si>
  <si>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</si>
  <si>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</si>
  <si>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SIF_g_ru_26</t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</si>
  <si>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</si>
  <si>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</si>
  <si>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SIF_g_ru_27</t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</si>
  <si>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</si>
  <si>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</si>
  <si>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SIF_g_ru_28</t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</si>
  <si>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</si>
  <si>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</si>
  <si>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</si>
  <si>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SIF_u_hp_26</t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</si>
  <si>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</si>
  <si>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</si>
  <si>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SIF_u_hp_27</t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</si>
  <si>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</si>
  <si>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</si>
  <si>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SIF_u_hp_28</t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</si>
  <si>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</si>
  <si>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</si>
  <si>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SIF_g_hp_26</t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</si>
  <si>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</si>
  <si>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</si>
  <si>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SIF_g_hp_27</t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</si>
  <si>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</si>
  <si>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</si>
  <si>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SIF_g_hp_28</t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</si>
  <si>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</si>
  <si>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</si>
  <si>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</si>
  <si>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</si>
  <si>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SIF_u_amd_26</t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</si>
  <si>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</si>
  <si>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</si>
  <si>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SIF_u_amd_27</t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</si>
  <si>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</si>
  <si>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</si>
  <si>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SIF_u_amd_28</t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</si>
  <si>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</si>
  <si>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</si>
  <si>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SIF_g_amd_26</t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</si>
  <si>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</si>
  <si>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</si>
  <si>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SIF_g_amd_27</t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</si>
  <si>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</si>
  <si>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</si>
  <si>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SIF_g_amd_28</t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</si>
  <si>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</si>
  <si>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</si>
  <si>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</si>
  <si>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SIF_u_tpu_26</t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</si>
  <si>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</si>
  <si>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</si>
  <si>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SIF_u_tpu_27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</si>
  <si>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</si>
  <si>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</si>
  <si>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SIF_u_tpu_28</t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</si>
  <si>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</si>
  <si>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</si>
  <si>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SIF_g_tpu_26</t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</si>
  <si>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</si>
  <si>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</si>
  <si>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SIF_g_tpu_27</t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</si>
  <si>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</si>
  <si>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</si>
  <si>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SIF_g_tpu_28</t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</si>
  <si>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</si>
  <si>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</si>
  <si>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</si>
  <si>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SIF_u_trn_26</t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</si>
  <si>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</si>
  <si>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</si>
  <si>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SIF_u_trn_27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</si>
  <si>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</si>
  <si>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</si>
  <si>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SIF_u_trn_28</t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</si>
  <si>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</si>
  <si>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</si>
  <si>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SIF_g_trn_26</t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</si>
  <si>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</si>
  <si>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</si>
  <si>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SIF_g_trn_27</t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</si>
  <si>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</si>
  <si>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</si>
  <si>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SIF_g_trn_28</t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</si>
  <si>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</si>
  <si>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</si>
  <si>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</si>
  <si>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</si>
  <si>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SIF_u_oth_26</t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</si>
  <si>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</si>
  <si>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</si>
  <si>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SIF_u_oth_27</t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</si>
  <si>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</si>
  <si>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</si>
  <si>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SIF_u_oth_28</t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</si>
  <si>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</si>
  <si>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</si>
  <si>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SIF_g_oth_26</t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</si>
  <si>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</si>
  <si>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</si>
  <si>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SIF_g_oth_27</t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</si>
  <si>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</si>
  <si>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</si>
  <si>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SIF_g_oth_28</t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</si>
  <si>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</si>
  <si>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</si>
  <si>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</si>
  <si>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</si>
  <si>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</si>
  <si>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</si>
  <si>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SIF_um28_A</t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</si>
  <si>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</si>
  <si>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</si>
  <si>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SIF_um29_A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</si>
  <si>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</si>
  <si>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</si>
  <si>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SIF_um28_B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</si>
  <si>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</si>
  <si>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</si>
  <si>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SIF_um29_B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</si>
  <si>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</si>
  <si>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</si>
  <si>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SIF_um28_C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</si>
  <si>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</si>
  <si>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</si>
  <si>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SIF_um29_C</t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</si>
  <si>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</si>
  <si>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</si>
  <si>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</si>
  <si>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</si>
  <si>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</si>
  <si>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</si>
  <si>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SIF_hbm_mkt25</t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</si>
  <si>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</si>
  <si>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</si>
  <si>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</si>
  <si>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SIF_hbm_g26</t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</si>
  <si>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</si>
  <si>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</si>
  <si>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</si>
  <si>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SIF_hbm_gross</t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</si>
  <si>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</si>
  <si>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</si>
  <si>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</si>
  <si>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SIF_hbm_sup27</t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</si>
  <si>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</si>
  <si>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</si>
  <si>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</si>
  <si>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SIF_hbm_sup28</t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</si>
  <si>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</si>
  <si>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</si>
  <si>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</si>
  <si>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</si>
  <si>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SIF_hbm_p26</t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</si>
  <si>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</si>
  <si>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</si>
  <si>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</si>
  <si>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SIF_hbm_p27</t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</si>
  <si>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</si>
  <si>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</si>
  <si>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</si>
  <si>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SIF_hbm_p28_A</t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</si>
  <si>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</si>
  <si>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</si>
  <si>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</si>
  <si>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SIF_hbm_p28_B</t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</si>
  <si>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</si>
  <si>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</si>
  <si>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</si>
  <si>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SIF_hbm_p28_C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</si>
  <si>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</si>
  <si>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</si>
  <si>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</si>
  <si>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SIF_hbm_dem29</t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</si>
  <si>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</si>
  <si>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</si>
  <si>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</si>
  <si>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SIF_hbm_sup29</t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</si>
  <si>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</si>
  <si>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</si>
  <si>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</si>
  <si>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SIF_hbm_p29_A</t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</si>
  <si>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</si>
  <si>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</si>
  <si>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</si>
  <si>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SIF_hbm_p29_B</t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</si>
  <si>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</si>
  <si>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</si>
  <si>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</si>
  <si>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t xml:space="preserve">SIF_hbm_p29_C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</si>
  <si>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</si>
  <si>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</si>
  <si>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</si>
  <si>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</si>
  <si>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</si>
  <si>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SIF_nv_dc26</t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</si>
  <si>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</si>
  <si>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</si>
  <si>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</si>
  <si>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</si>
  <si>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SIF_nv_content</t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</si>
  <si>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</si>
  <si>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</si>
  <si>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</si>
  <si>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SIF_nv_hbm</t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</si>
  <si>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</si>
  <si>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</si>
  <si>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</si>
  <si>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SIF_pub26_lo</t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</si>
  <si>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</si>
  <si>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</si>
  <si>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</si>
  <si>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SIF_pub26_hi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</si>
  <si>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</si>
  <si>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</si>
  <si>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</si>
  <si>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t xml:space="preserve">SIF_pub27</t>
  </si>
  <si>
    <r>
      <rPr>
        <b val="true"/>
        <sz val="11"/>
        <rFont val="Cambria"/>
        <family val="0"/>
        <charset val="1"/>
      </rPr>
      <t xml:space="preserve">M5. 2029 </t>
    </r>
    <r>
      <rPr>
        <b val="true"/>
        <sz val="11"/>
        <rFont val="Noto Sans CJK SC"/>
        <family val="2"/>
      </rPr>
      <t xml:space="preserve">加速器顆數成長（平台別；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起單一來源，取代台積電與網通模型各自的寫死值、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模型的合計年增）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</si>
  <si>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</si>
  <si>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</si>
  <si>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無平台別顆數預測。基準沿用台積電模型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與網通模型的原值（</t>
    </r>
    <r>
      <rPr>
        <sz val="11"/>
        <color theme="1"/>
        <rFont val="Calibri"/>
        <family val="2"/>
        <charset val="1"/>
      </rPr>
      <t xml:space="preserve">Blackwell −50% </t>
    </r>
    <r>
      <rPr>
        <sz val="11"/>
        <color theme="1"/>
        <rFont val="Noto Sans CJK SC"/>
        <family val="2"/>
      </rPr>
      <t xml:space="preserve">汰換、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 ±20pt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產業部署路徑上線後改由部署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推導</t>
    </r>
  </si>
  <si>
    <t xml:space="preserve">SIF_g29_bw</t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</si>
  <si>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</si>
  <si>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</si>
  <si>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SIF_g29_rb</t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</si>
  <si>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</si>
  <si>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</si>
  <si>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SIF_g29_ru</t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</si>
  <si>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</si>
  <si>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</si>
  <si>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SIF_g29_hp</t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</si>
  <si>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</si>
  <si>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</si>
  <si>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SIF_g29_amd</t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</si>
  <si>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</si>
  <si>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</si>
  <si>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SIF_g29_tpu</t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</si>
  <si>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</si>
  <si>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</si>
  <si>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SIF_g29_trn</t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</si>
  <si>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</si>
  <si>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</si>
  <si>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SIF_g29_oth</t>
  </si>
  <si>
    <r>
      <rPr>
        <b val="true"/>
        <sz val="11"/>
        <rFont val="Cambria"/>
        <family val="0"/>
        <charset val="1"/>
      </rPr>
      <t xml:space="preserve">M6. </t>
    </r>
    <r>
      <rPr>
        <b val="true"/>
        <sz val="11"/>
        <rFont val="Noto Sans CJK SC"/>
        <family val="2"/>
      </rPr>
      <t xml:space="preserve">加速器每顆售價與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核心價（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avgo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頁，數值與文字逐字搬入）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</si>
  <si>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</si>
  <si>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</si>
  <si>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t xml:space="preserve">US$K</t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</si>
  <si>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</si>
  <si>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SIF_pa_amd</t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</si>
  <si>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</si>
  <si>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</si>
  <si>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</si>
  <si>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</si>
  <si>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SIF_pa_tpu</t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</si>
  <si>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</si>
  <si>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</si>
  <si>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</si>
  <si>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</si>
  <si>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SIF_pa_trn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</si>
  <si>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</si>
  <si>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</si>
  <si>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</si>
  <si>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</si>
  <si>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SIF_pa_oth</t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</si>
  <si>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</si>
  <si>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</si>
  <si>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</si>
  <si>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t xml:space="preserve">SIF_core_tpu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</si>
  <si>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</si>
  <si>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</si>
  <si>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</si>
  <si>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</si>
  <si>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t xml:space="preserve">SIF_core_oth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</si>
  <si>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</si>
  <si>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</si>
  <si>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</si>
  <si>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</si>
  <si>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t xml:space="preserve">SIF_f_hbm</t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</si>
  <si>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</si>
  <si>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r>
      <rPr>
        <b val="true"/>
        <sz val="11"/>
        <rFont val="Cambria"/>
        <family val="0"/>
        <charset val="1"/>
      </rPr>
      <t xml:space="preserve">M7. ASIC </t>
    </r>
    <r>
      <rPr>
        <b val="true"/>
        <sz val="11"/>
        <rFont val="Noto Sans CJK SC"/>
        <family val="2"/>
      </rPr>
      <t xml:space="preserve">設計服務顆數份額（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alchip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頁；加總檢查見 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頁）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</si>
  <si>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</si>
  <si>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</si>
  <si>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</si>
  <si>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SIF_sh_tpu_26</t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</si>
  <si>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</si>
  <si>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</si>
  <si>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</si>
  <si>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</si>
  <si>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t xml:space="preserve">SIF_sh_tpu_27</t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</si>
  <si>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</si>
  <si>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</si>
  <si>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</si>
  <si>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SIF_sh_tpu_28</t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</si>
  <si>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</si>
  <si>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</si>
  <si>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</si>
  <si>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</si>
  <si>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t xml:space="preserve">SIF_sh_oth_26</t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</si>
  <si>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</si>
  <si>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</si>
  <si>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</si>
  <si>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</si>
  <si>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SIF_sh_oth_27</t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</si>
  <si>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</si>
  <si>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</si>
  <si>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</si>
  <si>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SIF_sh_oth_28</t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</si>
  <si>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</si>
  <si>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</si>
  <si>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</si>
  <si>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SIF_msh_trn_26</t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</si>
  <si>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</si>
  <si>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</si>
  <si>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</si>
  <si>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SIF_msh_trn_27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</si>
  <si>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</si>
  <si>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</si>
  <si>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SIF_msh_trn_28</t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</si>
  <si>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</si>
  <si>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</si>
  <si>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</si>
  <si>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t xml:space="preserve">SIF_msh_oth_26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</si>
  <si>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</si>
  <si>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</si>
  <si>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</si>
  <si>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SIF_msh_oth_27</t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</si>
  <si>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</si>
  <si>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</si>
  <si>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SIF_msh_oth_28</t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</si>
  <si>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</si>
  <si>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</si>
  <si>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</si>
  <si>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t xml:space="preserve">SIF_msh_tpu_26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</si>
  <si>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</si>
  <si>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</si>
  <si>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</si>
  <si>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SIF_msh_tpu_27</t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</si>
  <si>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</si>
  <si>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</si>
  <si>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SIF_msh_tpu_28</t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</si>
  <si>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</si>
  <si>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</si>
  <si>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</si>
  <si>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t xml:space="preserve">SIF_mtk_tpu_26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</si>
  <si>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</si>
  <si>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</si>
  <si>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</si>
  <si>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SIF_mtk_tpu_27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</si>
  <si>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</si>
  <si>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</si>
  <si>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SIF_mtk_tpu_28</t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</si>
  <si>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</si>
  <si>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</si>
  <si>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</si>
  <si>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SIF_mtk_oth_26</t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</si>
  <si>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</si>
  <si>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</si>
  <si>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</si>
  <si>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SIF_mtk_oth_27</t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</si>
  <si>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</si>
  <si>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</si>
  <si>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SIF_mtk_oth_28</t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</si>
  <si>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</si>
  <si>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</si>
  <si>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</si>
  <si>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t xml:space="preserve">SIF_al_trn_26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</si>
  <si>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</si>
  <si>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</si>
  <si>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</si>
  <si>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SIF_al27_A</t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</si>
  <si>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</si>
  <si>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</si>
  <si>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SIF_al27_B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</si>
  <si>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</si>
  <si>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</si>
  <si>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SIF_al27_C</t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</si>
  <si>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</si>
  <si>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</si>
  <si>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SIF_al28_A</t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</si>
  <si>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</si>
  <si>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</si>
  <si>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</si>
  <si>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</si>
  <si>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</si>
  <si>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</si>
  <si>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SIF_al28_C</t>
  </si>
  <si>
    <r>
      <rPr>
        <b val="true"/>
        <sz val="11"/>
        <rFont val="Cambria"/>
        <family val="0"/>
        <charset val="1"/>
      </rPr>
      <t xml:space="preserve">M2 </t>
    </r>
    <r>
      <rPr>
        <b val="true"/>
        <sz val="11"/>
        <rFont val="Noto Sans CJK SC"/>
        <family val="2"/>
      </rPr>
      <t xml:space="preserve">分組：加速器平台（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頁各列與 </t>
    </r>
    <r>
      <rPr>
        <b val="true"/>
        <sz val="11"/>
        <rFont val="Cambria"/>
        <family val="0"/>
        <charset val="1"/>
      </rPr>
      <t xml:space="preserve">market.py UNITS </t>
    </r>
    <r>
      <rPr>
        <b val="true"/>
        <sz val="11"/>
        <rFont val="Noto Sans CJK SC"/>
        <family val="2"/>
      </rPr>
      <t xml:space="preserve">的名稱、標記、來源）</t>
    </r>
  </si>
  <si>
    <t xml:space="preserve">分組鍵</t>
  </si>
  <si>
    <t xml:space="preserve">平台名稱</t>
  </si>
  <si>
    <t xml:space="preserve">grp_bw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</si>
  <si>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</si>
  <si>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grp_rb</t>
  </si>
  <si>
    <t xml:space="preserve">NVIDIA Rubin</t>
  </si>
  <si>
    <t xml:space="preserve">grp_ru</t>
  </si>
  <si>
    <t xml:space="preserve">NVIDIA Rubin Ultra</t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</si>
  <si>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</si>
  <si>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grp_hp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</si>
  <si>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</si>
  <si>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grp_amd</t>
  </si>
  <si>
    <t xml:space="preserve">AMD Instinct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</si>
  <si>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</si>
  <si>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grp_tpu</t>
  </si>
  <si>
    <t xml:space="preserve">Google TPU</t>
  </si>
  <si>
    <t xml:space="preserve">grp_trn</t>
  </si>
  <si>
    <t xml:space="preserve">AWS Trainium</t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</si>
  <si>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</si>
  <si>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grp_oth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</si>
  <si>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</si>
  <si>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</si>
  <si>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加速器平台別顆數（百萬顆；情境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基準）。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平台別成長率）。情境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Scen </t>
    </r>
    <r>
      <rPr>
        <sz val="11"/>
        <color theme="1"/>
        <rFont val="Noto Sans CJK SC"/>
        <family val="2"/>
      </rPr>
      <t xml:space="preserve">頁係數（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</t>
    </r>
  </si>
  <si>
    <t xml:space="preserve">平台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</si>
  <si>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</si>
  <si>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</si>
  <si>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</si>
  <si>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</si>
  <si>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成長</t>
    </r>
  </si>
  <si>
    <t xml:space="preserve">bw</t>
  </si>
  <si>
    <t xml:space="preserve">rb</t>
  </si>
  <si>
    <t xml:space="preserve">ru</t>
  </si>
  <si>
    <t xml:space="preserve">hp</t>
  </si>
  <si>
    <t xml:space="preserve">amd</t>
  </si>
  <si>
    <t xml:space="preserve">tpu</t>
  </si>
  <si>
    <t xml:space="preserve">trn</t>
  </si>
  <si>
    <t xml:space="preserve">oth</t>
  </si>
  <si>
    <r>
      <rPr>
        <b val="true"/>
        <sz val="11"/>
        <rFont val="Noto Sans CJK SC"/>
        <family val="2"/>
      </rPr>
      <t xml:space="preserve">合計（基準＝情境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，未乘係數）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</si>
  <si>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</si>
  <si>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</si>
  <si>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</si>
  <si>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ShareTbl — ASIC </t>
    </r>
    <r>
      <rPr>
        <sz val="11"/>
        <color theme="1"/>
        <rFont val="Noto Sans CJK SC"/>
        <family val="2"/>
      </rPr>
      <t xml:space="preserve">設計服務顆數份額表（基準值；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）。同一平台各設計夥伴份額加總須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，餘額＝客戶自行設計或未建模的夥伴。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的世芯份額隨情境（公司特有：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最不利），三情境各列一次</t>
    </r>
  </si>
  <si>
    <t xml:space="preserve">夥伴</t>
  </si>
  <si>
    <r>
      <rPr>
        <b val="true"/>
        <sz val="11"/>
        <rFont val="Noto Sans CJK SC"/>
        <family val="2"/>
      </rPr>
      <t xml:space="preserve">鍵（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）</t>
    </r>
  </si>
  <si>
    <t xml:space="preserve">Broadcom</t>
  </si>
  <si>
    <r>
      <rPr>
        <sz val="11"/>
        <color theme="1"/>
        <rFont val="Calibri"/>
        <family val="2"/>
        <charset val="1"/>
      </rPr>
      <t xml:space="preserve">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sh_tpu_28</t>
    </r>
  </si>
  <si>
    <t xml:space="preserve">Marvell</t>
  </si>
  <si>
    <r>
      <rPr>
        <sz val="11"/>
        <color theme="1"/>
        <rFont val="Calibri"/>
        <family val="2"/>
        <charset val="1"/>
      </rPr>
      <t xml:space="preserve">msh_tpu_26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msh_tpu_28</t>
    </r>
  </si>
  <si>
    <t xml:space="preserve">聯發科</t>
  </si>
  <si>
    <r>
      <rPr>
        <sz val="11"/>
        <color theme="1"/>
        <rFont val="Calibri"/>
        <family val="2"/>
        <charset val="1"/>
      </rPr>
      <t xml:space="preserve">mtk_tpu_26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mtk_tpu_28</t>
    </r>
  </si>
  <si>
    <t xml:space="preserve">合計</t>
  </si>
  <si>
    <t xml:space="preserve">餘額（客戶自行設計或未建模）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</si>
  <si>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</si>
  <si>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sh_oth_28</t>
    </r>
  </si>
  <si>
    <r>
      <rPr>
        <sz val="11"/>
        <color theme="1"/>
        <rFont val="Calibri"/>
        <family val="2"/>
        <charset val="1"/>
      </rPr>
      <t xml:space="preserve">msh_oth_26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msh_oth_28</t>
    </r>
  </si>
  <si>
    <r>
      <rPr>
        <sz val="11"/>
        <color theme="1"/>
        <rFont val="Calibri"/>
        <family val="2"/>
        <charset val="1"/>
      </rPr>
      <t xml:space="preserve">mtk_oth_26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mtk_oth_28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</si>
  <si>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</si>
  <si>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msh_trn_26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msh_trn_28</t>
    </r>
  </si>
  <si>
    <t xml:space="preserve">世芯</t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</si>
  <si>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al28_A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</si>
  <si>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</si>
  <si>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al28_B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</si>
  <si>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</si>
  <si>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al28_C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</si>
  <si>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</si>
  <si>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</si>
  <si>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</si>
  <si>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</si>
  <si>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</si>
  <si>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</si>
  <si>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</si>
  <si>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</si>
  <si>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</si>
  <si>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</si>
  <si>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</si>
  <si>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</si>
  <si>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</si>
  <si>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</si>
  <si>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</si>
  <si>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</si>
  <si>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</si>
  <si>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</si>
  <si>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</si>
  <si>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</si>
  <si>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</si>
  <si>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</si>
  <si>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</si>
  <si>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NAND</t>
  </si>
  <si>
    <t xml:space="preserve">年均指數</t>
  </si>
  <si>
    <t xml:space="preserve">2025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</si>
  <si>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</si>
  <si>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</si>
  <si>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</si>
  <si>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</si>
  <si>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</si>
  <si>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r>
      <rPr>
        <sz val="11"/>
        <color theme="1"/>
        <rFont val="Noto Sans CJK SC"/>
        <family val="2"/>
      </rPr>
      <t xml:space="preserve">公式由 </t>
    </r>
    <r>
      <rPr>
        <sz val="11"/>
        <color theme="1"/>
        <rFont val="Calibri"/>
        <family val="2"/>
        <charset val="1"/>
      </rPr>
      <t xml:space="preserve">markets/memory/market.py write() </t>
    </r>
    <r>
      <rPr>
        <sz val="11"/>
        <color theme="1"/>
        <rFont val="Noto Sans CJK SC"/>
        <family val="2"/>
      </rPr>
      <t xml:space="preserve">產生（與各記憶體公司模型的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頁同一份）；輸入讀本活頁簿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</si>
  <si>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</si>
  <si>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</si>
  <si>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</si>
  <si>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</si>
  <si>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</si>
  <si>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</si>
  <si>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</si>
  <si>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</si>
  <si>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</si>
  <si>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</si>
  <si>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</si>
  <si>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</si>
  <si>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</si>
  <si>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</si>
  <si>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</si>
  <si>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</si>
  <si>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</si>
  <si>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</si>
  <si>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</si>
  <si>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</si>
  <si>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</si>
  <si>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</si>
  <si>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</si>
  <si>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</si>
  <si>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</si>
  <si>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</si>
  <si>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</si>
  <si>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</si>
  <si>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</si>
  <si>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</si>
  <si>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</si>
  <si>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</si>
  <si>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</si>
  <si>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</si>
  <si>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</si>
  <si>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</si>
  <si>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</si>
  <si>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</si>
  <si>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</si>
  <si>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</si>
  <si>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</si>
  <si>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</si>
  <si>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</si>
  <si>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</si>
  <si>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</si>
  <si>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</si>
  <si>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</si>
  <si>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取數（只讀鏡像；權威在算力收支）：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）。綠字＝外部連結值，不得在本頁修改；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升版時以 </t>
    </r>
    <r>
      <rPr>
        <sz val="11"/>
        <color theme="1"/>
        <rFont val="Calibri"/>
        <family val="2"/>
        <charset val="1"/>
      </rPr>
      <t xml:space="preserve">tools/tokenomics/import_tokenomics.py </t>
    </r>
    <r>
      <rPr>
        <sz val="11"/>
        <color theme="1"/>
        <rFont val="Noto Sans CJK SC"/>
        <family val="2"/>
      </rPr>
      <t xml:space="preserve">重抽快照再重建</t>
    </r>
  </si>
  <si>
    <r>
      <rPr>
        <sz val="11"/>
        <color theme="1"/>
        <rFont val="Noto Sans CJK SC"/>
        <family val="2"/>
      </rPr>
      <t xml:space="preserve">右側 </t>
    </r>
    <r>
      <rPr>
        <sz val="11"/>
        <color theme="1"/>
        <rFont val="Calibri"/>
        <family val="2"/>
        <charset val="1"/>
      </rPr>
      <t xml:space="preserve">J–L </t>
    </r>
    <r>
      <rPr>
        <sz val="11"/>
        <color theme="1"/>
        <rFont val="Noto Sans CJK SC"/>
        <family val="2"/>
      </rPr>
      <t xml:space="preserve">欄：</t>
    </r>
    <r>
      <rPr>
        <sz val="11"/>
        <color theme="1"/>
        <rFont val="Calibri"/>
        <family val="2"/>
        <charset val="1"/>
      </rPr>
      <t xml:space="preserve">company-models </t>
    </r>
    <r>
      <rPr>
        <sz val="11"/>
        <color theme="1"/>
        <rFont val="Noto Sans CJK SC"/>
        <family val="2"/>
      </rPr>
      <t xml:space="preserve">下游目前讀的舊版快照（</t>
    </r>
    <r>
      <rPr>
        <sz val="11"/>
        <color theme="1"/>
        <rFont val="Calibri"/>
        <family val="2"/>
        <charset val="1"/>
      </rPr>
      <t xml:space="preserve">markets/chip_bridge v20.1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不同的格數（</t>
    </r>
    <r>
      <rPr>
        <sz val="11"/>
        <color theme="1"/>
        <rFont val="Calibri"/>
        <family val="2"/>
        <charset val="1"/>
      </rPr>
      <t xml:space="preserve">&gt;0 </t>
    </r>
    <r>
      <rPr>
        <sz val="11"/>
        <color theme="1"/>
        <rFont val="Noto Sans CJK SC"/>
        <family val="2"/>
      </rPr>
      <t xml:space="preserve">表示下游用的值已過時）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</si>
  <si>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</si>
  <si>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</si>
  <si>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</si>
  <si>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</si>
  <si>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取用者</t>
  </si>
  <si>
    <t xml:space="preserve">舊快照 低</t>
  </si>
  <si>
    <t xml:space="preserve">舊快照 基準</t>
  </si>
  <si>
    <t xml:space="preserve">舊快照 高</t>
  </si>
  <si>
    <t xml:space="preserve">差異格數</t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</si>
  <si>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</si>
  <si>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</si>
  <si>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</si>
  <si>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</si>
  <si>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</si>
  <si>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（經橋接表）</t>
    </r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</si>
  <si>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</si>
  <si>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</si>
  <si>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</si>
  <si>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</si>
  <si>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</si>
  <si>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</si>
  <si>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</si>
  <si>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</si>
  <si>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</si>
  <si>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</si>
  <si>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</si>
  <si>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</si>
  <si>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chip_bridge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</si>
  <si>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</si>
  <si>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</si>
  <si>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</si>
  <si>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</si>
  <si>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</si>
  <si>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</si>
  <si>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</si>
  <si>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換算）</t>
    </r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</si>
  <si>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</si>
  <si>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</si>
  <si>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</si>
  <si>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</si>
  <si>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</si>
  <si>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</si>
  <si>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</si>
  <si>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</si>
  <si>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</si>
  <si>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</si>
  <si>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</si>
  <si>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</si>
  <si>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</si>
  <si>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</si>
  <si>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</si>
  <si>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</si>
  <si>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</si>
  <si>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</si>
  <si>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</si>
  <si>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</si>
  <si>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</si>
  <si>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</si>
  <si>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（目前抄錄值，改接排入中）</t>
    </r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</si>
  <si>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</si>
  <si>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</si>
  <si>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</si>
  <si>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</si>
  <si>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</si>
  <si>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</si>
  <si>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</si>
  <si>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</si>
  <si>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（目前抄錄值）</t>
    </r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</si>
  <si>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</si>
  <si>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</si>
  <si>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</si>
  <si>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</si>
  <si>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</si>
  <si>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</si>
  <si>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</si>
  <si>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</si>
  <si>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</si>
  <si>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</si>
  <si>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</si>
  <si>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</si>
  <si>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</si>
  <si>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</si>
  <si>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</si>
  <si>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</si>
  <si>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</si>
  <si>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等（目前各自假設，待改接）</t>
    </r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</si>
  <si>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</si>
  <si>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</si>
  <si>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</si>
  <si>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</si>
  <si>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</si>
  <si>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</si>
  <si>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</si>
  <si>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</si>
  <si>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</si>
  <si>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</si>
  <si>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</si>
  <si>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</si>
  <si>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</si>
  <si>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</si>
  <si>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</si>
  <si>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</si>
  <si>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</si>
  <si>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</si>
  <si>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</si>
  <si>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</si>
  <si>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</si>
  <si>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</si>
  <si>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</si>
  <si>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</si>
  <si>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</si>
  <si>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</si>
  <si>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</si>
  <si>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</si>
  <si>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</si>
  <si>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</si>
  <si>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</si>
  <si>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</si>
  <si>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</si>
  <si>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</si>
  <si>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</si>
  <si>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</si>
  <si>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</si>
  <si>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</si>
  <si>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</si>
  <si>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</si>
  <si>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</si>
  <si>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</si>
  <si>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</si>
  <si>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</si>
  <si>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</si>
  <si>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</si>
  <si>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</si>
  <si>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</si>
  <si>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</si>
  <si>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</si>
  <si>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</si>
  <si>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</si>
  <si>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r>
      <rPr>
        <b val="true"/>
        <sz val="11"/>
        <rFont val="Noto Sans CJK SC"/>
        <family val="2"/>
      </rPr>
      <t xml:space="preserve">下游舊快照與現行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不同的格數</t>
    </r>
  </si>
  <si>
    <r>
      <rPr>
        <sz val="11"/>
        <color theme="1"/>
        <rFont val="Calibri"/>
        <family val="2"/>
        <charset val="1"/>
      </rPr>
      <t xml:space="preserve">Conflicts — </t>
    </r>
    <r>
      <rPr>
        <sz val="11"/>
        <color theme="1"/>
        <rFont val="Noto Sans CJK SC"/>
        <family val="2"/>
      </rPr>
      <t xml:space="preserve">跨模型衝突登錄：同一個行業變數在兩個以上公司模型有不同值。本庫的任務是讓每個變數只有一個值；建議值為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預設（判斷類，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可改），在對應子產業併入本庫的版本生效，生效前各公司模型維持現值</t>
    </r>
  </si>
  <si>
    <t xml:space="preserve">ID</t>
  </si>
  <si>
    <t xml:space="preserve">子產業</t>
  </si>
  <si>
    <t xml:space="preserve">變數</t>
  </si>
  <si>
    <t xml:space="preserve">模型甲（位置）</t>
  </si>
  <si>
    <t xml:space="preserve">甲值</t>
  </si>
  <si>
    <t xml:space="preserve">模型乙（位置）</t>
  </si>
  <si>
    <t xml:space="preserve">乙值</t>
  </si>
  <si>
    <t xml:space="preserve">性質</t>
  </si>
  <si>
    <t xml:space="preserve">建議單一值與理由</t>
  </si>
  <si>
    <t xml:space="preserve">生效版本</t>
  </si>
  <si>
    <t xml:space="preserve">狀態</t>
  </si>
  <si>
    <t xml:space="preserve">來源</t>
  </si>
  <si>
    <t xml:space="preserve">CF01</t>
  </si>
  <si>
    <t xml:space="preserve">載板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</si>
  <si>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資本支出（新廠是否已核准）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</si>
  <si>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</si>
  <si>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nanya_pcb In!I104</t>
    </r>
    <r>
      <rPr>
        <sz val="11"/>
        <color theme="1"/>
        <rFont val="Noto Sans CJK SC"/>
        <family val="2"/>
      </rPr>
      <t xml:space="preserve">（待董事會決議）</t>
    </r>
  </si>
  <si>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</si>
  <si>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：董事會已通過高階載板新廠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</si>
  <si>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468</t>
    </r>
  </si>
  <si>
    <t xml:space="preserve">過時（公司變數）</t>
  </si>
  <si>
    <t xml:space="preserve">屬公司變數，不入本庫；南電模型下次改版更新為已核准，資本支出依新廠時程重排</t>
  </si>
  <si>
    <t xml:space="preserve">南電下版</t>
  </si>
  <si>
    <t xml:space="preserve">待併入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</si>
  <si>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A1</t>
    </r>
  </si>
  <si>
    <t xml:space="preserve">CF02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</si>
  <si>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</t>
    </r>
  </si>
  <si>
    <t xml:space="preserve">unimicron In!E99</t>
  </si>
  <si>
    <t xml:space="preserve">537</t>
  </si>
  <si>
    <r>
      <rPr>
        <sz val="11"/>
        <color theme="1"/>
        <rFont val="Calibri"/>
        <family val="2"/>
        <charset val="1"/>
      </rPr>
      <t xml:space="preserve">ibiden In!H52</t>
    </r>
    <r>
      <rPr>
        <sz val="11"/>
        <color theme="1"/>
        <rFont val="Noto Sans CJK SC"/>
        <family val="2"/>
      </rPr>
      <t xml:space="preserve">（同業對照）</t>
    </r>
  </si>
  <si>
    <t xml:space="preserve">340</t>
  </si>
  <si>
    <t xml:space="preserve">過時</t>
  </si>
  <si>
    <r>
      <rPr>
        <sz val="11"/>
        <color theme="1"/>
        <rFont val="Noto Sans CJK SC"/>
        <family val="2"/>
      </rPr>
      <t xml:space="preserve">以欣興模型 </t>
    </r>
    <r>
      <rPr>
        <sz val="11"/>
        <color theme="1"/>
        <rFont val="Calibri"/>
        <family val="2"/>
        <charset val="1"/>
      </rPr>
      <t xml:space="preserve">537</t>
    </r>
    <r>
      <rPr>
        <sz val="11"/>
        <color theme="1"/>
        <rFont val="Noto Sans CJK SC"/>
        <family val="2"/>
      </rPr>
      <t xml:space="preserve">（較新）為準；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對照列下版改讀欣興成品</t>
    </r>
  </si>
  <si>
    <t xml:space="preserve">v0.4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</si>
  <si>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A2</t>
    </r>
  </si>
  <si>
    <t xml:space="preserve">CF03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</si>
  <si>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</si>
  <si>
    <r>
      <rPr>
        <sz val="11"/>
        <color theme="1"/>
        <rFont val="Calibri"/>
        <family val="2"/>
        <charset val="1"/>
      </rPr>
      <t xml:space="preserve">unimicron In!E131</t>
    </r>
    <r>
      <rPr>
        <sz val="11"/>
        <color theme="1"/>
        <rFont val="Noto Sans CJK SC"/>
        <family val="2"/>
      </rPr>
      <t xml:space="preserve">（永豐）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</si>
  <si>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</si>
  <si>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模型與比對 </t>
    </r>
    <r>
      <rPr>
        <sz val="11"/>
        <color theme="1"/>
        <rFont val="Calibri"/>
        <family val="2"/>
        <charset val="1"/>
      </rPr>
      <t xml:space="preserve">I9</t>
    </r>
  </si>
  <si>
    <r>
      <rPr>
        <sz val="11"/>
        <color theme="1"/>
        <rFont val="Noto Sans CJK SC"/>
        <family val="2"/>
      </rPr>
      <t xml:space="preserve">—／約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／逾 </t>
    </r>
    <r>
      <rPr>
        <sz val="11"/>
        <color theme="1"/>
        <rFont val="Calibri"/>
        <family val="2"/>
        <charset val="1"/>
      </rPr>
      <t xml:space="preserve">40</t>
    </r>
  </si>
  <si>
    <t xml:space="preserve">行業變數（兩來源）</t>
  </si>
  <si>
    <r>
      <rPr>
        <sz val="11"/>
        <color theme="1"/>
        <rFont val="Noto Sans CJK SC"/>
        <family val="2"/>
      </rPr>
      <t xml:space="preserve">本庫設單一路徑：基準取兩來源中點（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），低／高為兩來源；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、欣興、南電、景碩、味之素改讀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</si>
  <si>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A3</t>
    </r>
  </si>
  <si>
    <t xml:space="preserve">CF04</t>
  </si>
  <si>
    <t xml:space="preserve">散熱</t>
  </si>
  <si>
    <t xml:space="preserve">液冷份額合計（健策是否已納入雙鴻）</t>
  </si>
  <si>
    <r>
      <rPr>
        <sz val="11"/>
        <color theme="1"/>
        <rFont val="Calibri"/>
        <family val="2"/>
        <charset val="1"/>
      </rPr>
      <t xml:space="preserve">jentech README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Units!G18</t>
    </r>
  </si>
  <si>
    <t xml:space="preserve">未含雙鴻</t>
  </si>
  <si>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）</t>
    </r>
  </si>
  <si>
    <t xml:space="preserve">15.9</t>
  </si>
  <si>
    <t xml:space="preserve">份額表不完整</t>
  </si>
  <si>
    <r>
      <rPr>
        <sz val="11"/>
        <color theme="1"/>
        <rFont val="Noto Sans CJK SC"/>
        <family val="2"/>
      </rPr>
      <t xml:space="preserve">本庫建液冷份額表（奇鋐、雙鴻、台達電、其他），合計＝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；各公司讀自己的列</t>
    </r>
  </si>
  <si>
    <t xml:space="preserve">v0.5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</si>
  <si>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A4</t>
    </r>
  </si>
  <si>
    <t xml:space="preserve">CF05</t>
  </si>
  <si>
    <t xml:space="preserve">運算</t>
  </si>
  <si>
    <r>
      <rPr>
        <sz val="11"/>
        <color theme="1"/>
        <rFont val="Calibri"/>
        <family val="2"/>
        <charset val="1"/>
      </rPr>
      <t xml:space="preserve">AMD README </t>
    </r>
    <r>
      <rPr>
        <sz val="11"/>
        <color theme="1"/>
        <rFont val="Noto Sans CJK SC"/>
        <family val="2"/>
      </rPr>
      <t xml:space="preserve">結果表過時</t>
    </r>
  </si>
  <si>
    <r>
      <rPr>
        <sz val="11"/>
        <color theme="1"/>
        <rFont val="Calibri"/>
        <family val="2"/>
        <charset val="1"/>
      </rPr>
      <t xml:space="preserve">amd/README.md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</t>
    </r>
  </si>
  <si>
    <t xml:space="preserve">FY2028 EPS A 10.44</t>
  </si>
  <si>
    <t xml:space="preserve">amd xlsx v0.2.1 PL!F17</t>
  </si>
  <si>
    <t xml:space="preserve">11.39</t>
  </si>
  <si>
    <t xml:space="preserve">文件過時（非數值）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</si>
  <si>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重產（工程類，下次改版）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</si>
  <si>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</si>
  <si>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B5</t>
    </r>
  </si>
  <si>
    <t xml:space="preserve">CF06</t>
  </si>
  <si>
    <t xml:space="preserve">設備</t>
  </si>
  <si>
    <r>
      <rPr>
        <sz val="11"/>
        <color theme="1"/>
        <rFont val="Calibri"/>
        <family val="2"/>
        <charset val="1"/>
      </rPr>
      <t xml:space="preserve">Hanmi README </t>
    </r>
    <r>
      <rPr>
        <sz val="11"/>
        <color theme="1"/>
        <rFont val="Noto Sans CJK SC"/>
        <family val="2"/>
      </rPr>
      <t xml:space="preserve">與敏感度頁情境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</t>
    </r>
  </si>
  <si>
    <r>
      <rPr>
        <sz val="11"/>
        <color theme="1"/>
        <rFont val="Calibri"/>
        <family val="2"/>
        <charset val="1"/>
      </rPr>
      <t xml:space="preserve">hanmi README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Sens!B33</t>
    </r>
  </si>
  <si>
    <r>
      <rPr>
        <sz val="11"/>
        <color theme="1"/>
        <rFont val="Calibri"/>
        <family val="2"/>
        <charset val="1"/>
      </rPr>
      <t xml:space="preserve">3,380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2,835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＝高值</t>
    </r>
  </si>
  <si>
    <t xml:space="preserve">hanmi xlsx v0.2.1</t>
  </si>
  <si>
    <r>
      <rPr>
        <sz val="11"/>
        <color theme="1"/>
        <rFont val="Calibri"/>
        <family val="2"/>
        <charset val="1"/>
      </rPr>
      <t xml:space="preserve">3,098 </t>
    </r>
    <r>
      <rPr>
        <sz val="11"/>
        <color theme="1"/>
        <rFont val="Noto Sans CJK SC"/>
        <family val="2"/>
      </rPr>
      <t xml:space="preserve">三情境；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</t>
    </r>
  </si>
  <si>
    <t xml:space="preserve">文件過時、標籤相反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</si>
  <si>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重產、</t>
    </r>
    <r>
      <rPr>
        <sz val="11"/>
        <color theme="1"/>
        <rFont val="Calibri"/>
        <family val="2"/>
        <charset val="1"/>
      </rPr>
      <t xml:space="preserve">Sens!B33 </t>
    </r>
    <r>
      <rPr>
        <sz val="11"/>
        <color theme="1"/>
        <rFont val="Noto Sans CJK SC"/>
        <family val="2"/>
      </rPr>
      <t xml:space="preserve">標籤更正（工程類）；混合鍵合滲透率移入本庫 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</si>
  <si>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下版／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</si>
  <si>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B6</t>
    </r>
  </si>
  <si>
    <t xml:space="preserve">CF07</t>
  </si>
  <si>
    <r>
      <rPr>
        <sz val="11"/>
        <color theme="1"/>
        <rFont val="Calibri"/>
        <family val="2"/>
        <charset val="1"/>
      </rPr>
      <t xml:space="preserve">BESI README</t>
    </r>
    <r>
      <rPr>
        <sz val="11"/>
        <color theme="1"/>
        <rFont val="Noto Sans CJK SC"/>
        <family val="2"/>
      </rPr>
      <t xml:space="preserve">『跨模型注意』過時</t>
    </r>
  </si>
  <si>
    <t xml:space="preserve">besi README</t>
  </si>
  <si>
    <r>
      <rPr>
        <sz val="11"/>
        <color theme="1"/>
        <rFont val="Calibri"/>
        <family val="2"/>
        <charset val="1"/>
      </rPr>
      <t xml:space="preserve">Hanmi A </t>
    </r>
    <r>
      <rPr>
        <sz val="11"/>
        <color theme="1"/>
        <rFont val="Noto Sans CJK SC"/>
        <family val="2"/>
      </rPr>
      <t xml:space="preserve">不含混合鍵合</t>
    </r>
  </si>
  <si>
    <r>
      <rPr>
        <sz val="11"/>
        <color theme="1"/>
        <rFont val="Calibri"/>
        <family val="2"/>
        <charset val="1"/>
      </rPr>
      <t xml:space="preserve">hanmi v0.2.1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In!I35</t>
    </r>
  </si>
  <si>
    <r>
      <rPr>
        <sz val="11"/>
        <color theme="1"/>
        <rFont val="Noto Sans CJK SC"/>
        <family val="2"/>
      </rPr>
      <t xml:space="preserve">已同向（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＝高值）</t>
    </r>
  </si>
  <si>
    <t xml:space="preserve">文件過時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</si>
  <si>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更正（工程類）</t>
    </r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</si>
  <si>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</si>
  <si>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B7</t>
    </r>
  </si>
  <si>
    <t xml:space="preserve">CF08</t>
  </si>
  <si>
    <r>
      <rPr>
        <sz val="11"/>
        <color theme="1"/>
        <rFont val="Calibri"/>
        <family val="2"/>
        <charset val="1"/>
      </rPr>
      <t xml:space="preserve">Lam Research </t>
    </r>
    <r>
      <rPr>
        <sz val="11"/>
        <color theme="1"/>
        <rFont val="Noto Sans CJK SC"/>
        <family val="2"/>
      </rPr>
      <t xml:space="preserve">遠期本益比文字</t>
    </r>
  </si>
  <si>
    <t xml:space="preserve">lrcx/README.md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</si>
  <si>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</t>
    </r>
  </si>
  <si>
    <t xml:space="preserve">lrcx xlsx README!A2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</si>
  <si>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</t>
    </r>
  </si>
  <si>
    <t xml:space="preserve">文件不一致</t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</si>
  <si>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為準（工程類）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</si>
  <si>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</si>
  <si>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B8</t>
    </r>
  </si>
  <si>
    <t xml:space="preserve">CF09</t>
  </si>
  <si>
    <t xml:space="preserve">伺服器組裝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</si>
  <si>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</si>
  <si>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US$B</t>
    </r>
  </si>
  <si>
    <t xml:space="preserve">wistron In!E52</t>
  </si>
  <si>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3.92%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24.85</t>
    </r>
  </si>
  <si>
    <t xml:space="preserve">wiwynn In!E44</t>
  </si>
  <si>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21.88</t>
    </r>
  </si>
  <si>
    <t xml:space="preserve">行業變數（組裝份額表）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</si>
  <si>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伺服器組裝份額表（鴻海、廣達、緯穎、緯創、美超微、戴爾、其他），以緯穎模型（公司自身錨點，較直接）為準；緯創改讀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</si>
  <si>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C9</t>
    </r>
  </si>
  <si>
    <t xml:space="preserve">CF10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</si>
  <si>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</si>
  <si>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t xml:space="preserve">US$B</t>
  </si>
  <si>
    <r>
      <rPr>
        <sz val="11"/>
        <color theme="1"/>
        <rFont val="Calibri"/>
        <family val="2"/>
        <charset val="1"/>
      </rPr>
      <t xml:space="preserve">dell Units!C8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計價）</t>
    </r>
  </si>
  <si>
    <t xml:space="preserve">638.2</t>
  </si>
  <si>
    <r>
      <rPr>
        <sz val="11"/>
        <color theme="1"/>
        <rFont val="Calibri"/>
        <family val="2"/>
        <charset val="1"/>
      </rPr>
      <t xml:space="preserve">smci Units!C8</t>
    </r>
    <r>
      <rPr>
        <sz val="11"/>
        <color theme="1"/>
        <rFont val="Noto Sans CJK SC"/>
        <family val="2"/>
      </rPr>
      <t xml:space="preserve">（按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</si>
  <si>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595.5</t>
  </si>
  <si>
    <t xml:space="preserve">口徑（每顆計價世代）</t>
  </si>
  <si>
    <r>
      <rPr>
        <sz val="11"/>
        <color theme="1"/>
        <rFont val="Noto Sans CJK SC"/>
        <family val="2"/>
      </rPr>
      <t xml:space="preserve">本庫只留一個系統市場（每顆計價依各平台實際世代，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TK NonNV </t>
    </r>
    <r>
      <rPr>
        <sz val="11"/>
        <color theme="1"/>
        <rFont val="Noto Sans CJK SC"/>
        <family val="2"/>
      </rPr>
      <t xml:space="preserve">持有比換算），戴爾、美超微、廣達、鴻海同讀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</si>
  <si>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C10</t>
    </r>
  </si>
  <si>
    <t xml:space="preserve">CF11</t>
  </si>
  <si>
    <t xml:space="preserve">電源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</si>
  <si>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</t>
    </r>
  </si>
  <si>
    <r>
      <rPr>
        <sz val="11"/>
        <color theme="1"/>
        <rFont val="Calibri"/>
        <family val="2"/>
        <charset val="1"/>
      </rPr>
      <t xml:space="preserve">delta In!E67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</si>
  <si>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</t>
    </r>
  </si>
  <si>
    <r>
      <rPr>
        <sz val="11"/>
        <color theme="1"/>
        <rFont val="Calibri"/>
        <family val="2"/>
        <charset val="1"/>
      </rPr>
      <t xml:space="preserve">liteon In!E75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）</t>
    </r>
  </si>
  <si>
    <t xml:space="preserve">60–65</t>
  </si>
  <si>
    <t xml:space="preserve">行業變數（份額表）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</si>
  <si>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電源份額表（台達電、光寶、其他），基準採較新的凱基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62.5%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60–65</t>
    </r>
    <r>
      <rPr>
        <sz val="11"/>
        <color theme="1"/>
        <rFont val="Noto Sans CJK SC"/>
        <family val="2"/>
      </rPr>
      <t xml:space="preserve">），兩家改讀；台達電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會下修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</si>
  <si>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</si>
  <si>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C11</t>
    </r>
  </si>
  <si>
    <t xml:space="preserve">CF12</t>
  </si>
  <si>
    <t xml:space="preserve">每櫃液冷內容的權威位置</t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</si>
  <si>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</si>
  <si>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台達電：權威在 </t>
    </r>
    <r>
      <rPr>
        <sz val="11"/>
        <color theme="1"/>
        <rFont val="Calibri"/>
        <family val="2"/>
        <charset val="1"/>
      </rPr>
      <t xml:space="preserve">delta/</t>
    </r>
  </si>
  <si>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</si>
  <si>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avc </t>
    </r>
    <r>
      <rPr>
        <sz val="11"/>
        <color theme="1"/>
        <rFont val="Noto Sans CJK SC"/>
        <family val="2"/>
      </rPr>
      <t xml:space="preserve">實際讀 </t>
    </r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台達電＋奇鋐＝市場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</si>
  <si>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列</t>
    </r>
  </si>
  <si>
    <t xml:space="preserve">權威重疊</t>
  </si>
  <si>
    <r>
      <rPr>
        <sz val="11"/>
        <color theme="1"/>
        <rFont val="Noto Sans CJK SC"/>
        <family val="2"/>
      </rPr>
      <t xml:space="preserve">權威移入本庫（每櫃液冷內容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滲透率），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jentech </t>
    </r>
    <r>
      <rPr>
        <sz val="11"/>
        <color theme="1"/>
        <rFont val="Noto Sans CJK SC"/>
        <family val="2"/>
      </rPr>
      <t xml:space="preserve">都讀本庫；份額表合計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消除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</si>
  <si>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C12</t>
    </r>
  </si>
  <si>
    <t xml:space="preserve">CF13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</si>
  <si>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加速器金額份額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</si>
  <si>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amd Recon!C27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Units!D33</t>
    </r>
  </si>
  <si>
    <t xml:space="preserve">6.7</t>
  </si>
  <si>
    <r>
      <rPr>
        <sz val="11"/>
        <color theme="1"/>
        <rFont val="Calibri"/>
        <family val="2"/>
        <charset val="1"/>
      </rPr>
      <t xml:space="preserve">avgo Units</t>
    </r>
    <r>
      <rPr>
        <sz val="11"/>
        <color theme="1"/>
        <rFont val="Noto Sans CJK SC"/>
        <family val="2"/>
      </rPr>
      <t xml:space="preserve">（另用一組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每顆價）；候選母體、先驗比對 </t>
    </r>
    <r>
      <rPr>
        <sz val="11"/>
        <color theme="1"/>
        <rFont val="Calibri"/>
        <family val="2"/>
        <charset val="1"/>
      </rPr>
      <t xml:space="preserve">NVDA N5c</t>
    </r>
  </si>
  <si>
    <r>
      <rPr>
        <sz val="11"/>
        <color theme="1"/>
        <rFont val="Calibri"/>
        <family val="2"/>
        <charset val="1"/>
      </rPr>
      <t xml:space="preserve">6.36</t>
    </r>
    <r>
      <rPr>
        <sz val="11"/>
        <color theme="1"/>
        <rFont val="Noto Sans CJK SC"/>
        <family val="2"/>
      </rPr>
      <t xml:space="preserve">；文件 </t>
    </r>
    <r>
      <rPr>
        <sz val="11"/>
        <color theme="1"/>
        <rFont val="Calibri"/>
        <family val="2"/>
        <charset val="1"/>
      </rPr>
      <t xml:space="preserve">3–6</t>
    </r>
  </si>
  <si>
    <r>
      <rPr>
        <sz val="11"/>
        <color theme="1"/>
        <rFont val="Noto Sans CJK SC"/>
        <family val="2"/>
      </rPr>
      <t xml:space="preserve">推導值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文件區間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</si>
  <si>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已把兩組價格放在同一處（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的整顆售價 </t>
    </r>
    <r>
      <rPr>
        <sz val="11"/>
        <color theme="1"/>
        <rFont val="Calibri"/>
        <family val="2"/>
        <charset val="1"/>
      </rPr>
      <t xml:space="preserve">pa_*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的核心價 </t>
    </r>
    <r>
      <rPr>
        <sz val="11"/>
        <color theme="1"/>
        <rFont val="Calibri"/>
        <family val="2"/>
        <charset val="1"/>
      </rPr>
      <t xml:space="preserve">core_*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）。仍待選定市場金額口徑：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整顆售價 </t>
    </r>
    <r>
      <rPr>
        <sz val="11"/>
        <color theme="1"/>
        <rFont val="Calibri"/>
        <family val="2"/>
        <charset val="1"/>
      </rPr>
      <t xml:space="preserve">pa_*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6.70%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核心 </t>
    </r>
    <r>
      <rPr>
        <sz val="11"/>
        <color theme="1"/>
        <rFont val="Calibri"/>
        <family val="2"/>
        <charset val="1"/>
      </rPr>
      <t xml:space="preserve">× k_x</t>
    </r>
    <r>
      <rPr>
        <sz val="11"/>
        <color theme="1"/>
        <rFont val="Noto Sans CJK SC"/>
        <family val="2"/>
      </rPr>
      <t xml:space="preserve">＋全部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）。預設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的份額展示改讀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；影響只在份額與市場總額的展示，不影響各公司營收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</si>
  <si>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（位置）／待定（口徑）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</si>
  <si>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C13</t>
    </r>
  </si>
  <si>
    <t xml:space="preserve">CF14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</si>
  <si>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每顆內容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</si>
  <si>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</si>
  <si>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mrvl Units!C8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轉手）</t>
    </r>
  </si>
  <si>
    <t xml:space="preserve">5.9</t>
  </si>
  <si>
    <r>
      <rPr>
        <sz val="11"/>
        <color theme="1"/>
        <rFont val="Calibri"/>
        <family val="2"/>
        <charset val="1"/>
      </rPr>
      <t xml:space="preserve">alchip Units!C9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</si>
  <si>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2.5</t>
  </si>
  <si>
    <r>
      <rPr>
        <sz val="11"/>
        <color theme="1"/>
        <rFont val="Noto Sans CJK SC"/>
        <family val="2"/>
      </rPr>
      <t xml:space="preserve">口徑（含／不含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</si>
  <si>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兩家都由同一組 </t>
    </r>
    <r>
      <rPr>
        <sz val="11"/>
        <color theme="1"/>
        <rFont val="Calibri"/>
        <family val="2"/>
        <charset val="1"/>
      </rPr>
      <t xml:space="preserve">pa_trn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價推得核心價 </t>
    </r>
    <r>
      <rPr>
        <sz val="11"/>
        <color theme="1"/>
        <rFont val="Calibri"/>
        <family val="2"/>
        <charset val="1"/>
      </rPr>
      <t xml:space="preserve">6.394K</t>
    </r>
    <r>
      <rPr>
        <sz val="11"/>
        <color theme="1"/>
        <rFont val="Noto Sans CJK SC"/>
        <family val="2"/>
      </rPr>
      <t xml:space="preserve">；差異來自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代購營收、世芯只計設計與量產服務——是公司營收口徑，不是行業變數衝突。保留兩家各自口徑</t>
    </r>
  </si>
  <si>
    <t xml:space="preserve">v0.2</t>
  </si>
  <si>
    <r>
      <rPr>
        <sz val="11"/>
        <color theme="1"/>
        <rFont val="Noto Sans CJK SC"/>
        <family val="2"/>
      </rPr>
      <t xml:space="preserve">已釐清（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</si>
  <si>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C14</t>
    </r>
  </si>
  <si>
    <t xml:space="preserve">CF15</t>
  </si>
  <si>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WFE CY2027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</si>
  <si>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測試市場（</t>
    </r>
    <r>
      <rPr>
        <sz val="11"/>
        <color theme="1"/>
        <rFont val="Calibri"/>
        <family val="2"/>
        <charset val="1"/>
      </rPr>
      <t xml:space="preserve">ter 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</si>
  <si>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t xml:space="preserve">10.1</t>
  </si>
  <si>
    <t xml:space="preserve">泰瑞達公司長期說法</t>
  </si>
  <si>
    <t xml:space="preserve">7–9</t>
  </si>
  <si>
    <t xml:space="preserve">行業變數（測試市場）</t>
  </si>
  <si>
    <r>
      <rPr>
        <sz val="11"/>
        <color theme="1"/>
        <rFont val="Noto Sans CJK SC"/>
        <family val="2"/>
      </rPr>
      <t xml:space="preserve">本庫設測試市場路徑並以測試 </t>
    </r>
    <r>
      <rPr>
        <sz val="11"/>
        <color theme="1"/>
        <rFont val="Calibri"/>
        <family val="2"/>
        <charset val="1"/>
      </rPr>
      <t xml:space="preserve">÷ WFE 7–10% </t>
    </r>
    <r>
      <rPr>
        <sz val="11"/>
        <color theme="1"/>
        <rFont val="Noto Sans CJK SC"/>
        <family val="2"/>
      </rPr>
      <t xml:space="preserve">為檢查區間；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、泰瑞達同讀</t>
    </r>
  </si>
  <si>
    <t xml:space="preserve">v0.6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</si>
  <si>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C15</t>
    </r>
  </si>
  <si>
    <t xml:space="preserve">CF16</t>
  </si>
  <si>
    <t xml:space="preserve">選股資料</t>
  </si>
  <si>
    <t xml:space="preserve">候選母體『本專案狀態』</t>
  </si>
  <si>
    <r>
      <rPr>
        <sz val="11"/>
        <color theme="1"/>
        <rFont val="Noto Sans CJK SC"/>
        <family val="2"/>
      </rPr>
      <t xml:space="preserve">候選母體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</si>
  <si>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家標待建</t>
    </r>
  </si>
  <si>
    <t xml:space="preserve">repo</t>
  </si>
  <si>
    <t xml:space="preserve">已建模</t>
  </si>
  <si>
    <t xml:space="preserve">候選母體下版更新狀態欄（工程類）</t>
  </si>
  <si>
    <t xml:space="preserve">母體下版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</si>
  <si>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D16</t>
    </r>
  </si>
  <si>
    <t xml:space="preserve">CF17</t>
  </si>
  <si>
    <t xml:space="preserve">Tokenomics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</si>
  <si>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低成本欄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資本支出（下游舊快照）</t>
    </r>
  </si>
  <si>
    <t xml:space="preserve">$B/GW</t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</si>
  <si>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v20.1</t>
    </r>
  </si>
  <si>
    <t xml:space="preserve">33.27</t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</si>
  <si>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（機架價低端 </t>
    </r>
    <r>
      <rPr>
        <sz val="11"/>
        <color theme="1"/>
        <rFont val="Calibri"/>
        <family val="2"/>
        <charset val="1"/>
      </rPr>
      <t xml:space="preserve">7.8→7.5</t>
    </r>
    <r>
      <rPr>
        <sz val="11"/>
        <color theme="1"/>
        <rFont val="Noto Sans CJK SC"/>
        <family val="2"/>
      </rPr>
      <t xml:space="preserve">）</t>
    </r>
  </si>
  <si>
    <t xml:space="preserve">32.00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</si>
  <si>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版本落差</t>
    </r>
  </si>
  <si>
    <r>
      <rPr>
        <sz val="11"/>
        <color theme="1"/>
        <rFont val="Noto Sans CJK SC"/>
        <family val="2"/>
      </rPr>
      <t xml:space="preserve">本庫已用 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改讀本庫 </t>
    </r>
    <r>
      <rPr>
        <sz val="11"/>
        <color theme="1"/>
        <rFont val="Calibri"/>
        <family val="2"/>
        <charset val="1"/>
      </rPr>
      <t xml:space="preserve">SIF_TK_*</t>
    </r>
    <r>
      <rPr>
        <sz val="11"/>
        <color theme="1"/>
        <rFont val="Noto Sans CJK SC"/>
        <family val="2"/>
      </rPr>
      <t xml:space="preserve">（基準值不變，只影響敏感度欄）</t>
    </r>
  </si>
  <si>
    <t xml:space="preserve">v0.3</t>
  </si>
  <si>
    <t xml:space="preserve">Siliconomics Checks K3</t>
  </si>
  <si>
    <t xml:space="preserve">CF18</t>
  </si>
  <si>
    <t xml:space="preserve">運算（顆數層）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</si>
  <si>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</si>
  <si>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tsmc In g29_*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同值複製）：</t>
    </r>
    <r>
      <rPr>
        <sz val="11"/>
        <color theme="1"/>
        <rFont val="Calibri"/>
        <family val="2"/>
        <charset val="1"/>
      </rPr>
      <t xml:space="preserve">Blackwell −50%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</si>
  <si>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</si>
  <si>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 In g_u29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 hbm_dem29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</si>
  <si>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29.15M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 g_u29 +10%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</t>
    </r>
  </si>
  <si>
    <t xml:space="preserve">行業變數（三處各自外推）</t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</si>
  <si>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節平台別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成長率為單一來源（合計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）；台積電、網通改讀；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10% → 13.8%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為位元口徑，維持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</si>
  <si>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v0.2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</si>
  <si>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</t>
    </r>
  </si>
  <si>
    <t xml:space="preserve">CF19</t>
  </si>
  <si>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</si>
  <si>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顆數份額：</t>
    </r>
    <r>
      <rPr>
        <sz val="11"/>
        <color theme="1"/>
        <rFont val="Calibri"/>
        <family val="2"/>
        <charset val="1"/>
      </rPr>
      <t xml:space="preserve">Broadcom vs </t>
    </r>
    <r>
      <rPr>
        <sz val="11"/>
        <color theme="1"/>
        <rFont val="Noto Sans CJK SC"/>
        <family val="2"/>
      </rPr>
      <t xml:space="preserve">聯發科</t>
    </r>
  </si>
  <si>
    <r>
      <rPr>
        <sz val="11"/>
        <color theme="1"/>
        <rFont val="Calibri"/>
        <family val="2"/>
        <charset val="1"/>
      </rPr>
      <t xml:space="preserve">avgo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</si>
  <si>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</si>
  <si>
    <r>
      <rPr>
        <sz val="11"/>
        <color theme="1"/>
        <rFont val="Noto Sans CJK SC"/>
        <family val="2"/>
      </rPr>
      <t xml:space="preserve">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</si>
  <si>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需聯發科 </t>
    </r>
    <r>
      <rPr>
        <sz val="11"/>
        <color theme="1"/>
        <rFont val="Calibri"/>
        <family val="2"/>
        <charset val="1"/>
      </rPr>
      <t xml:space="preserve">51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</si>
  <si>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賣方（模型間一致）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</si>
  <si>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（三情境）份額表與加總檢查（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 K6</t>
    </r>
    <r>
      <rPr>
        <sz val="11"/>
        <color theme="1"/>
        <rFont val="Noto Sans CJK SC"/>
        <family val="2"/>
      </rPr>
      <t xml:space="preserve">；現值 </t>
    </r>
    <r>
      <rPr>
        <sz val="11"/>
        <color theme="1"/>
        <rFont val="Calibri"/>
        <family val="2"/>
        <charset val="1"/>
      </rPr>
      <t xml:space="preserve">TPU 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  <r>
      <rPr>
        <sz val="11"/>
        <color theme="1"/>
        <rFont val="Noto Sans CJK SC"/>
        <family val="2"/>
      </rPr>
      <t xml:space="preserve">，皆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）。數值預設維持模型路徑；賣方路徑（聯發科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）列為聯發科高情境證據，待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決定是否改基準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</si>
  <si>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（份額表）／待定（數值）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</si>
  <si>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(1)</t>
    </r>
  </si>
  <si>
    <t xml:space="preserve">CF20</t>
  </si>
  <si>
    <r>
      <rPr>
        <sz val="11"/>
        <color theme="1"/>
        <rFont val="Calibri"/>
        <family val="2"/>
        <charset val="1"/>
      </rPr>
      <t xml:space="preserve">NVIDIA GPU ABF </t>
    </r>
    <r>
      <rPr>
        <sz val="11"/>
        <color theme="1"/>
        <rFont val="Noto Sans CJK SC"/>
        <family val="2"/>
      </rPr>
      <t xml:space="preserve">載板份額合計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</si>
  <si>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份額合計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</si>
  <si>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 </t>
    </r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99.0–99.6%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70→59.5</t>
    </r>
    <r>
      <rPr>
        <sz val="11"/>
        <color theme="1"/>
        <rFont val="Noto Sans CJK SC"/>
        <family val="2"/>
      </rPr>
      <t xml:space="preserve">、欣興 </t>
    </r>
    <r>
      <rPr>
        <sz val="11"/>
        <color theme="1"/>
        <rFont val="Calibri"/>
        <family val="2"/>
        <charset val="1"/>
      </rPr>
      <t xml:space="preserve">25→30</t>
    </r>
    <r>
      <rPr>
        <sz val="11"/>
        <color theme="1"/>
        <rFont val="Noto Sans CJK SC"/>
        <family val="2"/>
      </rPr>
      <t xml:space="preserve">、南電 </t>
    </r>
    <r>
      <rPr>
        <sz val="11"/>
        <color theme="1"/>
        <rFont val="Calibri"/>
        <family val="2"/>
        <charset val="1"/>
      </rPr>
      <t xml:space="preserve">2→4</t>
    </r>
    <r>
      <rPr>
        <sz val="11"/>
        <color theme="1"/>
        <rFont val="Noto Sans CJK SC"/>
        <family val="2"/>
      </rPr>
      <t xml:space="preserve">、景碩 </t>
    </r>
    <r>
      <rPr>
        <sz val="11"/>
        <color theme="1"/>
        <rFont val="Calibri"/>
        <family val="2"/>
        <charset val="1"/>
      </rPr>
      <t xml:space="preserve">2→6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</si>
  <si>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（券商：</t>
    </r>
    <r>
      <rPr>
        <sz val="11"/>
        <color theme="1"/>
        <rFont val="Calibri"/>
        <family val="2"/>
        <charset val="1"/>
      </rPr>
      <t xml:space="preserve">Rubin GPU 15–20%</t>
    </r>
    <r>
      <rPr>
        <sz val="11"/>
        <color theme="1"/>
        <rFont val="Noto Sans CJK SC"/>
        <family val="2"/>
      </rPr>
      <t xml:space="preserve">）；本版景碩取剩餘 </t>
    </r>
    <r>
      <rPr>
        <sz val="11"/>
        <color theme="1"/>
        <rFont val="Calibri"/>
        <family val="2"/>
        <charset val="1"/>
      </rPr>
      <t xml:space="preserve">2→6%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</si>
  <si>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15–20</t>
    </r>
  </si>
  <si>
    <t xml:space="preserve">份額表（合計受限）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</si>
  <si>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載板份額表合計＝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（含三星電機等）：預設依各公司現值、景碩取剩餘；券商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列為景碩高情境證據。非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側合計 </t>
    </r>
    <r>
      <rPr>
        <sz val="11"/>
        <color theme="1"/>
        <rFont val="Calibri"/>
        <family val="2"/>
        <charset val="1"/>
      </rPr>
      <t xml:space="preserve">88–89.5% </t>
    </r>
    <r>
      <rPr>
        <sz val="11"/>
        <color theme="1"/>
        <rFont val="Noto Sans CJK SC"/>
        <family val="2"/>
      </rPr>
      <t xml:space="preserve">一併列表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</si>
  <si>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(14)</t>
    </r>
  </si>
  <si>
    <t xml:space="preserve">CF21</t>
  </si>
  <si>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</si>
  <si>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金額份額合計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</si>
  <si>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lite 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cohr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eoptolink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</si>
  <si>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</si>
  <si>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markets/network CPO </t>
    </r>
    <r>
      <rPr>
        <sz val="11"/>
        <color theme="1"/>
        <rFont val="Noto Sans CJK SC"/>
        <family val="2"/>
      </rPr>
      <t xml:space="preserve">三情境（無份額表）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</si>
  <si>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CPO </t>
    </r>
    <r>
      <rPr>
        <sz val="11"/>
        <color theme="1"/>
        <rFont val="Noto Sans CJK SC"/>
        <family val="2"/>
      </rPr>
      <t xml:space="preserve">份額未建模</t>
    </r>
  </si>
  <si>
    <t xml:space="preserve">份額表（無加總檢查）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</si>
  <si>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交換器端；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代工另列不加總），合計＝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</si>
  <si>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 (i)</t>
    </r>
  </si>
  <si>
    <t xml:space="preserve">CF22</t>
  </si>
  <si>
    <t xml:space="preserve">部署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</si>
  <si>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</si>
  <si>
    <t xml:space="preserve">GW</t>
  </si>
  <si>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AI IT capex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</t>
    </r>
    <r>
      <rPr>
        <sz val="11"/>
        <color theme="1"/>
        <rFont val="Noto Sans CJK SC"/>
        <family val="2"/>
      </rPr>
      <t xml:space="preserve">）</t>
    </r>
  </si>
  <si>
    <t xml:space="preserve">23.40</t>
  </si>
  <si>
    <t xml:space="preserve">amkr</t>
  </si>
  <si>
    <t xml:space="preserve">24.25</t>
  </si>
  <si>
    <t xml:space="preserve">行業變數（兩算法）</t>
  </si>
  <si>
    <r>
      <rPr>
        <sz val="11"/>
        <color theme="1"/>
        <rFont val="Noto Sans CJK SC"/>
        <family val="2"/>
      </rPr>
      <t xml:space="preserve">本庫設單一部署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上線前以 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算法為準），各模型改讀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</si>
  <si>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下游唯一連結點（各公司模型與市場層只讀本頁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具名範圍，經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節＝輸入（純量，含低／高）；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節＝推導（年度）；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SIF_TK_*</t>
    </r>
    <r>
      <rPr>
        <sz val="11"/>
        <color theme="1"/>
        <rFont val="Noto Sans CJK SC"/>
        <family val="2"/>
      </rPr>
      <t xml:space="preserve">，值＝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</si>
  <si>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版本：</t>
    </r>
    <r>
      <rPr>
        <sz val="11"/>
        <color theme="1"/>
        <rFont val="Calibri"/>
        <family val="2"/>
        <charset val="1"/>
      </rPr>
      <t xml:space="preserve">Siliconomics 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</si>
  <si>
    <t xml:space="preserve">來源位置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</si>
  <si>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輸入（純量）</t>
    </r>
  </si>
  <si>
    <t xml:space="preserve">In!E6</t>
  </si>
  <si>
    <t xml:space="preserve">In!E7</t>
  </si>
  <si>
    <t xml:space="preserve">In!E8</t>
  </si>
  <si>
    <t xml:space="preserve">In!E9</t>
  </si>
  <si>
    <t xml:space="preserve">In!E10</t>
  </si>
  <si>
    <t xml:space="preserve">In!E11</t>
  </si>
  <si>
    <t xml:space="preserve">In!E12</t>
  </si>
  <si>
    <t xml:space="preserve">In!E13</t>
  </si>
  <si>
    <t xml:space="preserve">In!E14</t>
  </si>
  <si>
    <t xml:space="preserve">In!E15</t>
  </si>
  <si>
    <t xml:space="preserve">In!E16</t>
  </si>
  <si>
    <t xml:space="preserve">In!E17</t>
  </si>
  <si>
    <t xml:space="preserve">In!E18</t>
  </si>
  <si>
    <t xml:space="preserve">In!E19</t>
  </si>
  <si>
    <t xml:space="preserve">In!E20</t>
  </si>
  <si>
    <t xml:space="preserve">In!E21</t>
  </si>
  <si>
    <t xml:space="preserve">In!E22</t>
  </si>
  <si>
    <t xml:space="preserve">In!E23</t>
  </si>
  <si>
    <t xml:space="preserve">In!E24</t>
  </si>
  <si>
    <t xml:space="preserve">In!E25</t>
  </si>
  <si>
    <t xml:space="preserve">In!E26</t>
  </si>
  <si>
    <t xml:space="preserve">In!E27</t>
  </si>
  <si>
    <t xml:space="preserve">In!E28</t>
  </si>
  <si>
    <t xml:space="preserve">In!E29</t>
  </si>
  <si>
    <t xml:space="preserve">In!E30</t>
  </si>
  <si>
    <t xml:space="preserve">In!E31</t>
  </si>
  <si>
    <t xml:space="preserve">In!E32</t>
  </si>
  <si>
    <t xml:space="preserve">In!E33</t>
  </si>
  <si>
    <t xml:space="preserve">In!E34</t>
  </si>
  <si>
    <t xml:space="preserve">In!E35</t>
  </si>
  <si>
    <t xml:space="preserve">In!E36</t>
  </si>
  <si>
    <t xml:space="preserve">In!E37</t>
  </si>
  <si>
    <t xml:space="preserve">In!E38</t>
  </si>
  <si>
    <t xml:space="preserve">In!E39</t>
  </si>
  <si>
    <t xml:space="preserve">In!E40</t>
  </si>
  <si>
    <t xml:space="preserve">In!E41</t>
  </si>
  <si>
    <t xml:space="preserve">In!E42</t>
  </si>
  <si>
    <t xml:space="preserve">In!E43</t>
  </si>
  <si>
    <t xml:space="preserve">In!E44</t>
  </si>
  <si>
    <t xml:space="preserve">In!E45</t>
  </si>
  <si>
    <t xml:space="preserve">In!E46</t>
  </si>
  <si>
    <t xml:space="preserve">In!E47</t>
  </si>
  <si>
    <t xml:space="preserve">In!E48</t>
  </si>
  <si>
    <t xml:space="preserve">In!E49</t>
  </si>
  <si>
    <t xml:space="preserve">In!E50</t>
  </si>
  <si>
    <t xml:space="preserve">In!E51</t>
  </si>
  <si>
    <t xml:space="preserve">In!E52</t>
  </si>
  <si>
    <t xml:space="preserve">In!E53</t>
  </si>
  <si>
    <t xml:space="preserve">In!E54</t>
  </si>
  <si>
    <t xml:space="preserve">In!E55</t>
  </si>
  <si>
    <t xml:space="preserve">In!E56</t>
  </si>
  <si>
    <t xml:space="preserve">In!E57</t>
  </si>
  <si>
    <t xml:space="preserve">In!E58</t>
  </si>
  <si>
    <t xml:space="preserve">In!E59</t>
  </si>
  <si>
    <t xml:space="preserve">In!E60</t>
  </si>
  <si>
    <t xml:space="preserve">In!E61</t>
  </si>
  <si>
    <t xml:space="preserve">In!E62</t>
  </si>
  <si>
    <t xml:space="preserve">In!E63</t>
  </si>
  <si>
    <t xml:space="preserve">In!E64</t>
  </si>
  <si>
    <t xml:space="preserve">In!E65</t>
  </si>
  <si>
    <t xml:space="preserve">In!E66</t>
  </si>
  <si>
    <t xml:space="preserve">In!E67</t>
  </si>
  <si>
    <t xml:space="preserve">In!E68</t>
  </si>
  <si>
    <t xml:space="preserve">In!E69</t>
  </si>
  <si>
    <t xml:space="preserve">In!E70</t>
  </si>
  <si>
    <t xml:space="preserve">In!E71</t>
  </si>
  <si>
    <t xml:space="preserve">In!E72</t>
  </si>
  <si>
    <t xml:space="preserve">In!E73</t>
  </si>
  <si>
    <t xml:space="preserve">In!E74</t>
  </si>
  <si>
    <t xml:space="preserve">In!E75</t>
  </si>
  <si>
    <t xml:space="preserve">In!E76</t>
  </si>
  <si>
    <t xml:space="preserve">In!E77</t>
  </si>
  <si>
    <t xml:space="preserve">In!E78</t>
  </si>
  <si>
    <t xml:space="preserve">In!E79</t>
  </si>
  <si>
    <t xml:space="preserve">In!E80</t>
  </si>
  <si>
    <t xml:space="preserve">In!E81</t>
  </si>
  <si>
    <t xml:space="preserve">In!E82</t>
  </si>
  <si>
    <t xml:space="preserve">In!E83</t>
  </si>
  <si>
    <t xml:space="preserve">In!E84</t>
  </si>
  <si>
    <t xml:space="preserve">In!E85</t>
  </si>
  <si>
    <t xml:space="preserve">In!E86</t>
  </si>
  <si>
    <t xml:space="preserve">In!E87</t>
  </si>
  <si>
    <t xml:space="preserve">In!E88</t>
  </si>
  <si>
    <t xml:space="preserve">In!E89</t>
  </si>
  <si>
    <t xml:space="preserve">In!E90</t>
  </si>
  <si>
    <t xml:space="preserve">In!E91</t>
  </si>
  <si>
    <t xml:space="preserve">In!E93</t>
  </si>
  <si>
    <t xml:space="preserve">In!E94</t>
  </si>
  <si>
    <t xml:space="preserve">In!E95</t>
  </si>
  <si>
    <t xml:space="preserve">In!E96</t>
  </si>
  <si>
    <t xml:space="preserve">In!E97</t>
  </si>
  <si>
    <t xml:space="preserve">In!E98</t>
  </si>
  <si>
    <t xml:space="preserve">In!E99</t>
  </si>
  <si>
    <t xml:space="preserve">In!E100</t>
  </si>
  <si>
    <t xml:space="preserve">In!E101</t>
  </si>
  <si>
    <t xml:space="preserve">In!E102</t>
  </si>
  <si>
    <t xml:space="preserve">In!E103</t>
  </si>
  <si>
    <t xml:space="preserve">In!E104</t>
  </si>
  <si>
    <t xml:space="preserve">In!E105</t>
  </si>
  <si>
    <t xml:space="preserve">In!E106</t>
  </si>
  <si>
    <t xml:space="preserve">In!E107</t>
  </si>
  <si>
    <t xml:space="preserve">In!E108</t>
  </si>
  <si>
    <t xml:space="preserve">In!E109</t>
  </si>
  <si>
    <t xml:space="preserve">In!E110</t>
  </si>
  <si>
    <t xml:space="preserve">In!E111</t>
  </si>
  <si>
    <t xml:space="preserve">In!E112</t>
  </si>
  <si>
    <t xml:space="preserve">In!E113</t>
  </si>
  <si>
    <t xml:space="preserve">In!E114</t>
  </si>
  <si>
    <t xml:space="preserve">In!E115</t>
  </si>
  <si>
    <t xml:space="preserve">In!E116</t>
  </si>
  <si>
    <t xml:space="preserve">In!E117</t>
  </si>
  <si>
    <t xml:space="preserve">In!E118</t>
  </si>
  <si>
    <t xml:space="preserve">In!E119</t>
  </si>
  <si>
    <t xml:space="preserve">In!E120</t>
  </si>
  <si>
    <t xml:space="preserve">In!E121</t>
  </si>
  <si>
    <t xml:space="preserve">In!E122</t>
  </si>
  <si>
    <t xml:space="preserve">In!E123</t>
  </si>
  <si>
    <t xml:space="preserve">In!E124</t>
  </si>
  <si>
    <t xml:space="preserve">In!E125</t>
  </si>
  <si>
    <t xml:space="preserve">In!E126</t>
  </si>
  <si>
    <t xml:space="preserve">In!E127</t>
  </si>
  <si>
    <t xml:space="preserve">In!E128</t>
  </si>
  <si>
    <t xml:space="preserve">In!E129</t>
  </si>
  <si>
    <t xml:space="preserve">In!E130</t>
  </si>
  <si>
    <t xml:space="preserve">In!E131</t>
  </si>
  <si>
    <t xml:space="preserve">In!E132</t>
  </si>
  <si>
    <t xml:space="preserve">In!E133</t>
  </si>
  <si>
    <t xml:space="preserve">In!E134</t>
  </si>
  <si>
    <t xml:space="preserve">In!E135</t>
  </si>
  <si>
    <t xml:space="preserve">In!E136</t>
  </si>
  <si>
    <t xml:space="preserve">In!E137</t>
  </si>
  <si>
    <t xml:space="preserve">In!E138</t>
  </si>
  <si>
    <t xml:space="preserve">In!E139</t>
  </si>
  <si>
    <t xml:space="preserve">In!E140</t>
  </si>
  <si>
    <t xml:space="preserve">In!E142</t>
  </si>
  <si>
    <t xml:space="preserve">In!E143</t>
  </si>
  <si>
    <t xml:space="preserve">In!E144</t>
  </si>
  <si>
    <t xml:space="preserve">In!E145</t>
  </si>
  <si>
    <t xml:space="preserve">In!E146</t>
  </si>
  <si>
    <t xml:space="preserve">In!E147</t>
  </si>
  <si>
    <t xml:space="preserve">In!E149</t>
  </si>
  <si>
    <t xml:space="preserve">In!E150</t>
  </si>
  <si>
    <t xml:space="preserve">In!E151</t>
  </si>
  <si>
    <t xml:space="preserve">In!E152</t>
  </si>
  <si>
    <t xml:space="preserve">In!E153</t>
  </si>
  <si>
    <t xml:space="preserve">In!E154</t>
  </si>
  <si>
    <t xml:space="preserve">In!E155</t>
  </si>
  <si>
    <t xml:space="preserve">In!E156</t>
  </si>
  <si>
    <t xml:space="preserve">In!E157</t>
  </si>
  <si>
    <t xml:space="preserve">In!E158</t>
  </si>
  <si>
    <t xml:space="preserve">In!E159</t>
  </si>
  <si>
    <t xml:space="preserve">In!E160</t>
  </si>
  <si>
    <t xml:space="preserve">In!E161</t>
  </si>
  <si>
    <t xml:space="preserve">In!E162</t>
  </si>
  <si>
    <t xml:space="preserve">In!E163</t>
  </si>
  <si>
    <t xml:space="preserve">In!E165</t>
  </si>
  <si>
    <t xml:space="preserve">In!E166</t>
  </si>
  <si>
    <t xml:space="preserve">In!E167</t>
  </si>
  <si>
    <t xml:space="preserve">In!E168</t>
  </si>
  <si>
    <t xml:space="preserve">In!E169</t>
  </si>
  <si>
    <t xml:space="preserve">In!E170</t>
  </si>
  <si>
    <t xml:space="preserve">In!E172</t>
  </si>
  <si>
    <t xml:space="preserve">In!E173</t>
  </si>
  <si>
    <t xml:space="preserve">In!E174</t>
  </si>
  <si>
    <t xml:space="preserve">In!E175</t>
  </si>
  <si>
    <t xml:space="preserve">In!E176</t>
  </si>
  <si>
    <t xml:space="preserve">In!E177</t>
  </si>
  <si>
    <t xml:space="preserve">In!E178</t>
  </si>
  <si>
    <t xml:space="preserve">In!E179</t>
  </si>
  <si>
    <t xml:space="preserve">In!E181</t>
  </si>
  <si>
    <t xml:space="preserve">In!E182</t>
  </si>
  <si>
    <t xml:space="preserve">In!E183</t>
  </si>
  <si>
    <t xml:space="preserve">In!E184</t>
  </si>
  <si>
    <t xml:space="preserve">In!E185</t>
  </si>
  <si>
    <t xml:space="preserve">In!E186</t>
  </si>
  <si>
    <t xml:space="preserve">In!E187</t>
  </si>
  <si>
    <t xml:space="preserve">In!E189</t>
  </si>
  <si>
    <t xml:space="preserve">In!E190</t>
  </si>
  <si>
    <t xml:space="preserve">In!E191</t>
  </si>
  <si>
    <t xml:space="preserve">In!E192</t>
  </si>
  <si>
    <t xml:space="preserve">In!E193</t>
  </si>
  <si>
    <t xml:space="preserve">In!E194</t>
  </si>
  <si>
    <t xml:space="preserve">In!E195</t>
  </si>
  <si>
    <t xml:space="preserve">In!E196</t>
  </si>
  <si>
    <t xml:space="preserve">In!E197</t>
  </si>
  <si>
    <t xml:space="preserve">In!E198</t>
  </si>
  <si>
    <t xml:space="preserve">In!E199</t>
  </si>
  <si>
    <t xml:space="preserve">In!E200</t>
  </si>
  <si>
    <t xml:space="preserve">In!E201</t>
  </si>
  <si>
    <t xml:space="preserve">In!E202</t>
  </si>
  <si>
    <t xml:space="preserve">In!E203</t>
  </si>
  <si>
    <t xml:space="preserve">In!E204</t>
  </si>
  <si>
    <t xml:space="preserve">In!E205</t>
  </si>
  <si>
    <t xml:space="preserve">In!E206</t>
  </si>
  <si>
    <t xml:space="preserve">In!E207</t>
  </si>
  <si>
    <t xml:space="preserve">In!E208</t>
  </si>
  <si>
    <t xml:space="preserve">In!E209</t>
  </si>
  <si>
    <t xml:space="preserve">In!E210</t>
  </si>
  <si>
    <t xml:space="preserve">In!E211</t>
  </si>
  <si>
    <t xml:space="preserve">In!E212</t>
  </si>
  <si>
    <t xml:space="preserve">In!E213</t>
  </si>
  <si>
    <t xml:space="preserve">In!E214</t>
  </si>
  <si>
    <t xml:space="preserve">In!E215</t>
  </si>
  <si>
    <t xml:space="preserve">In!E216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</si>
  <si>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推導（日曆年；欄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）</t>
    </r>
  </si>
  <si>
    <t xml:space="preserve">SIF_HBM_DemandEB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</si>
  <si>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需求（加速器裝載，情境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</si>
  <si>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Mkt!C13:G13</t>
  </si>
  <si>
    <t xml:space="preserve">SIF_HBM_DemandGrossEB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</si>
  <si>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</si>
  <si>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Mkt!C14:G14</t>
  </si>
  <si>
    <t xml:space="preserve">SIF_Units_Total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</si>
  <si>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</si>
  <si>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Mkt!C15:G15</t>
  </si>
  <si>
    <t xml:space="preserve">SIF_HBM_GBperUnit</t>
  </si>
  <si>
    <t xml:space="preserve">Mkt!C16:G16</t>
  </si>
  <si>
    <t xml:space="preserve">SIF_HBM_SupplyEB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</si>
  <si>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位元供給（三情境相同）</t>
    </r>
  </si>
  <si>
    <t xml:space="preserve">Mkt!C17:G17</t>
  </si>
  <si>
    <t xml:space="preserve">SIF_UnitsCoef_A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</si>
  <si>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</si>
  <si>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Mkt!C18:G18</t>
  </si>
  <si>
    <t xml:space="preserve">SIF_HBM_ShipEB_A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</si>
  <si>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</si>
  <si>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Mkt!C24:G24</t>
  </si>
  <si>
    <t xml:space="preserve">SIF_HBM_GapEB_A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</si>
  <si>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</si>
  <si>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Mkt!C27:G27</t>
  </si>
  <si>
    <t xml:space="preserve">SIF_HBM_Price_A</t>
  </si>
  <si>
    <t xml:space="preserve">Mkt!C30:G30</t>
  </si>
  <si>
    <t xml:space="preserve">SIF_HBM_Mkt_A</t>
  </si>
  <si>
    <t xml:space="preserve">Mkt!C33:G33</t>
  </si>
  <si>
    <t xml:space="preserve">SIF_UnitsCoef_B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</si>
  <si>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</si>
  <si>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Mkt!C19:G19</t>
  </si>
  <si>
    <t xml:space="preserve">SIF_HBM_ShipEB_B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</si>
  <si>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</si>
  <si>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Mkt!C25:G25</t>
  </si>
  <si>
    <t xml:space="preserve">SIF_HBM_GapEB_B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</si>
  <si>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</si>
  <si>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Mkt!C28:G28</t>
  </si>
  <si>
    <t xml:space="preserve">SIF_HBM_Price_B</t>
  </si>
  <si>
    <t xml:space="preserve">Mkt!C31:G31</t>
  </si>
  <si>
    <t xml:space="preserve">SIF_HBM_Mkt_B</t>
  </si>
  <si>
    <t xml:space="preserve">Mkt!C34:G34</t>
  </si>
  <si>
    <t xml:space="preserve">SIF_UnitsCoef_C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</si>
  <si>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</si>
  <si>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Mkt!C20:G20</t>
  </si>
  <si>
    <t xml:space="preserve">SIF_HBM_ShipEB_C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</si>
  <si>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</si>
  <si>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Mkt!C26:G26</t>
  </si>
  <si>
    <t xml:space="preserve">SIF_HBM_GapEB_C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</si>
  <si>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</si>
  <si>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Mkt!C29:G29</t>
  </si>
  <si>
    <t xml:space="preserve">SIF_HBM_Price_C</t>
  </si>
  <si>
    <t xml:space="preserve">Mkt!C32:G32</t>
  </si>
  <si>
    <t xml:space="preserve">SIF_HBM_Mkt_C</t>
  </si>
  <si>
    <t xml:space="preserve">Mkt!C35:G35</t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</si>
  <si>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平台別顆數（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空白）</t>
    </r>
  </si>
  <si>
    <t xml:space="preserve">SIF_UnitsPlat_bw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</si>
  <si>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</si>
  <si>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Units!C4:F4</t>
  </si>
  <si>
    <t xml:space="preserve">SIF_UnitsPlat_rb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</si>
  <si>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</si>
  <si>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Units!C5:F5</t>
  </si>
  <si>
    <t xml:space="preserve">SIF_UnitsPlat_ru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</si>
  <si>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</si>
  <si>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Units!C6:F6</t>
  </si>
  <si>
    <t xml:space="preserve">SIF_UnitsPlat_hp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</si>
  <si>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</si>
  <si>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Units!C7:F7</t>
  </si>
  <si>
    <t xml:space="preserve">SIF_UnitsPlat_amd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</si>
  <si>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</si>
  <si>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Units!C8:F8</t>
  </si>
  <si>
    <t xml:space="preserve">SIF_UnitsPlat_tpu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</si>
  <si>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</si>
  <si>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Units!C9:F9</t>
  </si>
  <si>
    <t xml:space="preserve">SIF_UnitsPlat_trn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</si>
  <si>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</si>
  <si>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Units!C10:F10</t>
  </si>
  <si>
    <t xml:space="preserve">SIF_UnitsPlat_oth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</si>
  <si>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</si>
  <si>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Units!C11:F11</t>
  </si>
  <si>
    <t xml:space="preserve">SIF_UnitsPlat_Total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</si>
  <si>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</si>
  <si>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Units!C12:F12</t>
  </si>
  <si>
    <t xml:space="preserve">SIF_UnitsPlat_Total_A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</si>
  <si>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</si>
  <si>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Units!C13:F13</t>
  </si>
  <si>
    <t xml:space="preserve">SIF_UnitsPlat_Total_B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</si>
  <si>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</si>
  <si>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Units!C14:F14</t>
  </si>
  <si>
    <t xml:space="preserve">SIF_UnitsPlat_Total_C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</si>
  <si>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</si>
  <si>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Units!C15:F15</t>
  </si>
  <si>
    <t xml:space="preserve">SIF_UnitsGrowth29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</si>
  <si>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；平台別成長率加權）</t>
    </r>
  </si>
  <si>
    <t xml:space="preserve">Units!G12</t>
  </si>
  <si>
    <r>
      <rPr>
        <b val="true"/>
        <sz val="11"/>
        <rFont val="Cambria"/>
        <family val="0"/>
        <charset val="1"/>
      </rPr>
      <t xml:space="preserve">B3. ASIC </t>
    </r>
    <r>
      <rPr>
        <b val="true"/>
        <sz val="11"/>
        <rFont val="Noto Sans CJK SC"/>
        <family val="2"/>
      </rPr>
      <t xml:space="preserve">設計服務份額合計（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2026–2028</t>
    </r>
    <r>
      <rPr>
        <b val="true"/>
        <sz val="11"/>
        <rFont val="Noto Sans CJK SC"/>
        <family val="2"/>
      </rPr>
      <t xml:space="preserve">）</t>
    </r>
  </si>
  <si>
    <t xml:space="preserve">SIF_ASICShareSum_tpu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</si>
  <si>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</si>
  <si>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ShareTbl!D7:F7</t>
  </si>
  <si>
    <t xml:space="preserve">SIF_ASICShareSum_oth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</si>
  <si>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</si>
  <si>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ShareTbl!D13:F13</t>
  </si>
  <si>
    <t xml:space="preserve">SIF_ASICShareSum_trnA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</si>
  <si>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</si>
  <si>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ShareTbl!D18:F18</t>
  </si>
  <si>
    <t xml:space="preserve">SIF_ASICShareSum_trnB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</si>
  <si>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</si>
  <si>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ShareTbl!D23:F23</t>
  </si>
  <si>
    <t xml:space="preserve">SIF_ASICShareSum_trnC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</si>
  <si>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</si>
  <si>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ShareTbl!D28:F28</t>
  </si>
  <si>
    <r>
      <rPr>
        <b val="true"/>
        <sz val="11"/>
        <rFont val="Cambria"/>
        <family val="0"/>
        <charset val="1"/>
      </rPr>
      <t xml:space="preserve">C. Tokenomics </t>
    </r>
    <r>
      <rPr>
        <b val="true"/>
        <sz val="11"/>
        <rFont val="Noto Sans CJK SC"/>
        <family val="2"/>
      </rPr>
      <t xml:space="preserve">鏡像（只讀；權威在算力收支；本庫與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一致由 </t>
    </r>
    <r>
      <rPr>
        <b val="true"/>
        <sz val="11"/>
        <rFont val="Cambria"/>
        <family val="0"/>
        <charset val="1"/>
      </rPr>
      <t xml:space="preserve">Checks K3 </t>
    </r>
    <r>
      <rPr>
        <b val="true"/>
        <sz val="11"/>
        <rFont val="Noto Sans CJK SC"/>
        <family val="2"/>
      </rPr>
      <t xml:space="preserve">檢查）</t>
    </r>
  </si>
  <si>
    <t xml:space="preserve">SIF_TK_RacksPerGW_H100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</si>
  <si>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</si>
  <si>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TK_In!E5</t>
  </si>
  <si>
    <t xml:space="preserve">SIF_TK_RacksPerGW_GB200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</si>
  <si>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</si>
  <si>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TK_In!E6</t>
  </si>
  <si>
    <t xml:space="preserve">SIF_TK_RacksPerGW_GB300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</si>
  <si>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</si>
  <si>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TK_In!E7</t>
  </si>
  <si>
    <t xml:space="preserve">SIF_TK_RacksPerGW_VR200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</si>
  <si>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</si>
  <si>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TK_In!E8</t>
  </si>
  <si>
    <t xml:space="preserve">SIF_TK_RacksPerGW_RU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</si>
  <si>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</si>
  <si>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TK_In!E9</t>
  </si>
  <si>
    <t xml:space="preserve">SIF_TK_GPUsPerGW_H100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</si>
  <si>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</si>
  <si>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TK_In!E10</t>
  </si>
  <si>
    <t xml:space="preserve">SIF_TK_GPUsPerGW_GB200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</si>
  <si>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</si>
  <si>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TK_In!E11</t>
  </si>
  <si>
    <t xml:space="preserve">SIF_TK_GPUsPerGW_GB300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</si>
  <si>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</si>
  <si>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TK_In!E12</t>
  </si>
  <si>
    <t xml:space="preserve">SIF_TK_GPUsPerGW_VR200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</si>
  <si>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</si>
  <si>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TK_In!E13</t>
  </si>
  <si>
    <t xml:space="preserve">SIF_TK_GPUsPerGW_RU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</si>
  <si>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</si>
  <si>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TK_In!E14</t>
  </si>
  <si>
    <t xml:space="preserve">SIF_TK_CapexIT_H100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</si>
  <si>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</si>
  <si>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TK_In!E15</t>
  </si>
  <si>
    <t xml:space="preserve">SIF_TK_CapexIT_GB200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</si>
  <si>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</si>
  <si>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TK_In!E16</t>
  </si>
  <si>
    <t xml:space="preserve">SIF_TK_CapexIT_GB300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</si>
  <si>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</si>
  <si>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TK_In!E17</t>
  </si>
  <si>
    <t xml:space="preserve">SIF_TK_CapexIT_VR200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</si>
  <si>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</si>
  <si>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TK_In!E18</t>
  </si>
  <si>
    <t xml:space="preserve">SIF_TK_CapexIT_RU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</si>
  <si>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</si>
  <si>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TK_In!E19</t>
  </si>
  <si>
    <t xml:space="preserve">SIF_TK_CapexFacility_H100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</si>
  <si>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</si>
  <si>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TK_In!E20</t>
  </si>
  <si>
    <t xml:space="preserve">SIF_TK_CapexFacility_GB200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</si>
  <si>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</si>
  <si>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TK_In!E21</t>
  </si>
  <si>
    <t xml:space="preserve">SIF_TK_CapexFacility_GB300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</si>
  <si>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</si>
  <si>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TK_In!E22</t>
  </si>
  <si>
    <t xml:space="preserve">SIF_TK_CapexFacility_VR200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</si>
  <si>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</si>
  <si>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TK_In!E23</t>
  </si>
  <si>
    <t xml:space="preserve">SIF_TK_CapexFacility_RU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</si>
  <si>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</si>
  <si>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TK_In!E24</t>
  </si>
  <si>
    <t xml:space="preserve">SIF_TK_CapexTotal_H100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</si>
  <si>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</si>
  <si>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TK_In!E25</t>
  </si>
  <si>
    <t xml:space="preserve">SIF_TK_CapexTotal_GB200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</si>
  <si>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</si>
  <si>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TK_In!E26</t>
  </si>
  <si>
    <t xml:space="preserve">SIF_TK_CapexTotal_GB300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</si>
  <si>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</si>
  <si>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TK_In!E27</t>
  </si>
  <si>
    <t xml:space="preserve">SIF_TK_CapexTotal_VR200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</si>
  <si>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</si>
  <si>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TK_In!E28</t>
  </si>
  <si>
    <t xml:space="preserve">SIF_TK_CapexTotal_RU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</si>
  <si>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</si>
  <si>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TK_In!E29</t>
  </si>
  <si>
    <t xml:space="preserve">SIF_TK_RackPrice_H100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</si>
  <si>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</si>
  <si>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TK_In!E30</t>
  </si>
  <si>
    <t xml:space="preserve">SIF_TK_RackPrice_GB200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</si>
  <si>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</si>
  <si>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TK_In!E31</t>
  </si>
  <si>
    <t xml:space="preserve">SIF_TK_RackPrice_GB300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</si>
  <si>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</si>
  <si>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TK_In!E32</t>
  </si>
  <si>
    <t xml:space="preserve">SIF_TK_RackPrice_VR200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</si>
  <si>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</si>
  <si>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TK_In!E33</t>
  </si>
  <si>
    <t xml:space="preserve">SIF_TK_RackPrice_RU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</si>
  <si>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</si>
  <si>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TK_In!E34</t>
  </si>
  <si>
    <t xml:space="preserve">SIF_TK_ScaleOutShare_H100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</si>
  <si>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</si>
  <si>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TK_In!E35</t>
  </si>
  <si>
    <t xml:space="preserve">SIF_TK_ScaleOutShare_GB200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</si>
  <si>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</si>
  <si>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TK_In!E36</t>
  </si>
  <si>
    <t xml:space="preserve">SIF_TK_ScaleOutShare_GB300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</si>
  <si>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</si>
  <si>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TK_In!E37</t>
  </si>
  <si>
    <t xml:space="preserve">SIF_TK_ScaleOutShare_VR200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</si>
  <si>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</si>
  <si>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TK_In!E38</t>
  </si>
  <si>
    <t xml:space="preserve">SIF_TK_ScaleOutShare_RU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</si>
  <si>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</si>
  <si>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TK_In!E39</t>
  </si>
  <si>
    <t xml:space="preserve">SIF_TK_StoragePerGPU_H100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</si>
  <si>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</si>
  <si>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TK_In!E40</t>
  </si>
  <si>
    <t xml:space="preserve">SIF_TK_StoragePerGPU_GB200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</si>
  <si>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</si>
  <si>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TK_In!E41</t>
  </si>
  <si>
    <t xml:space="preserve">SIF_TK_StoragePerGPU_GB300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</si>
  <si>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</si>
  <si>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TK_In!E42</t>
  </si>
  <si>
    <t xml:space="preserve">SIF_TK_StoragePerGPU_VR200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</si>
  <si>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</si>
  <si>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TK_In!E43</t>
  </si>
  <si>
    <t xml:space="preserve">SIF_TK_StoragePerGPU_RU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</si>
  <si>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</si>
  <si>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TK_In!E44</t>
  </si>
  <si>
    <t xml:space="preserve">SIF_TK_NonNV_Out_AMD</t>
  </si>
  <si>
    <t xml:space="preserve">TK_In!E45</t>
  </si>
  <si>
    <t xml:space="preserve">SIF_TK_NonNV_Out_TPU</t>
  </si>
  <si>
    <t xml:space="preserve">TK_In!E46</t>
  </si>
  <si>
    <t xml:space="preserve">SIF_TK_NonNV_Out_Trn</t>
  </si>
  <si>
    <t xml:space="preserve">TK_In!E47</t>
  </si>
  <si>
    <t xml:space="preserve">SIF_TK_NonNV_Out_CS</t>
  </si>
  <si>
    <t xml:space="preserve">TK_In!E48</t>
  </si>
  <si>
    <t xml:space="preserve">SIF_TK_NonNV_Out_OAI</t>
  </si>
  <si>
    <t xml:space="preserve">TK_In!E49</t>
  </si>
  <si>
    <t xml:space="preserve">SIF_TK_NonNV_Out_Ascend</t>
  </si>
  <si>
    <t xml:space="preserve">TK_In!E50</t>
  </si>
  <si>
    <t xml:space="preserve">SIF_TK_NonNV_Out_Maia</t>
  </si>
  <si>
    <t xml:space="preserve">TK_In!E51</t>
  </si>
  <si>
    <t xml:space="preserve">SIF_TK_NonNV_Hold_AMD</t>
  </si>
  <si>
    <t xml:space="preserve">TK_In!E52</t>
  </si>
  <si>
    <t xml:space="preserve">SIF_TK_NonNV_Hold_TPU</t>
  </si>
  <si>
    <t xml:space="preserve">TK_In!E53</t>
  </si>
  <si>
    <t xml:space="preserve">SIF_TK_NonNV_Hold_Trn</t>
  </si>
  <si>
    <t xml:space="preserve">TK_In!E54</t>
  </si>
  <si>
    <t xml:space="preserve">SIF_TK_NonNV_Hold_CS</t>
  </si>
  <si>
    <t xml:space="preserve">TK_In!E55</t>
  </si>
  <si>
    <t xml:space="preserve">SIF_TK_NonNV_Hold_OAI</t>
  </si>
  <si>
    <t xml:space="preserve">TK_In!E56</t>
  </si>
  <si>
    <t xml:space="preserve">SIF_TK_NonNV_Hold_Ascend</t>
  </si>
  <si>
    <t xml:space="preserve">TK_In!E57</t>
  </si>
  <si>
    <t xml:space="preserve">SIF_TK_NonNV_Hold_Maia</t>
  </si>
  <si>
    <t xml:space="preserve">TK_In!E58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</si>
  <si>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交叉檢查與治理（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</si>
  <si>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</si>
  <si>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</si>
  <si>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差</t>
  </si>
  <si>
    <t xml:space="preserve">判讀</t>
  </si>
  <si>
    <t xml:space="preserve">K1-A2025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</si>
  <si>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</si>
  <si>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驗證（搬移忠實度）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</si>
  <si>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</si>
  <si>
    <t xml:space="preserve">K1-A2026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</si>
  <si>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</si>
  <si>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</si>
  <si>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</si>
  <si>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</si>
  <si>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</si>
  <si>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</si>
  <si>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</si>
  <si>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</si>
  <si>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</si>
  <si>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</si>
  <si>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</si>
  <si>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</si>
  <si>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</si>
  <si>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</si>
  <si>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</si>
  <si>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</si>
  <si>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</si>
  <si>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</si>
  <si>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</si>
  <si>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</si>
  <si>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</si>
  <si>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</si>
  <si>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</si>
  <si>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</si>
  <si>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</si>
  <si>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</si>
  <si>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</si>
  <si>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K2-A28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</si>
  <si>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</si>
  <si>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驗證</t>
  </si>
  <si>
    <t xml:space="preserve">K2-A29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</si>
  <si>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</si>
  <si>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</si>
  <si>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</si>
  <si>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</si>
  <si>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</si>
  <si>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</si>
  <si>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</si>
  <si>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</si>
  <si>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</si>
  <si>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K2-ord28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</si>
  <si>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</si>
  <si>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K2-ord29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</si>
  <si>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</si>
  <si>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K3</t>
  </si>
  <si>
    <r>
      <rPr>
        <sz val="11"/>
        <color theme="1"/>
        <rFont val="Noto Sans CJK SC"/>
        <family val="2"/>
      </rPr>
      <t xml:space="preserve">下游（</t>
    </r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等）讀的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</si>
  <si>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</si>
  <si>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＝下游仍用舊版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；本庫已用現行版；差異明細見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</si>
  <si>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</si>
  <si>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</si>
  <si>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恆等式（結構）</t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</si>
  <si>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</si>
  <si>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</si>
  <si>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</si>
  <si>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</si>
  <si>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K5-bw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</si>
  <si>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</si>
  <si>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K5-rb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</si>
  <si>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</t>
    </r>
  </si>
  <si>
    <t xml:space="preserve">K5-ru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</si>
  <si>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 Ultra</t>
    </r>
  </si>
  <si>
    <t xml:space="preserve">K5-hp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</si>
  <si>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</si>
  <si>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K5-amd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</si>
  <si>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AMD Instinct</t>
    </r>
  </si>
  <si>
    <t xml:space="preserve">K5-tpu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</si>
  <si>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</si>
  <si>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K5-trn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</si>
  <si>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AWS Trainium</t>
    </r>
  </si>
  <si>
    <t xml:space="preserve">K5-oth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</si>
  <si>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</si>
  <si>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K6-tpu2026</t>
  </si>
  <si>
    <r>
      <rPr>
        <sz val="11"/>
        <color theme="1"/>
        <rFont val="Calibri"/>
        <family val="2"/>
        <charset val="1"/>
      </rPr>
      <t xml:space="preserve">Google TPU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</si>
  <si>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驗證（加總受限）</t>
  </si>
  <si>
    <t xml:space="preserve">K6-tpu2027</t>
  </si>
  <si>
    <r>
      <rPr>
        <sz val="11"/>
        <color theme="1"/>
        <rFont val="Calibri"/>
        <family val="2"/>
        <charset val="1"/>
      </rPr>
      <t xml:space="preserve">Google TPU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</si>
  <si>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K6-tpu2028</t>
  </si>
  <si>
    <r>
      <rPr>
        <sz val="11"/>
        <color theme="1"/>
        <rFont val="Calibri"/>
        <family val="2"/>
        <charset val="1"/>
      </rPr>
      <t xml:space="preserve">Google TPU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</si>
  <si>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</si>
  <si>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</si>
  <si>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</si>
  <si>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</si>
  <si>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</si>
  <si>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</si>
  <si>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</si>
  <si>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</si>
  <si>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</si>
  <si>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</si>
  <si>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</si>
  <si>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</si>
  <si>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</si>
  <si>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</si>
  <si>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</si>
  <si>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</si>
  <si>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</si>
  <si>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</si>
  <si>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</si>
  <si>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</si>
  <si>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</si>
  <si>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</si>
  <si>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</si>
  <si>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</si>
  <si>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</si>
  <si>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</si>
  <si>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</si>
  <si>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</si>
  <si>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</si>
  <si>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</si>
  <si>
    <t xml:space="preserve">G3</t>
  </si>
  <si>
    <r>
      <rPr>
        <sz val="11"/>
        <color theme="1"/>
        <rFont val="Noto Sans CJK SC"/>
        <family val="2"/>
      </rPr>
      <t xml:space="preserve">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但未給低／高區間的輸入列（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規則：一律給區間）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</si>
  <si>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（建置時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</si>
  <si>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</si>
  <si>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</si>
  <si>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</si>
  <si>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r>
      <rPr>
        <sz val="11"/>
        <color theme="1"/>
        <rFont val="Noto Sans CJK SC"/>
        <family val="2"/>
      </rPr>
      <t xml:space="preserve">衝突登錄中『待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』或『待併入』的項目數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</si>
  <si>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＝仍有同一變數兩個值；各子產業併入本庫後歸零</t>
    </r>
  </si>
  <si>
    <t xml:space="preserve">SGOV_Errors</t>
  </si>
  <si>
    <t xml:space="preserve">SGOV_Warn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</si>
  <si>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</si>
  <si>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</si>
  <si>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類別</t>
  </si>
  <si>
    <t xml:space="preserve">決議</t>
  </si>
  <si>
    <t xml:space="preserve">日期</t>
  </si>
  <si>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原話／依據</t>
    </r>
  </si>
  <si>
    <t xml:space="preserve">S1</t>
  </si>
  <si>
    <t xml:space="preserve">範圍</t>
  </si>
  <si>
    <t xml:space="preserve">建立產業基準庫</t>
  </si>
  <si>
    <r>
      <rPr>
        <sz val="11"/>
        <color theme="1"/>
        <rFont val="Noto Sans CJK SC"/>
        <family val="2"/>
      </rPr>
      <t xml:space="preserve">本專案建立自己的產業事實庫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，規格比照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唯一事實來源、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只產生公式頁、輸入由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擁有、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具名範圍為下游唯一連結點、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、證據登錄、版本固定快照）；與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相關數據與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一致；為各公司模型的基準事實來源</t>
    </r>
  </si>
  <si>
    <r>
      <rPr>
        <sz val="11"/>
        <color theme="1"/>
        <rFont val="Calibri"/>
        <family val="2"/>
        <charset val="1"/>
      </rPr>
      <t xml:space="preserve">2026-10-25 13:26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2026-10-27 07:59</t>
    </r>
  </si>
  <si>
    <r>
      <rPr>
        <sz val="11"/>
        <color theme="1"/>
        <rFont val="Noto Sans CJK SC"/>
        <family val="2"/>
      </rPr>
      <t xml:space="preserve">請開始規畫並建置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半導體的次產業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唯一事實</t>
    </r>
    <r>
      <rPr>
        <sz val="11"/>
        <color theme="1"/>
        <rFont val="Calibri"/>
        <family val="2"/>
        <charset val="1"/>
      </rPr>
      <t xml:space="preserve">)excel(</t>
    </r>
    <r>
      <rPr>
        <sz val="11"/>
        <color theme="1"/>
        <rFont val="Noto Sans CJK SC"/>
        <family val="2"/>
      </rPr>
      <t xml:space="preserve">名稱另取較貼切的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，他的規格如同算力收支專案中的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相關數據要與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一致，只是負責領域不同，是相關個股模型的基準事實來源。</t>
    </r>
  </si>
  <si>
    <t xml:space="preserve">生效</t>
  </si>
  <si>
    <t xml:space="preserve">S2</t>
  </si>
  <si>
    <t xml:space="preserve">命名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</si>
  <si>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（中文：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半導體產業基準庫），與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對稱：一個管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的經濟，一個管矽的經濟。檔名 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；下游名稱前綴 </t>
    </r>
    <r>
      <rPr>
        <sz val="11"/>
        <color theme="1"/>
        <rFont val="Calibri"/>
        <family val="2"/>
        <charset val="1"/>
      </rPr>
      <t xml:space="preserve">SIF_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SGOV_</t>
    </r>
    <r>
      <rPr>
        <sz val="11"/>
        <color theme="1"/>
        <rFont val="Noto Sans CJK SC"/>
        <family val="2"/>
      </rPr>
      <t xml:space="preserve">（治理計數）；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鏡像為 </t>
    </r>
    <r>
      <rPr>
        <sz val="11"/>
        <color theme="1"/>
        <rFont val="Calibri"/>
        <family val="2"/>
        <charset val="1"/>
      </rPr>
      <t xml:space="preserve">TK_&lt;</t>
    </r>
    <r>
      <rPr>
        <sz val="11"/>
        <color theme="1"/>
        <rFont val="Noto Sans CJK SC"/>
        <family val="2"/>
      </rPr>
      <t xml:space="preserve">名稱</t>
    </r>
    <r>
      <rPr>
        <sz val="11"/>
        <color theme="1"/>
        <rFont val="Calibri"/>
        <family val="2"/>
        <charset val="1"/>
      </rPr>
      <t xml:space="preserve">&gt;_&lt;</t>
    </r>
    <r>
      <rPr>
        <sz val="11"/>
        <color theme="1"/>
        <rFont val="Noto Sans CJK SC"/>
        <family val="2"/>
      </rPr>
      <t xml:space="preserve">世代</t>
    </r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SIF_TK_*</t>
    </r>
  </si>
  <si>
    <t xml:space="preserve">2026-10-27</t>
  </si>
  <si>
    <t xml:space="preserve">名稱另取較貼切的</t>
  </si>
  <si>
    <t xml:space="preserve">預設、可撤回</t>
  </si>
  <si>
    <t xml:space="preserve">S3</t>
  </si>
  <si>
    <t xml:space="preserve">工程</t>
  </si>
  <si>
    <t xml:space="preserve">位置</t>
  </si>
  <si>
    <r>
      <rPr>
        <sz val="11"/>
        <color theme="1"/>
        <rFont val="Calibri"/>
        <family val="2"/>
        <charset val="1"/>
      </rPr>
      <t xml:space="preserve">repo company-models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siliconomics/ </t>
    </r>
    <r>
      <rPr>
        <sz val="11"/>
        <color theme="1"/>
        <rFont val="Noto Sans CJK SC"/>
        <family val="2"/>
      </rPr>
      <t xml:space="preserve">資料夾（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tools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</t>
    </r>
    <r>
      <rPr>
        <sz val="11"/>
        <color theme="1"/>
        <rFont val="Noto Sans CJK SC"/>
        <family val="2"/>
      </rPr>
      <t xml:space="preserve">），不另開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：下游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個建檔程式在同一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，可直接讀快照、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同一條；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是另一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是因為服務跨專案</t>
    </r>
  </si>
  <si>
    <r>
      <rPr>
        <sz val="11"/>
        <color theme="1"/>
        <rFont val="Noto Sans CJK SC"/>
        <family val="2"/>
      </rPr>
      <t xml:space="preserve">（工程類，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決定）</t>
    </r>
  </si>
  <si>
    <t xml:space="preserve">S4</t>
  </si>
  <si>
    <t xml:space="preserve">行業變數與公司變數的界線</t>
  </si>
  <si>
    <r>
      <rPr>
        <sz val="11"/>
        <color theme="1"/>
        <rFont val="Noto Sans CJK SC"/>
        <family val="2"/>
      </rPr>
      <t xml:space="preserve">行業變數（本庫）＝跨公司共用或加總受限的量：加速器顆數與每顆內容、各市場規模與價格路徑、技術替代滲透率（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、銅轉光、液冷、混合鍵合）、同一市場各供應商份額表（合計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）、供需缺口、情境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定義。公司變數（各公司模型）＝會計年度錨點、毛利率與費用、資本支出、股數、估值參數、公司特有的份額相對值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</si>
  <si>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：個股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一律讀同字母行業情境（技術替代屬行業變數）</t>
    </r>
  </si>
  <si>
    <t xml:space="preserve">S5</t>
  </si>
  <si>
    <t xml:space="preserve">下游改接方式</t>
  </si>
  <si>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改為只讀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快照（保留原 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CJK SC"/>
        <family val="2"/>
      </rPr>
      <t xml:space="preserve">名稱），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個下游建檔程式不需修改；驗收＝全部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目標重建後與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逐格相同。其他市場層與公司模型依子產業分段改接</t>
    </r>
  </si>
  <si>
    <t xml:space="preserve">S6</t>
  </si>
  <si>
    <t xml:space="preserve">預測期間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</si>
  <si>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維持現有市場層的 </t>
    </r>
    <r>
      <rPr>
        <sz val="11"/>
        <color theme="1"/>
        <rFont val="Calibri"/>
        <family val="2"/>
        <charset val="1"/>
      </rPr>
      <t xml:space="preserve">2025–2029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的行業路徑不在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自訂（目前各公司以收斂法自推），待算力收支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三情境部署路徑（</t>
    </r>
    <r>
      <rPr>
        <sz val="11"/>
        <color theme="1"/>
        <rFont val="Calibri"/>
        <family val="2"/>
        <charset val="1"/>
      </rPr>
      <t xml:space="preserve">CY2026–2030</t>
    </r>
    <r>
      <rPr>
        <sz val="11"/>
        <color theme="1"/>
        <rFont val="Noto Sans CJK SC"/>
        <family val="2"/>
      </rPr>
      <t xml:space="preserve">）上線後由部署路徑推導並延伸到 </t>
    </r>
    <r>
      <rPr>
        <sz val="11"/>
        <color theme="1"/>
        <rFont val="Calibri"/>
        <family val="2"/>
        <charset val="1"/>
      </rPr>
      <t xml:space="preserve">2032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</si>
  <si>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：預估延長到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回執：預計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後動工</t>
    </r>
  </si>
  <si>
    <t xml:space="preserve">S7</t>
  </si>
  <si>
    <t xml:space="preserve">衝突處理</t>
  </si>
  <si>
    <r>
      <rPr>
        <sz val="11"/>
        <color theme="1"/>
        <rFont val="Noto Sans CJK SC"/>
        <family val="2"/>
      </rPr>
      <t xml:space="preserve">跨模型同一變數不同值者登錄於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頁；每項給建議單一值（判斷類標待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），在該子產業併入本庫的版本生效；生效前各公司模型維持現值，不另做局部修補</t>
    </r>
  </si>
  <si>
    <t xml:space="preserve">（工程類流程；個別建議值屬判斷類）</t>
  </si>
  <si>
    <t xml:space="preserve">S8</t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</si>
  <si>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</si>
  <si>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只做：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列全部補區間、缺來源列補來源（區間為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預設，標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情境季價區間 </t>
    </r>
    <r>
      <rPr>
        <sz val="11"/>
        <color theme="1"/>
        <rFont val="Calibri"/>
        <family val="2"/>
        <charset val="1"/>
      </rPr>
      <t xml:space="preserve">2027 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±10pt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2029 </t>
    </r>
    <r>
      <rPr>
        <sz val="11"/>
        <color theme="1"/>
        <rFont val="Noto Sans CJK SC"/>
        <family val="2"/>
      </rPr>
      <t xml:space="preserve">平台別顆數成長改為本庫單一來源（</t>
    </r>
    <r>
      <rPr>
        <sz val="11"/>
        <color theme="1"/>
        <rFont val="Calibri"/>
        <family val="2"/>
        <charset val="1"/>
      </rPr>
      <t xml:space="preserve">CF18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每顆規格、部署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份額表（</t>
    </r>
    <r>
      <rPr>
        <sz val="11"/>
        <color theme="1"/>
        <rFont val="Calibri"/>
        <family val="2"/>
        <charset val="1"/>
      </rPr>
      <t xml:space="preserve">CF13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）延到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（運算層一起做），網通與橋接表順延為 </t>
    </r>
    <r>
      <rPr>
        <sz val="11"/>
        <color theme="1"/>
        <rFont val="Calibri"/>
        <family val="2"/>
        <charset val="1"/>
      </rPr>
      <t xml:space="preserve">v0.4</t>
    </r>
  </si>
  <si>
    <t xml:space="preserve">（工程類分段；區間值屬判斷類預設）</t>
  </si>
  <si>
    <t xml:space="preserve">S9</t>
  </si>
  <si>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升為 </t>
    </r>
    <r>
      <rPr>
        <sz val="11"/>
        <color theme="1"/>
        <rFont val="Calibri"/>
        <family val="2"/>
        <charset val="1"/>
      </rPr>
      <t xml:space="preserve">ERROR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</si>
  <si>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頁缺來源、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缺區間計入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一律給區間）</t>
    </r>
  </si>
  <si>
    <t xml:space="preserve">（工程類）</t>
  </si>
  <si>
    <t xml:space="preserve">S10</t>
  </si>
  <si>
    <r>
      <rPr>
        <sz val="11"/>
        <color theme="1"/>
        <rFont val="Noto Sans CJK SC"/>
        <family val="2"/>
      </rPr>
      <t xml:space="preserve">記憶體公司模型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頁不加新節</t>
    </r>
  </si>
  <si>
    <r>
      <rPr>
        <sz val="11"/>
        <color theme="1"/>
        <rFont val="Calibri"/>
        <family val="2"/>
        <charset val="1"/>
      </rPr>
      <t xml:space="preserve">market.py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M1–M3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ref_inputs()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起的新節（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平台別成長）不寫進記憶體公司模型，由需要的模型經 </t>
    </r>
    <r>
      <rPr>
        <sz val="11"/>
        <color theme="1"/>
        <rFont val="Calibri"/>
        <family val="2"/>
        <charset val="1"/>
      </rPr>
      <t xml:space="preserve">market.G29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取用，避免既有儲存格位移</t>
    </r>
  </si>
  <si>
    <t xml:space="preserve">S11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</si>
  <si>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</si>
  <si>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（運算層第一段）：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加速器每顆售價（</t>
    </r>
    <r>
      <rPr>
        <sz val="11"/>
        <color theme="1"/>
        <rFont val="Calibri"/>
        <family val="2"/>
        <charset val="1"/>
      </rPr>
      <t xml:space="preserve">nvidia pa_*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代購比例（</t>
    </r>
    <r>
      <rPr>
        <sz val="11"/>
        <color theme="1"/>
        <rFont val="Calibri"/>
        <family val="2"/>
        <charset val="1"/>
      </rPr>
      <t xml:space="preserve">avgo core_*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）移入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ASIC </t>
    </r>
    <r>
      <rPr>
        <sz val="11"/>
        <color theme="1"/>
        <rFont val="Noto Sans CJK SC"/>
        <family val="2"/>
      </rPr>
      <t xml:space="preserve">設計服務份額（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、聯發科、世芯）移入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頁與加總檢查 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。原模型改讀本庫，數值與文字逐字搬入（下游應不變）。部署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單一路徑（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）依賴網通市場層，與網通一起在 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做</t>
    </r>
  </si>
  <si>
    <t xml:space="preserve">S12</t>
  </si>
  <si>
    <t xml:space="preserve">共用讀取模組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</si>
  <si>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siliconomics/reader.py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row8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row9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NAMES</t>
    </r>
    <r>
      <rPr>
        <sz val="11"/>
        <color theme="1"/>
        <rFont val="Noto Sans CJK SC"/>
        <family val="2"/>
      </rPr>
      <t xml:space="preserve">），各公司建檔程式以 </t>
    </r>
    <r>
      <rPr>
        <sz val="11"/>
        <color theme="1"/>
        <rFont val="Calibri"/>
        <family val="2"/>
        <charset val="1"/>
      </rPr>
      <t xml:space="preserve">inp(*SIL.row9(</t>
    </r>
    <r>
      <rPr>
        <sz val="11"/>
        <color theme="1"/>
        <rFont val="Noto Sans CJK SC"/>
        <family val="2"/>
      </rPr>
      <t xml:space="preserve">鍵</t>
    </r>
    <r>
      <rPr>
        <sz val="11"/>
        <color theme="1"/>
        <rFont val="Calibri"/>
        <family val="2"/>
        <charset val="1"/>
      </rPr>
      <t xml:space="preserve">)) </t>
    </r>
    <r>
      <rPr>
        <sz val="11"/>
        <color theme="1"/>
        <rFont val="Noto Sans CJK SC"/>
        <family val="2"/>
      </rPr>
      <t xml:space="preserve">讀本庫輸入；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欄「第二來源／說明」以容納公司模型的第二來源欄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</si>
  <si>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證據登錄（所有比對過的新資訊，含不採納者）；先與本庫現值比對，再判定採納／部分採納／不採納／待查</t>
    </r>
  </si>
  <si>
    <t xml:space="preserve">主張（摘要）</t>
  </si>
  <si>
    <t xml:space="preserve">對應鍵</t>
  </si>
  <si>
    <t xml:space="preserve">本庫當時值</t>
  </si>
  <si>
    <t xml:space="preserve">新資訊值</t>
  </si>
  <si>
    <t xml:space="preserve">判定</t>
  </si>
  <si>
    <t xml:space="preserve">處理版本</t>
  </si>
  <si>
    <t xml:space="preserve">立場</t>
  </si>
  <si>
    <t xml:space="preserve">備註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</si>
  <si>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尚無；跨模型衝突先登錄於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頁，判定後再轉入本頁）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</si>
</sst>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%"/>
    <numFmt numFmtId="167" formatCode="0%"/>
    <numFmt numFmtId="168" formatCode="0"/>
    <numFmt numFmtId="169" formatCode="0.0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3" t="s">
        <v>3</v>
      </c>
    </row>
    <row r="5" customFormat="false" ht="32.8" hidden="false" customHeight="false" outlineLevel="0" collapsed="false">
      <c r="A5" s="3" t="s">
        <v>4</v>
      </c>
    </row>
    <row r="6" customFormat="false" ht="32.8" hidden="false" customHeight="false" outlineLevel="0" collapsed="false">
      <c r="A6" s="3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7.15" hidden="false" customHeight="false" outlineLevel="0" collapsed="false">
      <c r="A9" s="2" t="s">
        <v>8</v>
      </c>
    </row>
    <row r="10" customFormat="false" ht="17.15" hidden="false" customHeight="false" outlineLevel="0" collapsed="false">
      <c r="A10" s="3" t="s">
        <v>9</v>
      </c>
    </row>
    <row r="11" customFormat="false" ht="17.15" hidden="false" customHeight="false" outlineLevel="0" collapsed="false">
      <c r="A11" s="2" t="s">
        <v>10</v>
      </c>
    </row>
    <row r="12" customFormat="false" ht="32.8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6" min="5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12</v>
      </c>
    </row>
    <row r="3" customFormat="false" ht="17.15" hidden="false" customHeight="false" outlineLevel="0" collapsed="false">
      <c r="A3" s="4" t="s">
        <v>13</v>
      </c>
      <c r="B3" s="4" t="s">
        <v>14</v>
      </c>
      <c r="C3" s="4" t="s">
        <v>15</v>
      </c>
      <c r="D3" s="4" t="s">
        <v>16</v>
      </c>
      <c r="E3" s="5" t="s">
        <v>17</v>
      </c>
      <c r="F3" s="5" t="s">
        <v>18</v>
      </c>
      <c r="G3" s="5" t="s">
        <v>19</v>
      </c>
    </row>
    <row r="4" customFormat="false" ht="17.15" hidden="false" customHeight="false" outlineLevel="0" collapsed="false">
      <c r="A4" s="0" t="s">
        <v>20</v>
      </c>
      <c r="B4" s="6" t="s">
        <v>21</v>
      </c>
      <c r="C4" s="6" t="s">
        <v>22</v>
      </c>
      <c r="D4" s="0" t="s">
        <v>23</v>
      </c>
      <c r="E4" s="7" t="n">
        <f aca="false">um28_A</f>
        <v>1</v>
      </c>
      <c r="F4" s="7" t="n">
        <f aca="false">um29_A</f>
        <v>1</v>
      </c>
      <c r="G4" s="8" t="s">
        <v>24</v>
      </c>
    </row>
    <row r="5" customFormat="false" ht="17.15" hidden="false" customHeight="false" outlineLevel="0" collapsed="false">
      <c r="A5" s="0" t="s">
        <v>25</v>
      </c>
      <c r="B5" s="6" t="s">
        <v>26</v>
      </c>
      <c r="C5" s="0" t="s">
        <v>27</v>
      </c>
      <c r="D5" s="0" t="s">
        <v>28</v>
      </c>
      <c r="E5" s="7" t="n">
        <f aca="false">um28_B</f>
        <v>0.8</v>
      </c>
      <c r="F5" s="7" t="n">
        <f aca="false">um29_B</f>
        <v>0.85</v>
      </c>
      <c r="G5" s="8" t="s">
        <v>24</v>
      </c>
    </row>
    <row r="6" customFormat="false" ht="17.15" hidden="false" customHeight="false" outlineLevel="0" collapsed="false">
      <c r="A6" s="0" t="s">
        <v>29</v>
      </c>
      <c r="B6" s="6" t="s">
        <v>30</v>
      </c>
      <c r="C6" s="6" t="s">
        <v>31</v>
      </c>
      <c r="D6" s="0" t="s">
        <v>32</v>
      </c>
      <c r="E6" s="7" t="n">
        <f aca="false">um28_C</f>
        <v>0.6</v>
      </c>
      <c r="F6" s="7" t="n">
        <f aca="false">um29_C</f>
        <v>0.6</v>
      </c>
      <c r="G6" s="8" t="s">
        <v>24</v>
      </c>
    </row>
    <row r="9" customFormat="false" ht="15" hidden="false" customHeight="false" outlineLevel="0" collapsed="false">
      <c r="A9" s="9" t="s">
        <v>33</v>
      </c>
    </row>
    <row r="10" customFormat="false" ht="17.15" hidden="false" customHeight="false" outlineLevel="0" collapsed="false">
      <c r="A10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18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35</v>
      </c>
    </row>
    <row r="2" customFormat="false" ht="17.15" hidden="false" customHeight="false" outlineLevel="0" collapsed="false">
      <c r="A2" s="6" t="s">
        <v>36</v>
      </c>
    </row>
    <row r="4" customFormat="false" ht="17.15" hidden="false" customHeight="false" outlineLevel="0" collapsed="false">
      <c r="A4" s="4" t="s">
        <v>37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  <c r="I4" s="5" t="s">
        <v>45</v>
      </c>
      <c r="J4" s="4" t="s">
        <v>46</v>
      </c>
    </row>
    <row r="5" customFormat="false" ht="17.15" hidden="false" customHeight="false" outlineLevel="0" collapsed="false">
      <c r="A5" s="10" t="s">
        <v>47</v>
      </c>
    </row>
    <row r="6" customFormat="false" ht="17.15" hidden="false" customHeight="false" outlineLevel="0" collapsed="false">
      <c r="A6" s="0" t="s">
        <v>48</v>
      </c>
      <c r="B6" s="6" t="s">
        <v>49</v>
      </c>
      <c r="C6" s="0" t="s">
        <v>50</v>
      </c>
      <c r="E6" s="11" t="n">
        <v>-0.025</v>
      </c>
      <c r="G6" s="12" t="s">
        <v>51</v>
      </c>
      <c r="H6" s="12" t="s">
        <v>52</v>
      </c>
      <c r="I6" s="12" t="s">
        <v>53</v>
      </c>
    </row>
    <row r="7" customFormat="false" ht="17.15" hidden="false" customHeight="false" outlineLevel="0" collapsed="false">
      <c r="A7" s="0" t="s">
        <v>54</v>
      </c>
      <c r="B7" s="6" t="s">
        <v>55</v>
      </c>
      <c r="C7" s="0" t="s">
        <v>50</v>
      </c>
      <c r="E7" s="11" t="n">
        <v>0.125</v>
      </c>
      <c r="G7" s="12" t="s">
        <v>51</v>
      </c>
      <c r="H7" s="6" t="s">
        <v>56</v>
      </c>
      <c r="I7" s="12" t="s">
        <v>57</v>
      </c>
    </row>
    <row r="8" customFormat="false" ht="17.15" hidden="false" customHeight="false" outlineLevel="0" collapsed="false">
      <c r="A8" s="0" t="s">
        <v>58</v>
      </c>
      <c r="B8" s="6" t="s">
        <v>59</v>
      </c>
      <c r="C8" s="0" t="s">
        <v>50</v>
      </c>
      <c r="E8" s="11" t="n">
        <v>0.475</v>
      </c>
      <c r="G8" s="12" t="s">
        <v>51</v>
      </c>
      <c r="H8" s="6" t="s">
        <v>56</v>
      </c>
      <c r="I8" s="12" t="s">
        <v>60</v>
      </c>
    </row>
    <row r="9" customFormat="false" ht="17.15" hidden="false" customHeight="false" outlineLevel="0" collapsed="false">
      <c r="A9" s="0" t="s">
        <v>61</v>
      </c>
      <c r="B9" s="6" t="s">
        <v>62</v>
      </c>
      <c r="C9" s="0" t="s">
        <v>50</v>
      </c>
      <c r="E9" s="11" t="n">
        <v>0.95</v>
      </c>
      <c r="G9" s="12" t="s">
        <v>51</v>
      </c>
      <c r="H9" s="6" t="s">
        <v>56</v>
      </c>
      <c r="I9" s="12" t="s">
        <v>63</v>
      </c>
    </row>
    <row r="10" customFormat="false" ht="17.15" hidden="false" customHeight="false" outlineLevel="0" collapsed="false">
      <c r="A10" s="0" t="s">
        <v>64</v>
      </c>
      <c r="B10" s="6" t="s">
        <v>65</v>
      </c>
      <c r="C10" s="0" t="s">
        <v>50</v>
      </c>
      <c r="E10" s="11" t="n">
        <v>0.605</v>
      </c>
      <c r="G10" s="12" t="s">
        <v>51</v>
      </c>
      <c r="H10" s="6" t="s">
        <v>56</v>
      </c>
      <c r="I10" s="12" t="s">
        <v>66</v>
      </c>
    </row>
    <row r="11" customFormat="false" ht="17.15" hidden="false" customHeight="false" outlineLevel="0" collapsed="false">
      <c r="A11" s="0" t="s">
        <v>67</v>
      </c>
      <c r="B11" s="6" t="s">
        <v>68</v>
      </c>
      <c r="C11" s="0" t="s">
        <v>50</v>
      </c>
      <c r="E11" s="11" t="n">
        <v>0.155</v>
      </c>
      <c r="G11" s="12" t="s">
        <v>51</v>
      </c>
      <c r="H11" s="6" t="s">
        <v>56</v>
      </c>
      <c r="I11" s="12" t="s">
        <v>69</v>
      </c>
    </row>
    <row r="12" customFormat="false" ht="17.15" hidden="false" customHeight="false" outlineLevel="0" collapsed="false">
      <c r="A12" s="0" t="s">
        <v>70</v>
      </c>
      <c r="B12" s="6" t="s">
        <v>71</v>
      </c>
      <c r="C12" s="0" t="s">
        <v>50</v>
      </c>
      <c r="E12" s="11" t="n">
        <v>0.125</v>
      </c>
      <c r="G12" s="12" t="s">
        <v>51</v>
      </c>
      <c r="H12" s="6" t="s">
        <v>56</v>
      </c>
      <c r="I12" s="12" t="s">
        <v>72</v>
      </c>
    </row>
    <row r="13" customFormat="false" ht="17.15" hidden="false" customHeight="false" outlineLevel="0" collapsed="false">
      <c r="A13" s="0" t="s">
        <v>73</v>
      </c>
      <c r="B13" s="6" t="s">
        <v>74</v>
      </c>
      <c r="C13" s="0" t="s">
        <v>50</v>
      </c>
      <c r="E13" s="11" t="n">
        <v>0.03</v>
      </c>
      <c r="G13" s="12" t="s">
        <v>51</v>
      </c>
      <c r="H13" s="12" t="s">
        <v>75</v>
      </c>
      <c r="I13" s="12" t="s">
        <v>76</v>
      </c>
    </row>
    <row r="14" customFormat="false" ht="17.15" hidden="false" customHeight="false" outlineLevel="0" collapsed="false">
      <c r="A14" s="0" t="s">
        <v>77</v>
      </c>
      <c r="B14" s="6" t="s">
        <v>78</v>
      </c>
      <c r="C14" s="0" t="s">
        <v>50</v>
      </c>
      <c r="E14" s="11" t="n">
        <v>0</v>
      </c>
      <c r="G14" s="12" t="s">
        <v>51</v>
      </c>
      <c r="H14" s="6" t="s">
        <v>56</v>
      </c>
      <c r="I14" s="12" t="s">
        <v>79</v>
      </c>
    </row>
    <row r="15" customFormat="false" ht="17.15" hidden="false" customHeight="false" outlineLevel="0" collapsed="false">
      <c r="A15" s="0" t="s">
        <v>80</v>
      </c>
      <c r="B15" s="6" t="s">
        <v>81</v>
      </c>
      <c r="C15" s="0" t="s">
        <v>50</v>
      </c>
      <c r="E15" s="11" t="n">
        <v>-0.02</v>
      </c>
      <c r="G15" s="12" t="s">
        <v>51</v>
      </c>
      <c r="H15" s="6" t="s">
        <v>56</v>
      </c>
      <c r="I15" s="12" t="s">
        <v>82</v>
      </c>
    </row>
    <row r="16" customFormat="false" ht="17.15" hidden="false" customHeight="false" outlineLevel="0" collapsed="false">
      <c r="A16" s="0" t="s">
        <v>83</v>
      </c>
      <c r="B16" s="6" t="s">
        <v>84</v>
      </c>
      <c r="C16" s="0" t="s">
        <v>50</v>
      </c>
      <c r="E16" s="11" t="n">
        <v>-0.03</v>
      </c>
      <c r="G16" s="12" t="s">
        <v>51</v>
      </c>
      <c r="H16" s="6" t="s">
        <v>56</v>
      </c>
      <c r="I16" s="12" t="s">
        <v>85</v>
      </c>
    </row>
    <row r="17" customFormat="false" ht="17.15" hidden="false" customHeight="false" outlineLevel="0" collapsed="false">
      <c r="A17" s="0" t="s">
        <v>86</v>
      </c>
      <c r="B17" s="6" t="s">
        <v>87</v>
      </c>
      <c r="C17" s="0" t="s">
        <v>50</v>
      </c>
      <c r="E17" s="11" t="n">
        <v>-0.03</v>
      </c>
      <c r="G17" s="12" t="s">
        <v>51</v>
      </c>
      <c r="H17" s="6" t="s">
        <v>56</v>
      </c>
      <c r="I17" s="12" t="s">
        <v>88</v>
      </c>
    </row>
    <row r="18" customFormat="false" ht="17.15" hidden="false" customHeight="false" outlineLevel="0" collapsed="false">
      <c r="A18" s="0" t="s">
        <v>89</v>
      </c>
      <c r="B18" s="6" t="s">
        <v>90</v>
      </c>
      <c r="C18" s="0" t="s">
        <v>50</v>
      </c>
      <c r="E18" s="11" t="n">
        <v>-0.03</v>
      </c>
      <c r="G18" s="12" t="s">
        <v>51</v>
      </c>
      <c r="H18" s="6" t="s">
        <v>56</v>
      </c>
      <c r="I18" s="12" t="s">
        <v>91</v>
      </c>
    </row>
    <row r="19" customFormat="false" ht="17.15" hidden="false" customHeight="false" outlineLevel="0" collapsed="false">
      <c r="A19" s="0" t="s">
        <v>92</v>
      </c>
      <c r="B19" s="6" t="s">
        <v>93</v>
      </c>
      <c r="C19" s="0" t="s">
        <v>50</v>
      </c>
      <c r="E19" s="11" t="n">
        <v>-0.02</v>
      </c>
      <c r="G19" s="12" t="s">
        <v>51</v>
      </c>
      <c r="H19" s="6" t="s">
        <v>56</v>
      </c>
      <c r="I19" s="12" t="s">
        <v>94</v>
      </c>
    </row>
    <row r="20" customFormat="false" ht="17.15" hidden="false" customHeight="false" outlineLevel="0" collapsed="false">
      <c r="A20" s="0" t="s">
        <v>95</v>
      </c>
      <c r="B20" s="6" t="s">
        <v>96</v>
      </c>
      <c r="C20" s="0" t="s">
        <v>50</v>
      </c>
      <c r="E20" s="11" t="n">
        <v>-0.02</v>
      </c>
      <c r="G20" s="12" t="s">
        <v>51</v>
      </c>
      <c r="H20" s="6" t="s">
        <v>56</v>
      </c>
      <c r="I20" s="12" t="s">
        <v>97</v>
      </c>
    </row>
    <row r="21" customFormat="false" ht="17.15" hidden="false" customHeight="false" outlineLevel="0" collapsed="false">
      <c r="A21" s="0" t="s">
        <v>98</v>
      </c>
      <c r="B21" s="6" t="s">
        <v>99</v>
      </c>
      <c r="C21" s="0" t="s">
        <v>50</v>
      </c>
      <c r="E21" s="11" t="n">
        <v>-0.03</v>
      </c>
      <c r="G21" s="12" t="s">
        <v>51</v>
      </c>
      <c r="H21" s="6" t="s">
        <v>56</v>
      </c>
      <c r="I21" s="12" t="s">
        <v>100</v>
      </c>
    </row>
    <row r="22" customFormat="false" ht="17.15" hidden="false" customHeight="false" outlineLevel="0" collapsed="false">
      <c r="A22" s="0" t="s">
        <v>101</v>
      </c>
      <c r="B22" s="6" t="s">
        <v>102</v>
      </c>
      <c r="C22" s="0" t="s">
        <v>50</v>
      </c>
      <c r="E22" s="11" t="n">
        <v>-0.03</v>
      </c>
      <c r="G22" s="12" t="s">
        <v>51</v>
      </c>
      <c r="H22" s="6" t="s">
        <v>56</v>
      </c>
      <c r="I22" s="12" t="s">
        <v>103</v>
      </c>
    </row>
    <row r="23" customFormat="false" ht="17.15" hidden="false" customHeight="false" outlineLevel="0" collapsed="false">
      <c r="A23" s="0" t="s">
        <v>104</v>
      </c>
      <c r="B23" s="6" t="s">
        <v>105</v>
      </c>
      <c r="C23" s="0" t="s">
        <v>50</v>
      </c>
      <c r="E23" s="11" t="n">
        <v>-0.02</v>
      </c>
      <c r="G23" s="12" t="s">
        <v>51</v>
      </c>
      <c r="H23" s="6" t="s">
        <v>56</v>
      </c>
      <c r="I23" s="12" t="s">
        <v>106</v>
      </c>
    </row>
    <row r="24" customFormat="false" ht="17.15" hidden="false" customHeight="false" outlineLevel="0" collapsed="false">
      <c r="A24" s="0" t="s">
        <v>107</v>
      </c>
      <c r="B24" s="6" t="s">
        <v>108</v>
      </c>
      <c r="C24" s="0" t="s">
        <v>50</v>
      </c>
      <c r="E24" s="11" t="n">
        <v>-0.02</v>
      </c>
      <c r="G24" s="12" t="s">
        <v>51</v>
      </c>
      <c r="H24" s="6" t="s">
        <v>56</v>
      </c>
      <c r="I24" s="12" t="s">
        <v>109</v>
      </c>
    </row>
    <row r="25" customFormat="false" ht="17.15" hidden="false" customHeight="false" outlineLevel="0" collapsed="false">
      <c r="A25" s="0" t="s">
        <v>110</v>
      </c>
      <c r="B25" s="6" t="s">
        <v>111</v>
      </c>
      <c r="C25" s="0" t="s">
        <v>50</v>
      </c>
      <c r="E25" s="11" t="n">
        <v>0.05</v>
      </c>
      <c r="G25" s="12" t="s">
        <v>51</v>
      </c>
      <c r="H25" s="12" t="s">
        <v>112</v>
      </c>
      <c r="I25" s="12" t="s">
        <v>113</v>
      </c>
    </row>
    <row r="26" customFormat="false" ht="17.15" hidden="false" customHeight="false" outlineLevel="0" collapsed="false">
      <c r="A26" s="0" t="s">
        <v>114</v>
      </c>
      <c r="B26" s="6" t="s">
        <v>115</v>
      </c>
      <c r="C26" s="0" t="s">
        <v>50</v>
      </c>
      <c r="E26" s="11" t="n">
        <v>0.02</v>
      </c>
      <c r="G26" s="12" t="s">
        <v>51</v>
      </c>
      <c r="H26" s="6" t="s">
        <v>56</v>
      </c>
      <c r="I26" s="12" t="s">
        <v>116</v>
      </c>
    </row>
    <row r="27" customFormat="false" ht="17.15" hidden="false" customHeight="false" outlineLevel="0" collapsed="false">
      <c r="A27" s="0" t="s">
        <v>117</v>
      </c>
      <c r="B27" s="6" t="s">
        <v>118</v>
      </c>
      <c r="C27" s="0" t="s">
        <v>50</v>
      </c>
      <c r="E27" s="11" t="n">
        <v>-0.08</v>
      </c>
      <c r="G27" s="12" t="s">
        <v>51</v>
      </c>
      <c r="H27" s="6" t="s">
        <v>56</v>
      </c>
      <c r="I27" s="12" t="s">
        <v>119</v>
      </c>
    </row>
    <row r="28" customFormat="false" ht="17.15" hidden="false" customHeight="false" outlineLevel="0" collapsed="false">
      <c r="A28" s="0" t="s">
        <v>120</v>
      </c>
      <c r="B28" s="6" t="s">
        <v>121</v>
      </c>
      <c r="C28" s="0" t="s">
        <v>50</v>
      </c>
      <c r="E28" s="11" t="n">
        <v>-0.15</v>
      </c>
      <c r="G28" s="12" t="s">
        <v>51</v>
      </c>
      <c r="H28" s="6" t="s">
        <v>56</v>
      </c>
      <c r="I28" s="12" t="s">
        <v>122</v>
      </c>
    </row>
    <row r="29" customFormat="false" ht="17.15" hidden="false" customHeight="false" outlineLevel="0" collapsed="false">
      <c r="A29" s="0" t="s">
        <v>123</v>
      </c>
      <c r="B29" s="6" t="s">
        <v>124</v>
      </c>
      <c r="C29" s="0" t="s">
        <v>50</v>
      </c>
      <c r="E29" s="11" t="n">
        <v>-0.25</v>
      </c>
      <c r="G29" s="12" t="s">
        <v>51</v>
      </c>
      <c r="H29" s="6" t="s">
        <v>56</v>
      </c>
      <c r="I29" s="12" t="s">
        <v>125</v>
      </c>
    </row>
    <row r="30" customFormat="false" ht="17.15" hidden="false" customHeight="false" outlineLevel="0" collapsed="false">
      <c r="A30" s="0" t="s">
        <v>126</v>
      </c>
      <c r="B30" s="6" t="s">
        <v>127</v>
      </c>
      <c r="C30" s="0" t="s">
        <v>50</v>
      </c>
      <c r="E30" s="11" t="n">
        <v>-0.15</v>
      </c>
      <c r="G30" s="12" t="s">
        <v>51</v>
      </c>
      <c r="H30" s="6" t="s">
        <v>56</v>
      </c>
      <c r="I30" s="12" t="s">
        <v>128</v>
      </c>
    </row>
    <row r="31" customFormat="false" ht="17.15" hidden="false" customHeight="false" outlineLevel="0" collapsed="false">
      <c r="A31" s="0" t="s">
        <v>129</v>
      </c>
      <c r="B31" s="6" t="s">
        <v>130</v>
      </c>
      <c r="C31" s="0" t="s">
        <v>50</v>
      </c>
      <c r="E31" s="11" t="n">
        <v>-0.1</v>
      </c>
      <c r="G31" s="12" t="s">
        <v>51</v>
      </c>
      <c r="H31" s="6" t="s">
        <v>56</v>
      </c>
      <c r="I31" s="12" t="s">
        <v>131</v>
      </c>
    </row>
    <row r="32" customFormat="false" ht="17.15" hidden="false" customHeight="false" outlineLevel="0" collapsed="false">
      <c r="A32" s="0" t="s">
        <v>132</v>
      </c>
      <c r="B32" s="6" t="s">
        <v>133</v>
      </c>
      <c r="C32" s="0" t="s">
        <v>50</v>
      </c>
      <c r="E32" s="11" t="n">
        <v>-0.05</v>
      </c>
      <c r="G32" s="12" t="s">
        <v>51</v>
      </c>
      <c r="H32" s="6" t="s">
        <v>56</v>
      </c>
      <c r="I32" s="12" t="s">
        <v>134</v>
      </c>
    </row>
    <row r="33" customFormat="false" ht="17.15" hidden="false" customHeight="false" outlineLevel="0" collapsed="false">
      <c r="A33" s="0" t="s">
        <v>135</v>
      </c>
      <c r="B33" s="6" t="s">
        <v>136</v>
      </c>
      <c r="C33" s="0" t="s">
        <v>50</v>
      </c>
      <c r="E33" s="11" t="n">
        <v>0.05</v>
      </c>
      <c r="G33" s="12" t="s">
        <v>51</v>
      </c>
      <c r="H33" s="6" t="s">
        <v>56</v>
      </c>
      <c r="I33" s="12" t="s">
        <v>137</v>
      </c>
    </row>
    <row r="34" customFormat="false" ht="17.15" hidden="false" customHeight="false" outlineLevel="0" collapsed="false">
      <c r="A34" s="0" t="s">
        <v>138</v>
      </c>
      <c r="B34" s="6" t="s">
        <v>139</v>
      </c>
      <c r="C34" s="0" t="s">
        <v>50</v>
      </c>
      <c r="E34" s="11" t="n">
        <v>0.05</v>
      </c>
      <c r="G34" s="12" t="s">
        <v>51</v>
      </c>
      <c r="H34" s="6" t="s">
        <v>56</v>
      </c>
      <c r="I34" s="12" t="s">
        <v>140</v>
      </c>
    </row>
    <row r="35" customFormat="false" ht="17.15" hidden="false" customHeight="false" outlineLevel="0" collapsed="false">
      <c r="A35" s="0" t="s">
        <v>141</v>
      </c>
      <c r="B35" s="6" t="s">
        <v>142</v>
      </c>
      <c r="C35" s="0" t="s">
        <v>50</v>
      </c>
      <c r="E35" s="11" t="n">
        <v>0.03</v>
      </c>
      <c r="G35" s="12" t="s">
        <v>51</v>
      </c>
      <c r="H35" s="6" t="s">
        <v>56</v>
      </c>
      <c r="I35" s="12" t="s">
        <v>143</v>
      </c>
    </row>
    <row r="36" customFormat="false" ht="17.15" hidden="false" customHeight="false" outlineLevel="0" collapsed="false">
      <c r="A36" s="0" t="s">
        <v>144</v>
      </c>
      <c r="B36" s="6" t="s">
        <v>145</v>
      </c>
      <c r="C36" s="0" t="s">
        <v>50</v>
      </c>
      <c r="E36" s="11" t="n">
        <v>0.03</v>
      </c>
      <c r="G36" s="12" t="s">
        <v>51</v>
      </c>
      <c r="H36" s="6" t="s">
        <v>56</v>
      </c>
      <c r="I36" s="12" t="s">
        <v>146</v>
      </c>
    </row>
    <row r="37" customFormat="false" ht="17.15" hidden="false" customHeight="false" outlineLevel="0" collapsed="false">
      <c r="A37" s="0" t="s">
        <v>147</v>
      </c>
      <c r="B37" s="6" t="s">
        <v>148</v>
      </c>
      <c r="C37" s="0" t="s">
        <v>50</v>
      </c>
      <c r="D37" s="11" t="n">
        <v>0</v>
      </c>
      <c r="E37" s="11" t="n">
        <v>0.05</v>
      </c>
      <c r="F37" s="11" t="n">
        <v>0.1</v>
      </c>
      <c r="G37" s="12" t="s">
        <v>149</v>
      </c>
      <c r="H37" s="12" t="s">
        <v>150</v>
      </c>
      <c r="I37" s="12" t="s">
        <v>151</v>
      </c>
    </row>
    <row r="38" customFormat="false" ht="17.15" hidden="false" customHeight="false" outlineLevel="0" collapsed="false">
      <c r="A38" s="0" t="s">
        <v>152</v>
      </c>
      <c r="B38" s="6" t="s">
        <v>153</v>
      </c>
      <c r="C38" s="0" t="s">
        <v>50</v>
      </c>
      <c r="D38" s="11" t="n">
        <v>-0.03</v>
      </c>
      <c r="E38" s="11" t="n">
        <v>0.02</v>
      </c>
      <c r="F38" s="11" t="n">
        <v>0.07</v>
      </c>
      <c r="G38" s="12" t="s">
        <v>149</v>
      </c>
      <c r="H38" s="6" t="s">
        <v>56</v>
      </c>
      <c r="I38" s="12" t="s">
        <v>154</v>
      </c>
    </row>
    <row r="39" customFormat="false" ht="17.15" hidden="false" customHeight="false" outlineLevel="0" collapsed="false">
      <c r="A39" s="0" t="s">
        <v>155</v>
      </c>
      <c r="B39" s="6" t="s">
        <v>156</v>
      </c>
      <c r="C39" s="0" t="s">
        <v>50</v>
      </c>
      <c r="D39" s="11" t="n">
        <v>-0.13</v>
      </c>
      <c r="E39" s="11" t="n">
        <v>-0.08</v>
      </c>
      <c r="F39" s="11" t="n">
        <v>-0.03</v>
      </c>
      <c r="G39" s="12" t="s">
        <v>149</v>
      </c>
      <c r="H39" s="6" t="s">
        <v>56</v>
      </c>
      <c r="I39" s="12" t="s">
        <v>157</v>
      </c>
    </row>
    <row r="40" customFormat="false" ht="17.15" hidden="false" customHeight="false" outlineLevel="0" collapsed="false">
      <c r="A40" s="0" t="s">
        <v>158</v>
      </c>
      <c r="B40" s="6" t="s">
        <v>159</v>
      </c>
      <c r="C40" s="0" t="s">
        <v>50</v>
      </c>
      <c r="D40" s="11" t="n">
        <v>-0.2</v>
      </c>
      <c r="E40" s="11" t="n">
        <v>-0.15</v>
      </c>
      <c r="F40" s="11" t="n">
        <v>-0.1</v>
      </c>
      <c r="G40" s="12" t="s">
        <v>149</v>
      </c>
      <c r="H40" s="6" t="s">
        <v>56</v>
      </c>
      <c r="I40" s="12" t="s">
        <v>160</v>
      </c>
    </row>
    <row r="41" customFormat="false" ht="17.15" hidden="false" customHeight="false" outlineLevel="0" collapsed="false">
      <c r="A41" s="0" t="s">
        <v>161</v>
      </c>
      <c r="B41" s="6" t="s">
        <v>162</v>
      </c>
      <c r="C41" s="0" t="s">
        <v>50</v>
      </c>
      <c r="D41" s="11" t="n">
        <v>-0.45</v>
      </c>
      <c r="E41" s="11" t="n">
        <v>-0.35</v>
      </c>
      <c r="F41" s="11" t="n">
        <v>-0.25</v>
      </c>
      <c r="G41" s="12" t="s">
        <v>149</v>
      </c>
      <c r="H41" s="6" t="s">
        <v>56</v>
      </c>
      <c r="I41" s="12" t="s">
        <v>163</v>
      </c>
    </row>
    <row r="42" customFormat="false" ht="17.15" hidden="false" customHeight="false" outlineLevel="0" collapsed="false">
      <c r="A42" s="0" t="s">
        <v>164</v>
      </c>
      <c r="B42" s="6" t="s">
        <v>165</v>
      </c>
      <c r="C42" s="0" t="s">
        <v>50</v>
      </c>
      <c r="D42" s="11" t="n">
        <v>-0.4</v>
      </c>
      <c r="E42" s="11" t="n">
        <v>-0.3</v>
      </c>
      <c r="F42" s="11" t="n">
        <v>-0.2</v>
      </c>
      <c r="G42" s="12" t="s">
        <v>149</v>
      </c>
      <c r="H42" s="6" t="s">
        <v>56</v>
      </c>
      <c r="I42" s="12" t="s">
        <v>166</v>
      </c>
    </row>
    <row r="43" customFormat="false" ht="17.15" hidden="false" customHeight="false" outlineLevel="0" collapsed="false">
      <c r="A43" s="0" t="s">
        <v>167</v>
      </c>
      <c r="B43" s="6" t="s">
        <v>168</v>
      </c>
      <c r="C43" s="0" t="s">
        <v>50</v>
      </c>
      <c r="D43" s="11" t="n">
        <v>-0.35</v>
      </c>
      <c r="E43" s="11" t="n">
        <v>-0.25</v>
      </c>
      <c r="F43" s="11" t="n">
        <v>-0.15</v>
      </c>
      <c r="G43" s="12" t="s">
        <v>149</v>
      </c>
      <c r="H43" s="6" t="s">
        <v>56</v>
      </c>
      <c r="I43" s="12" t="s">
        <v>169</v>
      </c>
    </row>
    <row r="44" customFormat="false" ht="17.15" hidden="false" customHeight="false" outlineLevel="0" collapsed="false">
      <c r="A44" s="0" t="s">
        <v>170</v>
      </c>
      <c r="B44" s="6" t="s">
        <v>171</v>
      </c>
      <c r="C44" s="0" t="s">
        <v>50</v>
      </c>
      <c r="D44" s="11" t="n">
        <v>-0.3</v>
      </c>
      <c r="E44" s="11" t="n">
        <v>-0.2</v>
      </c>
      <c r="F44" s="11" t="n">
        <v>-0.1</v>
      </c>
      <c r="G44" s="12" t="s">
        <v>149</v>
      </c>
      <c r="H44" s="6" t="s">
        <v>56</v>
      </c>
      <c r="I44" s="12" t="s">
        <v>172</v>
      </c>
    </row>
    <row r="45" customFormat="false" ht="17.15" hidden="false" customHeight="false" outlineLevel="0" collapsed="false">
      <c r="A45" s="0" t="s">
        <v>173</v>
      </c>
      <c r="B45" s="6" t="s">
        <v>174</v>
      </c>
      <c r="C45" s="0" t="s">
        <v>50</v>
      </c>
      <c r="D45" s="11" t="n">
        <v>-0.1</v>
      </c>
      <c r="E45" s="11" t="n">
        <v>0</v>
      </c>
      <c r="F45" s="11" t="n">
        <v>0.1</v>
      </c>
      <c r="G45" s="12" t="s">
        <v>149</v>
      </c>
      <c r="H45" s="6" t="s">
        <v>56</v>
      </c>
      <c r="I45" s="12" t="s">
        <v>175</v>
      </c>
    </row>
    <row r="46" customFormat="false" ht="17.15" hidden="false" customHeight="false" outlineLevel="0" collapsed="false">
      <c r="A46" s="0" t="s">
        <v>176</v>
      </c>
      <c r="B46" s="6" t="s">
        <v>177</v>
      </c>
      <c r="C46" s="0" t="s">
        <v>50</v>
      </c>
      <c r="D46" s="11" t="n">
        <v>-0.05</v>
      </c>
      <c r="E46" s="11" t="n">
        <v>0.05</v>
      </c>
      <c r="F46" s="11" t="n">
        <v>0.15</v>
      </c>
      <c r="G46" s="12" t="s">
        <v>149</v>
      </c>
      <c r="H46" s="6" t="s">
        <v>56</v>
      </c>
      <c r="I46" s="12" t="s">
        <v>178</v>
      </c>
    </row>
    <row r="47" customFormat="false" ht="17.15" hidden="false" customHeight="false" outlineLevel="0" collapsed="false">
      <c r="A47" s="0" t="s">
        <v>179</v>
      </c>
      <c r="B47" s="6" t="s">
        <v>180</v>
      </c>
      <c r="C47" s="0" t="s">
        <v>50</v>
      </c>
      <c r="D47" s="11" t="n">
        <v>-0.02</v>
      </c>
      <c r="E47" s="11" t="n">
        <v>0.08</v>
      </c>
      <c r="F47" s="11" t="n">
        <v>0.18</v>
      </c>
      <c r="G47" s="12" t="s">
        <v>149</v>
      </c>
      <c r="H47" s="6" t="s">
        <v>56</v>
      </c>
      <c r="I47" s="12" t="s">
        <v>181</v>
      </c>
    </row>
    <row r="48" customFormat="false" ht="17.15" hidden="false" customHeight="false" outlineLevel="0" collapsed="false">
      <c r="A48" s="0" t="s">
        <v>182</v>
      </c>
      <c r="B48" s="6" t="s">
        <v>183</v>
      </c>
      <c r="C48" s="0" t="s">
        <v>50</v>
      </c>
      <c r="D48" s="11" t="n">
        <v>0</v>
      </c>
      <c r="E48" s="11" t="n">
        <v>0.1</v>
      </c>
      <c r="F48" s="11" t="n">
        <v>0.2</v>
      </c>
      <c r="G48" s="12" t="s">
        <v>149</v>
      </c>
      <c r="H48" s="6" t="s">
        <v>56</v>
      </c>
      <c r="I48" s="12" t="s">
        <v>184</v>
      </c>
    </row>
    <row r="49" customFormat="false" ht="17.15" hidden="false" customHeight="false" outlineLevel="0" collapsed="false">
      <c r="A49" s="0" t="s">
        <v>185</v>
      </c>
      <c r="B49" s="0" t="s">
        <v>186</v>
      </c>
      <c r="C49" s="0" t="s">
        <v>50</v>
      </c>
      <c r="E49" s="11" t="n">
        <v>0</v>
      </c>
      <c r="G49" s="12" t="s">
        <v>51</v>
      </c>
      <c r="H49" s="12" t="s">
        <v>187</v>
      </c>
      <c r="I49" s="12" t="s">
        <v>188</v>
      </c>
    </row>
    <row r="50" customFormat="false" ht="17.15" hidden="false" customHeight="false" outlineLevel="0" collapsed="false">
      <c r="A50" s="0" t="s">
        <v>189</v>
      </c>
      <c r="B50" s="0" t="s">
        <v>190</v>
      </c>
      <c r="C50" s="0" t="s">
        <v>50</v>
      </c>
      <c r="E50" s="11" t="n">
        <v>0.05</v>
      </c>
      <c r="G50" s="12" t="s">
        <v>51</v>
      </c>
      <c r="H50" s="6" t="s">
        <v>56</v>
      </c>
      <c r="I50" s="12" t="s">
        <v>191</v>
      </c>
    </row>
    <row r="51" customFormat="false" ht="17.15" hidden="false" customHeight="false" outlineLevel="0" collapsed="false">
      <c r="A51" s="0" t="s">
        <v>192</v>
      </c>
      <c r="B51" s="0" t="s">
        <v>193</v>
      </c>
      <c r="C51" s="0" t="s">
        <v>50</v>
      </c>
      <c r="E51" s="11" t="n">
        <v>0.3</v>
      </c>
      <c r="G51" s="12" t="s">
        <v>51</v>
      </c>
      <c r="H51" s="6" t="s">
        <v>56</v>
      </c>
      <c r="I51" s="12" t="s">
        <v>194</v>
      </c>
    </row>
    <row r="52" customFormat="false" ht="17.15" hidden="false" customHeight="false" outlineLevel="0" collapsed="false">
      <c r="A52" s="0" t="s">
        <v>195</v>
      </c>
      <c r="B52" s="0" t="s">
        <v>196</v>
      </c>
      <c r="C52" s="0" t="s">
        <v>50</v>
      </c>
      <c r="E52" s="11" t="n">
        <v>0.875</v>
      </c>
      <c r="G52" s="12" t="s">
        <v>51</v>
      </c>
      <c r="H52" s="6" t="s">
        <v>56</v>
      </c>
      <c r="I52" s="12" t="s">
        <v>197</v>
      </c>
    </row>
    <row r="53" customFormat="false" ht="17.15" hidden="false" customHeight="false" outlineLevel="0" collapsed="false">
      <c r="A53" s="0" t="s">
        <v>198</v>
      </c>
      <c r="B53" s="0" t="s">
        <v>199</v>
      </c>
      <c r="C53" s="0" t="s">
        <v>50</v>
      </c>
      <c r="E53" s="11" t="n">
        <v>0.725</v>
      </c>
      <c r="G53" s="12" t="s">
        <v>51</v>
      </c>
      <c r="H53" s="6" t="s">
        <v>56</v>
      </c>
      <c r="I53" s="12" t="s">
        <v>200</v>
      </c>
    </row>
    <row r="54" customFormat="false" ht="17.15" hidden="false" customHeight="false" outlineLevel="0" collapsed="false">
      <c r="A54" s="0" t="s">
        <v>201</v>
      </c>
      <c r="B54" s="0" t="s">
        <v>202</v>
      </c>
      <c r="C54" s="0" t="s">
        <v>50</v>
      </c>
      <c r="E54" s="11" t="n">
        <v>0.15</v>
      </c>
      <c r="G54" s="12" t="s">
        <v>51</v>
      </c>
      <c r="H54" s="6" t="s">
        <v>56</v>
      </c>
      <c r="I54" s="12" t="s">
        <v>203</v>
      </c>
    </row>
    <row r="55" customFormat="false" ht="17.15" hidden="false" customHeight="false" outlineLevel="0" collapsed="false">
      <c r="A55" s="0" t="s">
        <v>204</v>
      </c>
      <c r="B55" s="0" t="s">
        <v>205</v>
      </c>
      <c r="C55" s="0" t="s">
        <v>50</v>
      </c>
      <c r="E55" s="11" t="n">
        <v>0.175</v>
      </c>
      <c r="G55" s="12" t="s">
        <v>51</v>
      </c>
      <c r="H55" s="6" t="s">
        <v>56</v>
      </c>
      <c r="I55" s="12" t="s">
        <v>206</v>
      </c>
    </row>
    <row r="56" customFormat="false" ht="17.15" hidden="false" customHeight="false" outlineLevel="0" collapsed="false">
      <c r="A56" s="0" t="s">
        <v>207</v>
      </c>
      <c r="B56" s="0" t="s">
        <v>208</v>
      </c>
      <c r="C56" s="0" t="s">
        <v>50</v>
      </c>
      <c r="E56" s="11" t="n">
        <v>0.03</v>
      </c>
      <c r="G56" s="12" t="s">
        <v>51</v>
      </c>
      <c r="H56" s="12" t="s">
        <v>209</v>
      </c>
      <c r="I56" s="12" t="s">
        <v>210</v>
      </c>
    </row>
    <row r="57" customFormat="false" ht="17.15" hidden="false" customHeight="false" outlineLevel="0" collapsed="false">
      <c r="A57" s="0" t="s">
        <v>211</v>
      </c>
      <c r="B57" s="0" t="s">
        <v>212</v>
      </c>
      <c r="C57" s="0" t="s">
        <v>50</v>
      </c>
      <c r="E57" s="11" t="n">
        <v>0</v>
      </c>
      <c r="G57" s="12" t="s">
        <v>51</v>
      </c>
      <c r="H57" s="6" t="s">
        <v>56</v>
      </c>
      <c r="I57" s="12" t="s">
        <v>213</v>
      </c>
    </row>
    <row r="58" customFormat="false" ht="17.15" hidden="false" customHeight="false" outlineLevel="0" collapsed="false">
      <c r="A58" s="0" t="s">
        <v>214</v>
      </c>
      <c r="B58" s="0" t="s">
        <v>215</v>
      </c>
      <c r="C58" s="0" t="s">
        <v>50</v>
      </c>
      <c r="E58" s="11" t="n">
        <v>-0.05</v>
      </c>
      <c r="G58" s="12" t="s">
        <v>51</v>
      </c>
      <c r="H58" s="6" t="s">
        <v>56</v>
      </c>
      <c r="I58" s="12" t="s">
        <v>216</v>
      </c>
    </row>
    <row r="59" customFormat="false" ht="17.15" hidden="false" customHeight="false" outlineLevel="0" collapsed="false">
      <c r="A59" s="0" t="s">
        <v>217</v>
      </c>
      <c r="B59" s="0" t="s">
        <v>218</v>
      </c>
      <c r="C59" s="0" t="s">
        <v>50</v>
      </c>
      <c r="E59" s="11" t="n">
        <v>-0.07</v>
      </c>
      <c r="G59" s="12" t="s">
        <v>51</v>
      </c>
      <c r="H59" s="6" t="s">
        <v>56</v>
      </c>
      <c r="I59" s="12" t="s">
        <v>219</v>
      </c>
    </row>
    <row r="60" customFormat="false" ht="17.15" hidden="false" customHeight="false" outlineLevel="0" collapsed="false">
      <c r="A60" s="0" t="s">
        <v>220</v>
      </c>
      <c r="B60" s="0" t="s">
        <v>221</v>
      </c>
      <c r="C60" s="0" t="s">
        <v>50</v>
      </c>
      <c r="E60" s="11" t="n">
        <v>-0.05</v>
      </c>
      <c r="G60" s="12" t="s">
        <v>51</v>
      </c>
      <c r="H60" s="6" t="s">
        <v>56</v>
      </c>
      <c r="I60" s="12" t="s">
        <v>222</v>
      </c>
    </row>
    <row r="61" customFormat="false" ht="17.15" hidden="false" customHeight="false" outlineLevel="0" collapsed="false">
      <c r="A61" s="0" t="s">
        <v>223</v>
      </c>
      <c r="B61" s="0" t="s">
        <v>224</v>
      </c>
      <c r="C61" s="0" t="s">
        <v>50</v>
      </c>
      <c r="E61" s="11" t="n">
        <v>-0.05</v>
      </c>
      <c r="G61" s="12" t="s">
        <v>51</v>
      </c>
      <c r="H61" s="6" t="s">
        <v>56</v>
      </c>
      <c r="I61" s="12" t="s">
        <v>225</v>
      </c>
    </row>
    <row r="62" customFormat="false" ht="17.15" hidden="false" customHeight="false" outlineLevel="0" collapsed="false">
      <c r="A62" s="0" t="s">
        <v>226</v>
      </c>
      <c r="B62" s="0" t="s">
        <v>227</v>
      </c>
      <c r="C62" s="0" t="s">
        <v>50</v>
      </c>
      <c r="E62" s="11" t="n">
        <v>-0.05</v>
      </c>
      <c r="G62" s="12" t="s">
        <v>51</v>
      </c>
      <c r="H62" s="6" t="s">
        <v>56</v>
      </c>
      <c r="I62" s="12" t="s">
        <v>228</v>
      </c>
    </row>
    <row r="63" customFormat="false" ht="17.15" hidden="false" customHeight="false" outlineLevel="0" collapsed="false">
      <c r="A63" s="0" t="s">
        <v>229</v>
      </c>
      <c r="B63" s="0" t="s">
        <v>230</v>
      </c>
      <c r="C63" s="0" t="s">
        <v>50</v>
      </c>
      <c r="E63" s="11" t="n">
        <v>-0.05</v>
      </c>
      <c r="G63" s="12" t="s">
        <v>51</v>
      </c>
      <c r="H63" s="6" t="s">
        <v>56</v>
      </c>
      <c r="I63" s="12" t="s">
        <v>231</v>
      </c>
    </row>
    <row r="64" customFormat="false" ht="17.15" hidden="false" customHeight="false" outlineLevel="0" collapsed="false">
      <c r="A64" s="0" t="s">
        <v>232</v>
      </c>
      <c r="B64" s="0" t="s">
        <v>233</v>
      </c>
      <c r="C64" s="0" t="s">
        <v>50</v>
      </c>
      <c r="E64" s="11" t="n">
        <v>-0.03</v>
      </c>
      <c r="G64" s="12" t="s">
        <v>51</v>
      </c>
      <c r="H64" s="6" t="s">
        <v>56</v>
      </c>
      <c r="I64" s="12" t="s">
        <v>234</v>
      </c>
    </row>
    <row r="65" customFormat="false" ht="17.15" hidden="false" customHeight="false" outlineLevel="0" collapsed="false">
      <c r="A65" s="0" t="s">
        <v>235</v>
      </c>
      <c r="B65" s="0" t="s">
        <v>236</v>
      </c>
      <c r="C65" s="0" t="s">
        <v>50</v>
      </c>
      <c r="E65" s="11" t="n">
        <v>-0.03</v>
      </c>
      <c r="G65" s="12" t="s">
        <v>51</v>
      </c>
      <c r="H65" s="6" t="s">
        <v>56</v>
      </c>
      <c r="I65" s="12" t="s">
        <v>237</v>
      </c>
    </row>
    <row r="66" customFormat="false" ht="17.15" hidden="false" customHeight="false" outlineLevel="0" collapsed="false">
      <c r="A66" s="0" t="s">
        <v>238</v>
      </c>
      <c r="B66" s="0" t="s">
        <v>239</v>
      </c>
      <c r="C66" s="0" t="s">
        <v>50</v>
      </c>
      <c r="E66" s="11" t="n">
        <v>-0.03</v>
      </c>
      <c r="G66" s="12" t="s">
        <v>51</v>
      </c>
      <c r="H66" s="6" t="s">
        <v>56</v>
      </c>
      <c r="I66" s="12" t="s">
        <v>240</v>
      </c>
    </row>
    <row r="67" customFormat="false" ht="17.15" hidden="false" customHeight="false" outlineLevel="0" collapsed="false">
      <c r="A67" s="0" t="s">
        <v>241</v>
      </c>
      <c r="B67" s="0" t="s">
        <v>242</v>
      </c>
      <c r="C67" s="0" t="s">
        <v>50</v>
      </c>
      <c r="E67" s="11" t="n">
        <v>-0.03</v>
      </c>
      <c r="G67" s="12" t="s">
        <v>51</v>
      </c>
      <c r="H67" s="6" t="s">
        <v>56</v>
      </c>
      <c r="I67" s="12" t="s">
        <v>243</v>
      </c>
    </row>
    <row r="68" customFormat="false" ht="17.15" hidden="false" customHeight="false" outlineLevel="0" collapsed="false">
      <c r="A68" s="0" t="s">
        <v>244</v>
      </c>
      <c r="B68" s="0" t="s">
        <v>245</v>
      </c>
      <c r="C68" s="0" t="s">
        <v>50</v>
      </c>
      <c r="E68" s="11" t="n">
        <v>0.05</v>
      </c>
      <c r="G68" s="12" t="s">
        <v>51</v>
      </c>
      <c r="H68" s="12" t="s">
        <v>246</v>
      </c>
      <c r="I68" s="12" t="s">
        <v>247</v>
      </c>
    </row>
    <row r="69" customFormat="false" ht="17.15" hidden="false" customHeight="false" outlineLevel="0" collapsed="false">
      <c r="A69" s="0" t="s">
        <v>248</v>
      </c>
      <c r="B69" s="0" t="s">
        <v>249</v>
      </c>
      <c r="C69" s="0" t="s">
        <v>50</v>
      </c>
      <c r="E69" s="11" t="n">
        <v>0.02</v>
      </c>
      <c r="G69" s="12" t="s">
        <v>51</v>
      </c>
      <c r="H69" s="6" t="s">
        <v>56</v>
      </c>
      <c r="I69" s="12" t="s">
        <v>250</v>
      </c>
    </row>
    <row r="70" customFormat="false" ht="17.15" hidden="false" customHeight="false" outlineLevel="0" collapsed="false">
      <c r="A70" s="0" t="s">
        <v>251</v>
      </c>
      <c r="B70" s="0" t="s">
        <v>252</v>
      </c>
      <c r="C70" s="0" t="s">
        <v>50</v>
      </c>
      <c r="E70" s="11" t="n">
        <v>-0.1</v>
      </c>
      <c r="G70" s="12" t="s">
        <v>51</v>
      </c>
      <c r="H70" s="6" t="s">
        <v>56</v>
      </c>
      <c r="I70" s="12" t="s">
        <v>253</v>
      </c>
    </row>
    <row r="71" customFormat="false" ht="17.15" hidden="false" customHeight="false" outlineLevel="0" collapsed="false">
      <c r="A71" s="0" t="s">
        <v>254</v>
      </c>
      <c r="B71" s="0" t="s">
        <v>255</v>
      </c>
      <c r="C71" s="0" t="s">
        <v>50</v>
      </c>
      <c r="E71" s="11" t="n">
        <v>-0.2</v>
      </c>
      <c r="G71" s="12" t="s">
        <v>51</v>
      </c>
      <c r="H71" s="6" t="s">
        <v>56</v>
      </c>
      <c r="I71" s="12" t="s">
        <v>256</v>
      </c>
    </row>
    <row r="72" customFormat="false" ht="17.15" hidden="false" customHeight="false" outlineLevel="0" collapsed="false">
      <c r="A72" s="0" t="s">
        <v>257</v>
      </c>
      <c r="B72" s="0" t="s">
        <v>258</v>
      </c>
      <c r="C72" s="0" t="s">
        <v>50</v>
      </c>
      <c r="E72" s="11" t="n">
        <v>-0.3</v>
      </c>
      <c r="G72" s="12" t="s">
        <v>51</v>
      </c>
      <c r="H72" s="6" t="s">
        <v>56</v>
      </c>
      <c r="I72" s="12" t="s">
        <v>259</v>
      </c>
    </row>
    <row r="73" customFormat="false" ht="17.15" hidden="false" customHeight="false" outlineLevel="0" collapsed="false">
      <c r="A73" s="0" t="s">
        <v>260</v>
      </c>
      <c r="B73" s="0" t="s">
        <v>261</v>
      </c>
      <c r="C73" s="0" t="s">
        <v>50</v>
      </c>
      <c r="E73" s="11" t="n">
        <v>-0.25</v>
      </c>
      <c r="G73" s="12" t="s">
        <v>51</v>
      </c>
      <c r="H73" s="6" t="s">
        <v>56</v>
      </c>
      <c r="I73" s="12" t="s">
        <v>262</v>
      </c>
    </row>
    <row r="74" customFormat="false" ht="17.15" hidden="false" customHeight="false" outlineLevel="0" collapsed="false">
      <c r="A74" s="0" t="s">
        <v>263</v>
      </c>
      <c r="B74" s="0" t="s">
        <v>264</v>
      </c>
      <c r="C74" s="0" t="s">
        <v>50</v>
      </c>
      <c r="E74" s="11" t="n">
        <v>-0.2</v>
      </c>
      <c r="G74" s="12" t="s">
        <v>51</v>
      </c>
      <c r="H74" s="6" t="s">
        <v>56</v>
      </c>
      <c r="I74" s="12" t="s">
        <v>265</v>
      </c>
    </row>
    <row r="75" customFormat="false" ht="17.15" hidden="false" customHeight="false" outlineLevel="0" collapsed="false">
      <c r="A75" s="0" t="s">
        <v>266</v>
      </c>
      <c r="B75" s="0" t="s">
        <v>267</v>
      </c>
      <c r="C75" s="0" t="s">
        <v>50</v>
      </c>
      <c r="E75" s="11" t="n">
        <v>-0.1</v>
      </c>
      <c r="G75" s="12" t="s">
        <v>51</v>
      </c>
      <c r="H75" s="6" t="s">
        <v>56</v>
      </c>
      <c r="I75" s="12" t="s">
        <v>268</v>
      </c>
    </row>
    <row r="76" customFormat="false" ht="17.15" hidden="false" customHeight="false" outlineLevel="0" collapsed="false">
      <c r="A76" s="0" t="s">
        <v>269</v>
      </c>
      <c r="B76" s="0" t="s">
        <v>270</v>
      </c>
      <c r="C76" s="0" t="s">
        <v>50</v>
      </c>
      <c r="E76" s="11" t="n">
        <v>0.05</v>
      </c>
      <c r="G76" s="12" t="s">
        <v>51</v>
      </c>
      <c r="H76" s="6" t="s">
        <v>56</v>
      </c>
      <c r="I76" s="12" t="s">
        <v>271</v>
      </c>
    </row>
    <row r="77" customFormat="false" ht="17.15" hidden="false" customHeight="false" outlineLevel="0" collapsed="false">
      <c r="A77" s="0" t="s">
        <v>272</v>
      </c>
      <c r="B77" s="0" t="s">
        <v>273</v>
      </c>
      <c r="C77" s="0" t="s">
        <v>50</v>
      </c>
      <c r="E77" s="11" t="n">
        <v>0.05</v>
      </c>
      <c r="G77" s="12" t="s">
        <v>51</v>
      </c>
      <c r="H77" s="6" t="s">
        <v>56</v>
      </c>
      <c r="I77" s="12" t="s">
        <v>274</v>
      </c>
    </row>
    <row r="78" customFormat="false" ht="17.15" hidden="false" customHeight="false" outlineLevel="0" collapsed="false">
      <c r="A78" s="0" t="s">
        <v>275</v>
      </c>
      <c r="B78" s="0" t="s">
        <v>276</v>
      </c>
      <c r="C78" s="0" t="s">
        <v>50</v>
      </c>
      <c r="E78" s="11" t="n">
        <v>0.03</v>
      </c>
      <c r="G78" s="12" t="s">
        <v>51</v>
      </c>
      <c r="H78" s="6" t="s">
        <v>56</v>
      </c>
      <c r="I78" s="12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50</v>
      </c>
      <c r="E79" s="11" t="n">
        <v>0.03</v>
      </c>
      <c r="G79" s="12" t="s">
        <v>51</v>
      </c>
      <c r="H79" s="6" t="s">
        <v>56</v>
      </c>
      <c r="I79" s="12" t="s">
        <v>280</v>
      </c>
    </row>
    <row r="80" customFormat="false" ht="17.15" hidden="false" customHeight="false" outlineLevel="0" collapsed="false">
      <c r="A80" s="0" t="s">
        <v>281</v>
      </c>
      <c r="B80" s="0" t="s">
        <v>282</v>
      </c>
      <c r="C80" s="0" t="s">
        <v>50</v>
      </c>
      <c r="D80" s="11" t="n">
        <v>0</v>
      </c>
      <c r="E80" s="11" t="n">
        <v>0.05</v>
      </c>
      <c r="F80" s="11" t="n">
        <v>0.1</v>
      </c>
      <c r="G80" s="12" t="s">
        <v>149</v>
      </c>
      <c r="H80" s="12" t="s">
        <v>283</v>
      </c>
      <c r="I80" s="12" t="s">
        <v>284</v>
      </c>
    </row>
    <row r="81" customFormat="false" ht="17.15" hidden="false" customHeight="false" outlineLevel="0" collapsed="false">
      <c r="A81" s="0" t="s">
        <v>285</v>
      </c>
      <c r="B81" s="0" t="s">
        <v>286</v>
      </c>
      <c r="C81" s="0" t="s">
        <v>50</v>
      </c>
      <c r="D81" s="11" t="n">
        <v>-0.03</v>
      </c>
      <c r="E81" s="11" t="n">
        <v>0.02</v>
      </c>
      <c r="F81" s="11" t="n">
        <v>0.07</v>
      </c>
      <c r="G81" s="12" t="s">
        <v>149</v>
      </c>
      <c r="H81" s="6" t="s">
        <v>56</v>
      </c>
      <c r="I81" s="12" t="s">
        <v>287</v>
      </c>
    </row>
    <row r="82" customFormat="false" ht="17.15" hidden="false" customHeight="false" outlineLevel="0" collapsed="false">
      <c r="A82" s="0" t="s">
        <v>288</v>
      </c>
      <c r="B82" s="0" t="s">
        <v>289</v>
      </c>
      <c r="C82" s="0" t="s">
        <v>50</v>
      </c>
      <c r="D82" s="11" t="n">
        <v>-0.15</v>
      </c>
      <c r="E82" s="11" t="n">
        <v>-0.1</v>
      </c>
      <c r="F82" s="11" t="n">
        <v>-0.05</v>
      </c>
      <c r="G82" s="12" t="s">
        <v>149</v>
      </c>
      <c r="H82" s="6" t="s">
        <v>56</v>
      </c>
      <c r="I82" s="12" t="s">
        <v>290</v>
      </c>
    </row>
    <row r="83" customFormat="false" ht="17.15" hidden="false" customHeight="false" outlineLevel="0" collapsed="false">
      <c r="A83" s="0" t="s">
        <v>291</v>
      </c>
      <c r="B83" s="0" t="s">
        <v>292</v>
      </c>
      <c r="C83" s="0" t="s">
        <v>50</v>
      </c>
      <c r="D83" s="11" t="n">
        <v>-0.25</v>
      </c>
      <c r="E83" s="11" t="n">
        <v>-0.2</v>
      </c>
      <c r="F83" s="11" t="n">
        <v>-0.15</v>
      </c>
      <c r="G83" s="12" t="s">
        <v>149</v>
      </c>
      <c r="H83" s="6" t="s">
        <v>56</v>
      </c>
      <c r="I83" s="12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50</v>
      </c>
      <c r="D84" s="11" t="n">
        <v>-0.45</v>
      </c>
      <c r="E84" s="11" t="n">
        <v>-0.35</v>
      </c>
      <c r="F84" s="11" t="n">
        <v>-0.25</v>
      </c>
      <c r="G84" s="12" t="s">
        <v>149</v>
      </c>
      <c r="H84" s="6" t="s">
        <v>56</v>
      </c>
      <c r="I84" s="12" t="s">
        <v>296</v>
      </c>
    </row>
    <row r="85" customFormat="false" ht="17.15" hidden="false" customHeight="false" outlineLevel="0" collapsed="false">
      <c r="A85" s="0" t="s">
        <v>297</v>
      </c>
      <c r="B85" s="0" t="s">
        <v>298</v>
      </c>
      <c r="C85" s="0" t="s">
        <v>50</v>
      </c>
      <c r="D85" s="11" t="n">
        <v>-0.45</v>
      </c>
      <c r="E85" s="11" t="n">
        <v>-0.35</v>
      </c>
      <c r="F85" s="11" t="n">
        <v>-0.25</v>
      </c>
      <c r="G85" s="12" t="s">
        <v>149</v>
      </c>
      <c r="H85" s="6" t="s">
        <v>56</v>
      </c>
      <c r="I85" s="12" t="s">
        <v>299</v>
      </c>
    </row>
    <row r="86" customFormat="false" ht="17.15" hidden="false" customHeight="false" outlineLevel="0" collapsed="false">
      <c r="A86" s="0" t="s">
        <v>300</v>
      </c>
      <c r="B86" s="0" t="s">
        <v>301</v>
      </c>
      <c r="C86" s="0" t="s">
        <v>50</v>
      </c>
      <c r="D86" s="11" t="n">
        <v>-0.35</v>
      </c>
      <c r="E86" s="11" t="n">
        <v>-0.25</v>
      </c>
      <c r="F86" s="11" t="n">
        <v>-0.15</v>
      </c>
      <c r="G86" s="12" t="s">
        <v>149</v>
      </c>
      <c r="H86" s="6" t="s">
        <v>56</v>
      </c>
      <c r="I86" s="12" t="s">
        <v>302</v>
      </c>
    </row>
    <row r="87" customFormat="false" ht="17.15" hidden="false" customHeight="false" outlineLevel="0" collapsed="false">
      <c r="A87" s="0" t="s">
        <v>303</v>
      </c>
      <c r="B87" s="0" t="s">
        <v>304</v>
      </c>
      <c r="C87" s="0" t="s">
        <v>50</v>
      </c>
      <c r="D87" s="11" t="n">
        <v>-0.3</v>
      </c>
      <c r="E87" s="11" t="n">
        <v>-0.2</v>
      </c>
      <c r="F87" s="11" t="n">
        <v>-0.1</v>
      </c>
      <c r="G87" s="12" t="s">
        <v>149</v>
      </c>
      <c r="H87" s="6" t="s">
        <v>56</v>
      </c>
      <c r="I87" s="12" t="s">
        <v>305</v>
      </c>
    </row>
    <row r="88" customFormat="false" ht="17.15" hidden="false" customHeight="false" outlineLevel="0" collapsed="false">
      <c r="A88" s="0" t="s">
        <v>306</v>
      </c>
      <c r="B88" s="0" t="s">
        <v>307</v>
      </c>
      <c r="C88" s="0" t="s">
        <v>50</v>
      </c>
      <c r="D88" s="11" t="n">
        <v>-0.1</v>
      </c>
      <c r="E88" s="11" t="n">
        <v>0</v>
      </c>
      <c r="F88" s="11" t="n">
        <v>0.1</v>
      </c>
      <c r="G88" s="12" t="s">
        <v>149</v>
      </c>
      <c r="H88" s="6" t="s">
        <v>56</v>
      </c>
      <c r="I88" s="12" t="s">
        <v>308</v>
      </c>
    </row>
    <row r="89" customFormat="false" ht="17.15" hidden="false" customHeight="false" outlineLevel="0" collapsed="false">
      <c r="A89" s="0" t="s">
        <v>309</v>
      </c>
      <c r="B89" s="0" t="s">
        <v>310</v>
      </c>
      <c r="C89" s="0" t="s">
        <v>50</v>
      </c>
      <c r="D89" s="11" t="n">
        <v>-0.05</v>
      </c>
      <c r="E89" s="11" t="n">
        <v>0.05</v>
      </c>
      <c r="F89" s="11" t="n">
        <v>0.15</v>
      </c>
      <c r="G89" s="12" t="s">
        <v>149</v>
      </c>
      <c r="H89" s="6" t="s">
        <v>56</v>
      </c>
      <c r="I89" s="12" t="s">
        <v>311</v>
      </c>
    </row>
    <row r="90" customFormat="false" ht="17.15" hidden="false" customHeight="false" outlineLevel="0" collapsed="false">
      <c r="A90" s="0" t="s">
        <v>312</v>
      </c>
      <c r="B90" s="0" t="s">
        <v>313</v>
      </c>
      <c r="C90" s="0" t="s">
        <v>50</v>
      </c>
      <c r="D90" s="11" t="n">
        <v>-0.02</v>
      </c>
      <c r="E90" s="11" t="n">
        <v>0.08</v>
      </c>
      <c r="F90" s="11" t="n">
        <v>0.18</v>
      </c>
      <c r="G90" s="12" t="s">
        <v>149</v>
      </c>
      <c r="H90" s="6" t="s">
        <v>56</v>
      </c>
      <c r="I90" s="12" t="s">
        <v>314</v>
      </c>
    </row>
    <row r="91" customFormat="false" ht="17.15" hidden="false" customHeight="false" outlineLevel="0" collapsed="false">
      <c r="A91" s="0" t="s">
        <v>315</v>
      </c>
      <c r="B91" s="0" t="s">
        <v>316</v>
      </c>
      <c r="C91" s="0" t="s">
        <v>50</v>
      </c>
      <c r="D91" s="11" t="n">
        <v>0</v>
      </c>
      <c r="E91" s="11" t="n">
        <v>0.1</v>
      </c>
      <c r="F91" s="11" t="n">
        <v>0.2</v>
      </c>
      <c r="G91" s="12" t="s">
        <v>149</v>
      </c>
      <c r="H91" s="6" t="s">
        <v>56</v>
      </c>
      <c r="I91" s="12" t="s">
        <v>317</v>
      </c>
    </row>
    <row r="92" customFormat="false" ht="17.15" hidden="false" customHeight="false" outlineLevel="0" collapsed="false">
      <c r="A92" s="10" t="s">
        <v>318</v>
      </c>
    </row>
    <row r="93" customFormat="false" ht="17.15" hidden="false" customHeight="false" outlineLevel="0" collapsed="false">
      <c r="A93" s="0" t="s">
        <v>319</v>
      </c>
      <c r="B93" s="0" t="s">
        <v>320</v>
      </c>
      <c r="C93" s="6" t="s">
        <v>321</v>
      </c>
      <c r="E93" s="13" t="n">
        <v>5.4</v>
      </c>
      <c r="G93" s="12" t="s">
        <v>51</v>
      </c>
      <c r="H93" s="6" t="s">
        <v>322</v>
      </c>
      <c r="I93" s="12" t="s">
        <v>323</v>
      </c>
    </row>
    <row r="94" customFormat="false" ht="17.15" hidden="false" customHeight="false" outlineLevel="0" collapsed="false">
      <c r="A94" s="0" t="s">
        <v>324</v>
      </c>
      <c r="B94" s="0" t="s">
        <v>325</v>
      </c>
      <c r="C94" s="6" t="s">
        <v>321</v>
      </c>
      <c r="E94" s="13" t="n">
        <v>2.4</v>
      </c>
      <c r="G94" s="12" t="s">
        <v>51</v>
      </c>
      <c r="H94" s="6" t="s">
        <v>56</v>
      </c>
      <c r="I94" s="12" t="s">
        <v>326</v>
      </c>
    </row>
    <row r="95" customFormat="false" ht="17.15" hidden="false" customHeight="false" outlineLevel="0" collapsed="false">
      <c r="A95" s="0" t="s">
        <v>327</v>
      </c>
      <c r="B95" s="0" t="s">
        <v>328</v>
      </c>
      <c r="C95" s="6" t="s">
        <v>321</v>
      </c>
      <c r="E95" s="13" t="n">
        <v>0.5</v>
      </c>
      <c r="G95" s="12" t="s">
        <v>51</v>
      </c>
      <c r="H95" s="6" t="s">
        <v>56</v>
      </c>
      <c r="I95" s="12" t="s">
        <v>329</v>
      </c>
    </row>
    <row r="96" customFormat="false" ht="17.15" hidden="false" customHeight="false" outlineLevel="0" collapsed="false">
      <c r="A96" s="0" t="s">
        <v>330</v>
      </c>
      <c r="B96" s="0" t="s">
        <v>331</v>
      </c>
      <c r="C96" s="0" t="s">
        <v>332</v>
      </c>
      <c r="E96" s="13" t="n">
        <v>260</v>
      </c>
      <c r="G96" s="12" t="s">
        <v>51</v>
      </c>
      <c r="H96" s="6" t="s">
        <v>56</v>
      </c>
      <c r="I96" s="12" t="s">
        <v>333</v>
      </c>
    </row>
    <row r="97" customFormat="false" ht="17.15" hidden="false" customHeight="false" outlineLevel="0" collapsed="false">
      <c r="A97" s="0" t="s">
        <v>334</v>
      </c>
      <c r="B97" s="0" t="s">
        <v>335</v>
      </c>
      <c r="C97" s="0" t="s">
        <v>332</v>
      </c>
      <c r="E97" s="13" t="n">
        <v>280</v>
      </c>
      <c r="G97" s="12" t="s">
        <v>51</v>
      </c>
      <c r="H97" s="6" t="s">
        <v>56</v>
      </c>
      <c r="I97" s="12" t="s">
        <v>336</v>
      </c>
    </row>
    <row r="98" customFormat="false" ht="17.15" hidden="false" customHeight="false" outlineLevel="0" collapsed="false">
      <c r="A98" s="0" t="s">
        <v>337</v>
      </c>
      <c r="B98" s="0" t="s">
        <v>338</v>
      </c>
      <c r="C98" s="0" t="s">
        <v>332</v>
      </c>
      <c r="E98" s="13" t="n">
        <v>288</v>
      </c>
      <c r="G98" s="12" t="s">
        <v>51</v>
      </c>
      <c r="H98" s="6" t="s">
        <v>56</v>
      </c>
      <c r="I98" s="12" t="s">
        <v>339</v>
      </c>
    </row>
    <row r="99" customFormat="false" ht="17.15" hidden="false" customHeight="false" outlineLevel="0" collapsed="false">
      <c r="A99" s="0" t="s">
        <v>340</v>
      </c>
      <c r="B99" s="0" t="s">
        <v>341</v>
      </c>
      <c r="C99" s="6" t="s">
        <v>321</v>
      </c>
      <c r="E99" s="13" t="n">
        <v>1.7</v>
      </c>
      <c r="G99" s="12" t="s">
        <v>51</v>
      </c>
      <c r="H99" s="12" t="s">
        <v>342</v>
      </c>
      <c r="I99" s="12" t="s">
        <v>343</v>
      </c>
    </row>
    <row r="100" customFormat="false" ht="17.15" hidden="false" customHeight="false" outlineLevel="0" collapsed="false">
      <c r="A100" s="0" t="s">
        <v>344</v>
      </c>
      <c r="B100" s="0" t="s">
        <v>345</v>
      </c>
      <c r="C100" s="6" t="s">
        <v>321</v>
      </c>
      <c r="E100" s="13" t="n">
        <v>7</v>
      </c>
      <c r="G100" s="12" t="s">
        <v>51</v>
      </c>
      <c r="H100" s="6" t="s">
        <v>56</v>
      </c>
      <c r="I100" s="12" t="s">
        <v>346</v>
      </c>
    </row>
    <row r="101" customFormat="false" ht="17.15" hidden="false" customHeight="false" outlineLevel="0" collapsed="false">
      <c r="A101" s="0" t="s">
        <v>347</v>
      </c>
      <c r="B101" s="0" t="s">
        <v>348</v>
      </c>
      <c r="C101" s="6" t="s">
        <v>321</v>
      </c>
      <c r="E101" s="13" t="n">
        <v>7</v>
      </c>
      <c r="G101" s="12" t="s">
        <v>51</v>
      </c>
      <c r="H101" s="6" t="s">
        <v>56</v>
      </c>
      <c r="I101" s="12" t="s">
        <v>349</v>
      </c>
    </row>
    <row r="102" customFormat="false" ht="17.15" hidden="false" customHeight="false" outlineLevel="0" collapsed="false">
      <c r="A102" s="0" t="s">
        <v>350</v>
      </c>
      <c r="B102" s="0" t="s">
        <v>351</v>
      </c>
      <c r="C102" s="0" t="s">
        <v>332</v>
      </c>
      <c r="E102" s="13" t="n">
        <v>288</v>
      </c>
      <c r="G102" s="12" t="s">
        <v>51</v>
      </c>
      <c r="H102" s="6" t="s">
        <v>56</v>
      </c>
      <c r="I102" s="12" t="s">
        <v>352</v>
      </c>
    </row>
    <row r="103" customFormat="false" ht="17.15" hidden="false" customHeight="false" outlineLevel="0" collapsed="false">
      <c r="A103" s="0" t="s">
        <v>353</v>
      </c>
      <c r="B103" s="0" t="s">
        <v>354</v>
      </c>
      <c r="C103" s="0" t="s">
        <v>332</v>
      </c>
      <c r="E103" s="13" t="n">
        <v>288</v>
      </c>
      <c r="G103" s="12" t="s">
        <v>51</v>
      </c>
      <c r="H103" s="6" t="s">
        <v>56</v>
      </c>
      <c r="I103" s="12" t="s">
        <v>355</v>
      </c>
    </row>
    <row r="104" customFormat="false" ht="17.15" hidden="false" customHeight="false" outlineLevel="0" collapsed="false">
      <c r="A104" s="0" t="s">
        <v>356</v>
      </c>
      <c r="B104" s="0" t="s">
        <v>357</v>
      </c>
      <c r="C104" s="0" t="s">
        <v>332</v>
      </c>
      <c r="E104" s="13" t="n">
        <v>288</v>
      </c>
      <c r="G104" s="12" t="s">
        <v>51</v>
      </c>
      <c r="H104" s="6" t="s">
        <v>56</v>
      </c>
      <c r="I104" s="12" t="s">
        <v>358</v>
      </c>
    </row>
    <row r="105" customFormat="false" ht="17.15" hidden="false" customHeight="false" outlineLevel="0" collapsed="false">
      <c r="A105" s="0" t="s">
        <v>359</v>
      </c>
      <c r="B105" s="0" t="s">
        <v>360</v>
      </c>
      <c r="C105" s="6" t="s">
        <v>321</v>
      </c>
      <c r="D105" s="13" t="n">
        <v>0</v>
      </c>
      <c r="E105" s="13" t="n">
        <v>0</v>
      </c>
      <c r="F105" s="13" t="n">
        <v>0</v>
      </c>
      <c r="G105" s="12" t="s">
        <v>149</v>
      </c>
      <c r="H105" s="6" t="s">
        <v>361</v>
      </c>
      <c r="I105" s="12" t="s">
        <v>362</v>
      </c>
    </row>
    <row r="106" customFormat="false" ht="17.15" hidden="false" customHeight="false" outlineLevel="0" collapsed="false">
      <c r="A106" s="0" t="s">
        <v>363</v>
      </c>
      <c r="B106" s="0" t="s">
        <v>364</v>
      </c>
      <c r="C106" s="6" t="s">
        <v>321</v>
      </c>
      <c r="D106" s="13" t="n">
        <v>0</v>
      </c>
      <c r="E106" s="13" t="n">
        <v>0.3</v>
      </c>
      <c r="F106" s="13" t="n">
        <v>0.6</v>
      </c>
      <c r="G106" s="12" t="s">
        <v>149</v>
      </c>
      <c r="H106" s="6" t="s">
        <v>56</v>
      </c>
      <c r="I106" s="12" t="s">
        <v>365</v>
      </c>
    </row>
    <row r="107" customFormat="false" ht="17.15" hidden="false" customHeight="false" outlineLevel="0" collapsed="false">
      <c r="A107" s="0" t="s">
        <v>366</v>
      </c>
      <c r="B107" s="0" t="s">
        <v>367</v>
      </c>
      <c r="C107" s="6" t="s">
        <v>321</v>
      </c>
      <c r="D107" s="13" t="n">
        <v>1</v>
      </c>
      <c r="E107" s="13" t="n">
        <v>2</v>
      </c>
      <c r="F107" s="13" t="n">
        <v>3</v>
      </c>
      <c r="G107" s="12" t="s">
        <v>149</v>
      </c>
      <c r="H107" s="6" t="s">
        <v>56</v>
      </c>
      <c r="I107" s="12" t="s">
        <v>368</v>
      </c>
    </row>
    <row r="108" customFormat="false" ht="17.15" hidden="false" customHeight="false" outlineLevel="0" collapsed="false">
      <c r="A108" s="0" t="s">
        <v>369</v>
      </c>
      <c r="B108" s="0" t="s">
        <v>370</v>
      </c>
      <c r="C108" s="0" t="s">
        <v>332</v>
      </c>
      <c r="E108" s="13" t="n">
        <v>1024</v>
      </c>
      <c r="G108" s="12" t="s">
        <v>51</v>
      </c>
      <c r="H108" s="12" t="s">
        <v>371</v>
      </c>
      <c r="I108" s="12" t="s">
        <v>372</v>
      </c>
    </row>
    <row r="109" customFormat="false" ht="17.15" hidden="false" customHeight="false" outlineLevel="0" collapsed="false">
      <c r="A109" s="0" t="s">
        <v>373</v>
      </c>
      <c r="B109" s="0" t="s">
        <v>374</v>
      </c>
      <c r="C109" s="0" t="s">
        <v>332</v>
      </c>
      <c r="E109" s="13" t="n">
        <v>1024</v>
      </c>
      <c r="G109" s="12" t="s">
        <v>51</v>
      </c>
      <c r="H109" s="6" t="s">
        <v>56</v>
      </c>
      <c r="I109" s="12" t="s">
        <v>375</v>
      </c>
    </row>
    <row r="110" customFormat="false" ht="17.15" hidden="false" customHeight="false" outlineLevel="0" collapsed="false">
      <c r="A110" s="0" t="s">
        <v>376</v>
      </c>
      <c r="B110" s="0" t="s">
        <v>377</v>
      </c>
      <c r="C110" s="0" t="s">
        <v>332</v>
      </c>
      <c r="E110" s="13" t="n">
        <v>1024</v>
      </c>
      <c r="G110" s="12" t="s">
        <v>51</v>
      </c>
      <c r="H110" s="6" t="s">
        <v>56</v>
      </c>
      <c r="I110" s="12" t="s">
        <v>378</v>
      </c>
    </row>
    <row r="111" customFormat="false" ht="17.15" hidden="false" customHeight="false" outlineLevel="0" collapsed="false">
      <c r="A111" s="0" t="s">
        <v>379</v>
      </c>
      <c r="B111" s="0" t="s">
        <v>380</v>
      </c>
      <c r="C111" s="6" t="s">
        <v>321</v>
      </c>
      <c r="E111" s="13" t="n">
        <v>0.5</v>
      </c>
      <c r="G111" s="12" t="s">
        <v>51</v>
      </c>
      <c r="H111" s="12" t="s">
        <v>381</v>
      </c>
      <c r="I111" s="12" t="s">
        <v>382</v>
      </c>
    </row>
    <row r="112" customFormat="false" ht="17.15" hidden="false" customHeight="false" outlineLevel="0" collapsed="false">
      <c r="A112" s="0" t="s">
        <v>383</v>
      </c>
      <c r="B112" s="0" t="s">
        <v>384</v>
      </c>
      <c r="C112" s="6" t="s">
        <v>321</v>
      </c>
      <c r="E112" s="13" t="n">
        <v>0</v>
      </c>
      <c r="G112" s="12" t="s">
        <v>51</v>
      </c>
      <c r="H112" s="6" t="s">
        <v>56</v>
      </c>
      <c r="I112" s="12" t="s">
        <v>385</v>
      </c>
    </row>
    <row r="113" customFormat="false" ht="17.15" hidden="false" customHeight="false" outlineLevel="0" collapsed="false">
      <c r="A113" s="0" t="s">
        <v>386</v>
      </c>
      <c r="B113" s="0" t="s">
        <v>387</v>
      </c>
      <c r="C113" s="6" t="s">
        <v>321</v>
      </c>
      <c r="E113" s="13" t="n">
        <v>0</v>
      </c>
      <c r="G113" s="12" t="s">
        <v>51</v>
      </c>
      <c r="H113" s="6" t="s">
        <v>56</v>
      </c>
      <c r="I113" s="12" t="s">
        <v>388</v>
      </c>
    </row>
    <row r="114" customFormat="false" ht="17.15" hidden="false" customHeight="false" outlineLevel="0" collapsed="false">
      <c r="A114" s="0" t="s">
        <v>389</v>
      </c>
      <c r="B114" s="0" t="s">
        <v>390</v>
      </c>
      <c r="C114" s="0" t="s">
        <v>332</v>
      </c>
      <c r="E114" s="13" t="n">
        <v>141</v>
      </c>
      <c r="G114" s="12" t="s">
        <v>51</v>
      </c>
      <c r="H114" s="6" t="s">
        <v>56</v>
      </c>
      <c r="I114" s="12" t="s">
        <v>391</v>
      </c>
    </row>
    <row r="115" customFormat="false" ht="17.15" hidden="false" customHeight="false" outlineLevel="0" collapsed="false">
      <c r="A115" s="0" t="s">
        <v>392</v>
      </c>
      <c r="B115" s="0" t="s">
        <v>393</v>
      </c>
      <c r="C115" s="0" t="s">
        <v>332</v>
      </c>
      <c r="E115" s="13" t="n">
        <v>141</v>
      </c>
      <c r="G115" s="12" t="s">
        <v>51</v>
      </c>
      <c r="H115" s="6" t="s">
        <v>56</v>
      </c>
      <c r="I115" s="12" t="s">
        <v>394</v>
      </c>
    </row>
    <row r="116" customFormat="false" ht="17.15" hidden="false" customHeight="false" outlineLevel="0" collapsed="false">
      <c r="A116" s="0" t="s">
        <v>395</v>
      </c>
      <c r="B116" s="0" t="s">
        <v>396</v>
      </c>
      <c r="C116" s="0" t="s">
        <v>332</v>
      </c>
      <c r="E116" s="13" t="n">
        <v>141</v>
      </c>
      <c r="G116" s="12" t="s">
        <v>51</v>
      </c>
      <c r="H116" s="6" t="s">
        <v>56</v>
      </c>
      <c r="I116" s="12" t="s">
        <v>397</v>
      </c>
    </row>
    <row r="117" customFormat="false" ht="17.15" hidden="false" customHeight="false" outlineLevel="0" collapsed="false">
      <c r="A117" s="0" t="s">
        <v>398</v>
      </c>
      <c r="B117" s="0" t="s">
        <v>399</v>
      </c>
      <c r="C117" s="6" t="s">
        <v>321</v>
      </c>
      <c r="D117" s="13" t="n">
        <v>0.6</v>
      </c>
      <c r="E117" s="13" t="n">
        <v>0.75</v>
      </c>
      <c r="F117" s="13" t="n">
        <v>0.9</v>
      </c>
      <c r="G117" s="12" t="s">
        <v>400</v>
      </c>
      <c r="H117" s="12" t="s">
        <v>401</v>
      </c>
      <c r="I117" s="12" t="s">
        <v>402</v>
      </c>
    </row>
    <row r="118" customFormat="false" ht="17.15" hidden="false" customHeight="false" outlineLevel="0" collapsed="false">
      <c r="A118" s="0" t="s">
        <v>403</v>
      </c>
      <c r="B118" s="0" t="s">
        <v>404</v>
      </c>
      <c r="C118" s="6" t="s">
        <v>321</v>
      </c>
      <c r="D118" s="13" t="n">
        <v>1.2</v>
      </c>
      <c r="E118" s="13" t="n">
        <v>1.5</v>
      </c>
      <c r="F118" s="13" t="n">
        <v>1.8</v>
      </c>
      <c r="G118" s="12" t="s">
        <v>400</v>
      </c>
      <c r="H118" s="6" t="s">
        <v>56</v>
      </c>
      <c r="I118" s="12" t="s">
        <v>405</v>
      </c>
    </row>
    <row r="119" customFormat="false" ht="17.15" hidden="false" customHeight="false" outlineLevel="0" collapsed="false">
      <c r="A119" s="0" t="s">
        <v>406</v>
      </c>
      <c r="B119" s="0" t="s">
        <v>407</v>
      </c>
      <c r="C119" s="6" t="s">
        <v>321</v>
      </c>
      <c r="D119" s="13" t="n">
        <v>1.5</v>
      </c>
      <c r="E119" s="13" t="n">
        <v>2</v>
      </c>
      <c r="F119" s="13" t="n">
        <v>2.5</v>
      </c>
      <c r="G119" s="12" t="s">
        <v>400</v>
      </c>
      <c r="H119" s="6" t="s">
        <v>56</v>
      </c>
      <c r="I119" s="12" t="s">
        <v>408</v>
      </c>
    </row>
    <row r="120" customFormat="false" ht="17.15" hidden="false" customHeight="false" outlineLevel="0" collapsed="false">
      <c r="A120" s="0" t="s">
        <v>409</v>
      </c>
      <c r="B120" s="0" t="s">
        <v>410</v>
      </c>
      <c r="C120" s="0" t="s">
        <v>332</v>
      </c>
      <c r="D120" s="13" t="n">
        <v>288</v>
      </c>
      <c r="E120" s="13" t="n">
        <v>288</v>
      </c>
      <c r="F120" s="13" t="n">
        <v>288</v>
      </c>
      <c r="G120" s="12" t="s">
        <v>400</v>
      </c>
      <c r="H120" s="6" t="s">
        <v>56</v>
      </c>
      <c r="I120" s="12" t="s">
        <v>411</v>
      </c>
    </row>
    <row r="121" customFormat="false" ht="17.15" hidden="false" customHeight="false" outlineLevel="0" collapsed="false">
      <c r="A121" s="0" t="s">
        <v>412</v>
      </c>
      <c r="B121" s="0" t="s">
        <v>413</v>
      </c>
      <c r="C121" s="0" t="s">
        <v>332</v>
      </c>
      <c r="D121" s="13" t="n">
        <v>288</v>
      </c>
      <c r="E121" s="13" t="n">
        <v>360</v>
      </c>
      <c r="F121" s="13" t="n">
        <v>432</v>
      </c>
      <c r="G121" s="12" t="s">
        <v>400</v>
      </c>
      <c r="H121" s="6" t="s">
        <v>56</v>
      </c>
      <c r="I121" s="12" t="s">
        <v>414</v>
      </c>
    </row>
    <row r="122" customFormat="false" ht="17.15" hidden="false" customHeight="false" outlineLevel="0" collapsed="false">
      <c r="A122" s="0" t="s">
        <v>415</v>
      </c>
      <c r="B122" s="0" t="s">
        <v>416</v>
      </c>
      <c r="C122" s="0" t="s">
        <v>332</v>
      </c>
      <c r="D122" s="13" t="n">
        <v>432</v>
      </c>
      <c r="E122" s="13" t="n">
        <v>432</v>
      </c>
      <c r="F122" s="13" t="n">
        <v>432</v>
      </c>
      <c r="G122" s="12" t="s">
        <v>400</v>
      </c>
      <c r="H122" s="6" t="s">
        <v>56</v>
      </c>
      <c r="I122" s="12" t="s">
        <v>417</v>
      </c>
    </row>
    <row r="123" customFormat="false" ht="17.15" hidden="false" customHeight="false" outlineLevel="0" collapsed="false">
      <c r="A123" s="0" t="s">
        <v>418</v>
      </c>
      <c r="B123" s="0" t="s">
        <v>419</v>
      </c>
      <c r="C123" s="6" t="s">
        <v>321</v>
      </c>
      <c r="E123" s="13" t="n">
        <v>3.85</v>
      </c>
      <c r="G123" s="12" t="s">
        <v>51</v>
      </c>
      <c r="H123" s="12" t="s">
        <v>420</v>
      </c>
      <c r="I123" s="12" t="s">
        <v>421</v>
      </c>
    </row>
    <row r="124" customFormat="false" ht="17.15" hidden="false" customHeight="false" outlineLevel="0" collapsed="false">
      <c r="A124" s="0" t="s">
        <v>422</v>
      </c>
      <c r="B124" s="0" t="s">
        <v>423</v>
      </c>
      <c r="C124" s="6" t="s">
        <v>321</v>
      </c>
      <c r="E124" s="13" t="n">
        <v>5.5</v>
      </c>
      <c r="G124" s="12" t="s">
        <v>51</v>
      </c>
      <c r="H124" s="6" t="s">
        <v>56</v>
      </c>
      <c r="I124" s="12" t="s">
        <v>424</v>
      </c>
    </row>
    <row r="125" customFormat="false" ht="17.15" hidden="false" customHeight="false" outlineLevel="0" collapsed="false">
      <c r="A125" s="0" t="s">
        <v>425</v>
      </c>
      <c r="B125" s="0" t="s">
        <v>426</v>
      </c>
      <c r="C125" s="6" t="s">
        <v>321</v>
      </c>
      <c r="E125" s="13" t="n">
        <v>7</v>
      </c>
      <c r="G125" s="12" t="s">
        <v>51</v>
      </c>
      <c r="H125" s="6" t="s">
        <v>56</v>
      </c>
      <c r="I125" s="12" t="s">
        <v>427</v>
      </c>
    </row>
    <row r="126" customFormat="false" ht="17.15" hidden="false" customHeight="false" outlineLevel="0" collapsed="false">
      <c r="A126" s="0" t="s">
        <v>428</v>
      </c>
      <c r="B126" s="0" t="s">
        <v>429</v>
      </c>
      <c r="C126" s="0" t="s">
        <v>332</v>
      </c>
      <c r="E126" s="13" t="n">
        <v>192</v>
      </c>
      <c r="G126" s="12" t="s">
        <v>51</v>
      </c>
      <c r="H126" s="6" t="s">
        <v>56</v>
      </c>
      <c r="I126" s="12" t="s">
        <v>430</v>
      </c>
    </row>
    <row r="127" customFormat="false" ht="17.15" hidden="false" customHeight="false" outlineLevel="0" collapsed="false">
      <c r="A127" s="0" t="s">
        <v>431</v>
      </c>
      <c r="B127" s="0" t="s">
        <v>432</v>
      </c>
      <c r="C127" s="0" t="s">
        <v>332</v>
      </c>
      <c r="E127" s="13" t="n">
        <v>250</v>
      </c>
      <c r="G127" s="12" t="s">
        <v>51</v>
      </c>
      <c r="H127" s="6" t="s">
        <v>56</v>
      </c>
      <c r="I127" s="12" t="s">
        <v>433</v>
      </c>
    </row>
    <row r="128" customFormat="false" ht="17.15" hidden="false" customHeight="false" outlineLevel="0" collapsed="false">
      <c r="A128" s="0" t="s">
        <v>434</v>
      </c>
      <c r="B128" s="0" t="s">
        <v>435</v>
      </c>
      <c r="C128" s="0" t="s">
        <v>332</v>
      </c>
      <c r="E128" s="13" t="n">
        <v>288</v>
      </c>
      <c r="G128" s="12" t="s">
        <v>51</v>
      </c>
      <c r="H128" s="6" t="s">
        <v>56</v>
      </c>
      <c r="I128" s="12" t="s">
        <v>436</v>
      </c>
    </row>
    <row r="129" customFormat="false" ht="17.15" hidden="false" customHeight="false" outlineLevel="0" collapsed="false">
      <c r="A129" s="0" t="s">
        <v>437</v>
      </c>
      <c r="B129" s="0" t="s">
        <v>438</v>
      </c>
      <c r="C129" s="6" t="s">
        <v>321</v>
      </c>
      <c r="D129" s="13" t="n">
        <v>1.5</v>
      </c>
      <c r="E129" s="13" t="n">
        <v>2</v>
      </c>
      <c r="F129" s="13" t="n">
        <v>2.5</v>
      </c>
      <c r="G129" s="12" t="s">
        <v>149</v>
      </c>
      <c r="H129" s="6" t="s">
        <v>439</v>
      </c>
      <c r="I129" s="12" t="s">
        <v>440</v>
      </c>
    </row>
    <row r="130" customFormat="false" ht="17.15" hidden="false" customHeight="false" outlineLevel="0" collapsed="false">
      <c r="A130" s="0" t="s">
        <v>441</v>
      </c>
      <c r="B130" s="0" t="s">
        <v>442</v>
      </c>
      <c r="C130" s="6" t="s">
        <v>321</v>
      </c>
      <c r="D130" s="13" t="n">
        <v>2</v>
      </c>
      <c r="E130" s="13" t="n">
        <v>2.5</v>
      </c>
      <c r="F130" s="13" t="n">
        <v>3.5</v>
      </c>
      <c r="G130" s="12" t="s">
        <v>149</v>
      </c>
      <c r="H130" s="6" t="s">
        <v>56</v>
      </c>
      <c r="I130" s="12" t="s">
        <v>443</v>
      </c>
    </row>
    <row r="131" customFormat="false" ht="17.15" hidden="false" customHeight="false" outlineLevel="0" collapsed="false">
      <c r="A131" s="0" t="s">
        <v>444</v>
      </c>
      <c r="B131" s="0" t="s">
        <v>445</v>
      </c>
      <c r="C131" s="6" t="s">
        <v>321</v>
      </c>
      <c r="D131" s="13" t="n">
        <v>2</v>
      </c>
      <c r="E131" s="13" t="n">
        <v>3</v>
      </c>
      <c r="F131" s="13" t="n">
        <v>4</v>
      </c>
      <c r="G131" s="12" t="s">
        <v>149</v>
      </c>
      <c r="H131" s="6" t="s">
        <v>56</v>
      </c>
      <c r="I131" s="12" t="s">
        <v>446</v>
      </c>
    </row>
    <row r="132" customFormat="false" ht="17.15" hidden="false" customHeight="false" outlineLevel="0" collapsed="false">
      <c r="A132" s="0" t="s">
        <v>447</v>
      </c>
      <c r="B132" s="0" t="s">
        <v>448</v>
      </c>
      <c r="C132" s="0" t="s">
        <v>332</v>
      </c>
      <c r="D132" s="13" t="n">
        <v>96</v>
      </c>
      <c r="E132" s="13" t="n">
        <v>110</v>
      </c>
      <c r="F132" s="13" t="n">
        <v>144</v>
      </c>
      <c r="G132" s="12" t="s">
        <v>149</v>
      </c>
      <c r="H132" s="6" t="s">
        <v>56</v>
      </c>
      <c r="I132" s="12" t="s">
        <v>449</v>
      </c>
    </row>
    <row r="133" customFormat="false" ht="17.15" hidden="false" customHeight="false" outlineLevel="0" collapsed="false">
      <c r="A133" s="0" t="s">
        <v>450</v>
      </c>
      <c r="B133" s="0" t="s">
        <v>451</v>
      </c>
      <c r="C133" s="0" t="s">
        <v>332</v>
      </c>
      <c r="D133" s="13" t="n">
        <v>120</v>
      </c>
      <c r="E133" s="13" t="n">
        <v>144</v>
      </c>
      <c r="F133" s="13" t="n">
        <v>144</v>
      </c>
      <c r="G133" s="12" t="s">
        <v>149</v>
      </c>
      <c r="H133" s="6" t="s">
        <v>56</v>
      </c>
      <c r="I133" s="12" t="s">
        <v>452</v>
      </c>
    </row>
    <row r="134" customFormat="false" ht="17.15" hidden="false" customHeight="false" outlineLevel="0" collapsed="false">
      <c r="A134" s="0" t="s">
        <v>453</v>
      </c>
      <c r="B134" s="0" t="s">
        <v>454</v>
      </c>
      <c r="C134" s="0" t="s">
        <v>332</v>
      </c>
      <c r="D134" s="13" t="n">
        <v>144</v>
      </c>
      <c r="E134" s="13" t="n">
        <v>200</v>
      </c>
      <c r="F134" s="13" t="n">
        <v>256</v>
      </c>
      <c r="G134" s="12" t="s">
        <v>149</v>
      </c>
      <c r="H134" s="6" t="s">
        <v>56</v>
      </c>
      <c r="I134" s="12" t="s">
        <v>455</v>
      </c>
    </row>
    <row r="135" customFormat="false" ht="17.15" hidden="false" customHeight="false" outlineLevel="0" collapsed="false">
      <c r="A135" s="0" t="s">
        <v>456</v>
      </c>
      <c r="B135" s="6" t="s">
        <v>457</v>
      </c>
      <c r="C135" s="6" t="s">
        <v>321</v>
      </c>
      <c r="D135" s="13" t="n">
        <v>0.5</v>
      </c>
      <c r="E135" s="13" t="n">
        <v>1</v>
      </c>
      <c r="F135" s="13" t="n">
        <v>1.5</v>
      </c>
      <c r="G135" s="12" t="s">
        <v>458</v>
      </c>
      <c r="H135" s="12" t="s">
        <v>459</v>
      </c>
      <c r="I135" s="12" t="s">
        <v>460</v>
      </c>
    </row>
    <row r="136" customFormat="false" ht="17.15" hidden="false" customHeight="false" outlineLevel="0" collapsed="false">
      <c r="A136" s="0" t="s">
        <v>461</v>
      </c>
      <c r="B136" s="6" t="s">
        <v>462</v>
      </c>
      <c r="C136" s="6" t="s">
        <v>321</v>
      </c>
      <c r="D136" s="13" t="n">
        <v>3</v>
      </c>
      <c r="E136" s="13" t="n">
        <v>4.5</v>
      </c>
      <c r="F136" s="13" t="n">
        <v>6</v>
      </c>
      <c r="G136" s="12" t="s">
        <v>458</v>
      </c>
      <c r="H136" s="6" t="s">
        <v>56</v>
      </c>
      <c r="I136" s="12" t="s">
        <v>463</v>
      </c>
    </row>
    <row r="137" customFormat="false" ht="17.15" hidden="false" customHeight="false" outlineLevel="0" collapsed="false">
      <c r="A137" s="0" t="s">
        <v>464</v>
      </c>
      <c r="B137" s="6" t="s">
        <v>465</v>
      </c>
      <c r="C137" s="6" t="s">
        <v>321</v>
      </c>
      <c r="D137" s="13" t="n">
        <v>3.5</v>
      </c>
      <c r="E137" s="13" t="n">
        <v>5</v>
      </c>
      <c r="F137" s="13" t="n">
        <v>7</v>
      </c>
      <c r="G137" s="12" t="s">
        <v>458</v>
      </c>
      <c r="H137" s="6" t="s">
        <v>56</v>
      </c>
      <c r="I137" s="12" t="s">
        <v>466</v>
      </c>
    </row>
    <row r="138" customFormat="false" ht="17.15" hidden="false" customHeight="false" outlineLevel="0" collapsed="false">
      <c r="A138" s="0" t="s">
        <v>467</v>
      </c>
      <c r="B138" s="6" t="s">
        <v>468</v>
      </c>
      <c r="C138" s="0" t="s">
        <v>332</v>
      </c>
      <c r="D138" s="13" t="n">
        <v>100</v>
      </c>
      <c r="E138" s="13" t="n">
        <v>150</v>
      </c>
      <c r="F138" s="13" t="n">
        <v>200</v>
      </c>
      <c r="G138" s="12" t="s">
        <v>458</v>
      </c>
      <c r="H138" s="6" t="s">
        <v>56</v>
      </c>
      <c r="I138" s="12" t="s">
        <v>469</v>
      </c>
    </row>
    <row r="139" customFormat="false" ht="17.15" hidden="false" customHeight="false" outlineLevel="0" collapsed="false">
      <c r="A139" s="0" t="s">
        <v>470</v>
      </c>
      <c r="B139" s="6" t="s">
        <v>471</v>
      </c>
      <c r="C139" s="0" t="s">
        <v>332</v>
      </c>
      <c r="D139" s="13" t="n">
        <v>150</v>
      </c>
      <c r="E139" s="13" t="n">
        <v>200</v>
      </c>
      <c r="F139" s="13" t="n">
        <v>250</v>
      </c>
      <c r="G139" s="12" t="s">
        <v>458</v>
      </c>
      <c r="H139" s="6" t="s">
        <v>56</v>
      </c>
      <c r="I139" s="12" t="s">
        <v>472</v>
      </c>
    </row>
    <row r="140" customFormat="false" ht="17.15" hidden="false" customHeight="false" outlineLevel="0" collapsed="false">
      <c r="A140" s="0" t="s">
        <v>473</v>
      </c>
      <c r="B140" s="6" t="s">
        <v>474</v>
      </c>
      <c r="C140" s="0" t="s">
        <v>332</v>
      </c>
      <c r="D140" s="13" t="n">
        <v>200</v>
      </c>
      <c r="E140" s="13" t="n">
        <v>250</v>
      </c>
      <c r="F140" s="13" t="n">
        <v>300</v>
      </c>
      <c r="G140" s="12" t="s">
        <v>458</v>
      </c>
      <c r="H140" s="6" t="s">
        <v>56</v>
      </c>
      <c r="I140" s="12" t="s">
        <v>475</v>
      </c>
    </row>
    <row r="141" customFormat="false" ht="17.15" hidden="false" customHeight="false" outlineLevel="0" collapsed="false">
      <c r="A141" s="10" t="s">
        <v>476</v>
      </c>
    </row>
    <row r="142" customFormat="false" ht="17.15" hidden="false" customHeight="false" outlineLevel="0" collapsed="false">
      <c r="A142" s="0" t="s">
        <v>477</v>
      </c>
      <c r="B142" s="6" t="s">
        <v>478</v>
      </c>
      <c r="C142" s="0" t="s">
        <v>479</v>
      </c>
      <c r="E142" s="13" t="n">
        <v>1</v>
      </c>
      <c r="G142" s="12" t="s">
        <v>480</v>
      </c>
      <c r="H142" s="12" t="s">
        <v>481</v>
      </c>
      <c r="I142" s="12" t="s">
        <v>482</v>
      </c>
    </row>
    <row r="143" customFormat="false" ht="17.15" hidden="false" customHeight="false" outlineLevel="0" collapsed="false">
      <c r="A143" s="0" t="s">
        <v>483</v>
      </c>
      <c r="B143" s="6" t="s">
        <v>484</v>
      </c>
      <c r="C143" s="0" t="s">
        <v>479</v>
      </c>
      <c r="E143" s="13" t="n">
        <v>1</v>
      </c>
      <c r="G143" s="12" t="s">
        <v>480</v>
      </c>
      <c r="H143" s="6" t="s">
        <v>56</v>
      </c>
      <c r="I143" s="12" t="s">
        <v>485</v>
      </c>
    </row>
    <row r="144" customFormat="false" ht="17.15" hidden="false" customHeight="false" outlineLevel="0" collapsed="false">
      <c r="A144" s="0" t="s">
        <v>486</v>
      </c>
      <c r="B144" s="6" t="s">
        <v>487</v>
      </c>
      <c r="C144" s="0" t="s">
        <v>479</v>
      </c>
      <c r="D144" s="13" t="n">
        <v>0.7</v>
      </c>
      <c r="E144" s="13" t="n">
        <v>0.8</v>
      </c>
      <c r="F144" s="13" t="n">
        <v>0.9</v>
      </c>
      <c r="G144" s="12" t="s">
        <v>149</v>
      </c>
      <c r="H144" s="6" t="s">
        <v>56</v>
      </c>
      <c r="I144" s="12" t="s">
        <v>488</v>
      </c>
    </row>
    <row r="145" customFormat="false" ht="17.15" hidden="false" customHeight="false" outlineLevel="0" collapsed="false">
      <c r="A145" s="0" t="s">
        <v>489</v>
      </c>
      <c r="B145" s="6" t="s">
        <v>490</v>
      </c>
      <c r="C145" s="0" t="s">
        <v>479</v>
      </c>
      <c r="D145" s="13" t="n">
        <v>0.75</v>
      </c>
      <c r="E145" s="13" t="n">
        <v>0.85</v>
      </c>
      <c r="F145" s="13" t="n">
        <v>0.95</v>
      </c>
      <c r="G145" s="12" t="s">
        <v>149</v>
      </c>
      <c r="H145" s="6" t="s">
        <v>56</v>
      </c>
      <c r="I145" s="12" t="s">
        <v>491</v>
      </c>
    </row>
    <row r="146" customFormat="false" ht="17.15" hidden="false" customHeight="false" outlineLevel="0" collapsed="false">
      <c r="A146" s="0" t="s">
        <v>492</v>
      </c>
      <c r="B146" s="6" t="s">
        <v>493</v>
      </c>
      <c r="C146" s="0" t="s">
        <v>479</v>
      </c>
      <c r="D146" s="13" t="n">
        <v>0.5</v>
      </c>
      <c r="E146" s="13" t="n">
        <v>0.6</v>
      </c>
      <c r="F146" s="13" t="n">
        <v>0.7</v>
      </c>
      <c r="G146" s="12" t="s">
        <v>149</v>
      </c>
      <c r="H146" s="6" t="s">
        <v>56</v>
      </c>
      <c r="I146" s="12" t="s">
        <v>494</v>
      </c>
    </row>
    <row r="147" customFormat="false" ht="17.15" hidden="false" customHeight="false" outlineLevel="0" collapsed="false">
      <c r="A147" s="0" t="s">
        <v>495</v>
      </c>
      <c r="B147" s="6" t="s">
        <v>496</v>
      </c>
      <c r="C147" s="0" t="s">
        <v>479</v>
      </c>
      <c r="D147" s="13" t="n">
        <v>0.5</v>
      </c>
      <c r="E147" s="13" t="n">
        <v>0.6</v>
      </c>
      <c r="F147" s="13" t="n">
        <v>0.7</v>
      </c>
      <c r="G147" s="12" t="s">
        <v>149</v>
      </c>
      <c r="H147" s="6" t="s">
        <v>56</v>
      </c>
      <c r="I147" s="12" t="s">
        <v>497</v>
      </c>
    </row>
    <row r="148" customFormat="false" ht="17.15" hidden="false" customHeight="false" outlineLevel="0" collapsed="false">
      <c r="A148" s="10" t="s">
        <v>498</v>
      </c>
    </row>
    <row r="149" customFormat="false" ht="17.15" hidden="false" customHeight="false" outlineLevel="0" collapsed="false">
      <c r="A149" s="0" t="s">
        <v>499</v>
      </c>
      <c r="B149" s="0" t="s">
        <v>500</v>
      </c>
      <c r="C149" s="0" t="s">
        <v>501</v>
      </c>
      <c r="D149" s="13" t="n">
        <v>34</v>
      </c>
      <c r="E149" s="13" t="n">
        <v>35</v>
      </c>
      <c r="F149" s="13" t="n">
        <v>35</v>
      </c>
      <c r="G149" s="12" t="s">
        <v>502</v>
      </c>
      <c r="H149" s="12" t="s">
        <v>503</v>
      </c>
      <c r="I149" s="12" t="s">
        <v>504</v>
      </c>
    </row>
    <row r="150" customFormat="false" ht="17.15" hidden="false" customHeight="false" outlineLevel="0" collapsed="false">
      <c r="A150" s="0" t="s">
        <v>505</v>
      </c>
      <c r="B150" s="0" t="s">
        <v>506</v>
      </c>
      <c r="C150" s="0" t="s">
        <v>50</v>
      </c>
      <c r="D150" s="11" t="n">
        <v>0.6</v>
      </c>
      <c r="E150" s="11" t="n">
        <v>0.7</v>
      </c>
      <c r="F150" s="11" t="n">
        <v>0.8</v>
      </c>
      <c r="G150" s="12" t="s">
        <v>51</v>
      </c>
      <c r="H150" s="12" t="s">
        <v>507</v>
      </c>
      <c r="I150" s="12" t="s">
        <v>508</v>
      </c>
    </row>
    <row r="151" customFormat="false" ht="17.15" hidden="false" customHeight="false" outlineLevel="0" collapsed="false">
      <c r="A151" s="0" t="s">
        <v>509</v>
      </c>
      <c r="B151" s="6" t="s">
        <v>510</v>
      </c>
      <c r="C151" s="0" t="s">
        <v>479</v>
      </c>
      <c r="D151" s="13" t="n">
        <v>1</v>
      </c>
      <c r="E151" s="13" t="n">
        <v>1.15</v>
      </c>
      <c r="F151" s="13" t="n">
        <v>1.3</v>
      </c>
      <c r="G151" s="12" t="s">
        <v>149</v>
      </c>
      <c r="H151" s="6" t="s">
        <v>511</v>
      </c>
      <c r="I151" s="12" t="s">
        <v>512</v>
      </c>
    </row>
    <row r="152" customFormat="false" ht="17.15" hidden="false" customHeight="false" outlineLevel="0" collapsed="false">
      <c r="A152" s="0" t="s">
        <v>513</v>
      </c>
      <c r="B152" s="0" t="s">
        <v>514</v>
      </c>
      <c r="C152" s="0" t="s">
        <v>50</v>
      </c>
      <c r="D152" s="11" t="n">
        <v>0.5</v>
      </c>
      <c r="E152" s="11" t="n">
        <v>0.55</v>
      </c>
      <c r="F152" s="11" t="n">
        <v>0.63</v>
      </c>
      <c r="G152" s="12" t="s">
        <v>51</v>
      </c>
      <c r="H152" s="12" t="s">
        <v>515</v>
      </c>
      <c r="I152" s="12" t="s">
        <v>516</v>
      </c>
    </row>
    <row r="153" customFormat="false" ht="17.15" hidden="false" customHeight="false" outlineLevel="0" collapsed="false">
      <c r="A153" s="0" t="s">
        <v>517</v>
      </c>
      <c r="B153" s="0" t="s">
        <v>518</v>
      </c>
      <c r="C153" s="0" t="s">
        <v>50</v>
      </c>
      <c r="D153" s="11" t="n">
        <v>0.3</v>
      </c>
      <c r="E153" s="11" t="n">
        <v>0.45</v>
      </c>
      <c r="F153" s="11" t="n">
        <v>0.63</v>
      </c>
      <c r="G153" s="12" t="s">
        <v>149</v>
      </c>
      <c r="H153" s="6" t="s">
        <v>519</v>
      </c>
      <c r="I153" s="12" t="s">
        <v>520</v>
      </c>
    </row>
    <row r="154" customFormat="false" ht="17.15" hidden="false" customHeight="false" outlineLevel="0" collapsed="false">
      <c r="A154" s="0" t="s">
        <v>521</v>
      </c>
      <c r="B154" s="0" t="s">
        <v>522</v>
      </c>
      <c r="C154" s="0" t="s">
        <v>523</v>
      </c>
      <c r="D154" s="13" t="n">
        <v>12.5</v>
      </c>
      <c r="E154" s="13" t="n">
        <v>14.6</v>
      </c>
      <c r="F154" s="13" t="n">
        <v>16</v>
      </c>
      <c r="G154" s="12" t="s">
        <v>51</v>
      </c>
      <c r="H154" s="12" t="s">
        <v>524</v>
      </c>
      <c r="I154" s="12" t="s">
        <v>525</v>
      </c>
    </row>
    <row r="155" customFormat="false" ht="17.15" hidden="false" customHeight="false" outlineLevel="0" collapsed="false">
      <c r="A155" s="0" t="s">
        <v>526</v>
      </c>
      <c r="B155" s="0" t="s">
        <v>527</v>
      </c>
      <c r="C155" s="0" t="s">
        <v>50</v>
      </c>
      <c r="D155" s="11" t="n">
        <v>0.38</v>
      </c>
      <c r="E155" s="11" t="n">
        <v>0.8</v>
      </c>
      <c r="F155" s="11" t="n">
        <v>1.21</v>
      </c>
      <c r="G155" s="12" t="s">
        <v>51</v>
      </c>
      <c r="H155" s="12" t="s">
        <v>528</v>
      </c>
      <c r="I155" s="12" t="s">
        <v>529</v>
      </c>
    </row>
    <row r="156" customFormat="false" ht="17.15" hidden="false" customHeight="false" outlineLevel="0" collapsed="false">
      <c r="A156" s="0" t="s">
        <v>530</v>
      </c>
      <c r="B156" s="0" t="s">
        <v>531</v>
      </c>
      <c r="C156" s="0" t="s">
        <v>50</v>
      </c>
      <c r="D156" s="11" t="n">
        <v>0</v>
      </c>
      <c r="E156" s="11" t="n">
        <v>0.1</v>
      </c>
      <c r="F156" s="11" t="n">
        <v>0.25</v>
      </c>
      <c r="G156" s="12" t="s">
        <v>51</v>
      </c>
      <c r="H156" s="12" t="s">
        <v>532</v>
      </c>
      <c r="I156" s="12" t="s">
        <v>533</v>
      </c>
    </row>
    <row r="157" customFormat="false" ht="17.15" hidden="false" customHeight="false" outlineLevel="0" collapsed="false">
      <c r="A157" s="0" t="s">
        <v>534</v>
      </c>
      <c r="B157" s="0" t="s">
        <v>535</v>
      </c>
      <c r="C157" s="0" t="s">
        <v>50</v>
      </c>
      <c r="D157" s="11" t="n">
        <v>-0.4</v>
      </c>
      <c r="E157" s="11" t="n">
        <v>-0.25</v>
      </c>
      <c r="F157" s="11" t="n">
        <v>-0.1</v>
      </c>
      <c r="G157" s="12" t="s">
        <v>149</v>
      </c>
      <c r="H157" s="6" t="s">
        <v>536</v>
      </c>
      <c r="I157" s="12" t="s">
        <v>537</v>
      </c>
    </row>
    <row r="158" customFormat="false" ht="17.15" hidden="false" customHeight="false" outlineLevel="0" collapsed="false">
      <c r="A158" s="0" t="s">
        <v>538</v>
      </c>
      <c r="B158" s="0" t="s">
        <v>539</v>
      </c>
      <c r="C158" s="0" t="s">
        <v>50</v>
      </c>
      <c r="D158" s="11" t="n">
        <v>-0.55</v>
      </c>
      <c r="E158" s="11" t="n">
        <v>-0.4</v>
      </c>
      <c r="F158" s="11" t="n">
        <v>-0.25</v>
      </c>
      <c r="G158" s="12" t="s">
        <v>149</v>
      </c>
      <c r="H158" s="6" t="s">
        <v>540</v>
      </c>
      <c r="I158" s="12" t="s">
        <v>541</v>
      </c>
    </row>
    <row r="159" customFormat="false" ht="17.15" hidden="false" customHeight="false" outlineLevel="0" collapsed="false">
      <c r="A159" s="0" t="s">
        <v>542</v>
      </c>
      <c r="B159" s="0" t="s">
        <v>543</v>
      </c>
      <c r="C159" s="0" t="s">
        <v>50</v>
      </c>
      <c r="D159" s="11" t="n">
        <v>0.2</v>
      </c>
      <c r="E159" s="11" t="n">
        <v>0.3</v>
      </c>
      <c r="F159" s="11" t="n">
        <v>0.45</v>
      </c>
      <c r="G159" s="12" t="s">
        <v>149</v>
      </c>
      <c r="H159" s="12" t="s">
        <v>544</v>
      </c>
      <c r="I159" s="12" t="s">
        <v>545</v>
      </c>
    </row>
    <row r="160" customFormat="false" ht="17.15" hidden="false" customHeight="false" outlineLevel="0" collapsed="false">
      <c r="A160" s="0" t="s">
        <v>546</v>
      </c>
      <c r="B160" s="0" t="s">
        <v>547</v>
      </c>
      <c r="C160" s="0" t="s">
        <v>50</v>
      </c>
      <c r="D160" s="11" t="n">
        <v>0.25</v>
      </c>
      <c r="E160" s="11" t="n">
        <v>0.35</v>
      </c>
      <c r="F160" s="11" t="n">
        <v>0.5</v>
      </c>
      <c r="G160" s="12" t="s">
        <v>149</v>
      </c>
      <c r="H160" s="12" t="s">
        <v>548</v>
      </c>
      <c r="I160" s="12" t="s">
        <v>549</v>
      </c>
    </row>
    <row r="161" customFormat="false" ht="17.15" hidden="false" customHeight="false" outlineLevel="0" collapsed="false">
      <c r="A161" s="0" t="s">
        <v>550</v>
      </c>
      <c r="B161" s="0" t="s">
        <v>551</v>
      </c>
      <c r="C161" s="0" t="s">
        <v>50</v>
      </c>
      <c r="D161" s="11" t="n">
        <v>-0.15</v>
      </c>
      <c r="E161" s="11" t="n">
        <v>-0.05</v>
      </c>
      <c r="F161" s="11" t="n">
        <v>0.05</v>
      </c>
      <c r="G161" s="12" t="s">
        <v>149</v>
      </c>
      <c r="H161" s="12" t="s">
        <v>552</v>
      </c>
      <c r="I161" s="12" t="s">
        <v>553</v>
      </c>
    </row>
    <row r="162" customFormat="false" ht="17.15" hidden="false" customHeight="false" outlineLevel="0" collapsed="false">
      <c r="A162" s="0" t="s">
        <v>554</v>
      </c>
      <c r="B162" s="0" t="s">
        <v>555</v>
      </c>
      <c r="C162" s="0" t="s">
        <v>50</v>
      </c>
      <c r="D162" s="11" t="n">
        <v>-0.1</v>
      </c>
      <c r="E162" s="11" t="n">
        <v>0</v>
      </c>
      <c r="F162" s="11" t="n">
        <v>0.1</v>
      </c>
      <c r="G162" s="12" t="s">
        <v>149</v>
      </c>
      <c r="H162" s="12" t="s">
        <v>556</v>
      </c>
      <c r="I162" s="12" t="s">
        <v>557</v>
      </c>
    </row>
    <row r="163" customFormat="false" ht="17.15" hidden="false" customHeight="false" outlineLevel="0" collapsed="false">
      <c r="A163" s="0" t="s">
        <v>558</v>
      </c>
      <c r="B163" s="0" t="s">
        <v>559</v>
      </c>
      <c r="C163" s="0" t="s">
        <v>50</v>
      </c>
      <c r="D163" s="11" t="n">
        <v>-0.1</v>
      </c>
      <c r="E163" s="11" t="n">
        <v>0.05</v>
      </c>
      <c r="F163" s="11" t="n">
        <v>0.15</v>
      </c>
      <c r="G163" s="12" t="s">
        <v>149</v>
      </c>
      <c r="H163" s="6" t="s">
        <v>560</v>
      </c>
      <c r="I163" s="12" t="s">
        <v>561</v>
      </c>
    </row>
    <row r="164" customFormat="false" ht="17.15" hidden="false" customHeight="false" outlineLevel="0" collapsed="false">
      <c r="A164" s="10" t="s">
        <v>562</v>
      </c>
    </row>
    <row r="165" customFormat="false" ht="17.15" hidden="false" customHeight="false" outlineLevel="0" collapsed="false">
      <c r="A165" s="0" t="s">
        <v>563</v>
      </c>
      <c r="B165" s="0" t="s">
        <v>564</v>
      </c>
      <c r="C165" s="0" t="s">
        <v>501</v>
      </c>
      <c r="D165" s="13" t="n">
        <v>340</v>
      </c>
      <c r="E165" s="13" t="n">
        <v>374</v>
      </c>
      <c r="F165" s="13" t="n">
        <v>400</v>
      </c>
      <c r="G165" s="12" t="s">
        <v>565</v>
      </c>
      <c r="H165" s="12" t="s">
        <v>566</v>
      </c>
      <c r="I165" s="12" t="s">
        <v>567</v>
      </c>
    </row>
    <row r="166" customFormat="false" ht="17.15" hidden="false" customHeight="false" outlineLevel="0" collapsed="false">
      <c r="A166" s="0" t="s">
        <v>568</v>
      </c>
      <c r="B166" s="6" t="s">
        <v>569</v>
      </c>
      <c r="C166" s="0" t="s">
        <v>570</v>
      </c>
      <c r="D166" s="13" t="n">
        <v>38</v>
      </c>
      <c r="E166" s="13" t="n">
        <v>42.8</v>
      </c>
      <c r="F166" s="13" t="n">
        <v>48</v>
      </c>
      <c r="G166" s="12" t="s">
        <v>480</v>
      </c>
      <c r="H166" s="12" t="s">
        <v>571</v>
      </c>
      <c r="I166" s="12" t="s">
        <v>572</v>
      </c>
    </row>
    <row r="167" customFormat="false" ht="17.15" hidden="false" customHeight="false" outlineLevel="0" collapsed="false">
      <c r="A167" s="0" t="s">
        <v>573</v>
      </c>
      <c r="B167" s="6" t="s">
        <v>574</v>
      </c>
      <c r="C167" s="0" t="s">
        <v>570</v>
      </c>
      <c r="D167" s="13" t="n">
        <v>3.5</v>
      </c>
      <c r="E167" s="13" t="n">
        <v>4.46</v>
      </c>
      <c r="F167" s="13" t="n">
        <v>4.9</v>
      </c>
      <c r="G167" s="12" t="s">
        <v>480</v>
      </c>
      <c r="H167" s="12" t="s">
        <v>575</v>
      </c>
      <c r="I167" s="12" t="s">
        <v>576</v>
      </c>
    </row>
    <row r="168" customFormat="false" ht="17.15" hidden="false" customHeight="false" outlineLevel="0" collapsed="false">
      <c r="A168" s="0" t="s">
        <v>577</v>
      </c>
      <c r="B168" s="6" t="s">
        <v>578</v>
      </c>
      <c r="C168" s="0" t="s">
        <v>501</v>
      </c>
      <c r="E168" s="13" t="n">
        <v>54.6</v>
      </c>
      <c r="G168" s="12" t="s">
        <v>51</v>
      </c>
      <c r="H168" s="12" t="s">
        <v>579</v>
      </c>
      <c r="I168" s="12" t="s">
        <v>580</v>
      </c>
    </row>
    <row r="169" customFormat="false" ht="17.15" hidden="false" customHeight="false" outlineLevel="0" collapsed="false">
      <c r="A169" s="0" t="s">
        <v>581</v>
      </c>
      <c r="B169" s="6" t="s">
        <v>582</v>
      </c>
      <c r="C169" s="0" t="s">
        <v>501</v>
      </c>
      <c r="E169" s="13" t="n">
        <v>77.4</v>
      </c>
      <c r="G169" s="12" t="s">
        <v>51</v>
      </c>
      <c r="H169" s="12" t="s">
        <v>583</v>
      </c>
      <c r="I169" s="12" t="s">
        <v>584</v>
      </c>
    </row>
    <row r="170" customFormat="false" ht="17.15" hidden="false" customHeight="false" outlineLevel="0" collapsed="false">
      <c r="A170" s="0" t="s">
        <v>585</v>
      </c>
      <c r="B170" s="6" t="s">
        <v>586</v>
      </c>
      <c r="C170" s="0" t="s">
        <v>501</v>
      </c>
      <c r="E170" s="13" t="n">
        <v>152.8</v>
      </c>
      <c r="G170" s="12" t="s">
        <v>51</v>
      </c>
      <c r="H170" s="12" t="s">
        <v>587</v>
      </c>
      <c r="I170" s="12" t="s">
        <v>588</v>
      </c>
    </row>
    <row r="171" customFormat="false" ht="17.15" hidden="false" customHeight="false" outlineLevel="0" collapsed="false">
      <c r="A171" s="10" t="s">
        <v>589</v>
      </c>
    </row>
    <row r="172" customFormat="false" ht="17.15" hidden="false" customHeight="false" outlineLevel="0" collapsed="false">
      <c r="A172" s="0" t="s">
        <v>590</v>
      </c>
      <c r="B172" s="0" t="s">
        <v>591</v>
      </c>
      <c r="C172" s="0" t="s">
        <v>50</v>
      </c>
      <c r="D172" s="11" t="n">
        <v>-0.7</v>
      </c>
      <c r="E172" s="11" t="n">
        <v>-0.5</v>
      </c>
      <c r="F172" s="11" t="n">
        <v>-0.3</v>
      </c>
      <c r="G172" s="12" t="s">
        <v>149</v>
      </c>
      <c r="H172" s="12" t="s">
        <v>592</v>
      </c>
      <c r="I172" s="12" t="s">
        <v>593</v>
      </c>
    </row>
    <row r="173" customFormat="false" ht="17.15" hidden="false" customHeight="false" outlineLevel="0" collapsed="false">
      <c r="A173" s="0" t="s">
        <v>594</v>
      </c>
      <c r="B173" s="0" t="s">
        <v>595</v>
      </c>
      <c r="C173" s="0" t="s">
        <v>50</v>
      </c>
      <c r="D173" s="11" t="n">
        <v>0.05</v>
      </c>
      <c r="E173" s="11" t="n">
        <v>0.15</v>
      </c>
      <c r="F173" s="11" t="n">
        <v>0.25</v>
      </c>
      <c r="G173" s="12" t="s">
        <v>149</v>
      </c>
      <c r="H173" s="6" t="s">
        <v>56</v>
      </c>
      <c r="I173" s="12" t="s">
        <v>596</v>
      </c>
    </row>
    <row r="174" customFormat="false" ht="17.15" hidden="false" customHeight="false" outlineLevel="0" collapsed="false">
      <c r="A174" s="0" t="s">
        <v>597</v>
      </c>
      <c r="B174" s="0" t="s">
        <v>598</v>
      </c>
      <c r="C174" s="0" t="s">
        <v>50</v>
      </c>
      <c r="D174" s="11" t="n">
        <v>0.05</v>
      </c>
      <c r="E174" s="11" t="n">
        <v>0.15</v>
      </c>
      <c r="F174" s="11" t="n">
        <v>0.25</v>
      </c>
      <c r="G174" s="12" t="s">
        <v>149</v>
      </c>
      <c r="H174" s="6" t="s">
        <v>56</v>
      </c>
      <c r="I174" s="12" t="s">
        <v>599</v>
      </c>
    </row>
    <row r="175" customFormat="false" ht="17.15" hidden="false" customHeight="false" outlineLevel="0" collapsed="false">
      <c r="A175" s="0" t="s">
        <v>600</v>
      </c>
      <c r="B175" s="0" t="s">
        <v>601</v>
      </c>
      <c r="C175" s="0" t="s">
        <v>50</v>
      </c>
      <c r="D175" s="11" t="n">
        <v>0</v>
      </c>
      <c r="E175" s="11" t="n">
        <v>0</v>
      </c>
      <c r="F175" s="11" t="n">
        <v>0</v>
      </c>
      <c r="G175" s="12" t="s">
        <v>149</v>
      </c>
      <c r="H175" s="6" t="s">
        <v>56</v>
      </c>
      <c r="I175" s="12" t="s">
        <v>602</v>
      </c>
    </row>
    <row r="176" customFormat="false" ht="17.15" hidden="false" customHeight="false" outlineLevel="0" collapsed="false">
      <c r="A176" s="0" t="s">
        <v>603</v>
      </c>
      <c r="B176" s="0" t="s">
        <v>604</v>
      </c>
      <c r="C176" s="0" t="s">
        <v>50</v>
      </c>
      <c r="D176" s="11" t="n">
        <v>0.05</v>
      </c>
      <c r="E176" s="11" t="n">
        <v>0.15</v>
      </c>
      <c r="F176" s="11" t="n">
        <v>0.25</v>
      </c>
      <c r="G176" s="12" t="s">
        <v>149</v>
      </c>
      <c r="H176" s="6" t="s">
        <v>56</v>
      </c>
      <c r="I176" s="12" t="s">
        <v>605</v>
      </c>
    </row>
    <row r="177" customFormat="false" ht="17.15" hidden="false" customHeight="false" outlineLevel="0" collapsed="false">
      <c r="A177" s="0" t="s">
        <v>606</v>
      </c>
      <c r="B177" s="0" t="s">
        <v>607</v>
      </c>
      <c r="C177" s="0" t="s">
        <v>50</v>
      </c>
      <c r="D177" s="11" t="n">
        <v>0.05</v>
      </c>
      <c r="E177" s="11" t="n">
        <v>0.15</v>
      </c>
      <c r="F177" s="11" t="n">
        <v>0.25</v>
      </c>
      <c r="G177" s="12" t="s">
        <v>149</v>
      </c>
      <c r="H177" s="6" t="s">
        <v>56</v>
      </c>
      <c r="I177" s="12" t="s">
        <v>608</v>
      </c>
    </row>
    <row r="178" customFormat="false" ht="17.15" hidden="false" customHeight="false" outlineLevel="0" collapsed="false">
      <c r="A178" s="0" t="s">
        <v>609</v>
      </c>
      <c r="B178" s="0" t="s">
        <v>610</v>
      </c>
      <c r="C178" s="0" t="s">
        <v>50</v>
      </c>
      <c r="D178" s="11" t="n">
        <v>0.05</v>
      </c>
      <c r="E178" s="11" t="n">
        <v>0.15</v>
      </c>
      <c r="F178" s="11" t="n">
        <v>0.25</v>
      </c>
      <c r="G178" s="12" t="s">
        <v>149</v>
      </c>
      <c r="H178" s="6" t="s">
        <v>56</v>
      </c>
      <c r="I178" s="12" t="s">
        <v>611</v>
      </c>
    </row>
    <row r="179" customFormat="false" ht="17.15" hidden="false" customHeight="false" outlineLevel="0" collapsed="false">
      <c r="A179" s="0" t="s">
        <v>612</v>
      </c>
      <c r="B179" s="6" t="s">
        <v>613</v>
      </c>
      <c r="C179" s="0" t="s">
        <v>50</v>
      </c>
      <c r="D179" s="11" t="n">
        <v>0.05</v>
      </c>
      <c r="E179" s="11" t="n">
        <v>0.15</v>
      </c>
      <c r="F179" s="11" t="n">
        <v>0.25</v>
      </c>
      <c r="G179" s="12" t="s">
        <v>149</v>
      </c>
      <c r="H179" s="6" t="s">
        <v>56</v>
      </c>
      <c r="I179" s="12" t="s">
        <v>614</v>
      </c>
    </row>
    <row r="180" customFormat="false" ht="17.15" hidden="false" customHeight="false" outlineLevel="0" collapsed="false">
      <c r="A180" s="10" t="s">
        <v>615</v>
      </c>
    </row>
    <row r="181" customFormat="false" ht="17.15" hidden="false" customHeight="false" outlineLevel="0" collapsed="false">
      <c r="A181" s="0" t="s">
        <v>616</v>
      </c>
      <c r="B181" s="0" t="s">
        <v>617</v>
      </c>
      <c r="C181" s="0" t="s">
        <v>618</v>
      </c>
      <c r="D181" s="13" t="n">
        <v>20</v>
      </c>
      <c r="E181" s="13" t="n">
        <v>30</v>
      </c>
      <c r="F181" s="13" t="n">
        <v>45</v>
      </c>
      <c r="G181" s="12" t="s">
        <v>51</v>
      </c>
      <c r="H181" s="12" t="s">
        <v>619</v>
      </c>
      <c r="I181" s="12" t="s">
        <v>620</v>
      </c>
      <c r="J181" s="6" t="s">
        <v>621</v>
      </c>
    </row>
    <row r="182" customFormat="false" ht="17.15" hidden="false" customHeight="false" outlineLevel="0" collapsed="false">
      <c r="A182" s="0" t="s">
        <v>622</v>
      </c>
      <c r="B182" s="0" t="s">
        <v>623</v>
      </c>
      <c r="C182" s="0" t="s">
        <v>618</v>
      </c>
      <c r="D182" s="13" t="n">
        <v>8</v>
      </c>
      <c r="E182" s="13" t="n">
        <v>12</v>
      </c>
      <c r="F182" s="13" t="n">
        <v>18</v>
      </c>
      <c r="G182" s="12" t="s">
        <v>149</v>
      </c>
      <c r="H182" s="6" t="s">
        <v>624</v>
      </c>
      <c r="I182" s="12" t="s">
        <v>625</v>
      </c>
      <c r="J182" s="6" t="s">
        <v>626</v>
      </c>
    </row>
    <row r="183" customFormat="false" ht="17.15" hidden="false" customHeight="false" outlineLevel="0" collapsed="false">
      <c r="A183" s="0" t="s">
        <v>627</v>
      </c>
      <c r="B183" s="0" t="s">
        <v>628</v>
      </c>
      <c r="C183" s="0" t="s">
        <v>618</v>
      </c>
      <c r="D183" s="13" t="n">
        <v>5</v>
      </c>
      <c r="E183" s="13" t="n">
        <v>8</v>
      </c>
      <c r="F183" s="13" t="n">
        <v>12</v>
      </c>
      <c r="G183" s="12" t="s">
        <v>149</v>
      </c>
      <c r="H183" s="6" t="s">
        <v>629</v>
      </c>
      <c r="I183" s="12" t="s">
        <v>630</v>
      </c>
      <c r="J183" s="12" t="s">
        <v>631</v>
      </c>
    </row>
    <row r="184" customFormat="false" ht="17.15" hidden="false" customHeight="false" outlineLevel="0" collapsed="false">
      <c r="A184" s="0" t="s">
        <v>632</v>
      </c>
      <c r="B184" s="6" t="s">
        <v>633</v>
      </c>
      <c r="C184" s="0" t="s">
        <v>618</v>
      </c>
      <c r="D184" s="13" t="n">
        <v>5</v>
      </c>
      <c r="E184" s="13" t="n">
        <v>8</v>
      </c>
      <c r="F184" s="13" t="n">
        <v>12</v>
      </c>
      <c r="G184" s="12" t="s">
        <v>149</v>
      </c>
      <c r="H184" s="6" t="s">
        <v>634</v>
      </c>
      <c r="I184" s="12" t="s">
        <v>635</v>
      </c>
      <c r="J184" s="6" t="s">
        <v>56</v>
      </c>
    </row>
    <row r="185" customFormat="false" ht="17.15" hidden="false" customHeight="false" outlineLevel="0" collapsed="false">
      <c r="A185" s="0" t="s">
        <v>636</v>
      </c>
      <c r="B185" s="0" t="s">
        <v>637</v>
      </c>
      <c r="C185" s="0" t="s">
        <v>618</v>
      </c>
      <c r="D185" s="13" t="n">
        <v>6</v>
      </c>
      <c r="E185" s="13" t="n">
        <v>8</v>
      </c>
      <c r="F185" s="13" t="n">
        <v>11</v>
      </c>
      <c r="G185" s="12" t="s">
        <v>149</v>
      </c>
      <c r="H185" s="6" t="s">
        <v>638</v>
      </c>
      <c r="I185" s="12" t="s">
        <v>639</v>
      </c>
      <c r="J185" s="12" t="s">
        <v>640</v>
      </c>
    </row>
    <row r="186" customFormat="false" ht="17.15" hidden="false" customHeight="false" outlineLevel="0" collapsed="false">
      <c r="A186" s="0" t="s">
        <v>641</v>
      </c>
      <c r="B186" s="6" t="s">
        <v>642</v>
      </c>
      <c r="C186" s="0" t="s">
        <v>618</v>
      </c>
      <c r="D186" s="13" t="n">
        <v>4</v>
      </c>
      <c r="E186" s="13" t="n">
        <v>6</v>
      </c>
      <c r="F186" s="13" t="n">
        <v>9</v>
      </c>
      <c r="G186" s="12" t="s">
        <v>149</v>
      </c>
      <c r="H186" s="6" t="s">
        <v>643</v>
      </c>
      <c r="I186" s="12" t="s">
        <v>644</v>
      </c>
      <c r="J186" s="12" t="s">
        <v>645</v>
      </c>
    </row>
    <row r="187" customFormat="false" ht="17.15" hidden="false" customHeight="false" outlineLevel="0" collapsed="false">
      <c r="A187" s="0" t="s">
        <v>646</v>
      </c>
      <c r="B187" s="0" t="s">
        <v>647</v>
      </c>
      <c r="C187" s="0" t="s">
        <v>479</v>
      </c>
      <c r="D187" s="13" t="n">
        <v>0.3</v>
      </c>
      <c r="E187" s="13" t="n">
        <v>0.6</v>
      </c>
      <c r="F187" s="13" t="n">
        <v>1</v>
      </c>
      <c r="G187" s="12" t="s">
        <v>149</v>
      </c>
      <c r="H187" s="6" t="s">
        <v>648</v>
      </c>
      <c r="I187" s="12" t="s">
        <v>649</v>
      </c>
      <c r="J187" s="6" t="s">
        <v>650</v>
      </c>
    </row>
    <row r="188" customFormat="false" ht="17.15" hidden="false" customHeight="false" outlineLevel="0" collapsed="false">
      <c r="A188" s="10" t="s">
        <v>651</v>
      </c>
    </row>
    <row r="189" customFormat="false" ht="17.15" hidden="false" customHeight="false" outlineLevel="0" collapsed="false">
      <c r="A189" s="0" t="s">
        <v>652</v>
      </c>
      <c r="B189" s="0" t="s">
        <v>653</v>
      </c>
      <c r="C189" s="0" t="s">
        <v>50</v>
      </c>
      <c r="D189" s="11" t="n">
        <v>0.8</v>
      </c>
      <c r="E189" s="11" t="n">
        <v>0.9</v>
      </c>
      <c r="F189" s="11" t="n">
        <v>1</v>
      </c>
      <c r="G189" s="12" t="s">
        <v>149</v>
      </c>
      <c r="H189" s="12" t="s">
        <v>654</v>
      </c>
      <c r="I189" s="12" t="s">
        <v>655</v>
      </c>
      <c r="J189" s="6" t="s">
        <v>656</v>
      </c>
    </row>
    <row r="190" customFormat="false" ht="17.15" hidden="false" customHeight="false" outlineLevel="0" collapsed="false">
      <c r="A190" s="0" t="s">
        <v>657</v>
      </c>
      <c r="B190" s="0" t="s">
        <v>658</v>
      </c>
      <c r="C190" s="0" t="s">
        <v>50</v>
      </c>
      <c r="D190" s="11" t="n">
        <v>0.6</v>
      </c>
      <c r="E190" s="11" t="n">
        <v>0.8</v>
      </c>
      <c r="F190" s="11" t="n">
        <v>0.9</v>
      </c>
      <c r="G190" s="12" t="s">
        <v>149</v>
      </c>
      <c r="H190" s="6" t="s">
        <v>659</v>
      </c>
      <c r="I190" s="12" t="s">
        <v>660</v>
      </c>
      <c r="J190" s="12" t="s">
        <v>661</v>
      </c>
    </row>
    <row r="191" customFormat="false" ht="17.15" hidden="false" customHeight="false" outlineLevel="0" collapsed="false">
      <c r="A191" s="0" t="s">
        <v>662</v>
      </c>
      <c r="B191" s="0" t="s">
        <v>663</v>
      </c>
      <c r="C191" s="0" t="s">
        <v>50</v>
      </c>
      <c r="D191" s="11" t="n">
        <v>0.5</v>
      </c>
      <c r="E191" s="11" t="n">
        <v>0.75</v>
      </c>
      <c r="F191" s="11" t="n">
        <v>0.9</v>
      </c>
      <c r="G191" s="12" t="s">
        <v>149</v>
      </c>
      <c r="H191" s="6" t="s">
        <v>56</v>
      </c>
      <c r="I191" s="12" t="s">
        <v>664</v>
      </c>
      <c r="J191" s="12" t="s">
        <v>665</v>
      </c>
    </row>
    <row r="192" customFormat="false" ht="17.15" hidden="false" customHeight="false" outlineLevel="0" collapsed="false">
      <c r="A192" s="0" t="s">
        <v>666</v>
      </c>
      <c r="B192" s="0" t="s">
        <v>667</v>
      </c>
      <c r="C192" s="0" t="s">
        <v>50</v>
      </c>
      <c r="D192" s="11" t="n">
        <v>0.2</v>
      </c>
      <c r="E192" s="11" t="n">
        <v>0.35</v>
      </c>
      <c r="F192" s="11" t="n">
        <v>0.5</v>
      </c>
      <c r="G192" s="12" t="s">
        <v>149</v>
      </c>
      <c r="H192" s="6" t="s">
        <v>668</v>
      </c>
      <c r="I192" s="12" t="s">
        <v>669</v>
      </c>
      <c r="J192" s="12" t="s">
        <v>670</v>
      </c>
    </row>
    <row r="193" customFormat="false" ht="17.15" hidden="false" customHeight="false" outlineLevel="0" collapsed="false">
      <c r="A193" s="0" t="s">
        <v>671</v>
      </c>
      <c r="B193" s="0" t="s">
        <v>672</v>
      </c>
      <c r="C193" s="0" t="s">
        <v>50</v>
      </c>
      <c r="D193" s="11" t="n">
        <v>0.4</v>
      </c>
      <c r="E193" s="11" t="n">
        <v>0.55</v>
      </c>
      <c r="F193" s="11" t="n">
        <v>0.7</v>
      </c>
      <c r="G193" s="12" t="s">
        <v>149</v>
      </c>
      <c r="H193" s="12" t="s">
        <v>673</v>
      </c>
      <c r="I193" s="12" t="s">
        <v>674</v>
      </c>
      <c r="J193" s="12" t="s">
        <v>665</v>
      </c>
    </row>
    <row r="194" customFormat="false" ht="17.15" hidden="false" customHeight="false" outlineLevel="0" collapsed="false">
      <c r="A194" s="0" t="s">
        <v>675</v>
      </c>
      <c r="B194" s="0" t="s">
        <v>676</v>
      </c>
      <c r="C194" s="0" t="s">
        <v>50</v>
      </c>
      <c r="D194" s="11" t="n">
        <v>0.4</v>
      </c>
      <c r="E194" s="11" t="n">
        <v>0.55</v>
      </c>
      <c r="F194" s="11" t="n">
        <v>0.7</v>
      </c>
      <c r="G194" s="12" t="s">
        <v>149</v>
      </c>
      <c r="H194" s="12" t="s">
        <v>677</v>
      </c>
      <c r="I194" s="12" t="s">
        <v>678</v>
      </c>
      <c r="J194" s="12" t="s">
        <v>665</v>
      </c>
    </row>
    <row r="195" customFormat="false" ht="17.15" hidden="false" customHeight="false" outlineLevel="0" collapsed="false">
      <c r="A195" s="0" t="s">
        <v>679</v>
      </c>
      <c r="B195" s="0" t="s">
        <v>680</v>
      </c>
      <c r="C195" s="0" t="s">
        <v>50</v>
      </c>
      <c r="D195" s="11" t="n">
        <v>0.05</v>
      </c>
      <c r="E195" s="11" t="n">
        <v>0.1</v>
      </c>
      <c r="F195" s="11" t="n">
        <v>0.2</v>
      </c>
      <c r="G195" s="12" t="s">
        <v>149</v>
      </c>
      <c r="H195" s="12" t="s">
        <v>681</v>
      </c>
      <c r="I195" s="12" t="s">
        <v>682</v>
      </c>
      <c r="J195" s="6" t="s">
        <v>683</v>
      </c>
    </row>
    <row r="196" customFormat="false" ht="17.15" hidden="false" customHeight="false" outlineLevel="0" collapsed="false">
      <c r="A196" s="0" t="s">
        <v>684</v>
      </c>
      <c r="B196" s="0" t="s">
        <v>685</v>
      </c>
      <c r="C196" s="0" t="s">
        <v>50</v>
      </c>
      <c r="D196" s="11" t="n">
        <v>0.05</v>
      </c>
      <c r="E196" s="11" t="n">
        <v>0.1</v>
      </c>
      <c r="F196" s="11" t="n">
        <v>0.2</v>
      </c>
      <c r="G196" s="12" t="s">
        <v>149</v>
      </c>
      <c r="H196" s="6" t="s">
        <v>56</v>
      </c>
      <c r="I196" s="12" t="s">
        <v>686</v>
      </c>
      <c r="J196" s="12" t="s">
        <v>665</v>
      </c>
    </row>
    <row r="197" customFormat="false" ht="17.15" hidden="false" customHeight="false" outlineLevel="0" collapsed="false">
      <c r="A197" s="0" t="s">
        <v>687</v>
      </c>
      <c r="B197" s="0" t="s">
        <v>688</v>
      </c>
      <c r="C197" s="0" t="s">
        <v>50</v>
      </c>
      <c r="D197" s="11" t="n">
        <v>0</v>
      </c>
      <c r="E197" s="11" t="n">
        <v>0.08</v>
      </c>
      <c r="F197" s="11" t="n">
        <v>0.2</v>
      </c>
      <c r="G197" s="12" t="s">
        <v>149</v>
      </c>
      <c r="H197" s="6" t="s">
        <v>56</v>
      </c>
      <c r="I197" s="12" t="s">
        <v>689</v>
      </c>
      <c r="J197" s="12" t="s">
        <v>665</v>
      </c>
    </row>
    <row r="198" customFormat="false" ht="17.15" hidden="false" customHeight="false" outlineLevel="0" collapsed="false">
      <c r="A198" s="0" t="s">
        <v>690</v>
      </c>
      <c r="B198" s="0" t="s">
        <v>691</v>
      </c>
      <c r="C198" s="0" t="s">
        <v>50</v>
      </c>
      <c r="D198" s="11" t="n">
        <v>0.02</v>
      </c>
      <c r="E198" s="11" t="n">
        <v>0.05</v>
      </c>
      <c r="F198" s="11" t="n">
        <v>0.1</v>
      </c>
      <c r="G198" s="12" t="s">
        <v>149</v>
      </c>
      <c r="H198" s="12" t="s">
        <v>692</v>
      </c>
      <c r="I198" s="12" t="s">
        <v>693</v>
      </c>
      <c r="J198" s="6" t="s">
        <v>694</v>
      </c>
    </row>
    <row r="199" customFormat="false" ht="17.15" hidden="false" customHeight="false" outlineLevel="0" collapsed="false">
      <c r="A199" s="0" t="s">
        <v>695</v>
      </c>
      <c r="B199" s="0" t="s">
        <v>696</v>
      </c>
      <c r="C199" s="0" t="s">
        <v>50</v>
      </c>
      <c r="D199" s="11" t="n">
        <v>0.03</v>
      </c>
      <c r="E199" s="11" t="n">
        <v>0.06</v>
      </c>
      <c r="F199" s="11" t="n">
        <v>0.12</v>
      </c>
      <c r="G199" s="12" t="s">
        <v>149</v>
      </c>
      <c r="H199" s="6" t="s">
        <v>56</v>
      </c>
      <c r="I199" s="12" t="s">
        <v>697</v>
      </c>
      <c r="J199" s="12" t="s">
        <v>665</v>
      </c>
    </row>
    <row r="200" customFormat="false" ht="17.15" hidden="false" customHeight="false" outlineLevel="0" collapsed="false">
      <c r="A200" s="0" t="s">
        <v>698</v>
      </c>
      <c r="B200" s="0" t="s">
        <v>699</v>
      </c>
      <c r="C200" s="0" t="s">
        <v>50</v>
      </c>
      <c r="D200" s="11" t="n">
        <v>0.08</v>
      </c>
      <c r="E200" s="11" t="n">
        <v>0.15</v>
      </c>
      <c r="F200" s="11" t="n">
        <v>0.25</v>
      </c>
      <c r="G200" s="12" t="s">
        <v>149</v>
      </c>
      <c r="H200" s="6" t="s">
        <v>56</v>
      </c>
      <c r="I200" s="12" t="s">
        <v>700</v>
      </c>
      <c r="J200" s="12" t="s">
        <v>665</v>
      </c>
    </row>
    <row r="201" customFormat="false" ht="17.15" hidden="false" customHeight="false" outlineLevel="0" collapsed="false">
      <c r="A201" s="0" t="s">
        <v>701</v>
      </c>
      <c r="B201" s="0" t="s">
        <v>702</v>
      </c>
      <c r="C201" s="0" t="s">
        <v>50</v>
      </c>
      <c r="D201" s="11" t="n">
        <v>0</v>
      </c>
      <c r="E201" s="11" t="n">
        <v>0</v>
      </c>
      <c r="F201" s="11" t="n">
        <v>0.02</v>
      </c>
      <c r="G201" s="12" t="s">
        <v>149</v>
      </c>
      <c r="H201" s="12" t="s">
        <v>703</v>
      </c>
      <c r="I201" s="12" t="s">
        <v>704</v>
      </c>
      <c r="J201" s="12" t="s">
        <v>705</v>
      </c>
    </row>
    <row r="202" customFormat="false" ht="17.15" hidden="false" customHeight="false" outlineLevel="0" collapsed="false">
      <c r="A202" s="0" t="s">
        <v>706</v>
      </c>
      <c r="B202" s="0" t="s">
        <v>707</v>
      </c>
      <c r="C202" s="0" t="s">
        <v>50</v>
      </c>
      <c r="D202" s="11" t="n">
        <v>0</v>
      </c>
      <c r="E202" s="11" t="n">
        <v>0</v>
      </c>
      <c r="F202" s="11" t="n">
        <v>0.05</v>
      </c>
      <c r="G202" s="12" t="s">
        <v>149</v>
      </c>
      <c r="H202" s="6" t="s">
        <v>56</v>
      </c>
      <c r="I202" s="12" t="s">
        <v>708</v>
      </c>
      <c r="J202" s="12" t="s">
        <v>665</v>
      </c>
    </row>
    <row r="203" customFormat="false" ht="17.15" hidden="false" customHeight="false" outlineLevel="0" collapsed="false">
      <c r="A203" s="0" t="s">
        <v>709</v>
      </c>
      <c r="B203" s="0" t="s">
        <v>710</v>
      </c>
      <c r="C203" s="0" t="s">
        <v>50</v>
      </c>
      <c r="D203" s="11" t="n">
        <v>0</v>
      </c>
      <c r="E203" s="11" t="n">
        <v>0.05</v>
      </c>
      <c r="F203" s="11" t="n">
        <v>0.15</v>
      </c>
      <c r="G203" s="12" t="s">
        <v>149</v>
      </c>
      <c r="H203" s="6" t="s">
        <v>56</v>
      </c>
      <c r="I203" s="12" t="s">
        <v>711</v>
      </c>
      <c r="J203" s="12" t="s">
        <v>665</v>
      </c>
    </row>
    <row r="204" customFormat="false" ht="17.15" hidden="false" customHeight="false" outlineLevel="0" collapsed="false">
      <c r="A204" s="0" t="s">
        <v>712</v>
      </c>
      <c r="B204" s="6" t="s">
        <v>713</v>
      </c>
      <c r="C204" s="0" t="s">
        <v>50</v>
      </c>
      <c r="D204" s="11" t="n">
        <v>0.03</v>
      </c>
      <c r="E204" s="11" t="n">
        <v>0.05</v>
      </c>
      <c r="F204" s="11" t="n">
        <v>0.1</v>
      </c>
      <c r="G204" s="12" t="s">
        <v>149</v>
      </c>
      <c r="H204" s="6" t="s">
        <v>714</v>
      </c>
      <c r="I204" s="12" t="s">
        <v>715</v>
      </c>
      <c r="J204" s="6" t="s">
        <v>716</v>
      </c>
    </row>
    <row r="205" customFormat="false" ht="17.15" hidden="false" customHeight="false" outlineLevel="0" collapsed="false">
      <c r="A205" s="0" t="s">
        <v>717</v>
      </c>
      <c r="B205" s="6" t="s">
        <v>718</v>
      </c>
      <c r="C205" s="0" t="s">
        <v>50</v>
      </c>
      <c r="D205" s="11" t="n">
        <v>0.08</v>
      </c>
      <c r="E205" s="11" t="n">
        <v>0.15</v>
      </c>
      <c r="F205" s="11" t="n">
        <v>0.2</v>
      </c>
      <c r="G205" s="12" t="s">
        <v>149</v>
      </c>
      <c r="H205" s="6" t="s">
        <v>56</v>
      </c>
      <c r="I205" s="12" t="s">
        <v>719</v>
      </c>
      <c r="J205" s="12" t="s">
        <v>665</v>
      </c>
    </row>
    <row r="206" customFormat="false" ht="17.15" hidden="false" customHeight="false" outlineLevel="0" collapsed="false">
      <c r="A206" s="0" t="s">
        <v>720</v>
      </c>
      <c r="B206" s="6" t="s">
        <v>721</v>
      </c>
      <c r="C206" s="0" t="s">
        <v>50</v>
      </c>
      <c r="D206" s="11" t="n">
        <v>0.1</v>
      </c>
      <c r="E206" s="11" t="n">
        <v>0.18</v>
      </c>
      <c r="F206" s="11" t="n">
        <v>0.2</v>
      </c>
      <c r="G206" s="12" t="s">
        <v>149</v>
      </c>
      <c r="H206" s="6" t="s">
        <v>56</v>
      </c>
      <c r="I206" s="12" t="s">
        <v>722</v>
      </c>
      <c r="J206" s="12" t="s">
        <v>665</v>
      </c>
    </row>
    <row r="207" customFormat="false" ht="17.15" hidden="false" customHeight="false" outlineLevel="0" collapsed="false">
      <c r="A207" s="0" t="s">
        <v>723</v>
      </c>
      <c r="B207" s="6" t="s">
        <v>724</v>
      </c>
      <c r="C207" s="0" t="s">
        <v>50</v>
      </c>
      <c r="D207" s="11" t="n">
        <v>0</v>
      </c>
      <c r="E207" s="11" t="n">
        <v>0</v>
      </c>
      <c r="F207" s="11" t="n">
        <v>0.02</v>
      </c>
      <c r="G207" s="12" t="s">
        <v>149</v>
      </c>
      <c r="H207" s="6" t="s">
        <v>725</v>
      </c>
      <c r="I207" s="12" t="s">
        <v>726</v>
      </c>
      <c r="J207" s="6" t="s">
        <v>727</v>
      </c>
    </row>
    <row r="208" customFormat="false" ht="17.15" hidden="false" customHeight="false" outlineLevel="0" collapsed="false">
      <c r="A208" s="0" t="s">
        <v>728</v>
      </c>
      <c r="B208" s="6" t="s">
        <v>729</v>
      </c>
      <c r="C208" s="0" t="s">
        <v>50</v>
      </c>
      <c r="D208" s="11" t="n">
        <v>0</v>
      </c>
      <c r="E208" s="11" t="n">
        <v>0</v>
      </c>
      <c r="F208" s="11" t="n">
        <v>0.03</v>
      </c>
      <c r="G208" s="12" t="s">
        <v>149</v>
      </c>
      <c r="H208" s="6" t="s">
        <v>56</v>
      </c>
      <c r="I208" s="12" t="s">
        <v>730</v>
      </c>
      <c r="J208" s="12" t="s">
        <v>665</v>
      </c>
    </row>
    <row r="209" customFormat="false" ht="17.15" hidden="false" customHeight="false" outlineLevel="0" collapsed="false">
      <c r="A209" s="0" t="s">
        <v>731</v>
      </c>
      <c r="B209" s="6" t="s">
        <v>732</v>
      </c>
      <c r="C209" s="0" t="s">
        <v>50</v>
      </c>
      <c r="D209" s="11" t="n">
        <v>0</v>
      </c>
      <c r="E209" s="11" t="n">
        <v>0</v>
      </c>
      <c r="F209" s="11" t="n">
        <v>0.05</v>
      </c>
      <c r="G209" s="12" t="s">
        <v>149</v>
      </c>
      <c r="H209" s="6" t="s">
        <v>56</v>
      </c>
      <c r="I209" s="12" t="s">
        <v>733</v>
      </c>
      <c r="J209" s="12" t="s">
        <v>665</v>
      </c>
    </row>
    <row r="210" customFormat="false" ht="17.15" hidden="false" customHeight="false" outlineLevel="0" collapsed="false">
      <c r="A210" s="0" t="s">
        <v>734</v>
      </c>
      <c r="B210" s="6" t="s">
        <v>735</v>
      </c>
      <c r="C210" s="0" t="s">
        <v>50</v>
      </c>
      <c r="D210" s="11" t="n">
        <v>0.2</v>
      </c>
      <c r="E210" s="11" t="n">
        <v>0.3</v>
      </c>
      <c r="F210" s="11" t="n">
        <v>0.4</v>
      </c>
      <c r="G210" s="12" t="s">
        <v>149</v>
      </c>
      <c r="H210" s="6" t="s">
        <v>736</v>
      </c>
      <c r="I210" s="12" t="s">
        <v>737</v>
      </c>
      <c r="J210" s="12" t="s">
        <v>738</v>
      </c>
    </row>
    <row r="211" customFormat="false" ht="17.15" hidden="false" customHeight="false" outlineLevel="0" collapsed="false">
      <c r="A211" s="0" t="s">
        <v>739</v>
      </c>
      <c r="B211" s="6" t="s">
        <v>740</v>
      </c>
      <c r="C211" s="0" t="s">
        <v>50</v>
      </c>
      <c r="D211" s="11" t="n">
        <v>0.4</v>
      </c>
      <c r="E211" s="11" t="n">
        <v>0.55</v>
      </c>
      <c r="F211" s="11" t="n">
        <v>0.75</v>
      </c>
      <c r="G211" s="12" t="s">
        <v>149</v>
      </c>
      <c r="H211" s="6" t="s">
        <v>56</v>
      </c>
      <c r="I211" s="12" t="s">
        <v>741</v>
      </c>
      <c r="J211" s="12" t="s">
        <v>738</v>
      </c>
    </row>
    <row r="212" customFormat="false" ht="17.15" hidden="false" customHeight="false" outlineLevel="0" collapsed="false">
      <c r="A212" s="0" t="s">
        <v>742</v>
      </c>
      <c r="B212" s="6" t="s">
        <v>743</v>
      </c>
      <c r="C212" s="0" t="s">
        <v>50</v>
      </c>
      <c r="D212" s="11" t="n">
        <v>0.4</v>
      </c>
      <c r="E212" s="11" t="n">
        <v>0.5</v>
      </c>
      <c r="F212" s="11" t="n">
        <v>0.75</v>
      </c>
      <c r="G212" s="12" t="s">
        <v>149</v>
      </c>
      <c r="H212" s="6" t="s">
        <v>56</v>
      </c>
      <c r="I212" s="12" t="s">
        <v>744</v>
      </c>
      <c r="J212" s="12" t="s">
        <v>665</v>
      </c>
    </row>
    <row r="213" customFormat="false" ht="17.15" hidden="false" customHeight="false" outlineLevel="0" collapsed="false">
      <c r="A213" s="0" t="s">
        <v>745</v>
      </c>
      <c r="B213" s="6" t="s">
        <v>746</v>
      </c>
      <c r="C213" s="0" t="s">
        <v>50</v>
      </c>
      <c r="D213" s="11" t="n">
        <v>0.3</v>
      </c>
      <c r="E213" s="11" t="n">
        <v>0.4</v>
      </c>
      <c r="F213" s="11" t="n">
        <v>0.75</v>
      </c>
      <c r="G213" s="12" t="s">
        <v>149</v>
      </c>
      <c r="H213" s="6" t="s">
        <v>56</v>
      </c>
      <c r="I213" s="12" t="s">
        <v>747</v>
      </c>
      <c r="J213" s="12" t="s">
        <v>665</v>
      </c>
    </row>
    <row r="214" customFormat="false" ht="17.15" hidden="false" customHeight="false" outlineLevel="0" collapsed="false">
      <c r="A214" s="0" t="s">
        <v>748</v>
      </c>
      <c r="B214" s="6" t="s">
        <v>749</v>
      </c>
      <c r="C214" s="0" t="s">
        <v>50</v>
      </c>
      <c r="D214" s="11" t="n">
        <v>0.35</v>
      </c>
      <c r="E214" s="11" t="n">
        <v>0.55</v>
      </c>
      <c r="F214" s="11" t="n">
        <v>0.85</v>
      </c>
      <c r="G214" s="12" t="s">
        <v>149</v>
      </c>
      <c r="H214" s="6" t="s">
        <v>56</v>
      </c>
      <c r="I214" s="12" t="s">
        <v>750</v>
      </c>
      <c r="J214" s="12" t="s">
        <v>738</v>
      </c>
    </row>
    <row r="215" customFormat="false" ht="17.15" hidden="false" customHeight="false" outlineLevel="0" collapsed="false">
      <c r="A215" s="0" t="s">
        <v>751</v>
      </c>
      <c r="B215" s="6" t="s">
        <v>752</v>
      </c>
      <c r="C215" s="0" t="s">
        <v>50</v>
      </c>
      <c r="D215" s="11" t="n">
        <v>0.3</v>
      </c>
      <c r="E215" s="11" t="n">
        <v>0.45</v>
      </c>
      <c r="F215" s="11" t="n">
        <v>0.85</v>
      </c>
      <c r="G215" s="12" t="s">
        <v>149</v>
      </c>
      <c r="H215" s="6" t="s">
        <v>56</v>
      </c>
      <c r="I215" s="12" t="s">
        <v>753</v>
      </c>
      <c r="J215" s="12" t="s">
        <v>754</v>
      </c>
    </row>
    <row r="216" customFormat="false" ht="17.15" hidden="false" customHeight="false" outlineLevel="0" collapsed="false">
      <c r="A216" s="0" t="s">
        <v>755</v>
      </c>
      <c r="B216" s="6" t="s">
        <v>756</v>
      </c>
      <c r="C216" s="0" t="s">
        <v>50</v>
      </c>
      <c r="D216" s="11" t="n">
        <v>0.2</v>
      </c>
      <c r="E216" s="11" t="n">
        <v>0.35</v>
      </c>
      <c r="F216" s="11" t="n">
        <v>0.85</v>
      </c>
      <c r="G216" s="12" t="s">
        <v>149</v>
      </c>
      <c r="H216" s="6" t="s">
        <v>56</v>
      </c>
      <c r="I216" s="12" t="s">
        <v>757</v>
      </c>
      <c r="J216" s="12" t="s">
        <v>754</v>
      </c>
    </row>
    <row r="218" customFormat="false" ht="17.15" hidden="false" customHeight="false" outlineLevel="0" collapsed="false">
      <c r="A218" s="10" t="s">
        <v>758</v>
      </c>
    </row>
    <row r="219" customFormat="false" ht="15" hidden="false" customHeight="false" outlineLevel="0" collapsed="false">
      <c r="A219" s="4" t="s">
        <v>759</v>
      </c>
      <c r="B219" s="4" t="s">
        <v>760</v>
      </c>
      <c r="C219" s="4"/>
      <c r="D219" s="4"/>
      <c r="E219" s="4"/>
      <c r="F219" s="4"/>
      <c r="G219" s="4" t="s">
        <v>43</v>
      </c>
      <c r="H219" s="4" t="s">
        <v>44</v>
      </c>
    </row>
    <row r="220" customFormat="false" ht="17.15" hidden="false" customHeight="false" outlineLevel="0" collapsed="false">
      <c r="A220" s="0" t="s">
        <v>761</v>
      </c>
      <c r="B220" s="0" t="s">
        <v>762</v>
      </c>
      <c r="G220" s="0" t="s">
        <v>51</v>
      </c>
      <c r="H220" s="6" t="s">
        <v>322</v>
      </c>
    </row>
    <row r="221" customFormat="false" ht="17.15" hidden="false" customHeight="false" outlineLevel="0" collapsed="false">
      <c r="A221" s="0" t="s">
        <v>763</v>
      </c>
      <c r="B221" s="0" t="s">
        <v>764</v>
      </c>
      <c r="G221" s="0" t="s">
        <v>51</v>
      </c>
      <c r="H221" s="0" t="s">
        <v>342</v>
      </c>
    </row>
    <row r="222" customFormat="false" ht="17.15" hidden="false" customHeight="false" outlineLevel="0" collapsed="false">
      <c r="A222" s="0" t="s">
        <v>765</v>
      </c>
      <c r="B222" s="0" t="s">
        <v>766</v>
      </c>
      <c r="G222" s="0" t="s">
        <v>149</v>
      </c>
      <c r="H222" s="6" t="s">
        <v>767</v>
      </c>
    </row>
    <row r="223" customFormat="false" ht="17.15" hidden="false" customHeight="false" outlineLevel="0" collapsed="false">
      <c r="A223" s="0" t="s">
        <v>768</v>
      </c>
      <c r="B223" s="0" t="s">
        <v>769</v>
      </c>
      <c r="G223" s="0" t="s">
        <v>51</v>
      </c>
      <c r="H223" s="0" t="s">
        <v>381</v>
      </c>
    </row>
    <row r="224" customFormat="false" ht="17.15" hidden="false" customHeight="false" outlineLevel="0" collapsed="false">
      <c r="A224" s="0" t="s">
        <v>770</v>
      </c>
      <c r="B224" s="0" t="s">
        <v>771</v>
      </c>
      <c r="G224" s="0" t="s">
        <v>400</v>
      </c>
      <c r="H224" s="0" t="s">
        <v>772</v>
      </c>
    </row>
    <row r="225" customFormat="false" ht="17.15" hidden="false" customHeight="false" outlineLevel="0" collapsed="false">
      <c r="A225" s="0" t="s">
        <v>773</v>
      </c>
      <c r="B225" s="0" t="s">
        <v>774</v>
      </c>
      <c r="G225" s="0" t="s">
        <v>51</v>
      </c>
      <c r="H225" s="0" t="s">
        <v>420</v>
      </c>
    </row>
    <row r="226" customFormat="false" ht="17.15" hidden="false" customHeight="false" outlineLevel="0" collapsed="false">
      <c r="A226" s="0" t="s">
        <v>775</v>
      </c>
      <c r="B226" s="0" t="s">
        <v>776</v>
      </c>
      <c r="G226" s="0" t="s">
        <v>149</v>
      </c>
      <c r="H226" s="6" t="s">
        <v>777</v>
      </c>
    </row>
    <row r="227" customFormat="false" ht="17.15" hidden="false" customHeight="false" outlineLevel="0" collapsed="false">
      <c r="A227" s="0" t="s">
        <v>778</v>
      </c>
      <c r="B227" s="6" t="s">
        <v>779</v>
      </c>
      <c r="G227" s="0" t="s">
        <v>458</v>
      </c>
      <c r="H227" s="0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0"/>
  </cols>
  <sheetData>
    <row r="1" customFormat="false" ht="17.15" hidden="false" customHeight="false" outlineLevel="0" collapsed="false">
      <c r="A1" s="0" t="s">
        <v>781</v>
      </c>
    </row>
    <row r="3" customFormat="false" ht="17.15" hidden="false" customHeight="false" outlineLevel="0" collapsed="false">
      <c r="A3" s="4" t="s">
        <v>782</v>
      </c>
      <c r="B3" s="4" t="s">
        <v>37</v>
      </c>
      <c r="C3" s="5" t="s">
        <v>783</v>
      </c>
      <c r="D3" s="5" t="s">
        <v>784</v>
      </c>
      <c r="E3" s="5" t="s">
        <v>785</v>
      </c>
      <c r="F3" s="5" t="s">
        <v>786</v>
      </c>
      <c r="G3" s="5" t="s">
        <v>787</v>
      </c>
    </row>
    <row r="4" customFormat="false" ht="17.15" hidden="false" customHeight="false" outlineLevel="0" collapsed="false">
      <c r="A4" s="0" t="s">
        <v>762</v>
      </c>
      <c r="B4" s="0" t="s">
        <v>788</v>
      </c>
      <c r="C4" s="7" t="n">
        <f aca="false">u_bw_26</f>
        <v>5.4</v>
      </c>
      <c r="D4" s="7" t="n">
        <f aca="false">u_bw_27</f>
        <v>2.4</v>
      </c>
      <c r="E4" s="7" t="n">
        <f aca="false">u_bw_28</f>
        <v>0.5</v>
      </c>
      <c r="F4" s="14" t="n">
        <f aca="false">E4*(1+g29_bw)</f>
        <v>0.25</v>
      </c>
      <c r="G4" s="15" t="n">
        <f aca="false">g29_bw</f>
        <v>-0.5</v>
      </c>
    </row>
    <row r="5" customFormat="false" ht="15" hidden="false" customHeight="false" outlineLevel="0" collapsed="false">
      <c r="A5" s="0" t="s">
        <v>764</v>
      </c>
      <c r="B5" s="0" t="s">
        <v>789</v>
      </c>
      <c r="C5" s="7" t="n">
        <f aca="false">u_rb_26</f>
        <v>1.7</v>
      </c>
      <c r="D5" s="7" t="n">
        <f aca="false">u_rb_27</f>
        <v>7</v>
      </c>
      <c r="E5" s="7" t="n">
        <f aca="false">u_rb_28</f>
        <v>7</v>
      </c>
      <c r="F5" s="14" t="n">
        <f aca="false">E5*(1+g29_rb)</f>
        <v>8.05</v>
      </c>
      <c r="G5" s="15" t="n">
        <f aca="false">g29_rb</f>
        <v>0.15</v>
      </c>
    </row>
    <row r="6" customFormat="false" ht="15" hidden="false" customHeight="false" outlineLevel="0" collapsed="false">
      <c r="A6" s="0" t="s">
        <v>766</v>
      </c>
      <c r="B6" s="0" t="s">
        <v>790</v>
      </c>
      <c r="C6" s="7" t="n">
        <f aca="false">u_ru_26</f>
        <v>0</v>
      </c>
      <c r="D6" s="7" t="n">
        <f aca="false">u_ru_27</f>
        <v>0.3</v>
      </c>
      <c r="E6" s="7" t="n">
        <f aca="false">u_ru_28</f>
        <v>2</v>
      </c>
      <c r="F6" s="14" t="n">
        <f aca="false">E6*(1+g29_ru)</f>
        <v>2.3</v>
      </c>
      <c r="G6" s="15" t="n">
        <f aca="false">g29_ru</f>
        <v>0.15</v>
      </c>
    </row>
    <row r="7" customFormat="false" ht="17.15" hidden="false" customHeight="false" outlineLevel="0" collapsed="false">
      <c r="A7" s="0" t="s">
        <v>769</v>
      </c>
      <c r="B7" s="0" t="s">
        <v>791</v>
      </c>
      <c r="C7" s="7" t="n">
        <f aca="false">u_hp_26</f>
        <v>0.5</v>
      </c>
      <c r="D7" s="7" t="n">
        <f aca="false">u_hp_27</f>
        <v>0</v>
      </c>
      <c r="E7" s="7" t="n">
        <f aca="false">u_hp_28</f>
        <v>0</v>
      </c>
      <c r="F7" s="14" t="n">
        <f aca="false">E7*(1+g29_hp)</f>
        <v>0</v>
      </c>
      <c r="G7" s="15" t="n">
        <f aca="false">g29_hp</f>
        <v>0</v>
      </c>
    </row>
    <row r="8" customFormat="false" ht="15" hidden="false" customHeight="false" outlineLevel="0" collapsed="false">
      <c r="A8" s="0" t="s">
        <v>771</v>
      </c>
      <c r="B8" s="0" t="s">
        <v>792</v>
      </c>
      <c r="C8" s="7" t="n">
        <f aca="false">u_amd_26</f>
        <v>0.75</v>
      </c>
      <c r="D8" s="7" t="n">
        <f aca="false">u_amd_27</f>
        <v>1.5</v>
      </c>
      <c r="E8" s="7" t="n">
        <f aca="false">u_amd_28</f>
        <v>2</v>
      </c>
      <c r="F8" s="14" t="n">
        <f aca="false">E8*(1+g29_amd)</f>
        <v>2.3</v>
      </c>
      <c r="G8" s="15" t="n">
        <f aca="false">g29_amd</f>
        <v>0.15</v>
      </c>
    </row>
    <row r="9" customFormat="false" ht="15" hidden="false" customHeight="false" outlineLevel="0" collapsed="false">
      <c r="A9" s="0" t="s">
        <v>774</v>
      </c>
      <c r="B9" s="0" t="s">
        <v>793</v>
      </c>
      <c r="C9" s="7" t="n">
        <f aca="false">u_tpu_26</f>
        <v>3.85</v>
      </c>
      <c r="D9" s="7" t="n">
        <f aca="false">u_tpu_27</f>
        <v>5.5</v>
      </c>
      <c r="E9" s="7" t="n">
        <f aca="false">u_tpu_28</f>
        <v>7</v>
      </c>
      <c r="F9" s="14" t="n">
        <f aca="false">E9*(1+g29_tpu)</f>
        <v>8.05</v>
      </c>
      <c r="G9" s="15" t="n">
        <f aca="false">g29_tpu</f>
        <v>0.15</v>
      </c>
    </row>
    <row r="10" customFormat="false" ht="15" hidden="false" customHeight="false" outlineLevel="0" collapsed="false">
      <c r="A10" s="0" t="s">
        <v>776</v>
      </c>
      <c r="B10" s="0" t="s">
        <v>794</v>
      </c>
      <c r="C10" s="7" t="n">
        <f aca="false">u_trn_26</f>
        <v>2</v>
      </c>
      <c r="D10" s="7" t="n">
        <f aca="false">u_trn_27</f>
        <v>2.5</v>
      </c>
      <c r="E10" s="7" t="n">
        <f aca="false">u_trn_28</f>
        <v>3</v>
      </c>
      <c r="F10" s="14" t="n">
        <f aca="false">E10*(1+g29_trn)</f>
        <v>3.45</v>
      </c>
      <c r="G10" s="15" t="n">
        <f aca="false">g29_trn</f>
        <v>0.15</v>
      </c>
    </row>
    <row r="11" customFormat="false" ht="17.15" hidden="false" customHeight="false" outlineLevel="0" collapsed="false">
      <c r="A11" s="6" t="s">
        <v>779</v>
      </c>
      <c r="B11" s="0" t="s">
        <v>795</v>
      </c>
      <c r="C11" s="7" t="n">
        <f aca="false">u_oth_26</f>
        <v>1</v>
      </c>
      <c r="D11" s="7" t="n">
        <f aca="false">u_oth_27</f>
        <v>4.5</v>
      </c>
      <c r="E11" s="7" t="n">
        <f aca="false">u_oth_28</f>
        <v>5</v>
      </c>
      <c r="F11" s="14" t="n">
        <f aca="false">E11*(1+g29_oth)</f>
        <v>5.75</v>
      </c>
      <c r="G11" s="15" t="n">
        <f aca="false">g29_oth</f>
        <v>0.15</v>
      </c>
    </row>
    <row r="12" customFormat="false" ht="17.15" hidden="false" customHeight="false" outlineLevel="0" collapsed="false">
      <c r="A12" s="9" t="s">
        <v>796</v>
      </c>
      <c r="C12" s="16" t="n">
        <f aca="false">SUM(C4:C11)</f>
        <v>15.2</v>
      </c>
      <c r="D12" s="16" t="n">
        <f aca="false">SUM(D4:D11)</f>
        <v>23.7</v>
      </c>
      <c r="E12" s="16" t="n">
        <f aca="false">SUM(E4:E11)</f>
        <v>26.5</v>
      </c>
      <c r="F12" s="16" t="n">
        <f aca="false">SUM(F4:F11)</f>
        <v>30.15</v>
      </c>
      <c r="G12" s="17" t="n">
        <f aca="false">F12/E12-1</f>
        <v>0.137735849056604</v>
      </c>
    </row>
    <row r="13" customFormat="false" ht="17.15" hidden="false" customHeight="false" outlineLevel="0" collapsed="false">
      <c r="A13" s="6" t="s">
        <v>797</v>
      </c>
      <c r="C13" s="14" t="n">
        <f aca="false">C12</f>
        <v>15.2</v>
      </c>
      <c r="D13" s="14" t="n">
        <f aca="false">D12</f>
        <v>23.7</v>
      </c>
      <c r="E13" s="14" t="n">
        <f aca="false">E12*um28_A</f>
        <v>26.5</v>
      </c>
      <c r="F13" s="14" t="n">
        <f aca="false">F12*um29_A</f>
        <v>30.15</v>
      </c>
    </row>
    <row r="14" customFormat="false" ht="17.15" hidden="false" customHeight="false" outlineLevel="0" collapsed="false">
      <c r="A14" s="6" t="s">
        <v>798</v>
      </c>
      <c r="C14" s="14" t="n">
        <f aca="false">C12</f>
        <v>15.2</v>
      </c>
      <c r="D14" s="14" t="n">
        <f aca="false">D12</f>
        <v>23.7</v>
      </c>
      <c r="E14" s="14" t="n">
        <f aca="false">E12*um28_B</f>
        <v>21.2</v>
      </c>
      <c r="F14" s="14" t="n">
        <f aca="false">F12*um29_B</f>
        <v>25.6275</v>
      </c>
    </row>
    <row r="15" customFormat="false" ht="17.15" hidden="false" customHeight="false" outlineLevel="0" collapsed="false">
      <c r="A15" s="6" t="s">
        <v>799</v>
      </c>
      <c r="C15" s="14" t="n">
        <f aca="false">C12</f>
        <v>15.2</v>
      </c>
      <c r="D15" s="14" t="n">
        <f aca="false">D12</f>
        <v>23.7</v>
      </c>
      <c r="E15" s="14" t="n">
        <f aca="false">E12*um28_C</f>
        <v>15.9</v>
      </c>
      <c r="F15" s="14" t="n">
        <f aca="false">F12*um29_C</f>
        <v>18.09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6" min="4" style="0" width="9"/>
  </cols>
  <sheetData>
    <row r="1" customFormat="false" ht="17.15" hidden="false" customHeight="false" outlineLevel="0" collapsed="false">
      <c r="A1" s="0" t="s">
        <v>800</v>
      </c>
    </row>
    <row r="3" customFormat="false" ht="17.15" hidden="false" customHeight="false" outlineLevel="0" collapsed="false">
      <c r="A3" s="4" t="s">
        <v>782</v>
      </c>
      <c r="B3" s="4" t="s">
        <v>801</v>
      </c>
      <c r="C3" s="4" t="s">
        <v>802</v>
      </c>
      <c r="D3" s="5" t="s">
        <v>783</v>
      </c>
      <c r="E3" s="5" t="s">
        <v>784</v>
      </c>
      <c r="F3" s="5" t="s">
        <v>785</v>
      </c>
      <c r="G3" s="4" t="s">
        <v>33</v>
      </c>
    </row>
    <row r="4" customFormat="false" ht="17.15" hidden="false" customHeight="false" outlineLevel="0" collapsed="false">
      <c r="A4" s="0" t="s">
        <v>774</v>
      </c>
      <c r="B4" s="0" t="s">
        <v>803</v>
      </c>
      <c r="C4" s="0" t="s">
        <v>804</v>
      </c>
      <c r="D4" s="18" t="n">
        <f aca="false">sh_tpu_26</f>
        <v>0.9</v>
      </c>
      <c r="E4" s="18" t="n">
        <f aca="false">sh_tpu_27</f>
        <v>0.8</v>
      </c>
      <c r="F4" s="18" t="n">
        <f aca="false">sh_tpu_28</f>
        <v>0.75</v>
      </c>
    </row>
    <row r="5" customFormat="false" ht="17.15" hidden="false" customHeight="false" outlineLevel="0" collapsed="false">
      <c r="A5" s="0" t="s">
        <v>774</v>
      </c>
      <c r="B5" s="0" t="s">
        <v>805</v>
      </c>
      <c r="C5" s="0" t="s">
        <v>806</v>
      </c>
      <c r="D5" s="18" t="n">
        <f aca="false">msh_tpu_26</f>
        <v>0</v>
      </c>
      <c r="E5" s="18" t="n">
        <f aca="false">msh_tpu_27</f>
        <v>0</v>
      </c>
      <c r="F5" s="18" t="n">
        <f aca="false">msh_tpu_28</f>
        <v>0.05</v>
      </c>
    </row>
    <row r="6" customFormat="false" ht="17.15" hidden="false" customHeight="false" outlineLevel="0" collapsed="false">
      <c r="A6" s="0" t="s">
        <v>774</v>
      </c>
      <c r="B6" s="6" t="s">
        <v>807</v>
      </c>
      <c r="C6" s="0" t="s">
        <v>808</v>
      </c>
      <c r="D6" s="18" t="n">
        <f aca="false">mtk_tpu_26</f>
        <v>0.05</v>
      </c>
      <c r="E6" s="18" t="n">
        <f aca="false">mtk_tpu_27</f>
        <v>0.15</v>
      </c>
      <c r="F6" s="18" t="n">
        <f aca="false">mtk_tpu_28</f>
        <v>0.18</v>
      </c>
    </row>
    <row r="7" customFormat="false" ht="15" hidden="false" customHeight="false" outlineLevel="0" collapsed="false">
      <c r="A7" s="0" t="s">
        <v>774</v>
      </c>
      <c r="B7" s="9" t="s">
        <v>809</v>
      </c>
      <c r="D7" s="19" t="n">
        <f aca="false">SUM(D4:D6)</f>
        <v>0.95</v>
      </c>
      <c r="E7" s="19" t="n">
        <f aca="false">SUM(E4:E6)</f>
        <v>0.95</v>
      </c>
      <c r="F7" s="19" t="n">
        <f aca="false">SUM(F4:F6)</f>
        <v>0.98</v>
      </c>
    </row>
    <row r="8" customFormat="false" ht="15" hidden="false" customHeight="false" outlineLevel="0" collapsed="false">
      <c r="A8" s="0" t="s">
        <v>774</v>
      </c>
      <c r="B8" s="6" t="s">
        <v>810</v>
      </c>
      <c r="D8" s="15" t="n">
        <f aca="false">1-D7</f>
        <v>0.0499999999999999</v>
      </c>
      <c r="E8" s="15" t="n">
        <f aca="false">1-E7</f>
        <v>0.0499999999999999</v>
      </c>
      <c r="F8" s="15" t="n">
        <f aca="false">1-F7</f>
        <v>0.02</v>
      </c>
    </row>
    <row r="10" customFormat="false" ht="17.15" hidden="false" customHeight="false" outlineLevel="0" collapsed="false">
      <c r="A10" s="6" t="s">
        <v>811</v>
      </c>
      <c r="B10" s="0" t="s">
        <v>803</v>
      </c>
      <c r="C10" s="0" t="s">
        <v>812</v>
      </c>
      <c r="D10" s="18" t="n">
        <f aca="false">sh_oth_26</f>
        <v>0.35</v>
      </c>
      <c r="E10" s="18" t="n">
        <f aca="false">sh_oth_27</f>
        <v>0.55</v>
      </c>
      <c r="F10" s="18" t="n">
        <f aca="false">sh_oth_28</f>
        <v>0.55</v>
      </c>
    </row>
    <row r="11" customFormat="false" ht="17.15" hidden="false" customHeight="false" outlineLevel="0" collapsed="false">
      <c r="A11" s="6" t="s">
        <v>811</v>
      </c>
      <c r="B11" s="0" t="s">
        <v>805</v>
      </c>
      <c r="C11" s="0" t="s">
        <v>813</v>
      </c>
      <c r="D11" s="18" t="n">
        <f aca="false">msh_oth_26</f>
        <v>0.05</v>
      </c>
      <c r="E11" s="18" t="n">
        <f aca="false">msh_oth_27</f>
        <v>0.06</v>
      </c>
      <c r="F11" s="18" t="n">
        <f aca="false">msh_oth_28</f>
        <v>0.15</v>
      </c>
    </row>
    <row r="12" customFormat="false" ht="17.15" hidden="false" customHeight="false" outlineLevel="0" collapsed="false">
      <c r="A12" s="6" t="s">
        <v>811</v>
      </c>
      <c r="B12" s="6" t="s">
        <v>807</v>
      </c>
      <c r="C12" s="0" t="s">
        <v>814</v>
      </c>
      <c r="D12" s="18" t="n">
        <f aca="false">mtk_oth_26</f>
        <v>0</v>
      </c>
      <c r="E12" s="18" t="n">
        <f aca="false">mtk_oth_27</f>
        <v>0</v>
      </c>
      <c r="F12" s="18" t="n">
        <f aca="false">mtk_oth_28</f>
        <v>0</v>
      </c>
    </row>
    <row r="13" customFormat="false" ht="17.15" hidden="false" customHeight="false" outlineLevel="0" collapsed="false">
      <c r="A13" s="6" t="s">
        <v>811</v>
      </c>
      <c r="B13" s="9" t="s">
        <v>809</v>
      </c>
      <c r="D13" s="19" t="n">
        <f aca="false">SUM(D10:D12)</f>
        <v>0.4</v>
      </c>
      <c r="E13" s="19" t="n">
        <f aca="false">SUM(E10:E12)</f>
        <v>0.61</v>
      </c>
      <c r="F13" s="19" t="n">
        <f aca="false">SUM(F10:F12)</f>
        <v>0.7</v>
      </c>
    </row>
    <row r="14" customFormat="false" ht="17.15" hidden="false" customHeight="false" outlineLevel="0" collapsed="false">
      <c r="A14" s="6" t="s">
        <v>811</v>
      </c>
      <c r="B14" s="6" t="s">
        <v>810</v>
      </c>
      <c r="D14" s="15" t="n">
        <f aca="false">1-D13</f>
        <v>0.6</v>
      </c>
      <c r="E14" s="15" t="n">
        <f aca="false">1-E13</f>
        <v>0.39</v>
      </c>
      <c r="F14" s="15" t="n">
        <f aca="false">1-F13</f>
        <v>0.3</v>
      </c>
    </row>
    <row r="16" customFormat="false" ht="17.15" hidden="false" customHeight="false" outlineLevel="0" collapsed="false">
      <c r="A16" s="0" t="s">
        <v>815</v>
      </c>
      <c r="B16" s="0" t="s">
        <v>805</v>
      </c>
      <c r="C16" s="0" t="s">
        <v>816</v>
      </c>
      <c r="D16" s="18" t="n">
        <f aca="false">msh_trn_26</f>
        <v>0.1</v>
      </c>
      <c r="E16" s="18" t="n">
        <f aca="false">msh_trn_27</f>
        <v>0.1</v>
      </c>
      <c r="F16" s="18" t="n">
        <f aca="false">msh_trn_28</f>
        <v>0.08</v>
      </c>
    </row>
    <row r="17" customFormat="false" ht="17.15" hidden="false" customHeight="false" outlineLevel="0" collapsed="false">
      <c r="A17" s="0" t="s">
        <v>815</v>
      </c>
      <c r="B17" s="6" t="s">
        <v>817</v>
      </c>
      <c r="C17" s="0" t="s">
        <v>818</v>
      </c>
      <c r="D17" s="18" t="n">
        <f aca="false">al_trn_26</f>
        <v>0.3</v>
      </c>
      <c r="E17" s="18" t="n">
        <f aca="false">al27_A</f>
        <v>0.55</v>
      </c>
      <c r="F17" s="18" t="n">
        <f aca="false">al28_A</f>
        <v>0.55</v>
      </c>
    </row>
    <row r="18" customFormat="false" ht="17.15" hidden="false" customHeight="false" outlineLevel="0" collapsed="false">
      <c r="A18" s="0" t="s">
        <v>815</v>
      </c>
      <c r="B18" s="9" t="s">
        <v>809</v>
      </c>
      <c r="D18" s="19" t="n">
        <f aca="false">SUM(D16:D17)</f>
        <v>0.4</v>
      </c>
      <c r="E18" s="19" t="n">
        <f aca="false">SUM(E16:E17)</f>
        <v>0.65</v>
      </c>
      <c r="F18" s="19" t="n">
        <f aca="false">SUM(F16:F17)</f>
        <v>0.63</v>
      </c>
    </row>
    <row r="19" customFormat="false" ht="17.15" hidden="false" customHeight="false" outlineLevel="0" collapsed="false">
      <c r="A19" s="0" t="s">
        <v>815</v>
      </c>
      <c r="B19" s="6" t="s">
        <v>810</v>
      </c>
      <c r="D19" s="15" t="n">
        <f aca="false">1-D18</f>
        <v>0.6</v>
      </c>
      <c r="E19" s="15" t="n">
        <f aca="false">1-E18</f>
        <v>0.35</v>
      </c>
      <c r="F19" s="15" t="n">
        <f aca="false">1-F18</f>
        <v>0.37</v>
      </c>
    </row>
    <row r="21" customFormat="false" ht="17.15" hidden="false" customHeight="false" outlineLevel="0" collapsed="false">
      <c r="A21" s="0" t="s">
        <v>819</v>
      </c>
      <c r="B21" s="0" t="s">
        <v>805</v>
      </c>
      <c r="C21" s="0" t="s">
        <v>816</v>
      </c>
      <c r="D21" s="18" t="n">
        <f aca="false">msh_trn_26</f>
        <v>0.1</v>
      </c>
      <c r="E21" s="18" t="n">
        <f aca="false">msh_trn_27</f>
        <v>0.1</v>
      </c>
      <c r="F21" s="18" t="n">
        <f aca="false">msh_trn_28</f>
        <v>0.08</v>
      </c>
    </row>
    <row r="22" customFormat="false" ht="17.15" hidden="false" customHeight="false" outlineLevel="0" collapsed="false">
      <c r="A22" s="0" t="s">
        <v>819</v>
      </c>
      <c r="B22" s="6" t="s">
        <v>817</v>
      </c>
      <c r="C22" s="0" t="s">
        <v>820</v>
      </c>
      <c r="D22" s="18" t="n">
        <f aca="false">al_trn_26</f>
        <v>0.3</v>
      </c>
      <c r="E22" s="18" t="n">
        <f aca="false">al27_B</f>
        <v>0.5</v>
      </c>
      <c r="F22" s="18" t="n">
        <f aca="false">al28_B</f>
        <v>0.45</v>
      </c>
    </row>
    <row r="23" customFormat="false" ht="17.15" hidden="false" customHeight="false" outlineLevel="0" collapsed="false">
      <c r="A23" s="0" t="s">
        <v>819</v>
      </c>
      <c r="B23" s="9" t="s">
        <v>809</v>
      </c>
      <c r="D23" s="19" t="n">
        <f aca="false">SUM(D21:D22)</f>
        <v>0.4</v>
      </c>
      <c r="E23" s="19" t="n">
        <f aca="false">SUM(E21:E22)</f>
        <v>0.6</v>
      </c>
      <c r="F23" s="19" t="n">
        <f aca="false">SUM(F21:F22)</f>
        <v>0.53</v>
      </c>
    </row>
    <row r="24" customFormat="false" ht="17.15" hidden="false" customHeight="false" outlineLevel="0" collapsed="false">
      <c r="A24" s="0" t="s">
        <v>819</v>
      </c>
      <c r="B24" s="6" t="s">
        <v>810</v>
      </c>
      <c r="D24" s="15" t="n">
        <f aca="false">1-D23</f>
        <v>0.6</v>
      </c>
      <c r="E24" s="15" t="n">
        <f aca="false">1-E23</f>
        <v>0.4</v>
      </c>
      <c r="F24" s="15" t="n">
        <f aca="false">1-F23</f>
        <v>0.47</v>
      </c>
    </row>
    <row r="26" customFormat="false" ht="17.15" hidden="false" customHeight="false" outlineLevel="0" collapsed="false">
      <c r="A26" s="0" t="s">
        <v>821</v>
      </c>
      <c r="B26" s="0" t="s">
        <v>805</v>
      </c>
      <c r="C26" s="0" t="s">
        <v>816</v>
      </c>
      <c r="D26" s="18" t="n">
        <f aca="false">msh_trn_26</f>
        <v>0.1</v>
      </c>
      <c r="E26" s="18" t="n">
        <f aca="false">msh_trn_27</f>
        <v>0.1</v>
      </c>
      <c r="F26" s="18" t="n">
        <f aca="false">msh_trn_28</f>
        <v>0.08</v>
      </c>
    </row>
    <row r="27" customFormat="false" ht="17.15" hidden="false" customHeight="false" outlineLevel="0" collapsed="false">
      <c r="A27" s="0" t="s">
        <v>821</v>
      </c>
      <c r="B27" s="6" t="s">
        <v>817</v>
      </c>
      <c r="C27" s="0" t="s">
        <v>822</v>
      </c>
      <c r="D27" s="18" t="n">
        <f aca="false">al_trn_26</f>
        <v>0.3</v>
      </c>
      <c r="E27" s="18" t="n">
        <f aca="false">al27_C</f>
        <v>0.4</v>
      </c>
      <c r="F27" s="18" t="n">
        <f aca="false">al28_C</f>
        <v>0.35</v>
      </c>
    </row>
    <row r="28" customFormat="false" ht="17.15" hidden="false" customHeight="false" outlineLevel="0" collapsed="false">
      <c r="A28" s="0" t="s">
        <v>821</v>
      </c>
      <c r="B28" s="9" t="s">
        <v>809</v>
      </c>
      <c r="D28" s="19" t="n">
        <f aca="false">SUM(D26:D27)</f>
        <v>0.4</v>
      </c>
      <c r="E28" s="19" t="n">
        <f aca="false">SUM(E26:E27)</f>
        <v>0.5</v>
      </c>
      <c r="F28" s="19" t="n">
        <f aca="false">SUM(F26:F27)</f>
        <v>0.43</v>
      </c>
    </row>
    <row r="29" customFormat="false" ht="17.15" hidden="false" customHeight="false" outlineLevel="0" collapsed="false">
      <c r="A29" s="0" t="s">
        <v>821</v>
      </c>
      <c r="B29" s="6" t="s">
        <v>810</v>
      </c>
      <c r="D29" s="15" t="n">
        <f aca="false">1-D28</f>
        <v>0.6</v>
      </c>
      <c r="E29" s="15" t="n">
        <f aca="false">1-E28</f>
        <v>0.5</v>
      </c>
      <c r="F29" s="15" t="n">
        <f aca="false">1-F28</f>
        <v>0.57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823</v>
      </c>
    </row>
    <row r="3" customFormat="false" ht="15" hidden="false" customHeight="false" outlineLevel="0" collapsed="false">
      <c r="A3" s="4" t="s">
        <v>824</v>
      </c>
      <c r="B3" s="4" t="s">
        <v>13</v>
      </c>
      <c r="C3" s="5" t="s">
        <v>825</v>
      </c>
      <c r="D3" s="5" t="s">
        <v>826</v>
      </c>
      <c r="E3" s="5" t="s">
        <v>827</v>
      </c>
      <c r="F3" s="5" t="s">
        <v>828</v>
      </c>
      <c r="G3" s="5" t="s">
        <v>829</v>
      </c>
      <c r="H3" s="5" t="s">
        <v>830</v>
      </c>
      <c r="I3" s="5" t="s">
        <v>831</v>
      </c>
      <c r="J3" s="5" t="s">
        <v>832</v>
      </c>
      <c r="K3" s="5" t="s">
        <v>833</v>
      </c>
      <c r="L3" s="5" t="s">
        <v>834</v>
      </c>
      <c r="M3" s="5" t="s">
        <v>835</v>
      </c>
      <c r="N3" s="5" t="s">
        <v>836</v>
      </c>
      <c r="O3" s="5" t="s">
        <v>837</v>
      </c>
      <c r="P3" s="5" t="s">
        <v>838</v>
      </c>
      <c r="Q3" s="5" t="s">
        <v>839</v>
      </c>
      <c r="R3" s="5" t="s">
        <v>840</v>
      </c>
      <c r="S3" s="5" t="s">
        <v>841</v>
      </c>
      <c r="T3" s="5" t="s">
        <v>842</v>
      </c>
      <c r="U3" s="5" t="s">
        <v>843</v>
      </c>
      <c r="V3" s="5" t="s">
        <v>844</v>
      </c>
    </row>
    <row r="4" customFormat="false" ht="17.15" hidden="false" customHeight="false" outlineLevel="0" collapsed="false">
      <c r="A4" s="6" t="s">
        <v>845</v>
      </c>
      <c r="B4" s="0" t="s">
        <v>20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6" t="s">
        <v>845</v>
      </c>
      <c r="B5" s="0" t="s">
        <v>25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6" t="s">
        <v>845</v>
      </c>
      <c r="B6" s="0" t="s">
        <v>29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846</v>
      </c>
      <c r="B8" s="0" t="s">
        <v>20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846</v>
      </c>
      <c r="B9" s="0" t="s">
        <v>25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846</v>
      </c>
      <c r="B10" s="0" t="s">
        <v>29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9" t="s">
        <v>847</v>
      </c>
    </row>
    <row r="13" customFormat="false" ht="15" hidden="false" customHeight="false" outlineLevel="0" collapsed="false">
      <c r="A13" s="4" t="s">
        <v>824</v>
      </c>
      <c r="B13" s="4" t="s">
        <v>13</v>
      </c>
      <c r="C13" s="5" t="s">
        <v>848</v>
      </c>
      <c r="D13" s="5" t="s">
        <v>783</v>
      </c>
      <c r="E13" s="5" t="s">
        <v>784</v>
      </c>
      <c r="F13" s="5" t="s">
        <v>785</v>
      </c>
      <c r="G13" s="5" t="s">
        <v>786</v>
      </c>
      <c r="H13" s="5" t="s">
        <v>849</v>
      </c>
      <c r="I13" s="5" t="s">
        <v>850</v>
      </c>
      <c r="J13" s="5" t="s">
        <v>851</v>
      </c>
      <c r="K13" s="5" t="s">
        <v>852</v>
      </c>
    </row>
    <row r="14" customFormat="false" ht="17.15" hidden="false" customHeight="false" outlineLevel="0" collapsed="false">
      <c r="A14" s="6" t="s">
        <v>845</v>
      </c>
      <c r="B14" s="0" t="s">
        <v>20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6" t="s">
        <v>845</v>
      </c>
      <c r="B15" s="0" t="s">
        <v>25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6" t="s">
        <v>845</v>
      </c>
      <c r="B16" s="0" t="s">
        <v>29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846</v>
      </c>
      <c r="B17" s="0" t="s">
        <v>20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846</v>
      </c>
      <c r="B18" s="0" t="s">
        <v>25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846</v>
      </c>
      <c r="B19" s="0" t="s">
        <v>29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853</v>
      </c>
    </row>
    <row r="2" customFormat="false" ht="17.15" hidden="false" customHeight="false" outlineLevel="0" collapsed="false">
      <c r="A2" s="6" t="s">
        <v>854</v>
      </c>
    </row>
    <row r="3" customFormat="false" ht="15" hidden="false" customHeight="false" outlineLevel="0" collapsed="false">
      <c r="A3" s="4" t="s">
        <v>38</v>
      </c>
      <c r="B3" s="4" t="s">
        <v>39</v>
      </c>
      <c r="C3" s="5" t="s">
        <v>848</v>
      </c>
      <c r="D3" s="5" t="s">
        <v>783</v>
      </c>
      <c r="E3" s="5" t="s">
        <v>784</v>
      </c>
      <c r="F3" s="5" t="s">
        <v>785</v>
      </c>
      <c r="G3" s="5" t="s">
        <v>786</v>
      </c>
      <c r="H3" s="4" t="s">
        <v>33</v>
      </c>
    </row>
    <row r="4" customFormat="false" ht="17.15" hidden="false" customHeight="false" outlineLevel="0" collapsed="false">
      <c r="A4" s="9" t="s">
        <v>855</v>
      </c>
    </row>
    <row r="5" customFormat="false" ht="17.15" hidden="false" customHeight="false" outlineLevel="0" collapsed="false">
      <c r="A5" s="0" t="s">
        <v>856</v>
      </c>
      <c r="B5" s="0" t="s">
        <v>857</v>
      </c>
      <c r="D5" s="20" t="n">
        <f aca="false">u_bw_26*g_bw_26</f>
        <v>1404</v>
      </c>
      <c r="E5" s="20" t="n">
        <f aca="false">u_bw_27*g_bw_27</f>
        <v>672</v>
      </c>
      <c r="F5" s="20" t="n">
        <f aca="false">u_bw_28*g_bw_28</f>
        <v>144</v>
      </c>
    </row>
    <row r="6" customFormat="false" ht="15" hidden="false" customHeight="false" outlineLevel="0" collapsed="false">
      <c r="A6" s="0" t="s">
        <v>858</v>
      </c>
      <c r="B6" s="0" t="s">
        <v>857</v>
      </c>
      <c r="D6" s="20" t="n">
        <f aca="false">u_rb_26*g_rb_26</f>
        <v>489.6</v>
      </c>
      <c r="E6" s="20" t="n">
        <f aca="false">u_rb_27*g_rb_27</f>
        <v>2016</v>
      </c>
      <c r="F6" s="20" t="n">
        <f aca="false">u_rb_28*g_rb_28</f>
        <v>2016</v>
      </c>
    </row>
    <row r="7" customFormat="false" ht="15" hidden="false" customHeight="false" outlineLevel="0" collapsed="false">
      <c r="A7" s="0" t="s">
        <v>859</v>
      </c>
      <c r="B7" s="0" t="s">
        <v>857</v>
      </c>
      <c r="D7" s="20" t="n">
        <f aca="false">u_ru_26*g_ru_26</f>
        <v>0</v>
      </c>
      <c r="E7" s="20" t="n">
        <f aca="false">u_ru_27*g_ru_27</f>
        <v>307.2</v>
      </c>
      <c r="F7" s="20" t="n">
        <f aca="false">u_ru_28*g_ru_28</f>
        <v>2048</v>
      </c>
    </row>
    <row r="8" customFormat="false" ht="17.15" hidden="false" customHeight="false" outlineLevel="0" collapsed="false">
      <c r="A8" s="0" t="s">
        <v>860</v>
      </c>
      <c r="B8" s="0" t="s">
        <v>857</v>
      </c>
      <c r="D8" s="20" t="n">
        <f aca="false">u_hp_26*g_hp_26</f>
        <v>70.5</v>
      </c>
      <c r="E8" s="20" t="n">
        <f aca="false">u_hp_27*g_hp_27</f>
        <v>0</v>
      </c>
      <c r="F8" s="20" t="n">
        <f aca="false">u_hp_28*g_hp_28</f>
        <v>0</v>
      </c>
    </row>
    <row r="9" customFormat="false" ht="15" hidden="false" customHeight="false" outlineLevel="0" collapsed="false">
      <c r="A9" s="0" t="s">
        <v>861</v>
      </c>
      <c r="B9" s="0" t="s">
        <v>857</v>
      </c>
      <c r="D9" s="20" t="n">
        <f aca="false">u_amd_26*g_amd_26</f>
        <v>216</v>
      </c>
      <c r="E9" s="20" t="n">
        <f aca="false">u_amd_27*g_amd_27</f>
        <v>540</v>
      </c>
      <c r="F9" s="20" t="n">
        <f aca="false">u_amd_28*g_amd_28</f>
        <v>864</v>
      </c>
    </row>
    <row r="10" customFormat="false" ht="15" hidden="false" customHeight="false" outlineLevel="0" collapsed="false">
      <c r="A10" s="0" t="s">
        <v>862</v>
      </c>
      <c r="B10" s="0" t="s">
        <v>857</v>
      </c>
      <c r="D10" s="20" t="n">
        <f aca="false">u_tpu_26*g_tpu_26</f>
        <v>739.2</v>
      </c>
      <c r="E10" s="20" t="n">
        <f aca="false">u_tpu_27*g_tpu_27</f>
        <v>1375</v>
      </c>
      <c r="F10" s="20" t="n">
        <f aca="false">u_tpu_28*g_tpu_28</f>
        <v>2016</v>
      </c>
    </row>
    <row r="11" customFormat="false" ht="15" hidden="false" customHeight="false" outlineLevel="0" collapsed="false">
      <c r="A11" s="0" t="s">
        <v>863</v>
      </c>
      <c r="B11" s="0" t="s">
        <v>857</v>
      </c>
      <c r="D11" s="20" t="n">
        <f aca="false">u_trn_26*g_trn_26</f>
        <v>220</v>
      </c>
      <c r="E11" s="20" t="n">
        <f aca="false">u_trn_27*g_trn_27</f>
        <v>360</v>
      </c>
      <c r="F11" s="20" t="n">
        <f aca="false">u_trn_28*g_trn_28</f>
        <v>600</v>
      </c>
    </row>
    <row r="12" customFormat="false" ht="17.15" hidden="false" customHeight="false" outlineLevel="0" collapsed="false">
      <c r="A12" s="6" t="s">
        <v>864</v>
      </c>
      <c r="B12" s="0" t="s">
        <v>857</v>
      </c>
      <c r="D12" s="20" t="n">
        <f aca="false">u_oth_26*g_oth_26</f>
        <v>150</v>
      </c>
      <c r="E12" s="20" t="n">
        <f aca="false">u_oth_27*g_oth_27</f>
        <v>900</v>
      </c>
      <c r="F12" s="20" t="n">
        <f aca="false">u_oth_28*g_oth_28</f>
        <v>1250</v>
      </c>
    </row>
    <row r="13" customFormat="false" ht="15" hidden="false" customHeight="false" outlineLevel="0" collapsed="false">
      <c r="A13" s="6" t="s">
        <v>865</v>
      </c>
      <c r="B13" s="0" t="s">
        <v>866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6" t="s">
        <v>867</v>
      </c>
      <c r="B14" s="0" t="s">
        <v>866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6" t="s">
        <v>868</v>
      </c>
      <c r="B15" s="6" t="s">
        <v>321</v>
      </c>
      <c r="D15" s="21" t="n">
        <f aca="false">u_bw_26+u_rb_26+u_ru_26+u_hp_26+u_amd_26+u_tpu_26+u_trn_26+u_oth_26</f>
        <v>15.2</v>
      </c>
      <c r="E15" s="21" t="n">
        <f aca="false">u_bw_27+u_rb_27+u_ru_27+u_hp_27+u_amd_27+u_tpu_27+u_trn_27+u_oth_27</f>
        <v>23.7</v>
      </c>
      <c r="F15" s="21" t="n">
        <f aca="false">u_bw_28+u_rb_28+u_ru_28+u_hp_28+u_amd_28+u_tpu_28+u_trn_28+u_oth_28</f>
        <v>26.5</v>
      </c>
      <c r="H15" s="12" t="s">
        <v>869</v>
      </c>
    </row>
    <row r="16" customFormat="false" ht="17.15" hidden="false" customHeight="false" outlineLevel="0" collapsed="false">
      <c r="A16" s="6" t="s">
        <v>870</v>
      </c>
      <c r="B16" s="0" t="s">
        <v>332</v>
      </c>
      <c r="D16" s="20" t="n">
        <f aca="false">D13*1000/D15</f>
        <v>216.401315789474</v>
      </c>
      <c r="E16" s="20" t="n">
        <f aca="false">E13*1000/E15</f>
        <v>260.345991561181</v>
      </c>
      <c r="F16" s="20" t="n">
        <f aca="false">F13*1000/F15</f>
        <v>337.283018867925</v>
      </c>
    </row>
    <row r="17" customFormat="false" ht="17.15" hidden="false" customHeight="false" outlineLevel="0" collapsed="false">
      <c r="A17" s="6" t="s">
        <v>871</v>
      </c>
      <c r="B17" s="0" t="s">
        <v>866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12" t="s">
        <v>872</v>
      </c>
    </row>
    <row r="18" customFormat="false" ht="17.15" hidden="false" customHeight="false" outlineLevel="0" collapsed="false">
      <c r="A18" s="6" t="s">
        <v>873</v>
      </c>
      <c r="B18" s="0" t="s">
        <v>479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12" t="s">
        <v>874</v>
      </c>
    </row>
    <row r="19" customFormat="false" ht="17.15" hidden="false" customHeight="false" outlineLevel="0" collapsed="false">
      <c r="A19" s="6" t="s">
        <v>875</v>
      </c>
      <c r="B19" s="0" t="s">
        <v>479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12" t="s">
        <v>874</v>
      </c>
    </row>
    <row r="20" customFormat="false" ht="17.15" hidden="false" customHeight="false" outlineLevel="0" collapsed="false">
      <c r="A20" s="6" t="s">
        <v>876</v>
      </c>
      <c r="B20" s="0" t="s">
        <v>479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12" t="s">
        <v>874</v>
      </c>
    </row>
    <row r="21" customFormat="false" ht="17.15" hidden="false" customHeight="false" outlineLevel="0" collapsed="false">
      <c r="A21" s="6" t="s">
        <v>877</v>
      </c>
      <c r="B21" s="0" t="s">
        <v>866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6" t="s">
        <v>878</v>
      </c>
      <c r="B22" s="0" t="s">
        <v>866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6" t="s">
        <v>879</v>
      </c>
      <c r="B23" s="0" t="s">
        <v>866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6" t="s">
        <v>880</v>
      </c>
      <c r="B24" s="0" t="s">
        <v>866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6" t="s">
        <v>881</v>
      </c>
    </row>
    <row r="25" customFormat="false" ht="17.15" hidden="false" customHeight="false" outlineLevel="0" collapsed="false">
      <c r="A25" s="6" t="s">
        <v>882</v>
      </c>
      <c r="B25" s="0" t="s">
        <v>866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6" t="s">
        <v>883</v>
      </c>
      <c r="B26" s="0" t="s">
        <v>866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6" t="s">
        <v>884</v>
      </c>
      <c r="B27" s="0" t="s">
        <v>866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6" t="s">
        <v>885</v>
      </c>
      <c r="B28" s="0" t="s">
        <v>866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6" t="s">
        <v>886</v>
      </c>
      <c r="B29" s="0" t="s">
        <v>866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887</v>
      </c>
      <c r="B30" s="0" t="s">
        <v>523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12" t="n">
        <f aca="false">F30*(1+hbm_p29_A)</f>
        <v>27.4626</v>
      </c>
    </row>
    <row r="31" customFormat="false" ht="17.15" hidden="false" customHeight="false" outlineLevel="0" collapsed="false">
      <c r="A31" s="0" t="s">
        <v>888</v>
      </c>
      <c r="B31" s="0" t="s">
        <v>523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12" t="n">
        <f aca="false">F31*(1+hbm_p29_B)</f>
        <v>19.71</v>
      </c>
    </row>
    <row r="32" customFormat="false" ht="17.15" hidden="false" customHeight="false" outlineLevel="0" collapsed="false">
      <c r="A32" s="0" t="s">
        <v>889</v>
      </c>
      <c r="B32" s="0" t="s">
        <v>523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12" t="n">
        <f aca="false">F32*(1+hbm_p29_C)</f>
        <v>16.5564</v>
      </c>
    </row>
    <row r="33" customFormat="false" ht="17.15" hidden="false" customHeight="false" outlineLevel="0" collapsed="false">
      <c r="A33" s="0" t="s">
        <v>890</v>
      </c>
      <c r="B33" s="0" t="s">
        <v>501</v>
      </c>
      <c r="C33" s="21" t="n">
        <f aca="false">C24*C30</f>
        <v>35</v>
      </c>
      <c r="D33" s="21" t="n">
        <f aca="false">D24*D30</f>
        <v>55.227347</v>
      </c>
      <c r="E33" s="21" t="n">
        <f aca="false">E24*E30</f>
        <v>154.08429813</v>
      </c>
      <c r="F33" s="21" t="n">
        <f aca="false">F24*F30</f>
        <v>245.76445551735</v>
      </c>
      <c r="G33" s="21" t="n">
        <f aca="false">G24*G30</f>
        <v>315.192914201001</v>
      </c>
    </row>
    <row r="34" customFormat="false" ht="17.15" hidden="false" customHeight="false" outlineLevel="0" collapsed="false">
      <c r="A34" s="0" t="s">
        <v>891</v>
      </c>
      <c r="B34" s="0" t="s">
        <v>501</v>
      </c>
      <c r="C34" s="21" t="n">
        <f aca="false">C25*C31</f>
        <v>35</v>
      </c>
      <c r="D34" s="21" t="n">
        <f aca="false">D25*D31</f>
        <v>55.227347</v>
      </c>
      <c r="E34" s="21" t="n">
        <f aca="false">E25*E31</f>
        <v>154.08429813</v>
      </c>
      <c r="F34" s="21" t="n">
        <f aca="false">F25*F31</f>
        <v>162.0745416</v>
      </c>
      <c r="G34" s="21" t="n">
        <f aca="false">G25*G31</f>
        <v>223.865460585</v>
      </c>
    </row>
    <row r="35" customFormat="false" ht="17.15" hidden="false" customHeight="false" outlineLevel="0" collapsed="false">
      <c r="A35" s="0" t="s">
        <v>892</v>
      </c>
      <c r="B35" s="0" t="s">
        <v>501</v>
      </c>
      <c r="C35" s="21" t="n">
        <f aca="false">C26*C32</f>
        <v>35</v>
      </c>
      <c r="D35" s="21" t="n">
        <f aca="false">D26*D32</f>
        <v>55.227347</v>
      </c>
      <c r="E35" s="21" t="n">
        <f aca="false">E26*E32</f>
        <v>154.08429813</v>
      </c>
      <c r="F35" s="21" t="n">
        <f aca="false">F26*F32</f>
        <v>97.24472496</v>
      </c>
      <c r="G35" s="21" t="n">
        <f aca="false">G26*G32</f>
        <v>132.7390495704</v>
      </c>
    </row>
    <row r="37" customFormat="false" ht="17.15" hidden="false" customHeight="false" outlineLevel="0" collapsed="false">
      <c r="A37" s="9" t="s">
        <v>893</v>
      </c>
    </row>
    <row r="38" customFormat="false" ht="17.15" hidden="false" customHeight="false" outlineLevel="0" collapsed="false">
      <c r="A38" s="6" t="s">
        <v>894</v>
      </c>
      <c r="B38" s="0" t="s">
        <v>501</v>
      </c>
      <c r="D38" s="21" t="n">
        <f aca="false">(D5+D6+D7+D8)/1000*hbm_p26</f>
        <v>28.67586</v>
      </c>
    </row>
    <row r="39" customFormat="false" ht="17.15" hidden="false" customHeight="false" outlineLevel="0" collapsed="false">
      <c r="A39" s="6" t="s">
        <v>895</v>
      </c>
      <c r="B39" s="0" t="s">
        <v>501</v>
      </c>
      <c r="D39" s="21" t="n">
        <f aca="false">nv_dc26*nv_hbm/nv_content</f>
        <v>38.9728971962617</v>
      </c>
      <c r="H39" s="6" t="s">
        <v>896</v>
      </c>
    </row>
    <row r="40" customFormat="false" ht="15" hidden="false" customHeight="false" outlineLevel="0" collapsed="false">
      <c r="A40" s="6" t="s">
        <v>897</v>
      </c>
      <c r="B40" s="0" t="s">
        <v>50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6" t="s">
        <v>898</v>
      </c>
      <c r="B41" s="6" t="s">
        <v>321</v>
      </c>
      <c r="D41" s="21" t="n">
        <f aca="false">nv_dc26/nv_content</f>
        <v>8.73831775700935</v>
      </c>
      <c r="E41" s="21" t="n">
        <f aca="false">u_bw_26+u_rb_26+u_hp_26</f>
        <v>7.6</v>
      </c>
      <c r="H41" s="12" t="s">
        <v>899</v>
      </c>
    </row>
    <row r="42" customFormat="false" ht="17.15" hidden="false" customHeight="false" outlineLevel="0" collapsed="false">
      <c r="A42" s="6" t="s">
        <v>900</v>
      </c>
      <c r="B42" s="0" t="s">
        <v>501</v>
      </c>
      <c r="D42" s="21" t="n">
        <f aca="false">pub26_lo</f>
        <v>54.6</v>
      </c>
      <c r="E42" s="21" t="n">
        <f aca="false">pub26_hi</f>
        <v>77.4</v>
      </c>
      <c r="F42" s="21" t="n">
        <f aca="false">pub27</f>
        <v>152.8</v>
      </c>
    </row>
    <row r="43" customFormat="false" ht="17.15" hidden="false" customHeight="false" outlineLevel="0" collapsed="false">
      <c r="A43" s="6" t="s">
        <v>901</v>
      </c>
      <c r="B43" s="0" t="s">
        <v>50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34"/>
    <col collapsed="false" customWidth="true" hidden="false" outlineLevel="0" max="12" min="10" style="0" width="9"/>
    <col collapsed="false" customWidth="true" hidden="false" outlineLevel="0" max="13" min="13" style="0" width="8"/>
  </cols>
  <sheetData>
    <row r="1" customFormat="false" ht="17.15" hidden="false" customHeight="false" outlineLevel="0" collapsed="false">
      <c r="A1" s="0" t="s">
        <v>902</v>
      </c>
    </row>
    <row r="2" customFormat="false" ht="17.15" hidden="false" customHeight="false" outlineLevel="0" collapsed="false">
      <c r="A2" s="6" t="s">
        <v>903</v>
      </c>
    </row>
    <row r="4" customFormat="false" ht="17.15" hidden="false" customHeight="false" outlineLevel="0" collapsed="false">
      <c r="A4" s="4" t="s">
        <v>904</v>
      </c>
      <c r="B4" s="4" t="s">
        <v>905</v>
      </c>
      <c r="C4" s="4" t="s">
        <v>906</v>
      </c>
      <c r="D4" s="4" t="s">
        <v>40</v>
      </c>
      <c r="E4" s="4" t="s">
        <v>41</v>
      </c>
      <c r="F4" s="4" t="s">
        <v>42</v>
      </c>
      <c r="G4" s="4" t="s">
        <v>39</v>
      </c>
      <c r="H4" s="5" t="s">
        <v>907</v>
      </c>
      <c r="I4" s="4" t="s">
        <v>908</v>
      </c>
      <c r="J4" s="4" t="s">
        <v>909</v>
      </c>
      <c r="K4" s="4" t="s">
        <v>910</v>
      </c>
      <c r="L4" s="4" t="s">
        <v>911</v>
      </c>
      <c r="M4" s="4" t="s">
        <v>912</v>
      </c>
    </row>
    <row r="5" customFormat="false" ht="17.15" hidden="false" customHeight="false" outlineLevel="0" collapsed="false">
      <c r="A5" s="0" t="s">
        <v>913</v>
      </c>
      <c r="B5" s="0" t="s">
        <v>914</v>
      </c>
      <c r="C5" s="0" t="s">
        <v>915</v>
      </c>
      <c r="D5" s="22" t="n">
        <v>22439</v>
      </c>
      <c r="E5" s="22" t="n">
        <v>22439</v>
      </c>
      <c r="F5" s="22" t="n">
        <v>22439</v>
      </c>
      <c r="G5" s="6" t="s">
        <v>916</v>
      </c>
      <c r="H5" s="12" t="s">
        <v>917</v>
      </c>
      <c r="I5" s="12" t="s">
        <v>918</v>
      </c>
      <c r="J5" s="0" t="n">
        <v>22439</v>
      </c>
      <c r="K5" s="0" t="n">
        <v>22439</v>
      </c>
      <c r="L5" s="0" t="n">
        <v>22439</v>
      </c>
      <c r="M5" s="12" t="n">
        <f aca="false">(ABS(D5-J5)&gt;0.000000001)+(ABS(E5-K5)&gt;0.000000001)+(ABS(F5-L5)&gt;0.000000001)</f>
        <v>0</v>
      </c>
    </row>
    <row r="6" customFormat="false" ht="17.15" hidden="false" customHeight="false" outlineLevel="0" collapsed="false">
      <c r="A6" s="0" t="s">
        <v>913</v>
      </c>
      <c r="B6" s="0" t="s">
        <v>919</v>
      </c>
      <c r="C6" s="0" t="s">
        <v>920</v>
      </c>
      <c r="D6" s="22" t="n">
        <v>6969</v>
      </c>
      <c r="E6" s="22" t="n">
        <v>6969</v>
      </c>
      <c r="F6" s="22" t="n">
        <v>6969</v>
      </c>
      <c r="G6" s="6" t="s">
        <v>916</v>
      </c>
      <c r="H6" s="12" t="s">
        <v>917</v>
      </c>
      <c r="I6" s="12" t="s">
        <v>918</v>
      </c>
      <c r="J6" s="0" t="n">
        <v>6969</v>
      </c>
      <c r="K6" s="0" t="n">
        <v>6969</v>
      </c>
      <c r="L6" s="0" t="n">
        <v>6969</v>
      </c>
      <c r="M6" s="12" t="n">
        <f aca="false">(ABS(D6-J6)&gt;0.000000001)+(ABS(E6-K6)&gt;0.000000001)+(ABS(F6-L6)&gt;0.000000001)</f>
        <v>0</v>
      </c>
    </row>
    <row r="7" customFormat="false" ht="17.15" hidden="false" customHeight="false" outlineLevel="0" collapsed="false">
      <c r="A7" s="0" t="s">
        <v>913</v>
      </c>
      <c r="B7" s="0" t="s">
        <v>921</v>
      </c>
      <c r="C7" s="0" t="s">
        <v>922</v>
      </c>
      <c r="D7" s="22" t="n">
        <v>6764</v>
      </c>
      <c r="E7" s="22" t="n">
        <v>6764</v>
      </c>
      <c r="F7" s="22" t="n">
        <v>6764</v>
      </c>
      <c r="G7" s="6" t="s">
        <v>916</v>
      </c>
      <c r="H7" s="12" t="s">
        <v>917</v>
      </c>
      <c r="I7" s="12" t="s">
        <v>918</v>
      </c>
      <c r="J7" s="0" t="n">
        <v>6764</v>
      </c>
      <c r="K7" s="0" t="n">
        <v>6764</v>
      </c>
      <c r="L7" s="0" t="n">
        <v>6764</v>
      </c>
      <c r="M7" s="12" t="n">
        <f aca="false">(ABS(D7-J7)&gt;0.000000001)+(ABS(E7-K7)&gt;0.000000001)+(ABS(F7-L7)&gt;0.000000001)</f>
        <v>0</v>
      </c>
    </row>
    <row r="8" customFormat="false" ht="17.15" hidden="false" customHeight="false" outlineLevel="0" collapsed="false">
      <c r="A8" s="0" t="s">
        <v>913</v>
      </c>
      <c r="B8" s="0" t="s">
        <v>923</v>
      </c>
      <c r="C8" s="0" t="s">
        <v>924</v>
      </c>
      <c r="D8" s="22" t="n">
        <v>4052</v>
      </c>
      <c r="E8" s="22" t="n">
        <v>4052</v>
      </c>
      <c r="F8" s="22" t="n">
        <v>4052</v>
      </c>
      <c r="G8" s="6" t="s">
        <v>916</v>
      </c>
      <c r="H8" s="12" t="s">
        <v>917</v>
      </c>
      <c r="I8" s="12" t="s">
        <v>918</v>
      </c>
      <c r="J8" s="0" t="n">
        <v>4052</v>
      </c>
      <c r="K8" s="0" t="n">
        <v>4052</v>
      </c>
      <c r="L8" s="0" t="n">
        <v>4052</v>
      </c>
      <c r="M8" s="12" t="n">
        <f aca="false">(ABS(D8-J8)&gt;0.000000001)+(ABS(E8-K8)&gt;0.000000001)+(ABS(F8-L8)&gt;0.000000001)</f>
        <v>0</v>
      </c>
    </row>
    <row r="9" customFormat="false" ht="17.15" hidden="false" customHeight="false" outlineLevel="0" collapsed="false">
      <c r="A9" s="0" t="s">
        <v>913</v>
      </c>
      <c r="B9" s="0" t="s">
        <v>925</v>
      </c>
      <c r="C9" s="0" t="s">
        <v>926</v>
      </c>
      <c r="D9" s="22" t="n">
        <v>2705</v>
      </c>
      <c r="E9" s="22" t="n">
        <v>2705</v>
      </c>
      <c r="F9" s="22" t="n">
        <v>2705</v>
      </c>
      <c r="G9" s="6" t="s">
        <v>916</v>
      </c>
      <c r="H9" s="12" t="s">
        <v>917</v>
      </c>
      <c r="I9" s="12" t="s">
        <v>918</v>
      </c>
      <c r="J9" s="0" t="n">
        <v>2705</v>
      </c>
      <c r="K9" s="0" t="n">
        <v>2705</v>
      </c>
      <c r="L9" s="0" t="n">
        <v>2705</v>
      </c>
      <c r="M9" s="12" t="n">
        <f aca="false">(ABS(D9-J9)&gt;0.000000001)+(ABS(E9-K9)&gt;0.000000001)+(ABS(F9-L9)&gt;0.000000001)</f>
        <v>0</v>
      </c>
    </row>
    <row r="10" customFormat="false" ht="15" hidden="false" customHeight="false" outlineLevel="0" collapsed="false">
      <c r="A10" s="0" t="s">
        <v>927</v>
      </c>
      <c r="B10" s="0" t="s">
        <v>914</v>
      </c>
      <c r="C10" s="0" t="s">
        <v>928</v>
      </c>
      <c r="D10" s="22" t="n">
        <v>718048</v>
      </c>
      <c r="E10" s="22" t="n">
        <v>718048</v>
      </c>
      <c r="F10" s="22" t="n">
        <v>718048</v>
      </c>
      <c r="G10" s="6" t="s">
        <v>929</v>
      </c>
      <c r="H10" s="12" t="s">
        <v>930</v>
      </c>
      <c r="I10" s="12" t="s">
        <v>931</v>
      </c>
      <c r="J10" s="0" t="n">
        <v>718048</v>
      </c>
      <c r="K10" s="0" t="n">
        <v>718048</v>
      </c>
      <c r="L10" s="0" t="n">
        <v>718048</v>
      </c>
      <c r="M10" s="12" t="n">
        <f aca="false">(ABS(D10-J10)&gt;0.000000001)+(ABS(E10-K10)&gt;0.000000001)+(ABS(F10-L10)&gt;0.000000001)</f>
        <v>0</v>
      </c>
    </row>
    <row r="11" customFormat="false" ht="15" hidden="false" customHeight="false" outlineLevel="0" collapsed="false">
      <c r="A11" s="0" t="s">
        <v>927</v>
      </c>
      <c r="B11" s="0" t="s">
        <v>919</v>
      </c>
      <c r="C11" s="0" t="s">
        <v>932</v>
      </c>
      <c r="D11" s="22" t="n">
        <v>501768</v>
      </c>
      <c r="E11" s="22" t="n">
        <v>501768</v>
      </c>
      <c r="F11" s="22" t="n">
        <v>501768</v>
      </c>
      <c r="G11" s="6" t="s">
        <v>929</v>
      </c>
      <c r="H11" s="12" t="s">
        <v>930</v>
      </c>
      <c r="I11" s="12" t="s">
        <v>931</v>
      </c>
      <c r="J11" s="0" t="n">
        <v>501768</v>
      </c>
      <c r="K11" s="0" t="n">
        <v>501768</v>
      </c>
      <c r="L11" s="0" t="n">
        <v>501768</v>
      </c>
      <c r="M11" s="12" t="n">
        <f aca="false">(ABS(D11-J11)&gt;0.000000001)+(ABS(E11-K11)&gt;0.000000001)+(ABS(F11-L11)&gt;0.000000001)</f>
        <v>0</v>
      </c>
    </row>
    <row r="12" customFormat="false" ht="15" hidden="false" customHeight="false" outlineLevel="0" collapsed="false">
      <c r="A12" s="0" t="s">
        <v>927</v>
      </c>
      <c r="B12" s="0" t="s">
        <v>921</v>
      </c>
      <c r="C12" s="0" t="s">
        <v>933</v>
      </c>
      <c r="D12" s="22" t="n">
        <v>487008</v>
      </c>
      <c r="E12" s="22" t="n">
        <v>487008</v>
      </c>
      <c r="F12" s="22" t="n">
        <v>487008</v>
      </c>
      <c r="G12" s="6" t="s">
        <v>929</v>
      </c>
      <c r="H12" s="12" t="s">
        <v>930</v>
      </c>
      <c r="I12" s="12" t="s">
        <v>931</v>
      </c>
      <c r="J12" s="0" t="n">
        <v>487008</v>
      </c>
      <c r="K12" s="0" t="n">
        <v>487008</v>
      </c>
      <c r="L12" s="0" t="n">
        <v>487008</v>
      </c>
      <c r="M12" s="12" t="n">
        <f aca="false">(ABS(D12-J12)&gt;0.000000001)+(ABS(E12-K12)&gt;0.000000001)+(ABS(F12-L12)&gt;0.000000001)</f>
        <v>0</v>
      </c>
    </row>
    <row r="13" customFormat="false" ht="15" hidden="false" customHeight="false" outlineLevel="0" collapsed="false">
      <c r="A13" s="0" t="s">
        <v>927</v>
      </c>
      <c r="B13" s="0" t="s">
        <v>923</v>
      </c>
      <c r="C13" s="0" t="s">
        <v>934</v>
      </c>
      <c r="D13" s="22" t="n">
        <v>291744</v>
      </c>
      <c r="E13" s="22" t="n">
        <v>291744</v>
      </c>
      <c r="F13" s="22" t="n">
        <v>291744</v>
      </c>
      <c r="G13" s="6" t="s">
        <v>929</v>
      </c>
      <c r="H13" s="12" t="s">
        <v>930</v>
      </c>
      <c r="I13" s="12" t="s">
        <v>931</v>
      </c>
      <c r="J13" s="0" t="n">
        <v>291744</v>
      </c>
      <c r="K13" s="0" t="n">
        <v>291744</v>
      </c>
      <c r="L13" s="0" t="n">
        <v>291744</v>
      </c>
      <c r="M13" s="12" t="n">
        <f aca="false">(ABS(D13-J13)&gt;0.000000001)+(ABS(E13-K13)&gt;0.000000001)+(ABS(F13-L13)&gt;0.000000001)</f>
        <v>0</v>
      </c>
    </row>
    <row r="14" customFormat="false" ht="17.15" hidden="false" customHeight="false" outlineLevel="0" collapsed="false">
      <c r="A14" s="0" t="s">
        <v>927</v>
      </c>
      <c r="B14" s="0" t="s">
        <v>925</v>
      </c>
      <c r="C14" s="0" t="s">
        <v>935</v>
      </c>
      <c r="D14" s="22" t="n">
        <v>194760</v>
      </c>
      <c r="E14" s="22" t="n">
        <v>194760</v>
      </c>
      <c r="F14" s="22" t="n">
        <v>194760</v>
      </c>
      <c r="G14" s="6" t="s">
        <v>929</v>
      </c>
      <c r="H14" s="12" t="s">
        <v>930</v>
      </c>
      <c r="I14" s="12" t="s">
        <v>931</v>
      </c>
      <c r="J14" s="0" t="n">
        <v>194760</v>
      </c>
      <c r="K14" s="0" t="n">
        <v>194760</v>
      </c>
      <c r="L14" s="0" t="n">
        <v>194760</v>
      </c>
      <c r="M14" s="12" t="n">
        <f aca="false">(ABS(D14-J14)&gt;0.000000001)+(ABS(E14-K14)&gt;0.000000001)+(ABS(F14-L14)&gt;0.000000001)</f>
        <v>0</v>
      </c>
    </row>
    <row r="15" customFormat="false" ht="17.15" hidden="false" customHeight="false" outlineLevel="0" collapsed="false">
      <c r="A15" s="0" t="s">
        <v>936</v>
      </c>
      <c r="B15" s="0" t="s">
        <v>914</v>
      </c>
      <c r="C15" s="0" t="s">
        <v>937</v>
      </c>
      <c r="D15" s="22" t="n">
        <v>21.4202694</v>
      </c>
      <c r="E15" s="22" t="n">
        <v>27.510214</v>
      </c>
      <c r="F15" s="22" t="n">
        <v>34.1207434</v>
      </c>
      <c r="G15" s="12" t="s">
        <v>501</v>
      </c>
      <c r="H15" s="12" t="s">
        <v>938</v>
      </c>
      <c r="I15" s="12" t="s">
        <v>939</v>
      </c>
      <c r="J15" s="0" t="n">
        <v>21.4202694</v>
      </c>
      <c r="K15" s="0" t="n">
        <v>27.510214</v>
      </c>
      <c r="L15" s="0" t="n">
        <v>34.1207434</v>
      </c>
      <c r="M15" s="12" t="n">
        <f aca="false">(ABS(D15-J15)&gt;0.000000001)+(ABS(E15-K15)&gt;0.000000001)+(ABS(F15-L15)&gt;0.000000001)</f>
        <v>0</v>
      </c>
    </row>
    <row r="16" customFormat="false" ht="17.15" hidden="false" customHeight="false" outlineLevel="0" collapsed="false">
      <c r="A16" s="0" t="s">
        <v>936</v>
      </c>
      <c r="B16" s="0" t="s">
        <v>919</v>
      </c>
      <c r="C16" s="0" t="s">
        <v>940</v>
      </c>
      <c r="D16" s="22" t="n">
        <v>20.6393904</v>
      </c>
      <c r="E16" s="22" t="n">
        <v>24.015174</v>
      </c>
      <c r="F16" s="22" t="n">
        <v>27.6502044</v>
      </c>
      <c r="G16" s="12" t="s">
        <v>501</v>
      </c>
      <c r="H16" s="12" t="s">
        <v>938</v>
      </c>
      <c r="I16" s="12" t="s">
        <v>939</v>
      </c>
      <c r="J16" s="0" t="n">
        <v>20.6393904</v>
      </c>
      <c r="K16" s="0" t="n">
        <v>24.015174</v>
      </c>
      <c r="L16" s="0" t="n">
        <v>27.6502044</v>
      </c>
      <c r="M16" s="12" t="n">
        <f aca="false">(ABS(D16-J16)&gt;0.000000001)+(ABS(E16-K16)&gt;0.000000001)+(ABS(F16-L16)&gt;0.000000001)</f>
        <v>0</v>
      </c>
    </row>
    <row r="17" customFormat="false" ht="17.15" hidden="false" customHeight="false" outlineLevel="0" collapsed="false">
      <c r="A17" s="0" t="s">
        <v>936</v>
      </c>
      <c r="B17" s="0" t="s">
        <v>921</v>
      </c>
      <c r="C17" s="0" t="s">
        <v>941</v>
      </c>
      <c r="D17" s="22" t="n">
        <v>28.5549024</v>
      </c>
      <c r="E17" s="22" t="n">
        <v>32.237224</v>
      </c>
      <c r="F17" s="22" t="n">
        <v>39.2826064</v>
      </c>
      <c r="G17" s="12" t="s">
        <v>501</v>
      </c>
      <c r="H17" s="12" t="s">
        <v>938</v>
      </c>
      <c r="I17" s="12" t="s">
        <v>939</v>
      </c>
      <c r="J17" s="0" t="n">
        <v>28.5549024</v>
      </c>
      <c r="K17" s="0" t="n">
        <v>32.237224</v>
      </c>
      <c r="L17" s="0" t="n">
        <v>39.2826064</v>
      </c>
      <c r="M17" s="12" t="n">
        <f aca="false">(ABS(D17-J17)&gt;0.000000001)+(ABS(E17-K17)&gt;0.000000001)+(ABS(F17-L17)&gt;0.000000001)</f>
        <v>0</v>
      </c>
    </row>
    <row r="18" customFormat="false" ht="17.15" hidden="false" customHeight="false" outlineLevel="0" collapsed="false">
      <c r="A18" s="0" t="s">
        <v>936</v>
      </c>
      <c r="B18" s="0" t="s">
        <v>923</v>
      </c>
      <c r="C18" s="0" t="s">
        <v>942</v>
      </c>
      <c r="D18" s="22" t="n">
        <v>31.9970232</v>
      </c>
      <c r="E18" s="22" t="n">
        <v>37.586352</v>
      </c>
      <c r="F18" s="22" t="n">
        <v>42.6375752</v>
      </c>
      <c r="G18" s="12" t="s">
        <v>501</v>
      </c>
      <c r="H18" s="12" t="s">
        <v>938</v>
      </c>
      <c r="I18" s="12" t="s">
        <v>939</v>
      </c>
      <c r="J18" s="0" t="n">
        <v>33.2734032</v>
      </c>
      <c r="K18" s="0" t="n">
        <v>37.586352</v>
      </c>
      <c r="L18" s="0" t="n">
        <v>42.6375752</v>
      </c>
      <c r="M18" s="12" t="n">
        <f aca="false">(ABS(D18-J18)&gt;0.000000001)+(ABS(E18-K18)&gt;0.000000001)+(ABS(F18-L18)&gt;0.000000001)</f>
        <v>1</v>
      </c>
    </row>
    <row r="19" customFormat="false" ht="17.15" hidden="false" customHeight="false" outlineLevel="0" collapsed="false">
      <c r="A19" s="0" t="s">
        <v>936</v>
      </c>
      <c r="B19" s="0" t="s">
        <v>925</v>
      </c>
      <c r="C19" s="0" t="s">
        <v>943</v>
      </c>
      <c r="D19" s="22" t="n">
        <v>35.845578</v>
      </c>
      <c r="E19" s="22" t="n">
        <v>50.08578</v>
      </c>
      <c r="F19" s="22" t="n">
        <v>65.481558</v>
      </c>
      <c r="G19" s="12" t="s">
        <v>501</v>
      </c>
      <c r="H19" s="12" t="s">
        <v>938</v>
      </c>
      <c r="I19" s="12" t="s">
        <v>939</v>
      </c>
      <c r="J19" s="0" t="n">
        <v>35.845578</v>
      </c>
      <c r="K19" s="0" t="n">
        <v>50.08578</v>
      </c>
      <c r="L19" s="0" t="n">
        <v>65.481558</v>
      </c>
      <c r="M19" s="12" t="n">
        <f aca="false">(ABS(D19-J19)&gt;0.000000001)+(ABS(E19-K19)&gt;0.000000001)+(ABS(F19-L19)&gt;0.000000001)</f>
        <v>0</v>
      </c>
    </row>
    <row r="20" customFormat="false" ht="15" hidden="false" customHeight="false" outlineLevel="0" collapsed="false">
      <c r="A20" s="0" t="s">
        <v>944</v>
      </c>
      <c r="B20" s="0" t="s">
        <v>914</v>
      </c>
      <c r="C20" s="0" t="s">
        <v>945</v>
      </c>
      <c r="D20" s="22" t="n">
        <v>10.212</v>
      </c>
      <c r="E20" s="22" t="n">
        <v>12.67</v>
      </c>
      <c r="F20" s="22" t="n">
        <v>16.186</v>
      </c>
      <c r="G20" s="12" t="s">
        <v>501</v>
      </c>
      <c r="H20" s="12" t="s">
        <v>946</v>
      </c>
      <c r="I20" s="12" t="s">
        <v>931</v>
      </c>
      <c r="J20" s="0" t="n">
        <v>10.212</v>
      </c>
      <c r="K20" s="0" t="n">
        <v>12.67</v>
      </c>
      <c r="L20" s="0" t="n">
        <v>16.186</v>
      </c>
      <c r="M20" s="12" t="n">
        <f aca="false">(ABS(D20-J20)&gt;0.000000001)+(ABS(E20-K20)&gt;0.000000001)+(ABS(F20-L20)&gt;0.000000001)</f>
        <v>0</v>
      </c>
    </row>
    <row r="21" customFormat="false" ht="15" hidden="false" customHeight="false" outlineLevel="0" collapsed="false">
      <c r="A21" s="0" t="s">
        <v>944</v>
      </c>
      <c r="B21" s="0" t="s">
        <v>919</v>
      </c>
      <c r="C21" s="0" t="s">
        <v>947</v>
      </c>
      <c r="D21" s="22" t="n">
        <v>10.212</v>
      </c>
      <c r="E21" s="22" t="n">
        <v>12.67</v>
      </c>
      <c r="F21" s="22" t="n">
        <v>16.186</v>
      </c>
      <c r="G21" s="12" t="s">
        <v>501</v>
      </c>
      <c r="H21" s="12" t="s">
        <v>946</v>
      </c>
      <c r="I21" s="12" t="s">
        <v>931</v>
      </c>
      <c r="J21" s="0" t="n">
        <v>10.212</v>
      </c>
      <c r="K21" s="0" t="n">
        <v>12.67</v>
      </c>
      <c r="L21" s="0" t="n">
        <v>16.186</v>
      </c>
      <c r="M21" s="12" t="n">
        <f aca="false">(ABS(D21-J21)&gt;0.000000001)+(ABS(E21-K21)&gt;0.000000001)+(ABS(F21-L21)&gt;0.000000001)</f>
        <v>0</v>
      </c>
    </row>
    <row r="22" customFormat="false" ht="15" hidden="false" customHeight="false" outlineLevel="0" collapsed="false">
      <c r="A22" s="0" t="s">
        <v>944</v>
      </c>
      <c r="B22" s="0" t="s">
        <v>921</v>
      </c>
      <c r="C22" s="0" t="s">
        <v>948</v>
      </c>
      <c r="D22" s="22" t="n">
        <v>10.212</v>
      </c>
      <c r="E22" s="22" t="n">
        <v>12.67</v>
      </c>
      <c r="F22" s="22" t="n">
        <v>16.186</v>
      </c>
      <c r="G22" s="12" t="s">
        <v>501</v>
      </c>
      <c r="H22" s="12" t="s">
        <v>946</v>
      </c>
      <c r="I22" s="12" t="s">
        <v>931</v>
      </c>
      <c r="J22" s="0" t="n">
        <v>10.212</v>
      </c>
      <c r="K22" s="0" t="n">
        <v>12.67</v>
      </c>
      <c r="L22" s="0" t="n">
        <v>16.186</v>
      </c>
      <c r="M22" s="12" t="n">
        <f aca="false">(ABS(D22-J22)&gt;0.000000001)+(ABS(E22-K22)&gt;0.000000001)+(ABS(F22-L22)&gt;0.000000001)</f>
        <v>0</v>
      </c>
    </row>
    <row r="23" customFormat="false" ht="15" hidden="false" customHeight="false" outlineLevel="0" collapsed="false">
      <c r="A23" s="0" t="s">
        <v>944</v>
      </c>
      <c r="B23" s="0" t="s">
        <v>923</v>
      </c>
      <c r="C23" s="0" t="s">
        <v>949</v>
      </c>
      <c r="D23" s="22" t="n">
        <v>10.212</v>
      </c>
      <c r="E23" s="22" t="n">
        <v>12.67</v>
      </c>
      <c r="F23" s="22" t="n">
        <v>16.186</v>
      </c>
      <c r="G23" s="12" t="s">
        <v>501</v>
      </c>
      <c r="H23" s="12" t="s">
        <v>946</v>
      </c>
      <c r="I23" s="12" t="s">
        <v>931</v>
      </c>
      <c r="J23" s="0" t="n">
        <v>10.212</v>
      </c>
      <c r="K23" s="0" t="n">
        <v>12.67</v>
      </c>
      <c r="L23" s="0" t="n">
        <v>16.186</v>
      </c>
      <c r="M23" s="12" t="n">
        <f aca="false">(ABS(D23-J23)&gt;0.000000001)+(ABS(E23-K23)&gt;0.000000001)+(ABS(F23-L23)&gt;0.000000001)</f>
        <v>0</v>
      </c>
    </row>
    <row r="24" customFormat="false" ht="17.15" hidden="false" customHeight="false" outlineLevel="0" collapsed="false">
      <c r="A24" s="0" t="s">
        <v>944</v>
      </c>
      <c r="B24" s="0" t="s">
        <v>925</v>
      </c>
      <c r="C24" s="0" t="s">
        <v>950</v>
      </c>
      <c r="D24" s="22" t="n">
        <v>10.212</v>
      </c>
      <c r="E24" s="22" t="n">
        <v>12.67</v>
      </c>
      <c r="F24" s="22" t="n">
        <v>16.186</v>
      </c>
      <c r="G24" s="12" t="s">
        <v>501</v>
      </c>
      <c r="H24" s="12" t="s">
        <v>946</v>
      </c>
      <c r="I24" s="12" t="s">
        <v>931</v>
      </c>
      <c r="J24" s="0" t="n">
        <v>10.212</v>
      </c>
      <c r="K24" s="0" t="n">
        <v>12.67</v>
      </c>
      <c r="L24" s="0" t="n">
        <v>16.186</v>
      </c>
      <c r="M24" s="12" t="n">
        <f aca="false">(ABS(D24-J24)&gt;0.000000001)+(ABS(E24-K24)&gt;0.000000001)+(ABS(F24-L24)&gt;0.000000001)</f>
        <v>0</v>
      </c>
    </row>
    <row r="25" customFormat="false" ht="15" hidden="false" customHeight="false" outlineLevel="0" collapsed="false">
      <c r="A25" s="0" t="s">
        <v>951</v>
      </c>
      <c r="B25" s="0" t="s">
        <v>914</v>
      </c>
      <c r="C25" s="0" t="s">
        <v>952</v>
      </c>
      <c r="D25" s="22" t="n">
        <v>31.6322694</v>
      </c>
      <c r="E25" s="22" t="n">
        <v>40.180214</v>
      </c>
      <c r="F25" s="22" t="n">
        <v>50.3067434</v>
      </c>
      <c r="G25" s="12" t="s">
        <v>501</v>
      </c>
      <c r="H25" s="12" t="s">
        <v>953</v>
      </c>
      <c r="I25" s="12" t="s">
        <v>931</v>
      </c>
      <c r="J25" s="0" t="n">
        <v>31.6322694</v>
      </c>
      <c r="K25" s="0" t="n">
        <v>40.180214</v>
      </c>
      <c r="L25" s="0" t="n">
        <v>50.3067434</v>
      </c>
      <c r="M25" s="12" t="n">
        <f aca="false">(ABS(D25-J25)&gt;0.000000001)+(ABS(E25-K25)&gt;0.000000001)+(ABS(F25-L25)&gt;0.000000001)</f>
        <v>0</v>
      </c>
    </row>
    <row r="26" customFormat="false" ht="15" hidden="false" customHeight="false" outlineLevel="0" collapsed="false">
      <c r="A26" s="0" t="s">
        <v>951</v>
      </c>
      <c r="B26" s="0" t="s">
        <v>919</v>
      </c>
      <c r="C26" s="0" t="s">
        <v>954</v>
      </c>
      <c r="D26" s="22" t="n">
        <v>30.8513904</v>
      </c>
      <c r="E26" s="22" t="n">
        <v>36.685174</v>
      </c>
      <c r="F26" s="22" t="n">
        <v>43.8362044</v>
      </c>
      <c r="G26" s="12" t="s">
        <v>501</v>
      </c>
      <c r="H26" s="12" t="s">
        <v>953</v>
      </c>
      <c r="I26" s="12" t="s">
        <v>931</v>
      </c>
      <c r="J26" s="0" t="n">
        <v>30.8513904</v>
      </c>
      <c r="K26" s="0" t="n">
        <v>36.685174</v>
      </c>
      <c r="L26" s="0" t="n">
        <v>43.8362044</v>
      </c>
      <c r="M26" s="12" t="n">
        <f aca="false">(ABS(D26-J26)&gt;0.000000001)+(ABS(E26-K26)&gt;0.000000001)+(ABS(F26-L26)&gt;0.000000001)</f>
        <v>0</v>
      </c>
    </row>
    <row r="27" customFormat="false" ht="15" hidden="false" customHeight="false" outlineLevel="0" collapsed="false">
      <c r="A27" s="0" t="s">
        <v>951</v>
      </c>
      <c r="B27" s="0" t="s">
        <v>921</v>
      </c>
      <c r="C27" s="0" t="s">
        <v>955</v>
      </c>
      <c r="D27" s="22" t="n">
        <v>38.7669024</v>
      </c>
      <c r="E27" s="22" t="n">
        <v>44.907224</v>
      </c>
      <c r="F27" s="22" t="n">
        <v>55.4686064</v>
      </c>
      <c r="G27" s="12" t="s">
        <v>501</v>
      </c>
      <c r="H27" s="12" t="s">
        <v>953</v>
      </c>
      <c r="I27" s="12" t="s">
        <v>931</v>
      </c>
      <c r="J27" s="0" t="n">
        <v>38.7669024</v>
      </c>
      <c r="K27" s="0" t="n">
        <v>44.907224</v>
      </c>
      <c r="L27" s="0" t="n">
        <v>55.4686064</v>
      </c>
      <c r="M27" s="12" t="n">
        <f aca="false">(ABS(D27-J27)&gt;0.000000001)+(ABS(E27-K27)&gt;0.000000001)+(ABS(F27-L27)&gt;0.000000001)</f>
        <v>0</v>
      </c>
    </row>
    <row r="28" customFormat="false" ht="15" hidden="false" customHeight="false" outlineLevel="0" collapsed="false">
      <c r="A28" s="0" t="s">
        <v>951</v>
      </c>
      <c r="B28" s="0" t="s">
        <v>923</v>
      </c>
      <c r="C28" s="0" t="s">
        <v>956</v>
      </c>
      <c r="D28" s="22" t="n">
        <v>42.2090232</v>
      </c>
      <c r="E28" s="22" t="n">
        <v>50.256352</v>
      </c>
      <c r="F28" s="22" t="n">
        <v>58.8235752</v>
      </c>
      <c r="G28" s="12" t="s">
        <v>501</v>
      </c>
      <c r="H28" s="12" t="s">
        <v>953</v>
      </c>
      <c r="I28" s="12" t="s">
        <v>931</v>
      </c>
      <c r="J28" s="0" t="n">
        <v>43.4854032</v>
      </c>
      <c r="K28" s="0" t="n">
        <v>50.256352</v>
      </c>
      <c r="L28" s="0" t="n">
        <v>58.8235752</v>
      </c>
      <c r="M28" s="12" t="n">
        <f aca="false">(ABS(D28-J28)&gt;0.000000001)+(ABS(E28-K28)&gt;0.000000001)+(ABS(F28-L28)&gt;0.000000001)</f>
        <v>1</v>
      </c>
    </row>
    <row r="29" customFormat="false" ht="17.15" hidden="false" customHeight="false" outlineLevel="0" collapsed="false">
      <c r="A29" s="0" t="s">
        <v>951</v>
      </c>
      <c r="B29" s="0" t="s">
        <v>925</v>
      </c>
      <c r="C29" s="0" t="s">
        <v>957</v>
      </c>
      <c r="D29" s="22" t="n">
        <v>46.057578</v>
      </c>
      <c r="E29" s="22" t="n">
        <v>62.75578</v>
      </c>
      <c r="F29" s="22" t="n">
        <v>81.667558</v>
      </c>
      <c r="G29" s="12" t="s">
        <v>501</v>
      </c>
      <c r="H29" s="12" t="s">
        <v>953</v>
      </c>
      <c r="I29" s="12" t="s">
        <v>931</v>
      </c>
      <c r="J29" s="0" t="n">
        <v>46.057578</v>
      </c>
      <c r="K29" s="0" t="n">
        <v>62.75578</v>
      </c>
      <c r="L29" s="0" t="n">
        <v>81.667558</v>
      </c>
      <c r="M29" s="12" t="n">
        <f aca="false">(ABS(D29-J29)&gt;0.000000001)+(ABS(E29-K29)&gt;0.000000001)+(ABS(F29-L29)&gt;0.000000001)</f>
        <v>0</v>
      </c>
    </row>
    <row r="30" customFormat="false" ht="17.15" hidden="false" customHeight="false" outlineLevel="0" collapsed="false">
      <c r="A30" s="0" t="s">
        <v>958</v>
      </c>
      <c r="B30" s="0" t="s">
        <v>914</v>
      </c>
      <c r="C30" s="0" t="s">
        <v>959</v>
      </c>
      <c r="D30" s="22" t="n">
        <v>0.9</v>
      </c>
      <c r="E30" s="22" t="n">
        <v>1.1</v>
      </c>
      <c r="F30" s="22" t="n">
        <v>1.3</v>
      </c>
      <c r="G30" s="12" t="s">
        <v>960</v>
      </c>
      <c r="H30" s="12" t="s">
        <v>961</v>
      </c>
      <c r="I30" s="12" t="s">
        <v>962</v>
      </c>
    </row>
    <row r="31" customFormat="false" ht="17.15" hidden="false" customHeight="false" outlineLevel="0" collapsed="false">
      <c r="A31" s="0" t="s">
        <v>958</v>
      </c>
      <c r="B31" s="0" t="s">
        <v>919</v>
      </c>
      <c r="C31" s="0" t="s">
        <v>963</v>
      </c>
      <c r="D31" s="22" t="n">
        <v>2.8</v>
      </c>
      <c r="E31" s="22" t="n">
        <v>3.1</v>
      </c>
      <c r="F31" s="22" t="n">
        <v>3.4</v>
      </c>
      <c r="G31" s="12" t="s">
        <v>960</v>
      </c>
      <c r="H31" s="12" t="s">
        <v>961</v>
      </c>
      <c r="I31" s="12" t="s">
        <v>962</v>
      </c>
    </row>
    <row r="32" customFormat="false" ht="17.15" hidden="false" customHeight="false" outlineLevel="0" collapsed="false">
      <c r="A32" s="0" t="s">
        <v>958</v>
      </c>
      <c r="B32" s="0" t="s">
        <v>921</v>
      </c>
      <c r="C32" s="0" t="s">
        <v>964</v>
      </c>
      <c r="D32" s="22" t="n">
        <v>4</v>
      </c>
      <c r="E32" s="22" t="n">
        <v>4.3</v>
      </c>
      <c r="F32" s="22" t="n">
        <v>5</v>
      </c>
      <c r="G32" s="12" t="s">
        <v>960</v>
      </c>
      <c r="H32" s="12" t="s">
        <v>961</v>
      </c>
      <c r="I32" s="12" t="s">
        <v>962</v>
      </c>
    </row>
    <row r="33" customFormat="false" ht="17.15" hidden="false" customHeight="false" outlineLevel="0" collapsed="false">
      <c r="A33" s="0" t="s">
        <v>958</v>
      </c>
      <c r="B33" s="0" t="s">
        <v>923</v>
      </c>
      <c r="C33" s="0" t="s">
        <v>965</v>
      </c>
      <c r="D33" s="22" t="n">
        <v>7.5</v>
      </c>
      <c r="E33" s="22" t="n">
        <v>8.4</v>
      </c>
      <c r="F33" s="22" t="n">
        <v>9.1</v>
      </c>
      <c r="G33" s="12" t="s">
        <v>960</v>
      </c>
      <c r="H33" s="12" t="s">
        <v>961</v>
      </c>
      <c r="I33" s="12" t="s">
        <v>962</v>
      </c>
    </row>
    <row r="34" customFormat="false" ht="17.15" hidden="false" customHeight="false" outlineLevel="0" collapsed="false">
      <c r="A34" s="0" t="s">
        <v>958</v>
      </c>
      <c r="B34" s="0" t="s">
        <v>925</v>
      </c>
      <c r="C34" s="0" t="s">
        <v>966</v>
      </c>
      <c r="D34" s="22" t="n">
        <v>12.6</v>
      </c>
      <c r="E34" s="22" t="n">
        <v>16.8</v>
      </c>
      <c r="F34" s="22" t="n">
        <v>21</v>
      </c>
      <c r="G34" s="12" t="s">
        <v>960</v>
      </c>
      <c r="H34" s="12" t="s">
        <v>961</v>
      </c>
      <c r="I34" s="12" t="s">
        <v>962</v>
      </c>
    </row>
    <row r="35" customFormat="false" ht="17.15" hidden="false" customHeight="false" outlineLevel="0" collapsed="false">
      <c r="A35" s="0" t="s">
        <v>967</v>
      </c>
      <c r="B35" s="0" t="s">
        <v>914</v>
      </c>
      <c r="C35" s="0" t="s">
        <v>968</v>
      </c>
      <c r="D35" s="22" t="n">
        <v>0.05</v>
      </c>
      <c r="E35" s="22" t="n">
        <v>0.1</v>
      </c>
      <c r="F35" s="22" t="n">
        <v>0.15</v>
      </c>
      <c r="G35" s="6" t="s">
        <v>969</v>
      </c>
      <c r="H35" s="12" t="s">
        <v>970</v>
      </c>
      <c r="I35" s="12" t="s">
        <v>971</v>
      </c>
    </row>
    <row r="36" customFormat="false" ht="17.15" hidden="false" customHeight="false" outlineLevel="0" collapsed="false">
      <c r="A36" s="0" t="s">
        <v>967</v>
      </c>
      <c r="B36" s="0" t="s">
        <v>919</v>
      </c>
      <c r="C36" s="0" t="s">
        <v>972</v>
      </c>
      <c r="D36" s="22" t="n">
        <v>0.05</v>
      </c>
      <c r="E36" s="22" t="n">
        <v>0.1</v>
      </c>
      <c r="F36" s="22" t="n">
        <v>0.15</v>
      </c>
      <c r="G36" s="6" t="s">
        <v>969</v>
      </c>
      <c r="H36" s="12" t="s">
        <v>970</v>
      </c>
      <c r="I36" s="12" t="s">
        <v>971</v>
      </c>
    </row>
    <row r="37" customFormat="false" ht="17.15" hidden="false" customHeight="false" outlineLevel="0" collapsed="false">
      <c r="A37" s="0" t="s">
        <v>967</v>
      </c>
      <c r="B37" s="0" t="s">
        <v>921</v>
      </c>
      <c r="C37" s="0" t="s">
        <v>973</v>
      </c>
      <c r="D37" s="22" t="n">
        <v>0.05</v>
      </c>
      <c r="E37" s="22" t="n">
        <v>0.1</v>
      </c>
      <c r="F37" s="22" t="n">
        <v>0.15</v>
      </c>
      <c r="G37" s="6" t="s">
        <v>969</v>
      </c>
      <c r="H37" s="12" t="s">
        <v>970</v>
      </c>
      <c r="I37" s="12" t="s">
        <v>971</v>
      </c>
    </row>
    <row r="38" customFormat="false" ht="17.15" hidden="false" customHeight="false" outlineLevel="0" collapsed="false">
      <c r="A38" s="0" t="s">
        <v>967</v>
      </c>
      <c r="B38" s="0" t="s">
        <v>923</v>
      </c>
      <c r="C38" s="0" t="s">
        <v>974</v>
      </c>
      <c r="D38" s="22" t="n">
        <v>0.05</v>
      </c>
      <c r="E38" s="22" t="n">
        <v>0.1</v>
      </c>
      <c r="F38" s="22" t="n">
        <v>0.15</v>
      </c>
      <c r="G38" s="6" t="s">
        <v>969</v>
      </c>
      <c r="H38" s="12" t="s">
        <v>970</v>
      </c>
      <c r="I38" s="12" t="s">
        <v>971</v>
      </c>
    </row>
    <row r="39" customFormat="false" ht="17.15" hidden="false" customHeight="false" outlineLevel="0" collapsed="false">
      <c r="A39" s="0" t="s">
        <v>967</v>
      </c>
      <c r="B39" s="0" t="s">
        <v>925</v>
      </c>
      <c r="C39" s="0" t="s">
        <v>975</v>
      </c>
      <c r="D39" s="22" t="n">
        <v>0.05</v>
      </c>
      <c r="E39" s="22" t="n">
        <v>0.1</v>
      </c>
      <c r="F39" s="22" t="n">
        <v>0.15</v>
      </c>
      <c r="G39" s="6" t="s">
        <v>969</v>
      </c>
      <c r="H39" s="12" t="s">
        <v>970</v>
      </c>
      <c r="I39" s="12" t="s">
        <v>971</v>
      </c>
    </row>
    <row r="40" customFormat="false" ht="17.15" hidden="false" customHeight="false" outlineLevel="0" collapsed="false">
      <c r="A40" s="0" t="s">
        <v>976</v>
      </c>
      <c r="B40" s="0" t="s">
        <v>914</v>
      </c>
      <c r="C40" s="0" t="s">
        <v>977</v>
      </c>
      <c r="D40" s="22" t="n">
        <v>300</v>
      </c>
      <c r="E40" s="22" t="n">
        <v>500</v>
      </c>
      <c r="F40" s="22" t="n">
        <v>800</v>
      </c>
      <c r="G40" s="12" t="s">
        <v>978</v>
      </c>
      <c r="H40" s="12" t="s">
        <v>979</v>
      </c>
      <c r="I40" s="12" t="s">
        <v>971</v>
      </c>
    </row>
    <row r="41" customFormat="false" ht="17.15" hidden="false" customHeight="false" outlineLevel="0" collapsed="false">
      <c r="A41" s="0" t="s">
        <v>976</v>
      </c>
      <c r="B41" s="0" t="s">
        <v>919</v>
      </c>
      <c r="C41" s="0" t="s">
        <v>980</v>
      </c>
      <c r="D41" s="22" t="n">
        <v>300</v>
      </c>
      <c r="E41" s="22" t="n">
        <v>500</v>
      </c>
      <c r="F41" s="22" t="n">
        <v>800</v>
      </c>
      <c r="G41" s="12" t="s">
        <v>978</v>
      </c>
      <c r="H41" s="12" t="s">
        <v>979</v>
      </c>
      <c r="I41" s="12" t="s">
        <v>971</v>
      </c>
    </row>
    <row r="42" customFormat="false" ht="17.15" hidden="false" customHeight="false" outlineLevel="0" collapsed="false">
      <c r="A42" s="0" t="s">
        <v>976</v>
      </c>
      <c r="B42" s="0" t="s">
        <v>921</v>
      </c>
      <c r="C42" s="0" t="s">
        <v>981</v>
      </c>
      <c r="D42" s="22" t="n">
        <v>300</v>
      </c>
      <c r="E42" s="22" t="n">
        <v>500</v>
      </c>
      <c r="F42" s="22" t="n">
        <v>800</v>
      </c>
      <c r="G42" s="12" t="s">
        <v>978</v>
      </c>
      <c r="H42" s="12" t="s">
        <v>979</v>
      </c>
      <c r="I42" s="12" t="s">
        <v>971</v>
      </c>
    </row>
    <row r="43" customFormat="false" ht="17.15" hidden="false" customHeight="false" outlineLevel="0" collapsed="false">
      <c r="A43" s="0" t="s">
        <v>976</v>
      </c>
      <c r="B43" s="0" t="s">
        <v>923</v>
      </c>
      <c r="C43" s="0" t="s">
        <v>982</v>
      </c>
      <c r="D43" s="22" t="n">
        <v>300</v>
      </c>
      <c r="E43" s="22" t="n">
        <v>500</v>
      </c>
      <c r="F43" s="22" t="n">
        <v>800</v>
      </c>
      <c r="G43" s="12" t="s">
        <v>978</v>
      </c>
      <c r="H43" s="12" t="s">
        <v>979</v>
      </c>
      <c r="I43" s="12" t="s">
        <v>971</v>
      </c>
    </row>
    <row r="44" customFormat="false" ht="17.15" hidden="false" customHeight="false" outlineLevel="0" collapsed="false">
      <c r="A44" s="0" t="s">
        <v>976</v>
      </c>
      <c r="B44" s="0" t="s">
        <v>925</v>
      </c>
      <c r="C44" s="0" t="s">
        <v>983</v>
      </c>
      <c r="D44" s="22" t="n">
        <v>300</v>
      </c>
      <c r="E44" s="22" t="n">
        <v>500</v>
      </c>
      <c r="F44" s="22" t="n">
        <v>800</v>
      </c>
      <c r="G44" s="12" t="s">
        <v>978</v>
      </c>
      <c r="H44" s="12" t="s">
        <v>979</v>
      </c>
      <c r="I44" s="12" t="s">
        <v>971</v>
      </c>
    </row>
    <row r="45" customFormat="false" ht="17.15" hidden="false" customHeight="false" outlineLevel="0" collapsed="false">
      <c r="A45" s="0" t="s">
        <v>984</v>
      </c>
      <c r="B45" s="0" t="s">
        <v>985</v>
      </c>
      <c r="C45" s="0" t="s">
        <v>986</v>
      </c>
      <c r="D45" s="22" t="n">
        <v>0.7</v>
      </c>
      <c r="E45" s="22" t="n">
        <v>0.8</v>
      </c>
      <c r="F45" s="22" t="n">
        <v>1.15</v>
      </c>
      <c r="G45" s="6" t="s">
        <v>987</v>
      </c>
      <c r="H45" s="12" t="s">
        <v>988</v>
      </c>
      <c r="I45" s="12" t="s">
        <v>989</v>
      </c>
    </row>
    <row r="46" customFormat="false" ht="17.15" hidden="false" customHeight="false" outlineLevel="0" collapsed="false">
      <c r="A46" s="0" t="s">
        <v>990</v>
      </c>
      <c r="B46" s="0" t="s">
        <v>991</v>
      </c>
      <c r="C46" s="0" t="s">
        <v>992</v>
      </c>
      <c r="D46" s="22" t="n">
        <v>0.6</v>
      </c>
      <c r="E46" s="22" t="n">
        <v>0.8</v>
      </c>
      <c r="F46" s="22" t="n">
        <v>1.1</v>
      </c>
      <c r="G46" s="6" t="s">
        <v>987</v>
      </c>
      <c r="H46" s="12" t="s">
        <v>993</v>
      </c>
      <c r="I46" s="12" t="s">
        <v>989</v>
      </c>
    </row>
    <row r="47" customFormat="false" ht="17.15" hidden="false" customHeight="false" outlineLevel="0" collapsed="false">
      <c r="A47" s="0" t="s">
        <v>994</v>
      </c>
      <c r="B47" s="0" t="s">
        <v>995</v>
      </c>
      <c r="C47" s="0" t="s">
        <v>996</v>
      </c>
      <c r="D47" s="22" t="n">
        <v>0.3</v>
      </c>
      <c r="E47" s="22" t="n">
        <v>0.5</v>
      </c>
      <c r="F47" s="22" t="n">
        <v>0.8</v>
      </c>
      <c r="G47" s="6" t="s">
        <v>987</v>
      </c>
      <c r="H47" s="12" t="s">
        <v>997</v>
      </c>
      <c r="I47" s="12" t="s">
        <v>989</v>
      </c>
    </row>
    <row r="48" customFormat="false" ht="17.15" hidden="false" customHeight="false" outlineLevel="0" collapsed="false">
      <c r="A48" s="0" t="s">
        <v>998</v>
      </c>
      <c r="B48" s="0" t="s">
        <v>999</v>
      </c>
      <c r="C48" s="0" t="s">
        <v>1000</v>
      </c>
      <c r="D48" s="22" t="n">
        <v>0.2</v>
      </c>
      <c r="E48" s="22" t="n">
        <v>0.4</v>
      </c>
      <c r="F48" s="22" t="n">
        <v>0.8</v>
      </c>
      <c r="G48" s="6" t="s">
        <v>987</v>
      </c>
      <c r="H48" s="12" t="s">
        <v>1001</v>
      </c>
      <c r="I48" s="12" t="s">
        <v>989</v>
      </c>
    </row>
    <row r="49" customFormat="false" ht="17.15" hidden="false" customHeight="false" outlineLevel="0" collapsed="false">
      <c r="A49" s="0" t="s">
        <v>1002</v>
      </c>
      <c r="B49" s="0" t="s">
        <v>1003</v>
      </c>
      <c r="C49" s="0" t="s">
        <v>1004</v>
      </c>
      <c r="D49" s="22" t="n">
        <v>0.4</v>
      </c>
      <c r="E49" s="22" t="n">
        <v>0.6</v>
      </c>
      <c r="F49" s="22" t="n">
        <v>0.9</v>
      </c>
      <c r="G49" s="6" t="s">
        <v>987</v>
      </c>
      <c r="H49" s="12" t="s">
        <v>1005</v>
      </c>
      <c r="I49" s="12" t="s">
        <v>989</v>
      </c>
    </row>
    <row r="50" customFormat="false" ht="17.15" hidden="false" customHeight="false" outlineLevel="0" collapsed="false">
      <c r="A50" s="0" t="s">
        <v>1006</v>
      </c>
      <c r="B50" s="6" t="s">
        <v>1007</v>
      </c>
      <c r="C50" s="0" t="s">
        <v>1008</v>
      </c>
      <c r="D50" s="22" t="n">
        <v>0.05</v>
      </c>
      <c r="E50" s="22" t="n">
        <v>0.08</v>
      </c>
      <c r="F50" s="22" t="n">
        <v>0.15</v>
      </c>
      <c r="G50" s="6" t="s">
        <v>987</v>
      </c>
      <c r="H50" s="12" t="s">
        <v>1009</v>
      </c>
      <c r="I50" s="12" t="s">
        <v>989</v>
      </c>
    </row>
    <row r="51" customFormat="false" ht="17.15" hidden="false" customHeight="false" outlineLevel="0" collapsed="false">
      <c r="A51" s="0" t="s">
        <v>1010</v>
      </c>
      <c r="B51" s="0" t="s">
        <v>1011</v>
      </c>
      <c r="C51" s="0" t="s">
        <v>1012</v>
      </c>
      <c r="D51" s="22" t="n">
        <v>0.25</v>
      </c>
      <c r="E51" s="22" t="n">
        <v>0.55</v>
      </c>
      <c r="F51" s="22" t="n">
        <v>0.75</v>
      </c>
      <c r="G51" s="6" t="s">
        <v>987</v>
      </c>
      <c r="H51" s="12" t="s">
        <v>1013</v>
      </c>
      <c r="I51" s="12" t="s">
        <v>989</v>
      </c>
    </row>
    <row r="52" customFormat="false" ht="17.15" hidden="false" customHeight="false" outlineLevel="0" collapsed="false">
      <c r="A52" s="0" t="s">
        <v>1014</v>
      </c>
      <c r="B52" s="0" t="s">
        <v>1015</v>
      </c>
      <c r="C52" s="0" t="s">
        <v>1016</v>
      </c>
      <c r="D52" s="22" t="n">
        <v>0.67</v>
      </c>
      <c r="E52" s="22" t="n">
        <v>0.85</v>
      </c>
      <c r="F52" s="22" t="n">
        <v>1.12</v>
      </c>
      <c r="G52" s="6" t="s">
        <v>987</v>
      </c>
      <c r="H52" s="12" t="s">
        <v>1017</v>
      </c>
      <c r="I52" s="12" t="s">
        <v>989</v>
      </c>
    </row>
    <row r="53" customFormat="false" ht="17.15" hidden="false" customHeight="false" outlineLevel="0" collapsed="false">
      <c r="A53" s="0" t="s">
        <v>1018</v>
      </c>
      <c r="B53" s="0" t="s">
        <v>1019</v>
      </c>
      <c r="C53" s="0" t="s">
        <v>1020</v>
      </c>
      <c r="D53" s="22" t="n">
        <v>0.65</v>
      </c>
      <c r="E53" s="22" t="n">
        <v>0.7</v>
      </c>
      <c r="F53" s="22" t="n">
        <v>0.9</v>
      </c>
      <c r="G53" s="6" t="s">
        <v>987</v>
      </c>
      <c r="H53" s="12" t="s">
        <v>1021</v>
      </c>
      <c r="I53" s="12" t="s">
        <v>989</v>
      </c>
    </row>
    <row r="54" customFormat="false" ht="17.15" hidden="false" customHeight="false" outlineLevel="0" collapsed="false">
      <c r="A54" s="0" t="s">
        <v>1022</v>
      </c>
      <c r="B54" s="0" t="s">
        <v>1023</v>
      </c>
      <c r="C54" s="0" t="s">
        <v>1024</v>
      </c>
      <c r="D54" s="22" t="n">
        <v>0.45</v>
      </c>
      <c r="E54" s="22" t="n">
        <v>0.61</v>
      </c>
      <c r="F54" s="22" t="n">
        <v>0.7</v>
      </c>
      <c r="G54" s="6" t="s">
        <v>987</v>
      </c>
      <c r="H54" s="12" t="s">
        <v>1025</v>
      </c>
      <c r="I54" s="12" t="s">
        <v>989</v>
      </c>
    </row>
    <row r="55" customFormat="false" ht="17.15" hidden="false" customHeight="false" outlineLevel="0" collapsed="false">
      <c r="A55" s="0" t="s">
        <v>1026</v>
      </c>
      <c r="B55" s="0" t="s">
        <v>1027</v>
      </c>
      <c r="C55" s="0" t="s">
        <v>1028</v>
      </c>
      <c r="D55" s="22" t="n">
        <v>0.8</v>
      </c>
      <c r="E55" s="22" t="n">
        <v>1</v>
      </c>
      <c r="F55" s="22" t="n">
        <v>1.2</v>
      </c>
      <c r="G55" s="6" t="s">
        <v>987</v>
      </c>
      <c r="H55" s="12" t="s">
        <v>1029</v>
      </c>
      <c r="I55" s="12" t="s">
        <v>989</v>
      </c>
    </row>
    <row r="56" customFormat="false" ht="17.15" hidden="false" customHeight="false" outlineLevel="0" collapsed="false">
      <c r="A56" s="0" t="s">
        <v>1030</v>
      </c>
      <c r="B56" s="0" t="s">
        <v>1031</v>
      </c>
      <c r="C56" s="0" t="s">
        <v>1032</v>
      </c>
      <c r="D56" s="22" t="n">
        <v>0.7</v>
      </c>
      <c r="E56" s="22" t="n">
        <v>0.8</v>
      </c>
      <c r="F56" s="22" t="n">
        <v>1</v>
      </c>
      <c r="G56" s="6" t="s">
        <v>987</v>
      </c>
      <c r="H56" s="12" t="s">
        <v>1033</v>
      </c>
      <c r="I56" s="12" t="s">
        <v>989</v>
      </c>
    </row>
    <row r="57" customFormat="false" ht="17.15" hidden="false" customHeight="false" outlineLevel="0" collapsed="false">
      <c r="A57" s="0" t="s">
        <v>1034</v>
      </c>
      <c r="B57" s="6" t="s">
        <v>1035</v>
      </c>
      <c r="C57" s="0" t="s">
        <v>1036</v>
      </c>
      <c r="D57" s="22" t="n">
        <v>0.45</v>
      </c>
      <c r="E57" s="22" t="n">
        <v>0.55</v>
      </c>
      <c r="F57" s="22" t="n">
        <v>0.7</v>
      </c>
      <c r="G57" s="6" t="s">
        <v>987</v>
      </c>
      <c r="H57" s="12" t="s">
        <v>1037</v>
      </c>
      <c r="I57" s="12" t="s">
        <v>989</v>
      </c>
    </row>
    <row r="58" customFormat="false" ht="17.15" hidden="false" customHeight="false" outlineLevel="0" collapsed="false">
      <c r="A58" s="0" t="s">
        <v>1038</v>
      </c>
      <c r="B58" s="0" t="s">
        <v>1039</v>
      </c>
      <c r="C58" s="0" t="s">
        <v>1040</v>
      </c>
      <c r="D58" s="22" t="n">
        <v>0.4</v>
      </c>
      <c r="E58" s="22" t="n">
        <v>0.5</v>
      </c>
      <c r="F58" s="22" t="n">
        <v>0.6</v>
      </c>
      <c r="G58" s="6" t="s">
        <v>987</v>
      </c>
      <c r="H58" s="12" t="s">
        <v>1041</v>
      </c>
      <c r="I58" s="12" t="s">
        <v>989</v>
      </c>
    </row>
    <row r="60" customFormat="false" ht="17.15" hidden="false" customHeight="false" outlineLevel="0" collapsed="false">
      <c r="A60" s="9" t="s">
        <v>1042</v>
      </c>
      <c r="M60" s="23" t="n">
        <f aca="false">SUM(M5:M58)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9" min="8" style="0" width="12"/>
    <col collapsed="false" customWidth="true" hidden="false" outlineLevel="0" max="10" min="10" style="0" width="5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1043</v>
      </c>
    </row>
    <row r="3" customFormat="false" ht="15" hidden="false" customHeight="false" outlineLevel="0" collapsed="false">
      <c r="A3" s="5" t="s">
        <v>1044</v>
      </c>
      <c r="B3" s="4" t="s">
        <v>1045</v>
      </c>
      <c r="C3" s="4" t="s">
        <v>1046</v>
      </c>
      <c r="D3" s="4" t="s">
        <v>39</v>
      </c>
      <c r="E3" s="4" t="s">
        <v>1047</v>
      </c>
      <c r="F3" s="4" t="s">
        <v>1048</v>
      </c>
      <c r="G3" s="4" t="s">
        <v>1049</v>
      </c>
      <c r="H3" s="4" t="s">
        <v>1050</v>
      </c>
      <c r="I3" s="4" t="s">
        <v>1051</v>
      </c>
      <c r="J3" s="4" t="s">
        <v>1052</v>
      </c>
      <c r="K3" s="4" t="s">
        <v>1053</v>
      </c>
      <c r="L3" s="4" t="s">
        <v>1054</v>
      </c>
      <c r="M3" s="4" t="s">
        <v>1055</v>
      </c>
    </row>
    <row r="4" customFormat="false" ht="32.8" hidden="false" customHeight="false" outlineLevel="0" collapsed="false">
      <c r="A4" s="3" t="s">
        <v>1056</v>
      </c>
      <c r="B4" s="2" t="s">
        <v>1057</v>
      </c>
      <c r="C4" s="2" t="s">
        <v>1058</v>
      </c>
      <c r="D4" s="3" t="s">
        <v>1059</v>
      </c>
      <c r="E4" s="3" t="s">
        <v>1060</v>
      </c>
      <c r="F4" s="3" t="s">
        <v>1061</v>
      </c>
      <c r="G4" s="2" t="s">
        <v>1062</v>
      </c>
      <c r="H4" s="2" t="s">
        <v>1063</v>
      </c>
      <c r="I4" s="2" t="s">
        <v>1064</v>
      </c>
      <c r="J4" s="2" t="s">
        <v>1065</v>
      </c>
      <c r="K4" s="2" t="s">
        <v>1066</v>
      </c>
      <c r="L4" s="2" t="s">
        <v>1067</v>
      </c>
      <c r="M4" s="2" t="s">
        <v>1068</v>
      </c>
    </row>
    <row r="5" customFormat="false" ht="32.8" hidden="false" customHeight="false" outlineLevel="0" collapsed="false">
      <c r="A5" s="3" t="s">
        <v>1069</v>
      </c>
      <c r="B5" s="2" t="s">
        <v>1057</v>
      </c>
      <c r="C5" s="2" t="s">
        <v>1070</v>
      </c>
      <c r="D5" s="3" t="s">
        <v>1059</v>
      </c>
      <c r="E5" s="3" t="s">
        <v>1071</v>
      </c>
      <c r="F5" s="3" t="s">
        <v>1072</v>
      </c>
      <c r="G5" s="3" t="s">
        <v>1073</v>
      </c>
      <c r="H5" s="3" t="s">
        <v>1074</v>
      </c>
      <c r="I5" s="2" t="s">
        <v>1075</v>
      </c>
      <c r="J5" s="2" t="s">
        <v>1076</v>
      </c>
      <c r="K5" s="3" t="s">
        <v>1077</v>
      </c>
      <c r="L5" s="2" t="s">
        <v>1067</v>
      </c>
      <c r="M5" s="2" t="s">
        <v>1078</v>
      </c>
    </row>
    <row r="6" customFormat="false" ht="48.5" hidden="false" customHeight="false" outlineLevel="0" collapsed="false">
      <c r="A6" s="3" t="s">
        <v>1079</v>
      </c>
      <c r="B6" s="2" t="s">
        <v>1057</v>
      </c>
      <c r="C6" s="3" t="s">
        <v>1080</v>
      </c>
      <c r="D6" s="3" t="s">
        <v>50</v>
      </c>
      <c r="E6" s="3" t="s">
        <v>1081</v>
      </c>
      <c r="F6" s="3" t="s">
        <v>1082</v>
      </c>
      <c r="G6" s="3" t="s">
        <v>1083</v>
      </c>
      <c r="H6" s="2" t="s">
        <v>1084</v>
      </c>
      <c r="I6" s="2" t="s">
        <v>1085</v>
      </c>
      <c r="J6" s="2" t="s">
        <v>1086</v>
      </c>
      <c r="K6" s="3" t="s">
        <v>1077</v>
      </c>
      <c r="L6" s="2" t="s">
        <v>1067</v>
      </c>
      <c r="M6" s="2" t="s">
        <v>1087</v>
      </c>
    </row>
    <row r="7" customFormat="false" ht="32.8" hidden="false" customHeight="false" outlineLevel="0" collapsed="false">
      <c r="A7" s="3" t="s">
        <v>1088</v>
      </c>
      <c r="B7" s="2" t="s">
        <v>1089</v>
      </c>
      <c r="C7" s="2" t="s">
        <v>1090</v>
      </c>
      <c r="D7" s="3" t="s">
        <v>50</v>
      </c>
      <c r="E7" s="3" t="s">
        <v>1091</v>
      </c>
      <c r="F7" s="2" t="s">
        <v>1092</v>
      </c>
      <c r="G7" s="3" t="s">
        <v>1093</v>
      </c>
      <c r="H7" s="3" t="s">
        <v>1094</v>
      </c>
      <c r="I7" s="2" t="s">
        <v>1095</v>
      </c>
      <c r="J7" s="2" t="s">
        <v>1096</v>
      </c>
      <c r="K7" s="3" t="s">
        <v>1097</v>
      </c>
      <c r="L7" s="2" t="s">
        <v>1067</v>
      </c>
      <c r="M7" s="2" t="s">
        <v>1098</v>
      </c>
    </row>
    <row r="8" customFormat="false" ht="32.8" hidden="false" customHeight="false" outlineLevel="0" collapsed="false">
      <c r="A8" s="3" t="s">
        <v>1099</v>
      </c>
      <c r="B8" s="2" t="s">
        <v>1100</v>
      </c>
      <c r="C8" s="3" t="s">
        <v>1101</v>
      </c>
      <c r="D8" s="3" t="s">
        <v>665</v>
      </c>
      <c r="E8" s="3" t="s">
        <v>1102</v>
      </c>
      <c r="F8" s="3" t="s">
        <v>1103</v>
      </c>
      <c r="G8" s="3" t="s">
        <v>1104</v>
      </c>
      <c r="H8" s="3" t="s">
        <v>1105</v>
      </c>
      <c r="I8" s="2" t="s">
        <v>1106</v>
      </c>
      <c r="J8" s="3" t="s">
        <v>1107</v>
      </c>
      <c r="K8" s="3" t="s">
        <v>1108</v>
      </c>
      <c r="L8" s="2" t="s">
        <v>1067</v>
      </c>
      <c r="M8" s="2" t="s">
        <v>1109</v>
      </c>
    </row>
    <row r="9" customFormat="false" ht="64.15" hidden="false" customHeight="false" outlineLevel="0" collapsed="false">
      <c r="A9" s="3" t="s">
        <v>1110</v>
      </c>
      <c r="B9" s="2" t="s">
        <v>1111</v>
      </c>
      <c r="C9" s="3" t="s">
        <v>1112</v>
      </c>
      <c r="D9" s="3" t="s">
        <v>665</v>
      </c>
      <c r="E9" s="3" t="s">
        <v>1113</v>
      </c>
      <c r="F9" s="3" t="s">
        <v>1114</v>
      </c>
      <c r="G9" s="3" t="s">
        <v>1115</v>
      </c>
      <c r="H9" s="3" t="s">
        <v>1116</v>
      </c>
      <c r="I9" s="2" t="s">
        <v>1117</v>
      </c>
      <c r="J9" s="3" t="s">
        <v>1118</v>
      </c>
      <c r="K9" s="3" t="s">
        <v>1119</v>
      </c>
      <c r="L9" s="2" t="s">
        <v>1067</v>
      </c>
      <c r="M9" s="2" t="s">
        <v>1120</v>
      </c>
    </row>
    <row r="10" customFormat="false" ht="32.8" hidden="false" customHeight="false" outlineLevel="0" collapsed="false">
      <c r="A10" s="3" t="s">
        <v>1121</v>
      </c>
      <c r="B10" s="2" t="s">
        <v>1111</v>
      </c>
      <c r="C10" s="3" t="s">
        <v>1122</v>
      </c>
      <c r="D10" s="3" t="s">
        <v>665</v>
      </c>
      <c r="E10" s="3" t="s">
        <v>1123</v>
      </c>
      <c r="F10" s="3" t="s">
        <v>1124</v>
      </c>
      <c r="G10" s="3" t="s">
        <v>1125</v>
      </c>
      <c r="H10" s="2" t="s">
        <v>1126</v>
      </c>
      <c r="I10" s="2" t="s">
        <v>1127</v>
      </c>
      <c r="J10" s="3" t="s">
        <v>1128</v>
      </c>
      <c r="K10" s="3" t="s">
        <v>1129</v>
      </c>
      <c r="L10" s="2" t="s">
        <v>1067</v>
      </c>
      <c r="M10" s="2" t="s">
        <v>1130</v>
      </c>
    </row>
    <row r="11" customFormat="false" ht="17.15" hidden="false" customHeight="false" outlineLevel="0" collapsed="false">
      <c r="A11" s="3" t="s">
        <v>1131</v>
      </c>
      <c r="B11" s="2" t="s">
        <v>1111</v>
      </c>
      <c r="C11" s="3" t="s">
        <v>1132</v>
      </c>
      <c r="D11" s="3" t="s">
        <v>479</v>
      </c>
      <c r="E11" s="3" t="s">
        <v>1133</v>
      </c>
      <c r="F11" s="2" t="s">
        <v>1134</v>
      </c>
      <c r="G11" s="3" t="s">
        <v>1135</v>
      </c>
      <c r="H11" s="2" t="s">
        <v>1136</v>
      </c>
      <c r="I11" s="2" t="s">
        <v>1137</v>
      </c>
      <c r="J11" s="2" t="s">
        <v>1138</v>
      </c>
      <c r="K11" s="3" t="s">
        <v>1139</v>
      </c>
      <c r="L11" s="2" t="s">
        <v>1067</v>
      </c>
      <c r="M11" s="2" t="s">
        <v>1140</v>
      </c>
    </row>
    <row r="12" customFormat="false" ht="48.5" hidden="false" customHeight="false" outlineLevel="0" collapsed="false">
      <c r="A12" s="3" t="s">
        <v>1141</v>
      </c>
      <c r="B12" s="2" t="s">
        <v>1142</v>
      </c>
      <c r="C12" s="2" t="s">
        <v>1143</v>
      </c>
      <c r="D12" s="3" t="s">
        <v>1144</v>
      </c>
      <c r="E12" s="3" t="s">
        <v>1145</v>
      </c>
      <c r="F12" s="3" t="s">
        <v>1146</v>
      </c>
      <c r="G12" s="3" t="s">
        <v>1147</v>
      </c>
      <c r="H12" s="3" t="s">
        <v>1148</v>
      </c>
      <c r="I12" s="2" t="s">
        <v>1149</v>
      </c>
      <c r="J12" s="2" t="s">
        <v>1150</v>
      </c>
      <c r="K12" s="3" t="s">
        <v>1097</v>
      </c>
      <c r="L12" s="2" t="s">
        <v>1067</v>
      </c>
      <c r="M12" s="2" t="s">
        <v>1151</v>
      </c>
    </row>
    <row r="13" customFormat="false" ht="48.5" hidden="false" customHeight="false" outlineLevel="0" collapsed="false">
      <c r="A13" s="3" t="s">
        <v>1152</v>
      </c>
      <c r="B13" s="2" t="s">
        <v>1142</v>
      </c>
      <c r="C13" s="3" t="s">
        <v>1153</v>
      </c>
      <c r="D13" s="3" t="s">
        <v>1154</v>
      </c>
      <c r="E13" s="3" t="s">
        <v>1155</v>
      </c>
      <c r="F13" s="3" t="s">
        <v>1156</v>
      </c>
      <c r="G13" s="3" t="s">
        <v>1157</v>
      </c>
      <c r="H13" s="3" t="s">
        <v>1158</v>
      </c>
      <c r="I13" s="2" t="s">
        <v>1159</v>
      </c>
      <c r="J13" s="2" t="s">
        <v>1160</v>
      </c>
      <c r="K13" s="3" t="s">
        <v>1097</v>
      </c>
      <c r="L13" s="2" t="s">
        <v>1067</v>
      </c>
      <c r="M13" s="2" t="s">
        <v>1161</v>
      </c>
    </row>
    <row r="14" customFormat="false" ht="48.5" hidden="false" customHeight="false" outlineLevel="0" collapsed="false">
      <c r="A14" s="24" t="s">
        <v>1162</v>
      </c>
      <c r="B14" s="25" t="s">
        <v>1163</v>
      </c>
      <c r="C14" s="25" t="s">
        <v>1164</v>
      </c>
      <c r="D14" s="24" t="s">
        <v>50</v>
      </c>
      <c r="E14" s="24" t="s">
        <v>1165</v>
      </c>
      <c r="F14" s="25" t="s">
        <v>1166</v>
      </c>
      <c r="G14" s="24" t="s">
        <v>1167</v>
      </c>
      <c r="H14" s="24" t="s">
        <v>1168</v>
      </c>
      <c r="I14" s="25" t="s">
        <v>1169</v>
      </c>
      <c r="J14" s="25" t="s">
        <v>1170</v>
      </c>
      <c r="K14" s="24" t="s">
        <v>1097</v>
      </c>
      <c r="L14" s="25" t="s">
        <v>1171</v>
      </c>
      <c r="M14" s="25" t="s">
        <v>1172</v>
      </c>
    </row>
    <row r="15" customFormat="false" ht="46.25" hidden="false" customHeight="false" outlineLevel="0" collapsed="false">
      <c r="A15" s="3" t="s">
        <v>1173</v>
      </c>
      <c r="B15" s="2" t="s">
        <v>1089</v>
      </c>
      <c r="C15" s="2" t="s">
        <v>1174</v>
      </c>
      <c r="D15" s="3" t="s">
        <v>1175</v>
      </c>
      <c r="E15" s="2" t="s">
        <v>1176</v>
      </c>
      <c r="F15" s="3" t="s">
        <v>1177</v>
      </c>
      <c r="G15" s="3" t="s">
        <v>1178</v>
      </c>
      <c r="H15" s="3" t="s">
        <v>1179</v>
      </c>
      <c r="I15" s="2" t="s">
        <v>1180</v>
      </c>
      <c r="J15" s="2" t="s">
        <v>1181</v>
      </c>
      <c r="K15" s="3" t="s">
        <v>1097</v>
      </c>
      <c r="L15" s="2" t="s">
        <v>1067</v>
      </c>
      <c r="M15" s="2" t="s">
        <v>1182</v>
      </c>
    </row>
    <row r="16" customFormat="false" ht="111.15" hidden="false" customHeight="false" outlineLevel="0" collapsed="false">
      <c r="A16" s="24" t="s">
        <v>1183</v>
      </c>
      <c r="B16" s="25" t="s">
        <v>1100</v>
      </c>
      <c r="C16" s="24" t="s">
        <v>1184</v>
      </c>
      <c r="D16" s="24" t="s">
        <v>50</v>
      </c>
      <c r="E16" s="24" t="s">
        <v>1185</v>
      </c>
      <c r="F16" s="24" t="s">
        <v>1186</v>
      </c>
      <c r="G16" s="24" t="s">
        <v>1187</v>
      </c>
      <c r="H16" s="24" t="s">
        <v>1188</v>
      </c>
      <c r="I16" s="25" t="s">
        <v>1189</v>
      </c>
      <c r="J16" s="24" t="s">
        <v>1190</v>
      </c>
      <c r="K16" s="24" t="s">
        <v>1191</v>
      </c>
      <c r="L16" s="25" t="s">
        <v>1171</v>
      </c>
      <c r="M16" s="25" t="s">
        <v>1192</v>
      </c>
    </row>
    <row r="17" customFormat="false" ht="64.15" hidden="false" customHeight="false" outlineLevel="0" collapsed="false">
      <c r="A17" s="3" t="s">
        <v>1193</v>
      </c>
      <c r="B17" s="2" t="s">
        <v>1100</v>
      </c>
      <c r="C17" s="3" t="s">
        <v>1194</v>
      </c>
      <c r="D17" s="3" t="s">
        <v>1195</v>
      </c>
      <c r="E17" s="3" t="s">
        <v>1196</v>
      </c>
      <c r="F17" s="3" t="s">
        <v>1197</v>
      </c>
      <c r="G17" s="3" t="s">
        <v>1198</v>
      </c>
      <c r="H17" s="3" t="s">
        <v>1199</v>
      </c>
      <c r="I17" s="2" t="s">
        <v>1200</v>
      </c>
      <c r="J17" s="2" t="s">
        <v>1201</v>
      </c>
      <c r="K17" s="3" t="s">
        <v>1202</v>
      </c>
      <c r="L17" s="2" t="s">
        <v>1203</v>
      </c>
      <c r="M17" s="2" t="s">
        <v>1204</v>
      </c>
    </row>
    <row r="18" customFormat="false" ht="32.8" hidden="false" customHeight="false" outlineLevel="0" collapsed="false">
      <c r="A18" s="3" t="s">
        <v>1205</v>
      </c>
      <c r="B18" s="2" t="s">
        <v>1111</v>
      </c>
      <c r="C18" s="2" t="s">
        <v>1206</v>
      </c>
      <c r="D18" s="3" t="s">
        <v>50</v>
      </c>
      <c r="E18" s="3" t="s">
        <v>1207</v>
      </c>
      <c r="F18" s="3" t="s">
        <v>1208</v>
      </c>
      <c r="G18" s="2" t="s">
        <v>1209</v>
      </c>
      <c r="H18" s="3" t="s">
        <v>1210</v>
      </c>
      <c r="I18" s="2" t="s">
        <v>1211</v>
      </c>
      <c r="J18" s="2" t="s">
        <v>1212</v>
      </c>
      <c r="K18" s="3" t="s">
        <v>1213</v>
      </c>
      <c r="L18" s="2" t="s">
        <v>1067</v>
      </c>
      <c r="M18" s="2" t="s">
        <v>1214</v>
      </c>
    </row>
    <row r="19" customFormat="false" ht="30.55" hidden="false" customHeight="false" outlineLevel="0" collapsed="false">
      <c r="A19" s="3" t="s">
        <v>1215</v>
      </c>
      <c r="B19" s="2" t="s">
        <v>1216</v>
      </c>
      <c r="C19" s="2" t="s">
        <v>1217</v>
      </c>
      <c r="D19" s="3" t="s">
        <v>665</v>
      </c>
      <c r="E19" s="2" t="s">
        <v>1218</v>
      </c>
      <c r="F19" s="3" t="s">
        <v>1219</v>
      </c>
      <c r="G19" s="3" t="s">
        <v>1220</v>
      </c>
      <c r="H19" s="2" t="s">
        <v>1221</v>
      </c>
      <c r="I19" s="2" t="s">
        <v>1127</v>
      </c>
      <c r="J19" s="2" t="s">
        <v>1222</v>
      </c>
      <c r="K19" s="2" t="s">
        <v>1223</v>
      </c>
      <c r="L19" s="2" t="s">
        <v>1067</v>
      </c>
      <c r="M19" s="2" t="s">
        <v>1224</v>
      </c>
    </row>
    <row r="20" customFormat="false" ht="32.8" hidden="false" customHeight="false" outlineLevel="0" collapsed="false">
      <c r="A20" s="3" t="s">
        <v>1225</v>
      </c>
      <c r="B20" s="3" t="s">
        <v>1226</v>
      </c>
      <c r="C20" s="3" t="s">
        <v>1227</v>
      </c>
      <c r="D20" s="3" t="s">
        <v>1228</v>
      </c>
      <c r="E20" s="3" t="s">
        <v>1229</v>
      </c>
      <c r="F20" s="3" t="s">
        <v>1230</v>
      </c>
      <c r="G20" s="3" t="s">
        <v>1231</v>
      </c>
      <c r="H20" s="3" t="s">
        <v>1232</v>
      </c>
      <c r="I20" s="3" t="s">
        <v>1233</v>
      </c>
      <c r="J20" s="2" t="s">
        <v>1234</v>
      </c>
      <c r="K20" s="3" t="s">
        <v>1235</v>
      </c>
      <c r="L20" s="2" t="s">
        <v>1067</v>
      </c>
      <c r="M20" s="3" t="s">
        <v>1236</v>
      </c>
    </row>
    <row r="21" customFormat="false" ht="75.35" hidden="false" customHeight="false" outlineLevel="0" collapsed="false">
      <c r="A21" s="3" t="s">
        <v>1237</v>
      </c>
      <c r="B21" s="2" t="s">
        <v>1238</v>
      </c>
      <c r="C21" s="3" t="s">
        <v>1239</v>
      </c>
      <c r="D21" s="3" t="s">
        <v>50</v>
      </c>
      <c r="E21" s="3" t="s">
        <v>1240</v>
      </c>
      <c r="F21" s="3" t="s">
        <v>1241</v>
      </c>
      <c r="G21" s="3" t="s">
        <v>1242</v>
      </c>
      <c r="H21" s="3" t="s">
        <v>1243</v>
      </c>
      <c r="I21" s="2" t="s">
        <v>1244</v>
      </c>
      <c r="J21" s="3" t="s">
        <v>1245</v>
      </c>
      <c r="K21" s="3" t="s">
        <v>1202</v>
      </c>
      <c r="L21" s="2" t="s">
        <v>1246</v>
      </c>
      <c r="M21" s="3" t="s">
        <v>1247</v>
      </c>
    </row>
    <row r="22" customFormat="false" ht="79.85" hidden="false" customHeight="false" outlineLevel="0" collapsed="false">
      <c r="A22" s="24" t="s">
        <v>1248</v>
      </c>
      <c r="B22" s="25" t="s">
        <v>1249</v>
      </c>
      <c r="C22" s="24" t="s">
        <v>1250</v>
      </c>
      <c r="D22" s="24" t="s">
        <v>50</v>
      </c>
      <c r="E22" s="24" t="s">
        <v>1251</v>
      </c>
      <c r="F22" s="25" t="s">
        <v>1252</v>
      </c>
      <c r="G22" s="25" t="s">
        <v>1253</v>
      </c>
      <c r="H22" s="25" t="s">
        <v>1254</v>
      </c>
      <c r="I22" s="25" t="s">
        <v>1255</v>
      </c>
      <c r="J22" s="24" t="s">
        <v>1256</v>
      </c>
      <c r="K22" s="24" t="s">
        <v>1257</v>
      </c>
      <c r="L22" s="25" t="s">
        <v>1171</v>
      </c>
      <c r="M22" s="24" t="s">
        <v>1258</v>
      </c>
    </row>
    <row r="23" customFormat="false" ht="155.95" hidden="false" customHeight="false" outlineLevel="0" collapsed="false">
      <c r="A23" s="24" t="s">
        <v>1259</v>
      </c>
      <c r="B23" s="25" t="s">
        <v>1057</v>
      </c>
      <c r="C23" s="24" t="s">
        <v>1260</v>
      </c>
      <c r="D23" s="24" t="s">
        <v>50</v>
      </c>
      <c r="E23" s="24" t="s">
        <v>1261</v>
      </c>
      <c r="F23" s="24" t="s">
        <v>1262</v>
      </c>
      <c r="G23" s="24" t="s">
        <v>1263</v>
      </c>
      <c r="H23" s="25" t="s">
        <v>1264</v>
      </c>
      <c r="I23" s="25" t="s">
        <v>1265</v>
      </c>
      <c r="J23" s="25" t="s">
        <v>1266</v>
      </c>
      <c r="K23" s="24" t="s">
        <v>1077</v>
      </c>
      <c r="L23" s="25" t="s">
        <v>1171</v>
      </c>
      <c r="M23" s="24" t="s">
        <v>1267</v>
      </c>
    </row>
    <row r="24" customFormat="false" ht="64.15" hidden="false" customHeight="false" outlineLevel="0" collapsed="false">
      <c r="A24" s="3" t="s">
        <v>1268</v>
      </c>
      <c r="B24" s="2" t="s">
        <v>1269</v>
      </c>
      <c r="C24" s="3" t="s">
        <v>1270</v>
      </c>
      <c r="D24" s="3" t="s">
        <v>50</v>
      </c>
      <c r="E24" s="3" t="s">
        <v>1271</v>
      </c>
      <c r="F24" s="2" t="s">
        <v>1272</v>
      </c>
      <c r="G24" s="3" t="s">
        <v>1273</v>
      </c>
      <c r="H24" s="3" t="s">
        <v>1274</v>
      </c>
      <c r="I24" s="2" t="s">
        <v>1275</v>
      </c>
      <c r="J24" s="2" t="s">
        <v>1276</v>
      </c>
      <c r="K24" s="3" t="s">
        <v>1235</v>
      </c>
      <c r="L24" s="2" t="s">
        <v>1067</v>
      </c>
      <c r="M24" s="3" t="s">
        <v>1277</v>
      </c>
    </row>
    <row r="25" customFormat="false" ht="48.5" hidden="false" customHeight="false" outlineLevel="0" collapsed="false">
      <c r="A25" s="3" t="s">
        <v>1278</v>
      </c>
      <c r="B25" s="2" t="s">
        <v>1279</v>
      </c>
      <c r="C25" s="3" t="s">
        <v>1280</v>
      </c>
      <c r="D25" s="3" t="s">
        <v>1281</v>
      </c>
      <c r="E25" s="3" t="s">
        <v>1282</v>
      </c>
      <c r="F25" s="3" t="s">
        <v>1283</v>
      </c>
      <c r="G25" s="3" t="s">
        <v>1284</v>
      </c>
      <c r="H25" s="3" t="s">
        <v>1285</v>
      </c>
      <c r="I25" s="2" t="s">
        <v>1286</v>
      </c>
      <c r="J25" s="2" t="s">
        <v>1287</v>
      </c>
      <c r="K25" s="3" t="s">
        <v>1202</v>
      </c>
      <c r="L25" s="2" t="s">
        <v>1067</v>
      </c>
      <c r="M25" s="3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7" min="4" style="0" width="10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17.15" hidden="false" customHeight="false" outlineLevel="0" collapsed="false">
      <c r="A1" s="0" t="s">
        <v>1288</v>
      </c>
    </row>
    <row r="2" customFormat="false" ht="17.15" hidden="false" customHeight="false" outlineLevel="0" collapsed="false">
      <c r="A2" s="6" t="s">
        <v>1289</v>
      </c>
    </row>
    <row r="4" customFormat="false" ht="15" hidden="false" customHeight="false" outlineLevel="0" collapsed="false">
      <c r="A4" s="4" t="s">
        <v>14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1290</v>
      </c>
    </row>
    <row r="5" customFormat="false" ht="17.15" hidden="false" customHeight="false" outlineLevel="0" collapsed="false">
      <c r="A5" s="10" t="s">
        <v>1291</v>
      </c>
    </row>
    <row r="6" customFormat="false" ht="17.15" hidden="false" customHeight="false" outlineLevel="0" collapsed="false">
      <c r="A6" s="0" t="s">
        <v>53</v>
      </c>
      <c r="B6" s="6" t="s">
        <v>49</v>
      </c>
      <c r="C6" s="0" t="s">
        <v>50</v>
      </c>
      <c r="E6" s="26" t="n">
        <f aca="false">In!E6</f>
        <v>-0.025</v>
      </c>
      <c r="G6" s="0" t="str">
        <f aca="false">In!G6</f>
        <v>Interested-party</v>
      </c>
      <c r="H6" s="12" t="s">
        <v>1292</v>
      </c>
    </row>
    <row r="7" customFormat="false" ht="17.15" hidden="false" customHeight="false" outlineLevel="0" collapsed="false">
      <c r="A7" s="0" t="s">
        <v>57</v>
      </c>
      <c r="B7" s="6" t="s">
        <v>55</v>
      </c>
      <c r="C7" s="0" t="s">
        <v>50</v>
      </c>
      <c r="E7" s="26" t="n">
        <f aca="false">In!E7</f>
        <v>0.125</v>
      </c>
      <c r="G7" s="0" t="str">
        <f aca="false">In!G7</f>
        <v>Interested-party</v>
      </c>
      <c r="H7" s="12" t="s">
        <v>1293</v>
      </c>
    </row>
    <row r="8" customFormat="false" ht="17.15" hidden="false" customHeight="false" outlineLevel="0" collapsed="false">
      <c r="A8" s="0" t="s">
        <v>60</v>
      </c>
      <c r="B8" s="6" t="s">
        <v>59</v>
      </c>
      <c r="C8" s="0" t="s">
        <v>50</v>
      </c>
      <c r="E8" s="26" t="n">
        <f aca="false">In!E8</f>
        <v>0.475</v>
      </c>
      <c r="G8" s="0" t="str">
        <f aca="false">In!G8</f>
        <v>Interested-party</v>
      </c>
      <c r="H8" s="12" t="s">
        <v>1294</v>
      </c>
    </row>
    <row r="9" customFormat="false" ht="17.15" hidden="false" customHeight="false" outlineLevel="0" collapsed="false">
      <c r="A9" s="0" t="s">
        <v>63</v>
      </c>
      <c r="B9" s="6" t="s">
        <v>62</v>
      </c>
      <c r="C9" s="0" t="s">
        <v>50</v>
      </c>
      <c r="E9" s="26" t="n">
        <f aca="false">In!E9</f>
        <v>0.95</v>
      </c>
      <c r="G9" s="0" t="str">
        <f aca="false">In!G9</f>
        <v>Interested-party</v>
      </c>
      <c r="H9" s="12" t="s">
        <v>1295</v>
      </c>
    </row>
    <row r="10" customFormat="false" ht="17.15" hidden="false" customHeight="false" outlineLevel="0" collapsed="false">
      <c r="A10" s="0" t="s">
        <v>66</v>
      </c>
      <c r="B10" s="6" t="s">
        <v>65</v>
      </c>
      <c r="C10" s="0" t="s">
        <v>50</v>
      </c>
      <c r="E10" s="26" t="n">
        <f aca="false">In!E10</f>
        <v>0.605</v>
      </c>
      <c r="G10" s="0" t="str">
        <f aca="false">In!G10</f>
        <v>Interested-party</v>
      </c>
      <c r="H10" s="12" t="s">
        <v>1296</v>
      </c>
    </row>
    <row r="11" customFormat="false" ht="17.15" hidden="false" customHeight="false" outlineLevel="0" collapsed="false">
      <c r="A11" s="0" t="s">
        <v>69</v>
      </c>
      <c r="B11" s="6" t="s">
        <v>68</v>
      </c>
      <c r="C11" s="0" t="s">
        <v>50</v>
      </c>
      <c r="E11" s="26" t="n">
        <f aca="false">In!E11</f>
        <v>0.155</v>
      </c>
      <c r="G11" s="0" t="str">
        <f aca="false">In!G11</f>
        <v>Interested-party</v>
      </c>
      <c r="H11" s="12" t="s">
        <v>1297</v>
      </c>
    </row>
    <row r="12" customFormat="false" ht="17.15" hidden="false" customHeight="false" outlineLevel="0" collapsed="false">
      <c r="A12" s="0" t="s">
        <v>72</v>
      </c>
      <c r="B12" s="6" t="s">
        <v>71</v>
      </c>
      <c r="C12" s="0" t="s">
        <v>50</v>
      </c>
      <c r="E12" s="26" t="n">
        <f aca="false">In!E12</f>
        <v>0.125</v>
      </c>
      <c r="G12" s="0" t="str">
        <f aca="false">In!G12</f>
        <v>Interested-party</v>
      </c>
      <c r="H12" s="12" t="s">
        <v>1298</v>
      </c>
    </row>
    <row r="13" customFormat="false" ht="17.15" hidden="false" customHeight="false" outlineLevel="0" collapsed="false">
      <c r="A13" s="0" t="s">
        <v>76</v>
      </c>
      <c r="B13" s="6" t="s">
        <v>74</v>
      </c>
      <c r="C13" s="0" t="s">
        <v>50</v>
      </c>
      <c r="E13" s="26" t="n">
        <f aca="false">In!E13</f>
        <v>0.03</v>
      </c>
      <c r="G13" s="0" t="str">
        <f aca="false">In!G13</f>
        <v>Interested-party</v>
      </c>
      <c r="H13" s="12" t="s">
        <v>1299</v>
      </c>
    </row>
    <row r="14" customFormat="false" ht="17.15" hidden="false" customHeight="false" outlineLevel="0" collapsed="false">
      <c r="A14" s="0" t="s">
        <v>79</v>
      </c>
      <c r="B14" s="6" t="s">
        <v>78</v>
      </c>
      <c r="C14" s="0" t="s">
        <v>50</v>
      </c>
      <c r="E14" s="26" t="n">
        <f aca="false">In!E14</f>
        <v>0</v>
      </c>
      <c r="G14" s="0" t="str">
        <f aca="false">In!G14</f>
        <v>Interested-party</v>
      </c>
      <c r="H14" s="12" t="s">
        <v>1300</v>
      </c>
    </row>
    <row r="15" customFormat="false" ht="17.15" hidden="false" customHeight="false" outlineLevel="0" collapsed="false">
      <c r="A15" s="0" t="s">
        <v>82</v>
      </c>
      <c r="B15" s="6" t="s">
        <v>81</v>
      </c>
      <c r="C15" s="0" t="s">
        <v>50</v>
      </c>
      <c r="E15" s="26" t="n">
        <f aca="false">In!E15</f>
        <v>-0.02</v>
      </c>
      <c r="G15" s="0" t="str">
        <f aca="false">In!G15</f>
        <v>Interested-party</v>
      </c>
      <c r="H15" s="12" t="s">
        <v>1301</v>
      </c>
    </row>
    <row r="16" customFormat="false" ht="17.15" hidden="false" customHeight="false" outlineLevel="0" collapsed="false">
      <c r="A16" s="0" t="s">
        <v>85</v>
      </c>
      <c r="B16" s="6" t="s">
        <v>84</v>
      </c>
      <c r="C16" s="0" t="s">
        <v>50</v>
      </c>
      <c r="E16" s="26" t="n">
        <f aca="false">In!E16</f>
        <v>-0.03</v>
      </c>
      <c r="G16" s="0" t="str">
        <f aca="false">In!G16</f>
        <v>Interested-party</v>
      </c>
      <c r="H16" s="12" t="s">
        <v>1302</v>
      </c>
    </row>
    <row r="17" customFormat="false" ht="17.15" hidden="false" customHeight="false" outlineLevel="0" collapsed="false">
      <c r="A17" s="0" t="s">
        <v>88</v>
      </c>
      <c r="B17" s="6" t="s">
        <v>87</v>
      </c>
      <c r="C17" s="0" t="s">
        <v>50</v>
      </c>
      <c r="E17" s="26" t="n">
        <f aca="false">In!E17</f>
        <v>-0.03</v>
      </c>
      <c r="G17" s="0" t="str">
        <f aca="false">In!G17</f>
        <v>Interested-party</v>
      </c>
      <c r="H17" s="12" t="s">
        <v>1303</v>
      </c>
    </row>
    <row r="18" customFormat="false" ht="17.15" hidden="false" customHeight="false" outlineLevel="0" collapsed="false">
      <c r="A18" s="0" t="s">
        <v>91</v>
      </c>
      <c r="B18" s="6" t="s">
        <v>90</v>
      </c>
      <c r="C18" s="0" t="s">
        <v>50</v>
      </c>
      <c r="E18" s="26" t="n">
        <f aca="false">In!E18</f>
        <v>-0.03</v>
      </c>
      <c r="G18" s="0" t="str">
        <f aca="false">In!G18</f>
        <v>Interested-party</v>
      </c>
      <c r="H18" s="12" t="s">
        <v>1304</v>
      </c>
    </row>
    <row r="19" customFormat="false" ht="17.15" hidden="false" customHeight="false" outlineLevel="0" collapsed="false">
      <c r="A19" s="0" t="s">
        <v>94</v>
      </c>
      <c r="B19" s="6" t="s">
        <v>93</v>
      </c>
      <c r="C19" s="0" t="s">
        <v>50</v>
      </c>
      <c r="E19" s="26" t="n">
        <f aca="false">In!E19</f>
        <v>-0.02</v>
      </c>
      <c r="G19" s="0" t="str">
        <f aca="false">In!G19</f>
        <v>Interested-party</v>
      </c>
      <c r="H19" s="12" t="s">
        <v>1305</v>
      </c>
    </row>
    <row r="20" customFormat="false" ht="17.15" hidden="false" customHeight="false" outlineLevel="0" collapsed="false">
      <c r="A20" s="0" t="s">
        <v>97</v>
      </c>
      <c r="B20" s="6" t="s">
        <v>96</v>
      </c>
      <c r="C20" s="0" t="s">
        <v>50</v>
      </c>
      <c r="E20" s="26" t="n">
        <f aca="false">In!E20</f>
        <v>-0.02</v>
      </c>
      <c r="G20" s="0" t="str">
        <f aca="false">In!G20</f>
        <v>Interested-party</v>
      </c>
      <c r="H20" s="12" t="s">
        <v>1306</v>
      </c>
    </row>
    <row r="21" customFormat="false" ht="17.15" hidden="false" customHeight="false" outlineLevel="0" collapsed="false">
      <c r="A21" s="0" t="s">
        <v>100</v>
      </c>
      <c r="B21" s="6" t="s">
        <v>99</v>
      </c>
      <c r="C21" s="0" t="s">
        <v>50</v>
      </c>
      <c r="E21" s="26" t="n">
        <f aca="false">In!E21</f>
        <v>-0.03</v>
      </c>
      <c r="G21" s="0" t="str">
        <f aca="false">In!G21</f>
        <v>Interested-party</v>
      </c>
      <c r="H21" s="12" t="s">
        <v>1307</v>
      </c>
    </row>
    <row r="22" customFormat="false" ht="17.15" hidden="false" customHeight="false" outlineLevel="0" collapsed="false">
      <c r="A22" s="0" t="s">
        <v>103</v>
      </c>
      <c r="B22" s="6" t="s">
        <v>102</v>
      </c>
      <c r="C22" s="0" t="s">
        <v>50</v>
      </c>
      <c r="E22" s="26" t="n">
        <f aca="false">In!E22</f>
        <v>-0.03</v>
      </c>
      <c r="G22" s="0" t="str">
        <f aca="false">In!G22</f>
        <v>Interested-party</v>
      </c>
      <c r="H22" s="12" t="s">
        <v>1308</v>
      </c>
    </row>
    <row r="23" customFormat="false" ht="17.15" hidden="false" customHeight="false" outlineLevel="0" collapsed="false">
      <c r="A23" s="0" t="s">
        <v>106</v>
      </c>
      <c r="B23" s="6" t="s">
        <v>105</v>
      </c>
      <c r="C23" s="0" t="s">
        <v>50</v>
      </c>
      <c r="E23" s="26" t="n">
        <f aca="false">In!E23</f>
        <v>-0.02</v>
      </c>
      <c r="G23" s="0" t="str">
        <f aca="false">In!G23</f>
        <v>Interested-party</v>
      </c>
      <c r="H23" s="12" t="s">
        <v>1309</v>
      </c>
    </row>
    <row r="24" customFormat="false" ht="17.15" hidden="false" customHeight="false" outlineLevel="0" collapsed="false">
      <c r="A24" s="0" t="s">
        <v>109</v>
      </c>
      <c r="B24" s="6" t="s">
        <v>108</v>
      </c>
      <c r="C24" s="0" t="s">
        <v>50</v>
      </c>
      <c r="E24" s="26" t="n">
        <f aca="false">In!E24</f>
        <v>-0.02</v>
      </c>
      <c r="G24" s="0" t="str">
        <f aca="false">In!G24</f>
        <v>Interested-party</v>
      </c>
      <c r="H24" s="12" t="s">
        <v>1310</v>
      </c>
    </row>
    <row r="25" customFormat="false" ht="17.15" hidden="false" customHeight="false" outlineLevel="0" collapsed="false">
      <c r="A25" s="0" t="s">
        <v>113</v>
      </c>
      <c r="B25" s="6" t="s">
        <v>111</v>
      </c>
      <c r="C25" s="0" t="s">
        <v>50</v>
      </c>
      <c r="E25" s="26" t="n">
        <f aca="false">In!E25</f>
        <v>0.05</v>
      </c>
      <c r="G25" s="0" t="str">
        <f aca="false">In!G25</f>
        <v>Interested-party</v>
      </c>
      <c r="H25" s="12" t="s">
        <v>1311</v>
      </c>
    </row>
    <row r="26" customFormat="false" ht="17.15" hidden="false" customHeight="false" outlineLevel="0" collapsed="false">
      <c r="A26" s="0" t="s">
        <v>116</v>
      </c>
      <c r="B26" s="6" t="s">
        <v>115</v>
      </c>
      <c r="C26" s="0" t="s">
        <v>50</v>
      </c>
      <c r="E26" s="26" t="n">
        <f aca="false">In!E26</f>
        <v>0.02</v>
      </c>
      <c r="G26" s="0" t="str">
        <f aca="false">In!G26</f>
        <v>Interested-party</v>
      </c>
      <c r="H26" s="12" t="s">
        <v>1312</v>
      </c>
    </row>
    <row r="27" customFormat="false" ht="17.15" hidden="false" customHeight="false" outlineLevel="0" collapsed="false">
      <c r="A27" s="0" t="s">
        <v>119</v>
      </c>
      <c r="B27" s="6" t="s">
        <v>118</v>
      </c>
      <c r="C27" s="0" t="s">
        <v>50</v>
      </c>
      <c r="E27" s="26" t="n">
        <f aca="false">In!E27</f>
        <v>-0.08</v>
      </c>
      <c r="G27" s="0" t="str">
        <f aca="false">In!G27</f>
        <v>Interested-party</v>
      </c>
      <c r="H27" s="12" t="s">
        <v>1313</v>
      </c>
    </row>
    <row r="28" customFormat="false" ht="17.15" hidden="false" customHeight="false" outlineLevel="0" collapsed="false">
      <c r="A28" s="0" t="s">
        <v>122</v>
      </c>
      <c r="B28" s="6" t="s">
        <v>121</v>
      </c>
      <c r="C28" s="0" t="s">
        <v>50</v>
      </c>
      <c r="E28" s="26" t="n">
        <f aca="false">In!E28</f>
        <v>-0.15</v>
      </c>
      <c r="G28" s="0" t="str">
        <f aca="false">In!G28</f>
        <v>Interested-party</v>
      </c>
      <c r="H28" s="12" t="s">
        <v>1314</v>
      </c>
    </row>
    <row r="29" customFormat="false" ht="17.15" hidden="false" customHeight="false" outlineLevel="0" collapsed="false">
      <c r="A29" s="0" t="s">
        <v>125</v>
      </c>
      <c r="B29" s="6" t="s">
        <v>124</v>
      </c>
      <c r="C29" s="0" t="s">
        <v>50</v>
      </c>
      <c r="E29" s="26" t="n">
        <f aca="false">In!E29</f>
        <v>-0.25</v>
      </c>
      <c r="G29" s="0" t="str">
        <f aca="false">In!G29</f>
        <v>Interested-party</v>
      </c>
      <c r="H29" s="12" t="s">
        <v>1315</v>
      </c>
    </row>
    <row r="30" customFormat="false" ht="17.15" hidden="false" customHeight="false" outlineLevel="0" collapsed="false">
      <c r="A30" s="0" t="s">
        <v>128</v>
      </c>
      <c r="B30" s="6" t="s">
        <v>127</v>
      </c>
      <c r="C30" s="0" t="s">
        <v>50</v>
      </c>
      <c r="E30" s="26" t="n">
        <f aca="false">In!E30</f>
        <v>-0.15</v>
      </c>
      <c r="G30" s="0" t="str">
        <f aca="false">In!G30</f>
        <v>Interested-party</v>
      </c>
      <c r="H30" s="12" t="s">
        <v>1316</v>
      </c>
    </row>
    <row r="31" customFormat="false" ht="17.15" hidden="false" customHeight="false" outlineLevel="0" collapsed="false">
      <c r="A31" s="0" t="s">
        <v>131</v>
      </c>
      <c r="B31" s="6" t="s">
        <v>130</v>
      </c>
      <c r="C31" s="0" t="s">
        <v>50</v>
      </c>
      <c r="E31" s="26" t="n">
        <f aca="false">In!E31</f>
        <v>-0.1</v>
      </c>
      <c r="G31" s="0" t="str">
        <f aca="false">In!G31</f>
        <v>Interested-party</v>
      </c>
      <c r="H31" s="12" t="s">
        <v>1317</v>
      </c>
    </row>
    <row r="32" customFormat="false" ht="17.15" hidden="false" customHeight="false" outlineLevel="0" collapsed="false">
      <c r="A32" s="0" t="s">
        <v>134</v>
      </c>
      <c r="B32" s="6" t="s">
        <v>133</v>
      </c>
      <c r="C32" s="0" t="s">
        <v>50</v>
      </c>
      <c r="E32" s="26" t="n">
        <f aca="false">In!E32</f>
        <v>-0.05</v>
      </c>
      <c r="G32" s="0" t="str">
        <f aca="false">In!G32</f>
        <v>Interested-party</v>
      </c>
      <c r="H32" s="12" t="s">
        <v>1318</v>
      </c>
    </row>
    <row r="33" customFormat="false" ht="17.15" hidden="false" customHeight="false" outlineLevel="0" collapsed="false">
      <c r="A33" s="0" t="s">
        <v>137</v>
      </c>
      <c r="B33" s="6" t="s">
        <v>136</v>
      </c>
      <c r="C33" s="0" t="s">
        <v>50</v>
      </c>
      <c r="E33" s="26" t="n">
        <f aca="false">In!E33</f>
        <v>0.05</v>
      </c>
      <c r="G33" s="0" t="str">
        <f aca="false">In!G33</f>
        <v>Interested-party</v>
      </c>
      <c r="H33" s="12" t="s">
        <v>1319</v>
      </c>
    </row>
    <row r="34" customFormat="false" ht="17.15" hidden="false" customHeight="false" outlineLevel="0" collapsed="false">
      <c r="A34" s="0" t="s">
        <v>140</v>
      </c>
      <c r="B34" s="6" t="s">
        <v>139</v>
      </c>
      <c r="C34" s="0" t="s">
        <v>50</v>
      </c>
      <c r="E34" s="26" t="n">
        <f aca="false">In!E34</f>
        <v>0.05</v>
      </c>
      <c r="G34" s="0" t="str">
        <f aca="false">In!G34</f>
        <v>Interested-party</v>
      </c>
      <c r="H34" s="12" t="s">
        <v>1320</v>
      </c>
    </row>
    <row r="35" customFormat="false" ht="17.15" hidden="false" customHeight="false" outlineLevel="0" collapsed="false">
      <c r="A35" s="0" t="s">
        <v>143</v>
      </c>
      <c r="B35" s="6" t="s">
        <v>142</v>
      </c>
      <c r="C35" s="0" t="s">
        <v>50</v>
      </c>
      <c r="E35" s="26" t="n">
        <f aca="false">In!E35</f>
        <v>0.03</v>
      </c>
      <c r="G35" s="0" t="str">
        <f aca="false">In!G35</f>
        <v>Interested-party</v>
      </c>
      <c r="H35" s="12" t="s">
        <v>1321</v>
      </c>
    </row>
    <row r="36" customFormat="false" ht="17.15" hidden="false" customHeight="false" outlineLevel="0" collapsed="false">
      <c r="A36" s="0" t="s">
        <v>146</v>
      </c>
      <c r="B36" s="6" t="s">
        <v>145</v>
      </c>
      <c r="C36" s="0" t="s">
        <v>50</v>
      </c>
      <c r="E36" s="26" t="n">
        <f aca="false">In!E36</f>
        <v>0.03</v>
      </c>
      <c r="G36" s="0" t="str">
        <f aca="false">In!G36</f>
        <v>Interested-party</v>
      </c>
      <c r="H36" s="12" t="s">
        <v>1322</v>
      </c>
    </row>
    <row r="37" customFormat="false" ht="17.15" hidden="false" customHeight="false" outlineLevel="0" collapsed="false">
      <c r="A37" s="0" t="s">
        <v>151</v>
      </c>
      <c r="B37" s="6" t="s">
        <v>148</v>
      </c>
      <c r="C37" s="0" t="s">
        <v>50</v>
      </c>
      <c r="D37" s="26" t="n">
        <f aca="false">In!D37</f>
        <v>0</v>
      </c>
      <c r="E37" s="26" t="n">
        <f aca="false">In!E37</f>
        <v>0.05</v>
      </c>
      <c r="F37" s="26" t="n">
        <f aca="false">In!F37</f>
        <v>0.1</v>
      </c>
      <c r="G37" s="0" t="str">
        <f aca="false">In!G37</f>
        <v>Assumed</v>
      </c>
      <c r="H37" s="12" t="s">
        <v>1323</v>
      </c>
    </row>
    <row r="38" customFormat="false" ht="17.15" hidden="false" customHeight="false" outlineLevel="0" collapsed="false">
      <c r="A38" s="0" t="s">
        <v>154</v>
      </c>
      <c r="B38" s="6" t="s">
        <v>153</v>
      </c>
      <c r="C38" s="0" t="s">
        <v>50</v>
      </c>
      <c r="D38" s="26" t="n">
        <f aca="false">In!D38</f>
        <v>-0.03</v>
      </c>
      <c r="E38" s="26" t="n">
        <f aca="false">In!E38</f>
        <v>0.02</v>
      </c>
      <c r="F38" s="26" t="n">
        <f aca="false">In!F38</f>
        <v>0.07</v>
      </c>
      <c r="G38" s="0" t="str">
        <f aca="false">In!G38</f>
        <v>Assumed</v>
      </c>
      <c r="H38" s="12" t="s">
        <v>1324</v>
      </c>
    </row>
    <row r="39" customFormat="false" ht="17.15" hidden="false" customHeight="false" outlineLevel="0" collapsed="false">
      <c r="A39" s="0" t="s">
        <v>157</v>
      </c>
      <c r="B39" s="6" t="s">
        <v>156</v>
      </c>
      <c r="C39" s="0" t="s">
        <v>50</v>
      </c>
      <c r="D39" s="26" t="n">
        <f aca="false">In!D39</f>
        <v>-0.13</v>
      </c>
      <c r="E39" s="26" t="n">
        <f aca="false">In!E39</f>
        <v>-0.08</v>
      </c>
      <c r="F39" s="26" t="n">
        <f aca="false">In!F39</f>
        <v>-0.03</v>
      </c>
      <c r="G39" s="0" t="str">
        <f aca="false">In!G39</f>
        <v>Assumed</v>
      </c>
      <c r="H39" s="12" t="s">
        <v>1325</v>
      </c>
    </row>
    <row r="40" customFormat="false" ht="17.15" hidden="false" customHeight="false" outlineLevel="0" collapsed="false">
      <c r="A40" s="0" t="s">
        <v>160</v>
      </c>
      <c r="B40" s="6" t="s">
        <v>159</v>
      </c>
      <c r="C40" s="0" t="s">
        <v>50</v>
      </c>
      <c r="D40" s="26" t="n">
        <f aca="false">In!D40</f>
        <v>-0.2</v>
      </c>
      <c r="E40" s="26" t="n">
        <f aca="false">In!E40</f>
        <v>-0.15</v>
      </c>
      <c r="F40" s="26" t="n">
        <f aca="false">In!F40</f>
        <v>-0.1</v>
      </c>
      <c r="G40" s="0" t="str">
        <f aca="false">In!G40</f>
        <v>Assumed</v>
      </c>
      <c r="H40" s="12" t="s">
        <v>1326</v>
      </c>
    </row>
    <row r="41" customFormat="false" ht="17.15" hidden="false" customHeight="false" outlineLevel="0" collapsed="false">
      <c r="A41" s="0" t="s">
        <v>163</v>
      </c>
      <c r="B41" s="6" t="s">
        <v>162</v>
      </c>
      <c r="C41" s="0" t="s">
        <v>50</v>
      </c>
      <c r="D41" s="26" t="n">
        <f aca="false">In!D41</f>
        <v>-0.45</v>
      </c>
      <c r="E41" s="26" t="n">
        <f aca="false">In!E41</f>
        <v>-0.35</v>
      </c>
      <c r="F41" s="26" t="n">
        <f aca="false">In!F41</f>
        <v>-0.25</v>
      </c>
      <c r="G41" s="0" t="str">
        <f aca="false">In!G41</f>
        <v>Assumed</v>
      </c>
      <c r="H41" s="12" t="s">
        <v>1327</v>
      </c>
    </row>
    <row r="42" customFormat="false" ht="17.15" hidden="false" customHeight="false" outlineLevel="0" collapsed="false">
      <c r="A42" s="0" t="s">
        <v>166</v>
      </c>
      <c r="B42" s="6" t="s">
        <v>165</v>
      </c>
      <c r="C42" s="0" t="s">
        <v>50</v>
      </c>
      <c r="D42" s="26" t="n">
        <f aca="false">In!D42</f>
        <v>-0.4</v>
      </c>
      <c r="E42" s="26" t="n">
        <f aca="false">In!E42</f>
        <v>-0.3</v>
      </c>
      <c r="F42" s="26" t="n">
        <f aca="false">In!F42</f>
        <v>-0.2</v>
      </c>
      <c r="G42" s="0" t="str">
        <f aca="false">In!G42</f>
        <v>Assumed</v>
      </c>
      <c r="H42" s="12" t="s">
        <v>1328</v>
      </c>
    </row>
    <row r="43" customFormat="false" ht="17.15" hidden="false" customHeight="false" outlineLevel="0" collapsed="false">
      <c r="A43" s="0" t="s">
        <v>169</v>
      </c>
      <c r="B43" s="6" t="s">
        <v>168</v>
      </c>
      <c r="C43" s="0" t="s">
        <v>50</v>
      </c>
      <c r="D43" s="26" t="n">
        <f aca="false">In!D43</f>
        <v>-0.35</v>
      </c>
      <c r="E43" s="26" t="n">
        <f aca="false">In!E43</f>
        <v>-0.25</v>
      </c>
      <c r="F43" s="26" t="n">
        <f aca="false">In!F43</f>
        <v>-0.15</v>
      </c>
      <c r="G43" s="0" t="str">
        <f aca="false">In!G43</f>
        <v>Assumed</v>
      </c>
      <c r="H43" s="12" t="s">
        <v>1329</v>
      </c>
    </row>
    <row r="44" customFormat="false" ht="17.15" hidden="false" customHeight="false" outlineLevel="0" collapsed="false">
      <c r="A44" s="0" t="s">
        <v>172</v>
      </c>
      <c r="B44" s="6" t="s">
        <v>171</v>
      </c>
      <c r="C44" s="0" t="s">
        <v>50</v>
      </c>
      <c r="D44" s="26" t="n">
        <f aca="false">In!D44</f>
        <v>-0.3</v>
      </c>
      <c r="E44" s="26" t="n">
        <f aca="false">In!E44</f>
        <v>-0.2</v>
      </c>
      <c r="F44" s="26" t="n">
        <f aca="false">In!F44</f>
        <v>-0.1</v>
      </c>
      <c r="G44" s="0" t="str">
        <f aca="false">In!G44</f>
        <v>Assumed</v>
      </c>
      <c r="H44" s="12" t="s">
        <v>1330</v>
      </c>
    </row>
    <row r="45" customFormat="false" ht="17.15" hidden="false" customHeight="false" outlineLevel="0" collapsed="false">
      <c r="A45" s="0" t="s">
        <v>175</v>
      </c>
      <c r="B45" s="6" t="s">
        <v>174</v>
      </c>
      <c r="C45" s="0" t="s">
        <v>50</v>
      </c>
      <c r="D45" s="26" t="n">
        <f aca="false">In!D45</f>
        <v>-0.1</v>
      </c>
      <c r="E45" s="26" t="n">
        <f aca="false">In!E45</f>
        <v>0</v>
      </c>
      <c r="F45" s="26" t="n">
        <f aca="false">In!F45</f>
        <v>0.1</v>
      </c>
      <c r="G45" s="0" t="str">
        <f aca="false">In!G45</f>
        <v>Assumed</v>
      </c>
      <c r="H45" s="12" t="s">
        <v>1331</v>
      </c>
    </row>
    <row r="46" customFormat="false" ht="17.15" hidden="false" customHeight="false" outlineLevel="0" collapsed="false">
      <c r="A46" s="0" t="s">
        <v>178</v>
      </c>
      <c r="B46" s="6" t="s">
        <v>177</v>
      </c>
      <c r="C46" s="0" t="s">
        <v>50</v>
      </c>
      <c r="D46" s="26" t="n">
        <f aca="false">In!D46</f>
        <v>-0.05</v>
      </c>
      <c r="E46" s="26" t="n">
        <f aca="false">In!E46</f>
        <v>0.05</v>
      </c>
      <c r="F46" s="26" t="n">
        <f aca="false">In!F46</f>
        <v>0.15</v>
      </c>
      <c r="G46" s="0" t="str">
        <f aca="false">In!G46</f>
        <v>Assumed</v>
      </c>
      <c r="H46" s="12" t="s">
        <v>1332</v>
      </c>
    </row>
    <row r="47" customFormat="false" ht="17.15" hidden="false" customHeight="false" outlineLevel="0" collapsed="false">
      <c r="A47" s="0" t="s">
        <v>181</v>
      </c>
      <c r="B47" s="6" t="s">
        <v>180</v>
      </c>
      <c r="C47" s="0" t="s">
        <v>50</v>
      </c>
      <c r="D47" s="26" t="n">
        <f aca="false">In!D47</f>
        <v>-0.02</v>
      </c>
      <c r="E47" s="26" t="n">
        <f aca="false">In!E47</f>
        <v>0.08</v>
      </c>
      <c r="F47" s="26" t="n">
        <f aca="false">In!F47</f>
        <v>0.18</v>
      </c>
      <c r="G47" s="0" t="str">
        <f aca="false">In!G47</f>
        <v>Assumed</v>
      </c>
      <c r="H47" s="12" t="s">
        <v>1333</v>
      </c>
    </row>
    <row r="48" customFormat="false" ht="17.15" hidden="false" customHeight="false" outlineLevel="0" collapsed="false">
      <c r="A48" s="0" t="s">
        <v>184</v>
      </c>
      <c r="B48" s="6" t="s">
        <v>183</v>
      </c>
      <c r="C48" s="0" t="s">
        <v>50</v>
      </c>
      <c r="D48" s="26" t="n">
        <f aca="false">In!D48</f>
        <v>0</v>
      </c>
      <c r="E48" s="26" t="n">
        <f aca="false">In!E48</f>
        <v>0.1</v>
      </c>
      <c r="F48" s="26" t="n">
        <f aca="false">In!F48</f>
        <v>0.2</v>
      </c>
      <c r="G48" s="0" t="str">
        <f aca="false">In!G48</f>
        <v>Assumed</v>
      </c>
      <c r="H48" s="12" t="s">
        <v>1334</v>
      </c>
    </row>
    <row r="49" customFormat="false" ht="17.15" hidden="false" customHeight="false" outlineLevel="0" collapsed="false">
      <c r="A49" s="0" t="s">
        <v>188</v>
      </c>
      <c r="B49" s="0" t="s">
        <v>186</v>
      </c>
      <c r="C49" s="0" t="s">
        <v>50</v>
      </c>
      <c r="E49" s="26" t="n">
        <f aca="false">In!E49</f>
        <v>0</v>
      </c>
      <c r="G49" s="0" t="str">
        <f aca="false">In!G49</f>
        <v>Interested-party</v>
      </c>
      <c r="H49" s="12" t="s">
        <v>1335</v>
      </c>
    </row>
    <row r="50" customFormat="false" ht="17.15" hidden="false" customHeight="false" outlineLevel="0" collapsed="false">
      <c r="A50" s="0" t="s">
        <v>191</v>
      </c>
      <c r="B50" s="0" t="s">
        <v>190</v>
      </c>
      <c r="C50" s="0" t="s">
        <v>50</v>
      </c>
      <c r="E50" s="26" t="n">
        <f aca="false">In!E50</f>
        <v>0.05</v>
      </c>
      <c r="G50" s="0" t="str">
        <f aca="false">In!G50</f>
        <v>Interested-party</v>
      </c>
      <c r="H50" s="12" t="s">
        <v>1336</v>
      </c>
    </row>
    <row r="51" customFormat="false" ht="17.15" hidden="false" customHeight="false" outlineLevel="0" collapsed="false">
      <c r="A51" s="0" t="s">
        <v>194</v>
      </c>
      <c r="B51" s="0" t="s">
        <v>193</v>
      </c>
      <c r="C51" s="0" t="s">
        <v>50</v>
      </c>
      <c r="E51" s="26" t="n">
        <f aca="false">In!E51</f>
        <v>0.3</v>
      </c>
      <c r="G51" s="0" t="str">
        <f aca="false">In!G51</f>
        <v>Interested-party</v>
      </c>
      <c r="H51" s="12" t="s">
        <v>1337</v>
      </c>
    </row>
    <row r="52" customFormat="false" ht="17.15" hidden="false" customHeight="false" outlineLevel="0" collapsed="false">
      <c r="A52" s="0" t="s">
        <v>197</v>
      </c>
      <c r="B52" s="0" t="s">
        <v>196</v>
      </c>
      <c r="C52" s="0" t="s">
        <v>50</v>
      </c>
      <c r="E52" s="26" t="n">
        <f aca="false">In!E52</f>
        <v>0.875</v>
      </c>
      <c r="G52" s="0" t="str">
        <f aca="false">In!G52</f>
        <v>Interested-party</v>
      </c>
      <c r="H52" s="12" t="s">
        <v>1338</v>
      </c>
    </row>
    <row r="53" customFormat="false" ht="17.15" hidden="false" customHeight="false" outlineLevel="0" collapsed="false">
      <c r="A53" s="0" t="s">
        <v>200</v>
      </c>
      <c r="B53" s="0" t="s">
        <v>199</v>
      </c>
      <c r="C53" s="0" t="s">
        <v>50</v>
      </c>
      <c r="E53" s="26" t="n">
        <f aca="false">In!E53</f>
        <v>0.725</v>
      </c>
      <c r="G53" s="0" t="str">
        <f aca="false">In!G53</f>
        <v>Interested-party</v>
      </c>
      <c r="H53" s="12" t="s">
        <v>1339</v>
      </c>
    </row>
    <row r="54" customFormat="false" ht="17.15" hidden="false" customHeight="false" outlineLevel="0" collapsed="false">
      <c r="A54" s="0" t="s">
        <v>203</v>
      </c>
      <c r="B54" s="0" t="s">
        <v>202</v>
      </c>
      <c r="C54" s="0" t="s">
        <v>50</v>
      </c>
      <c r="E54" s="26" t="n">
        <f aca="false">In!E54</f>
        <v>0.15</v>
      </c>
      <c r="G54" s="0" t="str">
        <f aca="false">In!G54</f>
        <v>Interested-party</v>
      </c>
      <c r="H54" s="12" t="s">
        <v>1340</v>
      </c>
    </row>
    <row r="55" customFormat="false" ht="17.15" hidden="false" customHeight="false" outlineLevel="0" collapsed="false">
      <c r="A55" s="0" t="s">
        <v>206</v>
      </c>
      <c r="B55" s="0" t="s">
        <v>205</v>
      </c>
      <c r="C55" s="0" t="s">
        <v>50</v>
      </c>
      <c r="E55" s="26" t="n">
        <f aca="false">In!E55</f>
        <v>0.175</v>
      </c>
      <c r="G55" s="0" t="str">
        <f aca="false">In!G55</f>
        <v>Interested-party</v>
      </c>
      <c r="H55" s="12" t="s">
        <v>1341</v>
      </c>
    </row>
    <row r="56" customFormat="false" ht="17.15" hidden="false" customHeight="false" outlineLevel="0" collapsed="false">
      <c r="A56" s="0" t="s">
        <v>210</v>
      </c>
      <c r="B56" s="0" t="s">
        <v>208</v>
      </c>
      <c r="C56" s="0" t="s">
        <v>50</v>
      </c>
      <c r="E56" s="26" t="n">
        <f aca="false">In!E56</f>
        <v>0.03</v>
      </c>
      <c r="G56" s="0" t="str">
        <f aca="false">In!G56</f>
        <v>Interested-party</v>
      </c>
      <c r="H56" s="12" t="s">
        <v>1342</v>
      </c>
    </row>
    <row r="57" customFormat="false" ht="17.15" hidden="false" customHeight="false" outlineLevel="0" collapsed="false">
      <c r="A57" s="0" t="s">
        <v>213</v>
      </c>
      <c r="B57" s="0" t="s">
        <v>212</v>
      </c>
      <c r="C57" s="0" t="s">
        <v>50</v>
      </c>
      <c r="E57" s="26" t="n">
        <f aca="false">In!E57</f>
        <v>0</v>
      </c>
      <c r="G57" s="0" t="str">
        <f aca="false">In!G57</f>
        <v>Interested-party</v>
      </c>
      <c r="H57" s="12" t="s">
        <v>1343</v>
      </c>
    </row>
    <row r="58" customFormat="false" ht="17.15" hidden="false" customHeight="false" outlineLevel="0" collapsed="false">
      <c r="A58" s="0" t="s">
        <v>216</v>
      </c>
      <c r="B58" s="0" t="s">
        <v>215</v>
      </c>
      <c r="C58" s="0" t="s">
        <v>50</v>
      </c>
      <c r="E58" s="26" t="n">
        <f aca="false">In!E58</f>
        <v>-0.05</v>
      </c>
      <c r="G58" s="0" t="str">
        <f aca="false">In!G58</f>
        <v>Interested-party</v>
      </c>
      <c r="H58" s="12" t="s">
        <v>1344</v>
      </c>
    </row>
    <row r="59" customFormat="false" ht="17.15" hidden="false" customHeight="false" outlineLevel="0" collapsed="false">
      <c r="A59" s="0" t="s">
        <v>219</v>
      </c>
      <c r="B59" s="0" t="s">
        <v>218</v>
      </c>
      <c r="C59" s="0" t="s">
        <v>50</v>
      </c>
      <c r="E59" s="26" t="n">
        <f aca="false">In!E59</f>
        <v>-0.07</v>
      </c>
      <c r="G59" s="0" t="str">
        <f aca="false">In!G59</f>
        <v>Interested-party</v>
      </c>
      <c r="H59" s="12" t="s">
        <v>1345</v>
      </c>
    </row>
    <row r="60" customFormat="false" ht="17.15" hidden="false" customHeight="false" outlineLevel="0" collapsed="false">
      <c r="A60" s="0" t="s">
        <v>222</v>
      </c>
      <c r="B60" s="0" t="s">
        <v>221</v>
      </c>
      <c r="C60" s="0" t="s">
        <v>50</v>
      </c>
      <c r="E60" s="26" t="n">
        <f aca="false">In!E60</f>
        <v>-0.05</v>
      </c>
      <c r="G60" s="0" t="str">
        <f aca="false">In!G60</f>
        <v>Interested-party</v>
      </c>
      <c r="H60" s="12" t="s">
        <v>1346</v>
      </c>
    </row>
    <row r="61" customFormat="false" ht="17.15" hidden="false" customHeight="false" outlineLevel="0" collapsed="false">
      <c r="A61" s="0" t="s">
        <v>225</v>
      </c>
      <c r="B61" s="0" t="s">
        <v>224</v>
      </c>
      <c r="C61" s="0" t="s">
        <v>50</v>
      </c>
      <c r="E61" s="26" t="n">
        <f aca="false">In!E61</f>
        <v>-0.05</v>
      </c>
      <c r="G61" s="0" t="str">
        <f aca="false">In!G61</f>
        <v>Interested-party</v>
      </c>
      <c r="H61" s="12" t="s">
        <v>1347</v>
      </c>
    </row>
    <row r="62" customFormat="false" ht="17.15" hidden="false" customHeight="false" outlineLevel="0" collapsed="false">
      <c r="A62" s="0" t="s">
        <v>228</v>
      </c>
      <c r="B62" s="0" t="s">
        <v>227</v>
      </c>
      <c r="C62" s="0" t="s">
        <v>50</v>
      </c>
      <c r="E62" s="26" t="n">
        <f aca="false">In!E62</f>
        <v>-0.05</v>
      </c>
      <c r="G62" s="0" t="str">
        <f aca="false">In!G62</f>
        <v>Interested-party</v>
      </c>
      <c r="H62" s="12" t="s">
        <v>1348</v>
      </c>
    </row>
    <row r="63" customFormat="false" ht="17.15" hidden="false" customHeight="false" outlineLevel="0" collapsed="false">
      <c r="A63" s="0" t="s">
        <v>231</v>
      </c>
      <c r="B63" s="0" t="s">
        <v>230</v>
      </c>
      <c r="C63" s="0" t="s">
        <v>50</v>
      </c>
      <c r="E63" s="26" t="n">
        <f aca="false">In!E63</f>
        <v>-0.05</v>
      </c>
      <c r="G63" s="0" t="str">
        <f aca="false">In!G63</f>
        <v>Interested-party</v>
      </c>
      <c r="H63" s="12" t="s">
        <v>1349</v>
      </c>
    </row>
    <row r="64" customFormat="false" ht="17.15" hidden="false" customHeight="false" outlineLevel="0" collapsed="false">
      <c r="A64" s="0" t="s">
        <v>234</v>
      </c>
      <c r="B64" s="0" t="s">
        <v>233</v>
      </c>
      <c r="C64" s="0" t="s">
        <v>50</v>
      </c>
      <c r="E64" s="26" t="n">
        <f aca="false">In!E64</f>
        <v>-0.03</v>
      </c>
      <c r="G64" s="0" t="str">
        <f aca="false">In!G64</f>
        <v>Interested-party</v>
      </c>
      <c r="H64" s="12" t="s">
        <v>1350</v>
      </c>
    </row>
    <row r="65" customFormat="false" ht="17.15" hidden="false" customHeight="false" outlineLevel="0" collapsed="false">
      <c r="A65" s="0" t="s">
        <v>237</v>
      </c>
      <c r="B65" s="0" t="s">
        <v>236</v>
      </c>
      <c r="C65" s="0" t="s">
        <v>50</v>
      </c>
      <c r="E65" s="26" t="n">
        <f aca="false">In!E65</f>
        <v>-0.03</v>
      </c>
      <c r="G65" s="0" t="str">
        <f aca="false">In!G65</f>
        <v>Interested-party</v>
      </c>
      <c r="H65" s="12" t="s">
        <v>1351</v>
      </c>
    </row>
    <row r="66" customFormat="false" ht="17.15" hidden="false" customHeight="false" outlineLevel="0" collapsed="false">
      <c r="A66" s="0" t="s">
        <v>240</v>
      </c>
      <c r="B66" s="0" t="s">
        <v>239</v>
      </c>
      <c r="C66" s="0" t="s">
        <v>50</v>
      </c>
      <c r="E66" s="26" t="n">
        <f aca="false">In!E66</f>
        <v>-0.03</v>
      </c>
      <c r="G66" s="0" t="str">
        <f aca="false">In!G66</f>
        <v>Interested-party</v>
      </c>
      <c r="H66" s="12" t="s">
        <v>1352</v>
      </c>
    </row>
    <row r="67" customFormat="false" ht="17.15" hidden="false" customHeight="false" outlineLevel="0" collapsed="false">
      <c r="A67" s="0" t="s">
        <v>243</v>
      </c>
      <c r="B67" s="0" t="s">
        <v>242</v>
      </c>
      <c r="C67" s="0" t="s">
        <v>50</v>
      </c>
      <c r="E67" s="26" t="n">
        <f aca="false">In!E67</f>
        <v>-0.03</v>
      </c>
      <c r="G67" s="0" t="str">
        <f aca="false">In!G67</f>
        <v>Interested-party</v>
      </c>
      <c r="H67" s="12" t="s">
        <v>1353</v>
      </c>
    </row>
    <row r="68" customFormat="false" ht="17.15" hidden="false" customHeight="false" outlineLevel="0" collapsed="false">
      <c r="A68" s="0" t="s">
        <v>247</v>
      </c>
      <c r="B68" s="0" t="s">
        <v>245</v>
      </c>
      <c r="C68" s="0" t="s">
        <v>50</v>
      </c>
      <c r="E68" s="26" t="n">
        <f aca="false">In!E68</f>
        <v>0.05</v>
      </c>
      <c r="G68" s="0" t="str">
        <f aca="false">In!G68</f>
        <v>Interested-party</v>
      </c>
      <c r="H68" s="12" t="s">
        <v>1354</v>
      </c>
    </row>
    <row r="69" customFormat="false" ht="17.15" hidden="false" customHeight="false" outlineLevel="0" collapsed="false">
      <c r="A69" s="0" t="s">
        <v>250</v>
      </c>
      <c r="B69" s="0" t="s">
        <v>249</v>
      </c>
      <c r="C69" s="0" t="s">
        <v>50</v>
      </c>
      <c r="E69" s="26" t="n">
        <f aca="false">In!E69</f>
        <v>0.02</v>
      </c>
      <c r="G69" s="0" t="str">
        <f aca="false">In!G69</f>
        <v>Interested-party</v>
      </c>
      <c r="H69" s="12" t="s">
        <v>1355</v>
      </c>
    </row>
    <row r="70" customFormat="false" ht="17.15" hidden="false" customHeight="false" outlineLevel="0" collapsed="false">
      <c r="A70" s="0" t="s">
        <v>253</v>
      </c>
      <c r="B70" s="0" t="s">
        <v>252</v>
      </c>
      <c r="C70" s="0" t="s">
        <v>50</v>
      </c>
      <c r="E70" s="26" t="n">
        <f aca="false">In!E70</f>
        <v>-0.1</v>
      </c>
      <c r="G70" s="0" t="str">
        <f aca="false">In!G70</f>
        <v>Interested-party</v>
      </c>
      <c r="H70" s="12" t="s">
        <v>1356</v>
      </c>
    </row>
    <row r="71" customFormat="false" ht="17.15" hidden="false" customHeight="false" outlineLevel="0" collapsed="false">
      <c r="A71" s="0" t="s">
        <v>256</v>
      </c>
      <c r="B71" s="0" t="s">
        <v>255</v>
      </c>
      <c r="C71" s="0" t="s">
        <v>50</v>
      </c>
      <c r="E71" s="26" t="n">
        <f aca="false">In!E71</f>
        <v>-0.2</v>
      </c>
      <c r="G71" s="0" t="str">
        <f aca="false">In!G71</f>
        <v>Interested-party</v>
      </c>
      <c r="H71" s="12" t="s">
        <v>1357</v>
      </c>
    </row>
    <row r="72" customFormat="false" ht="17.15" hidden="false" customHeight="false" outlineLevel="0" collapsed="false">
      <c r="A72" s="0" t="s">
        <v>259</v>
      </c>
      <c r="B72" s="0" t="s">
        <v>258</v>
      </c>
      <c r="C72" s="0" t="s">
        <v>50</v>
      </c>
      <c r="E72" s="26" t="n">
        <f aca="false">In!E72</f>
        <v>-0.3</v>
      </c>
      <c r="G72" s="0" t="str">
        <f aca="false">In!G72</f>
        <v>Interested-party</v>
      </c>
      <c r="H72" s="12" t="s">
        <v>1358</v>
      </c>
    </row>
    <row r="73" customFormat="false" ht="17.15" hidden="false" customHeight="false" outlineLevel="0" collapsed="false">
      <c r="A73" s="0" t="s">
        <v>262</v>
      </c>
      <c r="B73" s="0" t="s">
        <v>261</v>
      </c>
      <c r="C73" s="0" t="s">
        <v>50</v>
      </c>
      <c r="E73" s="26" t="n">
        <f aca="false">In!E73</f>
        <v>-0.25</v>
      </c>
      <c r="G73" s="0" t="str">
        <f aca="false">In!G73</f>
        <v>Interested-party</v>
      </c>
      <c r="H73" s="12" t="s">
        <v>1359</v>
      </c>
    </row>
    <row r="74" customFormat="false" ht="17.15" hidden="false" customHeight="false" outlineLevel="0" collapsed="false">
      <c r="A74" s="0" t="s">
        <v>265</v>
      </c>
      <c r="B74" s="0" t="s">
        <v>264</v>
      </c>
      <c r="C74" s="0" t="s">
        <v>50</v>
      </c>
      <c r="E74" s="26" t="n">
        <f aca="false">In!E74</f>
        <v>-0.2</v>
      </c>
      <c r="G74" s="0" t="str">
        <f aca="false">In!G74</f>
        <v>Interested-party</v>
      </c>
      <c r="H74" s="12" t="s">
        <v>1360</v>
      </c>
    </row>
    <row r="75" customFormat="false" ht="17.15" hidden="false" customHeight="false" outlineLevel="0" collapsed="false">
      <c r="A75" s="0" t="s">
        <v>268</v>
      </c>
      <c r="B75" s="0" t="s">
        <v>267</v>
      </c>
      <c r="C75" s="0" t="s">
        <v>50</v>
      </c>
      <c r="E75" s="26" t="n">
        <f aca="false">In!E75</f>
        <v>-0.1</v>
      </c>
      <c r="G75" s="0" t="str">
        <f aca="false">In!G75</f>
        <v>Interested-party</v>
      </c>
      <c r="H75" s="12" t="s">
        <v>1361</v>
      </c>
    </row>
    <row r="76" customFormat="false" ht="17.15" hidden="false" customHeight="false" outlineLevel="0" collapsed="false">
      <c r="A76" s="0" t="s">
        <v>271</v>
      </c>
      <c r="B76" s="0" t="s">
        <v>270</v>
      </c>
      <c r="C76" s="0" t="s">
        <v>50</v>
      </c>
      <c r="E76" s="26" t="n">
        <f aca="false">In!E76</f>
        <v>0.05</v>
      </c>
      <c r="G76" s="0" t="str">
        <f aca="false">In!G76</f>
        <v>Interested-party</v>
      </c>
      <c r="H76" s="12" t="s">
        <v>1362</v>
      </c>
    </row>
    <row r="77" customFormat="false" ht="17.15" hidden="false" customHeight="false" outlineLevel="0" collapsed="false">
      <c r="A77" s="0" t="s">
        <v>274</v>
      </c>
      <c r="B77" s="0" t="s">
        <v>273</v>
      </c>
      <c r="C77" s="0" t="s">
        <v>50</v>
      </c>
      <c r="E77" s="26" t="n">
        <f aca="false">In!E77</f>
        <v>0.05</v>
      </c>
      <c r="G77" s="0" t="str">
        <f aca="false">In!G77</f>
        <v>Interested-party</v>
      </c>
      <c r="H77" s="12" t="s">
        <v>1363</v>
      </c>
    </row>
    <row r="78" customFormat="false" ht="17.15" hidden="false" customHeight="false" outlineLevel="0" collapsed="false">
      <c r="A78" s="0" t="s">
        <v>277</v>
      </c>
      <c r="B78" s="0" t="s">
        <v>276</v>
      </c>
      <c r="C78" s="0" t="s">
        <v>50</v>
      </c>
      <c r="E78" s="26" t="n">
        <f aca="false">In!E78</f>
        <v>0.03</v>
      </c>
      <c r="G78" s="0" t="str">
        <f aca="false">In!G78</f>
        <v>Interested-party</v>
      </c>
      <c r="H78" s="12" t="s">
        <v>1364</v>
      </c>
    </row>
    <row r="79" customFormat="false" ht="17.15" hidden="false" customHeight="false" outlineLevel="0" collapsed="false">
      <c r="A79" s="0" t="s">
        <v>280</v>
      </c>
      <c r="B79" s="0" t="s">
        <v>279</v>
      </c>
      <c r="C79" s="0" t="s">
        <v>50</v>
      </c>
      <c r="E79" s="26" t="n">
        <f aca="false">In!E79</f>
        <v>0.03</v>
      </c>
      <c r="G79" s="0" t="str">
        <f aca="false">In!G79</f>
        <v>Interested-party</v>
      </c>
      <c r="H79" s="12" t="s">
        <v>1365</v>
      </c>
    </row>
    <row r="80" customFormat="false" ht="17.15" hidden="false" customHeight="false" outlineLevel="0" collapsed="false">
      <c r="A80" s="0" t="s">
        <v>284</v>
      </c>
      <c r="B80" s="0" t="s">
        <v>282</v>
      </c>
      <c r="C80" s="0" t="s">
        <v>50</v>
      </c>
      <c r="D80" s="26" t="n">
        <f aca="false">In!D80</f>
        <v>0</v>
      </c>
      <c r="E80" s="26" t="n">
        <f aca="false">In!E80</f>
        <v>0.05</v>
      </c>
      <c r="F80" s="26" t="n">
        <f aca="false">In!F80</f>
        <v>0.1</v>
      </c>
      <c r="G80" s="0" t="str">
        <f aca="false">In!G80</f>
        <v>Assumed</v>
      </c>
      <c r="H80" s="12" t="s">
        <v>1366</v>
      </c>
    </row>
    <row r="81" customFormat="false" ht="17.15" hidden="false" customHeight="false" outlineLevel="0" collapsed="false">
      <c r="A81" s="0" t="s">
        <v>287</v>
      </c>
      <c r="B81" s="0" t="s">
        <v>286</v>
      </c>
      <c r="C81" s="0" t="s">
        <v>50</v>
      </c>
      <c r="D81" s="26" t="n">
        <f aca="false">In!D81</f>
        <v>-0.03</v>
      </c>
      <c r="E81" s="26" t="n">
        <f aca="false">In!E81</f>
        <v>0.02</v>
      </c>
      <c r="F81" s="26" t="n">
        <f aca="false">In!F81</f>
        <v>0.07</v>
      </c>
      <c r="G81" s="0" t="str">
        <f aca="false">In!G81</f>
        <v>Assumed</v>
      </c>
      <c r="H81" s="12" t="s">
        <v>1367</v>
      </c>
    </row>
    <row r="82" customFormat="false" ht="17.15" hidden="false" customHeight="false" outlineLevel="0" collapsed="false">
      <c r="A82" s="0" t="s">
        <v>290</v>
      </c>
      <c r="B82" s="0" t="s">
        <v>289</v>
      </c>
      <c r="C82" s="0" t="s">
        <v>50</v>
      </c>
      <c r="D82" s="26" t="n">
        <f aca="false">In!D82</f>
        <v>-0.15</v>
      </c>
      <c r="E82" s="26" t="n">
        <f aca="false">In!E82</f>
        <v>-0.1</v>
      </c>
      <c r="F82" s="26" t="n">
        <f aca="false">In!F82</f>
        <v>-0.05</v>
      </c>
      <c r="G82" s="0" t="str">
        <f aca="false">In!G82</f>
        <v>Assumed</v>
      </c>
      <c r="H82" s="12" t="s">
        <v>1368</v>
      </c>
    </row>
    <row r="83" customFormat="false" ht="17.15" hidden="false" customHeight="false" outlineLevel="0" collapsed="false">
      <c r="A83" s="0" t="s">
        <v>293</v>
      </c>
      <c r="B83" s="0" t="s">
        <v>292</v>
      </c>
      <c r="C83" s="0" t="s">
        <v>50</v>
      </c>
      <c r="D83" s="26" t="n">
        <f aca="false">In!D83</f>
        <v>-0.25</v>
      </c>
      <c r="E83" s="26" t="n">
        <f aca="false">In!E83</f>
        <v>-0.2</v>
      </c>
      <c r="F83" s="26" t="n">
        <f aca="false">In!F83</f>
        <v>-0.15</v>
      </c>
      <c r="G83" s="0" t="str">
        <f aca="false">In!G83</f>
        <v>Assumed</v>
      </c>
      <c r="H83" s="12" t="s">
        <v>1369</v>
      </c>
    </row>
    <row r="84" customFormat="false" ht="17.15" hidden="false" customHeight="false" outlineLevel="0" collapsed="false">
      <c r="A84" s="0" t="s">
        <v>296</v>
      </c>
      <c r="B84" s="0" t="s">
        <v>295</v>
      </c>
      <c r="C84" s="0" t="s">
        <v>50</v>
      </c>
      <c r="D84" s="26" t="n">
        <f aca="false">In!D84</f>
        <v>-0.45</v>
      </c>
      <c r="E84" s="26" t="n">
        <f aca="false">In!E84</f>
        <v>-0.35</v>
      </c>
      <c r="F84" s="26" t="n">
        <f aca="false">In!F84</f>
        <v>-0.25</v>
      </c>
      <c r="G84" s="0" t="str">
        <f aca="false">In!G84</f>
        <v>Assumed</v>
      </c>
      <c r="H84" s="12" t="s">
        <v>1370</v>
      </c>
    </row>
    <row r="85" customFormat="false" ht="17.15" hidden="false" customHeight="false" outlineLevel="0" collapsed="false">
      <c r="A85" s="0" t="s">
        <v>299</v>
      </c>
      <c r="B85" s="0" t="s">
        <v>298</v>
      </c>
      <c r="C85" s="0" t="s">
        <v>50</v>
      </c>
      <c r="D85" s="26" t="n">
        <f aca="false">In!D85</f>
        <v>-0.45</v>
      </c>
      <c r="E85" s="26" t="n">
        <f aca="false">In!E85</f>
        <v>-0.35</v>
      </c>
      <c r="F85" s="26" t="n">
        <f aca="false">In!F85</f>
        <v>-0.25</v>
      </c>
      <c r="G85" s="0" t="str">
        <f aca="false">In!G85</f>
        <v>Assumed</v>
      </c>
      <c r="H85" s="12" t="s">
        <v>1371</v>
      </c>
    </row>
    <row r="86" customFormat="false" ht="17.15" hidden="false" customHeight="false" outlineLevel="0" collapsed="false">
      <c r="A86" s="0" t="s">
        <v>302</v>
      </c>
      <c r="B86" s="0" t="s">
        <v>301</v>
      </c>
      <c r="C86" s="0" t="s">
        <v>50</v>
      </c>
      <c r="D86" s="26" t="n">
        <f aca="false">In!D86</f>
        <v>-0.35</v>
      </c>
      <c r="E86" s="26" t="n">
        <f aca="false">In!E86</f>
        <v>-0.25</v>
      </c>
      <c r="F86" s="26" t="n">
        <f aca="false">In!F86</f>
        <v>-0.15</v>
      </c>
      <c r="G86" s="0" t="str">
        <f aca="false">In!G86</f>
        <v>Assumed</v>
      </c>
      <c r="H86" s="12" t="s">
        <v>1372</v>
      </c>
    </row>
    <row r="87" customFormat="false" ht="17.15" hidden="false" customHeight="false" outlineLevel="0" collapsed="false">
      <c r="A87" s="0" t="s">
        <v>305</v>
      </c>
      <c r="B87" s="0" t="s">
        <v>304</v>
      </c>
      <c r="C87" s="0" t="s">
        <v>50</v>
      </c>
      <c r="D87" s="26" t="n">
        <f aca="false">In!D87</f>
        <v>-0.3</v>
      </c>
      <c r="E87" s="26" t="n">
        <f aca="false">In!E87</f>
        <v>-0.2</v>
      </c>
      <c r="F87" s="26" t="n">
        <f aca="false">In!F87</f>
        <v>-0.1</v>
      </c>
      <c r="G87" s="0" t="str">
        <f aca="false">In!G87</f>
        <v>Assumed</v>
      </c>
      <c r="H87" s="12" t="s">
        <v>1373</v>
      </c>
    </row>
    <row r="88" customFormat="false" ht="17.15" hidden="false" customHeight="false" outlineLevel="0" collapsed="false">
      <c r="A88" s="0" t="s">
        <v>308</v>
      </c>
      <c r="B88" s="0" t="s">
        <v>307</v>
      </c>
      <c r="C88" s="0" t="s">
        <v>50</v>
      </c>
      <c r="D88" s="26" t="n">
        <f aca="false">In!D88</f>
        <v>-0.1</v>
      </c>
      <c r="E88" s="26" t="n">
        <f aca="false">In!E88</f>
        <v>0</v>
      </c>
      <c r="F88" s="26" t="n">
        <f aca="false">In!F88</f>
        <v>0.1</v>
      </c>
      <c r="G88" s="0" t="str">
        <f aca="false">In!G88</f>
        <v>Assumed</v>
      </c>
      <c r="H88" s="12" t="s">
        <v>1374</v>
      </c>
    </row>
    <row r="89" customFormat="false" ht="17.15" hidden="false" customHeight="false" outlineLevel="0" collapsed="false">
      <c r="A89" s="0" t="s">
        <v>311</v>
      </c>
      <c r="B89" s="0" t="s">
        <v>310</v>
      </c>
      <c r="C89" s="0" t="s">
        <v>50</v>
      </c>
      <c r="D89" s="26" t="n">
        <f aca="false">In!D89</f>
        <v>-0.05</v>
      </c>
      <c r="E89" s="26" t="n">
        <f aca="false">In!E89</f>
        <v>0.05</v>
      </c>
      <c r="F89" s="26" t="n">
        <f aca="false">In!F89</f>
        <v>0.15</v>
      </c>
      <c r="G89" s="0" t="str">
        <f aca="false">In!G89</f>
        <v>Assumed</v>
      </c>
      <c r="H89" s="12" t="s">
        <v>1375</v>
      </c>
    </row>
    <row r="90" customFormat="false" ht="17.15" hidden="false" customHeight="false" outlineLevel="0" collapsed="false">
      <c r="A90" s="0" t="s">
        <v>314</v>
      </c>
      <c r="B90" s="0" t="s">
        <v>313</v>
      </c>
      <c r="C90" s="0" t="s">
        <v>50</v>
      </c>
      <c r="D90" s="26" t="n">
        <f aca="false">In!D90</f>
        <v>-0.02</v>
      </c>
      <c r="E90" s="26" t="n">
        <f aca="false">In!E90</f>
        <v>0.08</v>
      </c>
      <c r="F90" s="26" t="n">
        <f aca="false">In!F90</f>
        <v>0.18</v>
      </c>
      <c r="G90" s="0" t="str">
        <f aca="false">In!G90</f>
        <v>Assumed</v>
      </c>
      <c r="H90" s="12" t="s">
        <v>1376</v>
      </c>
    </row>
    <row r="91" customFormat="false" ht="17.15" hidden="false" customHeight="false" outlineLevel="0" collapsed="false">
      <c r="A91" s="0" t="s">
        <v>317</v>
      </c>
      <c r="B91" s="0" t="s">
        <v>316</v>
      </c>
      <c r="C91" s="0" t="s">
        <v>50</v>
      </c>
      <c r="D91" s="26" t="n">
        <f aca="false">In!D91</f>
        <v>0</v>
      </c>
      <c r="E91" s="26" t="n">
        <f aca="false">In!E91</f>
        <v>0.1</v>
      </c>
      <c r="F91" s="26" t="n">
        <f aca="false">In!F91</f>
        <v>0.2</v>
      </c>
      <c r="G91" s="0" t="str">
        <f aca="false">In!G91</f>
        <v>Assumed</v>
      </c>
      <c r="H91" s="12" t="s">
        <v>1377</v>
      </c>
    </row>
    <row r="92" customFormat="false" ht="17.15" hidden="false" customHeight="false" outlineLevel="0" collapsed="false">
      <c r="A92" s="0" t="s">
        <v>323</v>
      </c>
      <c r="B92" s="0" t="s">
        <v>320</v>
      </c>
      <c r="C92" s="6" t="s">
        <v>321</v>
      </c>
      <c r="E92" s="22" t="n">
        <f aca="false">In!E93</f>
        <v>5.4</v>
      </c>
      <c r="G92" s="0" t="str">
        <f aca="false">In!G93</f>
        <v>Interested-party</v>
      </c>
      <c r="H92" s="12" t="s">
        <v>1378</v>
      </c>
    </row>
    <row r="93" customFormat="false" ht="17.15" hidden="false" customHeight="false" outlineLevel="0" collapsed="false">
      <c r="A93" s="0" t="s">
        <v>326</v>
      </c>
      <c r="B93" s="0" t="s">
        <v>325</v>
      </c>
      <c r="C93" s="6" t="s">
        <v>321</v>
      </c>
      <c r="E93" s="22" t="n">
        <f aca="false">In!E94</f>
        <v>2.4</v>
      </c>
      <c r="G93" s="0" t="str">
        <f aca="false">In!G94</f>
        <v>Interested-party</v>
      </c>
      <c r="H93" s="12" t="s">
        <v>1379</v>
      </c>
    </row>
    <row r="94" customFormat="false" ht="17.15" hidden="false" customHeight="false" outlineLevel="0" collapsed="false">
      <c r="A94" s="0" t="s">
        <v>329</v>
      </c>
      <c r="B94" s="0" t="s">
        <v>328</v>
      </c>
      <c r="C94" s="6" t="s">
        <v>321</v>
      </c>
      <c r="E94" s="22" t="n">
        <f aca="false">In!E95</f>
        <v>0.5</v>
      </c>
      <c r="G94" s="0" t="str">
        <f aca="false">In!G95</f>
        <v>Interested-party</v>
      </c>
      <c r="H94" s="12" t="s">
        <v>1380</v>
      </c>
    </row>
    <row r="95" customFormat="false" ht="17.15" hidden="false" customHeight="false" outlineLevel="0" collapsed="false">
      <c r="A95" s="0" t="s">
        <v>333</v>
      </c>
      <c r="B95" s="0" t="s">
        <v>331</v>
      </c>
      <c r="C95" s="0" t="s">
        <v>332</v>
      </c>
      <c r="E95" s="22" t="n">
        <f aca="false">In!E96</f>
        <v>260</v>
      </c>
      <c r="G95" s="0" t="str">
        <f aca="false">In!G96</f>
        <v>Interested-party</v>
      </c>
      <c r="H95" s="12" t="s">
        <v>1381</v>
      </c>
    </row>
    <row r="96" customFormat="false" ht="17.15" hidden="false" customHeight="false" outlineLevel="0" collapsed="false">
      <c r="A96" s="0" t="s">
        <v>336</v>
      </c>
      <c r="B96" s="0" t="s">
        <v>335</v>
      </c>
      <c r="C96" s="0" t="s">
        <v>332</v>
      </c>
      <c r="E96" s="22" t="n">
        <f aca="false">In!E97</f>
        <v>280</v>
      </c>
      <c r="G96" s="0" t="str">
        <f aca="false">In!G97</f>
        <v>Interested-party</v>
      </c>
      <c r="H96" s="12" t="s">
        <v>1382</v>
      </c>
    </row>
    <row r="97" customFormat="false" ht="17.15" hidden="false" customHeight="false" outlineLevel="0" collapsed="false">
      <c r="A97" s="0" t="s">
        <v>339</v>
      </c>
      <c r="B97" s="0" t="s">
        <v>338</v>
      </c>
      <c r="C97" s="0" t="s">
        <v>332</v>
      </c>
      <c r="E97" s="22" t="n">
        <f aca="false">In!E98</f>
        <v>288</v>
      </c>
      <c r="G97" s="0" t="str">
        <f aca="false">In!G98</f>
        <v>Interested-party</v>
      </c>
      <c r="H97" s="12" t="s">
        <v>1383</v>
      </c>
    </row>
    <row r="98" customFormat="false" ht="17.15" hidden="false" customHeight="false" outlineLevel="0" collapsed="false">
      <c r="A98" s="0" t="s">
        <v>343</v>
      </c>
      <c r="B98" s="0" t="s">
        <v>341</v>
      </c>
      <c r="C98" s="6" t="s">
        <v>321</v>
      </c>
      <c r="E98" s="22" t="n">
        <f aca="false">In!E99</f>
        <v>1.7</v>
      </c>
      <c r="G98" s="0" t="str">
        <f aca="false">In!G99</f>
        <v>Interested-party</v>
      </c>
      <c r="H98" s="12" t="s">
        <v>1384</v>
      </c>
    </row>
    <row r="99" customFormat="false" ht="17.15" hidden="false" customHeight="false" outlineLevel="0" collapsed="false">
      <c r="A99" s="0" t="s">
        <v>346</v>
      </c>
      <c r="B99" s="0" t="s">
        <v>345</v>
      </c>
      <c r="C99" s="6" t="s">
        <v>321</v>
      </c>
      <c r="E99" s="22" t="n">
        <f aca="false">In!E100</f>
        <v>7</v>
      </c>
      <c r="G99" s="0" t="str">
        <f aca="false">In!G100</f>
        <v>Interested-party</v>
      </c>
      <c r="H99" s="12" t="s">
        <v>1385</v>
      </c>
    </row>
    <row r="100" customFormat="false" ht="17.15" hidden="false" customHeight="false" outlineLevel="0" collapsed="false">
      <c r="A100" s="0" t="s">
        <v>349</v>
      </c>
      <c r="B100" s="0" t="s">
        <v>348</v>
      </c>
      <c r="C100" s="6" t="s">
        <v>321</v>
      </c>
      <c r="E100" s="22" t="n">
        <f aca="false">In!E101</f>
        <v>7</v>
      </c>
      <c r="G100" s="0" t="str">
        <f aca="false">In!G101</f>
        <v>Interested-party</v>
      </c>
      <c r="H100" s="12" t="s">
        <v>1386</v>
      </c>
    </row>
    <row r="101" customFormat="false" ht="17.15" hidden="false" customHeight="false" outlineLevel="0" collapsed="false">
      <c r="A101" s="0" t="s">
        <v>352</v>
      </c>
      <c r="B101" s="0" t="s">
        <v>351</v>
      </c>
      <c r="C101" s="0" t="s">
        <v>332</v>
      </c>
      <c r="E101" s="22" t="n">
        <f aca="false">In!E102</f>
        <v>288</v>
      </c>
      <c r="G101" s="0" t="str">
        <f aca="false">In!G102</f>
        <v>Interested-party</v>
      </c>
      <c r="H101" s="12" t="s">
        <v>1387</v>
      </c>
    </row>
    <row r="102" customFormat="false" ht="17.15" hidden="false" customHeight="false" outlineLevel="0" collapsed="false">
      <c r="A102" s="0" t="s">
        <v>355</v>
      </c>
      <c r="B102" s="0" t="s">
        <v>354</v>
      </c>
      <c r="C102" s="0" t="s">
        <v>332</v>
      </c>
      <c r="E102" s="22" t="n">
        <f aca="false">In!E103</f>
        <v>288</v>
      </c>
      <c r="G102" s="0" t="str">
        <f aca="false">In!G103</f>
        <v>Interested-party</v>
      </c>
      <c r="H102" s="12" t="s">
        <v>1388</v>
      </c>
    </row>
    <row r="103" customFormat="false" ht="17.15" hidden="false" customHeight="false" outlineLevel="0" collapsed="false">
      <c r="A103" s="0" t="s">
        <v>358</v>
      </c>
      <c r="B103" s="0" t="s">
        <v>357</v>
      </c>
      <c r="C103" s="0" t="s">
        <v>332</v>
      </c>
      <c r="E103" s="22" t="n">
        <f aca="false">In!E104</f>
        <v>288</v>
      </c>
      <c r="G103" s="0" t="str">
        <f aca="false">In!G104</f>
        <v>Interested-party</v>
      </c>
      <c r="H103" s="12" t="s">
        <v>1389</v>
      </c>
    </row>
    <row r="104" customFormat="false" ht="17.15" hidden="false" customHeight="false" outlineLevel="0" collapsed="false">
      <c r="A104" s="0" t="s">
        <v>362</v>
      </c>
      <c r="B104" s="0" t="s">
        <v>360</v>
      </c>
      <c r="C104" s="6" t="s">
        <v>321</v>
      </c>
      <c r="D104" s="22" t="n">
        <f aca="false">In!D105</f>
        <v>0</v>
      </c>
      <c r="E104" s="22" t="n">
        <f aca="false">In!E105</f>
        <v>0</v>
      </c>
      <c r="F104" s="22" t="n">
        <f aca="false">In!F105</f>
        <v>0</v>
      </c>
      <c r="G104" s="0" t="str">
        <f aca="false">In!G105</f>
        <v>Assumed</v>
      </c>
      <c r="H104" s="12" t="s">
        <v>1390</v>
      </c>
    </row>
    <row r="105" customFormat="false" ht="17.15" hidden="false" customHeight="false" outlineLevel="0" collapsed="false">
      <c r="A105" s="0" t="s">
        <v>365</v>
      </c>
      <c r="B105" s="0" t="s">
        <v>364</v>
      </c>
      <c r="C105" s="6" t="s">
        <v>321</v>
      </c>
      <c r="D105" s="22" t="n">
        <f aca="false">In!D106</f>
        <v>0</v>
      </c>
      <c r="E105" s="22" t="n">
        <f aca="false">In!E106</f>
        <v>0.3</v>
      </c>
      <c r="F105" s="22" t="n">
        <f aca="false">In!F106</f>
        <v>0.6</v>
      </c>
      <c r="G105" s="0" t="str">
        <f aca="false">In!G106</f>
        <v>Assumed</v>
      </c>
      <c r="H105" s="12" t="s">
        <v>1391</v>
      </c>
    </row>
    <row r="106" customFormat="false" ht="17.15" hidden="false" customHeight="false" outlineLevel="0" collapsed="false">
      <c r="A106" s="0" t="s">
        <v>368</v>
      </c>
      <c r="B106" s="0" t="s">
        <v>367</v>
      </c>
      <c r="C106" s="6" t="s">
        <v>321</v>
      </c>
      <c r="D106" s="22" t="n">
        <f aca="false">In!D107</f>
        <v>1</v>
      </c>
      <c r="E106" s="22" t="n">
        <f aca="false">In!E107</f>
        <v>2</v>
      </c>
      <c r="F106" s="22" t="n">
        <f aca="false">In!F107</f>
        <v>3</v>
      </c>
      <c r="G106" s="0" t="str">
        <f aca="false">In!G107</f>
        <v>Assumed</v>
      </c>
      <c r="H106" s="12" t="s">
        <v>1392</v>
      </c>
    </row>
    <row r="107" customFormat="false" ht="17.15" hidden="false" customHeight="false" outlineLevel="0" collapsed="false">
      <c r="A107" s="0" t="s">
        <v>372</v>
      </c>
      <c r="B107" s="0" t="s">
        <v>370</v>
      </c>
      <c r="C107" s="0" t="s">
        <v>332</v>
      </c>
      <c r="E107" s="22" t="n">
        <f aca="false">In!E108</f>
        <v>1024</v>
      </c>
      <c r="G107" s="0" t="str">
        <f aca="false">In!G108</f>
        <v>Interested-party</v>
      </c>
      <c r="H107" s="12" t="s">
        <v>1393</v>
      </c>
    </row>
    <row r="108" customFormat="false" ht="17.15" hidden="false" customHeight="false" outlineLevel="0" collapsed="false">
      <c r="A108" s="0" t="s">
        <v>375</v>
      </c>
      <c r="B108" s="0" t="s">
        <v>374</v>
      </c>
      <c r="C108" s="0" t="s">
        <v>332</v>
      </c>
      <c r="E108" s="22" t="n">
        <f aca="false">In!E109</f>
        <v>1024</v>
      </c>
      <c r="G108" s="0" t="str">
        <f aca="false">In!G109</f>
        <v>Interested-party</v>
      </c>
      <c r="H108" s="12" t="s">
        <v>1394</v>
      </c>
    </row>
    <row r="109" customFormat="false" ht="17.15" hidden="false" customHeight="false" outlineLevel="0" collapsed="false">
      <c r="A109" s="0" t="s">
        <v>378</v>
      </c>
      <c r="B109" s="0" t="s">
        <v>377</v>
      </c>
      <c r="C109" s="0" t="s">
        <v>332</v>
      </c>
      <c r="E109" s="22" t="n">
        <f aca="false">In!E110</f>
        <v>1024</v>
      </c>
      <c r="G109" s="0" t="str">
        <f aca="false">In!G110</f>
        <v>Interested-party</v>
      </c>
      <c r="H109" s="12" t="s">
        <v>1395</v>
      </c>
    </row>
    <row r="110" customFormat="false" ht="17.15" hidden="false" customHeight="false" outlineLevel="0" collapsed="false">
      <c r="A110" s="0" t="s">
        <v>382</v>
      </c>
      <c r="B110" s="0" t="s">
        <v>380</v>
      </c>
      <c r="C110" s="6" t="s">
        <v>321</v>
      </c>
      <c r="E110" s="22" t="n">
        <f aca="false">In!E111</f>
        <v>0.5</v>
      </c>
      <c r="G110" s="0" t="str">
        <f aca="false">In!G111</f>
        <v>Interested-party</v>
      </c>
      <c r="H110" s="12" t="s">
        <v>1396</v>
      </c>
    </row>
    <row r="111" customFormat="false" ht="17.15" hidden="false" customHeight="false" outlineLevel="0" collapsed="false">
      <c r="A111" s="0" t="s">
        <v>385</v>
      </c>
      <c r="B111" s="0" t="s">
        <v>384</v>
      </c>
      <c r="C111" s="6" t="s">
        <v>321</v>
      </c>
      <c r="E111" s="22" t="n">
        <f aca="false">In!E112</f>
        <v>0</v>
      </c>
      <c r="G111" s="0" t="str">
        <f aca="false">In!G112</f>
        <v>Interested-party</v>
      </c>
      <c r="H111" s="12" t="s">
        <v>1397</v>
      </c>
    </row>
    <row r="112" customFormat="false" ht="17.15" hidden="false" customHeight="false" outlineLevel="0" collapsed="false">
      <c r="A112" s="0" t="s">
        <v>388</v>
      </c>
      <c r="B112" s="0" t="s">
        <v>387</v>
      </c>
      <c r="C112" s="6" t="s">
        <v>321</v>
      </c>
      <c r="E112" s="22" t="n">
        <f aca="false">In!E113</f>
        <v>0</v>
      </c>
      <c r="G112" s="0" t="str">
        <f aca="false">In!G113</f>
        <v>Interested-party</v>
      </c>
      <c r="H112" s="12" t="s">
        <v>1398</v>
      </c>
    </row>
    <row r="113" customFormat="false" ht="17.15" hidden="false" customHeight="false" outlineLevel="0" collapsed="false">
      <c r="A113" s="0" t="s">
        <v>391</v>
      </c>
      <c r="B113" s="0" t="s">
        <v>390</v>
      </c>
      <c r="C113" s="0" t="s">
        <v>332</v>
      </c>
      <c r="E113" s="22" t="n">
        <f aca="false">In!E114</f>
        <v>141</v>
      </c>
      <c r="G113" s="0" t="str">
        <f aca="false">In!G114</f>
        <v>Interested-party</v>
      </c>
      <c r="H113" s="12" t="s">
        <v>1399</v>
      </c>
    </row>
    <row r="114" customFormat="false" ht="17.15" hidden="false" customHeight="false" outlineLevel="0" collapsed="false">
      <c r="A114" s="0" t="s">
        <v>394</v>
      </c>
      <c r="B114" s="0" t="s">
        <v>393</v>
      </c>
      <c r="C114" s="0" t="s">
        <v>332</v>
      </c>
      <c r="E114" s="22" t="n">
        <f aca="false">In!E115</f>
        <v>141</v>
      </c>
      <c r="G114" s="0" t="str">
        <f aca="false">In!G115</f>
        <v>Interested-party</v>
      </c>
      <c r="H114" s="12" t="s">
        <v>1400</v>
      </c>
    </row>
    <row r="115" customFormat="false" ht="17.15" hidden="false" customHeight="false" outlineLevel="0" collapsed="false">
      <c r="A115" s="0" t="s">
        <v>397</v>
      </c>
      <c r="B115" s="0" t="s">
        <v>396</v>
      </c>
      <c r="C115" s="0" t="s">
        <v>332</v>
      </c>
      <c r="E115" s="22" t="n">
        <f aca="false">In!E116</f>
        <v>141</v>
      </c>
      <c r="G115" s="0" t="str">
        <f aca="false">In!G116</f>
        <v>Interested-party</v>
      </c>
      <c r="H115" s="12" t="s">
        <v>1401</v>
      </c>
    </row>
    <row r="116" customFormat="false" ht="17.15" hidden="false" customHeight="false" outlineLevel="0" collapsed="false">
      <c r="A116" s="0" t="s">
        <v>402</v>
      </c>
      <c r="B116" s="0" t="s">
        <v>399</v>
      </c>
      <c r="C116" s="6" t="s">
        <v>321</v>
      </c>
      <c r="D116" s="22" t="n">
        <f aca="false">In!D117</f>
        <v>0.6</v>
      </c>
      <c r="E116" s="22" t="n">
        <f aca="false">In!E117</f>
        <v>0.75</v>
      </c>
      <c r="F116" s="22" t="n">
        <f aca="false">In!F117</f>
        <v>0.9</v>
      </c>
      <c r="G116" s="0" t="str">
        <f aca="false">In!G117</f>
        <v>Interested-party／Assumed</v>
      </c>
      <c r="H116" s="12" t="s">
        <v>1402</v>
      </c>
    </row>
    <row r="117" customFormat="false" ht="17.15" hidden="false" customHeight="false" outlineLevel="0" collapsed="false">
      <c r="A117" s="0" t="s">
        <v>405</v>
      </c>
      <c r="B117" s="0" t="s">
        <v>404</v>
      </c>
      <c r="C117" s="6" t="s">
        <v>321</v>
      </c>
      <c r="D117" s="22" t="n">
        <f aca="false">In!D118</f>
        <v>1.2</v>
      </c>
      <c r="E117" s="22" t="n">
        <f aca="false">In!E118</f>
        <v>1.5</v>
      </c>
      <c r="F117" s="22" t="n">
        <f aca="false">In!F118</f>
        <v>1.8</v>
      </c>
      <c r="G117" s="0" t="str">
        <f aca="false">In!G118</f>
        <v>Interested-party／Assumed</v>
      </c>
      <c r="H117" s="12" t="s">
        <v>1403</v>
      </c>
    </row>
    <row r="118" customFormat="false" ht="17.15" hidden="false" customHeight="false" outlineLevel="0" collapsed="false">
      <c r="A118" s="0" t="s">
        <v>408</v>
      </c>
      <c r="B118" s="0" t="s">
        <v>407</v>
      </c>
      <c r="C118" s="6" t="s">
        <v>321</v>
      </c>
      <c r="D118" s="22" t="n">
        <f aca="false">In!D119</f>
        <v>1.5</v>
      </c>
      <c r="E118" s="22" t="n">
        <f aca="false">In!E119</f>
        <v>2</v>
      </c>
      <c r="F118" s="22" t="n">
        <f aca="false">In!F119</f>
        <v>2.5</v>
      </c>
      <c r="G118" s="0" t="str">
        <f aca="false">In!G119</f>
        <v>Interested-party／Assumed</v>
      </c>
      <c r="H118" s="12" t="s">
        <v>1404</v>
      </c>
    </row>
    <row r="119" customFormat="false" ht="17.15" hidden="false" customHeight="false" outlineLevel="0" collapsed="false">
      <c r="A119" s="0" t="s">
        <v>411</v>
      </c>
      <c r="B119" s="0" t="s">
        <v>410</v>
      </c>
      <c r="C119" s="0" t="s">
        <v>332</v>
      </c>
      <c r="D119" s="22" t="n">
        <f aca="false">In!D120</f>
        <v>288</v>
      </c>
      <c r="E119" s="22" t="n">
        <f aca="false">In!E120</f>
        <v>288</v>
      </c>
      <c r="F119" s="22" t="n">
        <f aca="false">In!F120</f>
        <v>288</v>
      </c>
      <c r="G119" s="0" t="str">
        <f aca="false">In!G120</f>
        <v>Interested-party／Assumed</v>
      </c>
      <c r="H119" s="12" t="s">
        <v>1405</v>
      </c>
    </row>
    <row r="120" customFormat="false" ht="17.15" hidden="false" customHeight="false" outlineLevel="0" collapsed="false">
      <c r="A120" s="0" t="s">
        <v>414</v>
      </c>
      <c r="B120" s="0" t="s">
        <v>413</v>
      </c>
      <c r="C120" s="0" t="s">
        <v>332</v>
      </c>
      <c r="D120" s="22" t="n">
        <f aca="false">In!D121</f>
        <v>288</v>
      </c>
      <c r="E120" s="22" t="n">
        <f aca="false">In!E121</f>
        <v>360</v>
      </c>
      <c r="F120" s="22" t="n">
        <f aca="false">In!F121</f>
        <v>432</v>
      </c>
      <c r="G120" s="0" t="str">
        <f aca="false">In!G121</f>
        <v>Interested-party／Assumed</v>
      </c>
      <c r="H120" s="12" t="s">
        <v>1406</v>
      </c>
    </row>
    <row r="121" customFormat="false" ht="17.15" hidden="false" customHeight="false" outlineLevel="0" collapsed="false">
      <c r="A121" s="0" t="s">
        <v>417</v>
      </c>
      <c r="B121" s="0" t="s">
        <v>416</v>
      </c>
      <c r="C121" s="0" t="s">
        <v>332</v>
      </c>
      <c r="D121" s="22" t="n">
        <f aca="false">In!D122</f>
        <v>432</v>
      </c>
      <c r="E121" s="22" t="n">
        <f aca="false">In!E122</f>
        <v>432</v>
      </c>
      <c r="F121" s="22" t="n">
        <f aca="false">In!F122</f>
        <v>432</v>
      </c>
      <c r="G121" s="0" t="str">
        <f aca="false">In!G122</f>
        <v>Interested-party／Assumed</v>
      </c>
      <c r="H121" s="12" t="s">
        <v>1407</v>
      </c>
    </row>
    <row r="122" customFormat="false" ht="17.15" hidden="false" customHeight="false" outlineLevel="0" collapsed="false">
      <c r="A122" s="0" t="s">
        <v>421</v>
      </c>
      <c r="B122" s="0" t="s">
        <v>419</v>
      </c>
      <c r="C122" s="6" t="s">
        <v>321</v>
      </c>
      <c r="E122" s="22" t="n">
        <f aca="false">In!E123</f>
        <v>3.85</v>
      </c>
      <c r="G122" s="0" t="str">
        <f aca="false">In!G123</f>
        <v>Interested-party</v>
      </c>
      <c r="H122" s="12" t="s">
        <v>1408</v>
      </c>
    </row>
    <row r="123" customFormat="false" ht="17.15" hidden="false" customHeight="false" outlineLevel="0" collapsed="false">
      <c r="A123" s="0" t="s">
        <v>424</v>
      </c>
      <c r="B123" s="0" t="s">
        <v>423</v>
      </c>
      <c r="C123" s="6" t="s">
        <v>321</v>
      </c>
      <c r="E123" s="22" t="n">
        <f aca="false">In!E124</f>
        <v>5.5</v>
      </c>
      <c r="G123" s="0" t="str">
        <f aca="false">In!G124</f>
        <v>Interested-party</v>
      </c>
      <c r="H123" s="12" t="s">
        <v>1409</v>
      </c>
    </row>
    <row r="124" customFormat="false" ht="17.15" hidden="false" customHeight="false" outlineLevel="0" collapsed="false">
      <c r="A124" s="0" t="s">
        <v>427</v>
      </c>
      <c r="B124" s="0" t="s">
        <v>426</v>
      </c>
      <c r="C124" s="6" t="s">
        <v>321</v>
      </c>
      <c r="E124" s="22" t="n">
        <f aca="false">In!E125</f>
        <v>7</v>
      </c>
      <c r="G124" s="0" t="str">
        <f aca="false">In!G125</f>
        <v>Interested-party</v>
      </c>
      <c r="H124" s="12" t="s">
        <v>1410</v>
      </c>
    </row>
    <row r="125" customFormat="false" ht="17.15" hidden="false" customHeight="false" outlineLevel="0" collapsed="false">
      <c r="A125" s="0" t="s">
        <v>430</v>
      </c>
      <c r="B125" s="0" t="s">
        <v>429</v>
      </c>
      <c r="C125" s="0" t="s">
        <v>332</v>
      </c>
      <c r="E125" s="22" t="n">
        <f aca="false">In!E126</f>
        <v>192</v>
      </c>
      <c r="G125" s="0" t="str">
        <f aca="false">In!G126</f>
        <v>Interested-party</v>
      </c>
      <c r="H125" s="12" t="s">
        <v>1411</v>
      </c>
    </row>
    <row r="126" customFormat="false" ht="17.15" hidden="false" customHeight="false" outlineLevel="0" collapsed="false">
      <c r="A126" s="0" t="s">
        <v>433</v>
      </c>
      <c r="B126" s="0" t="s">
        <v>432</v>
      </c>
      <c r="C126" s="0" t="s">
        <v>332</v>
      </c>
      <c r="E126" s="22" t="n">
        <f aca="false">In!E127</f>
        <v>250</v>
      </c>
      <c r="G126" s="0" t="str">
        <f aca="false">In!G127</f>
        <v>Interested-party</v>
      </c>
      <c r="H126" s="12" t="s">
        <v>1412</v>
      </c>
    </row>
    <row r="127" customFormat="false" ht="17.15" hidden="false" customHeight="false" outlineLevel="0" collapsed="false">
      <c r="A127" s="0" t="s">
        <v>436</v>
      </c>
      <c r="B127" s="0" t="s">
        <v>435</v>
      </c>
      <c r="C127" s="0" t="s">
        <v>332</v>
      </c>
      <c r="E127" s="22" t="n">
        <f aca="false">In!E128</f>
        <v>288</v>
      </c>
      <c r="G127" s="0" t="str">
        <f aca="false">In!G128</f>
        <v>Interested-party</v>
      </c>
      <c r="H127" s="12" t="s">
        <v>1413</v>
      </c>
    </row>
    <row r="128" customFormat="false" ht="17.15" hidden="false" customHeight="false" outlineLevel="0" collapsed="false">
      <c r="A128" s="0" t="s">
        <v>440</v>
      </c>
      <c r="B128" s="0" t="s">
        <v>438</v>
      </c>
      <c r="C128" s="6" t="s">
        <v>321</v>
      </c>
      <c r="D128" s="22" t="n">
        <f aca="false">In!D129</f>
        <v>1.5</v>
      </c>
      <c r="E128" s="22" t="n">
        <f aca="false">In!E129</f>
        <v>2</v>
      </c>
      <c r="F128" s="22" t="n">
        <f aca="false">In!F129</f>
        <v>2.5</v>
      </c>
      <c r="G128" s="0" t="str">
        <f aca="false">In!G129</f>
        <v>Assumed</v>
      </c>
      <c r="H128" s="12" t="s">
        <v>1414</v>
      </c>
    </row>
    <row r="129" customFormat="false" ht="17.15" hidden="false" customHeight="false" outlineLevel="0" collapsed="false">
      <c r="A129" s="0" t="s">
        <v>443</v>
      </c>
      <c r="B129" s="0" t="s">
        <v>442</v>
      </c>
      <c r="C129" s="6" t="s">
        <v>321</v>
      </c>
      <c r="D129" s="22" t="n">
        <f aca="false">In!D130</f>
        <v>2</v>
      </c>
      <c r="E129" s="22" t="n">
        <f aca="false">In!E130</f>
        <v>2.5</v>
      </c>
      <c r="F129" s="22" t="n">
        <f aca="false">In!F130</f>
        <v>3.5</v>
      </c>
      <c r="G129" s="0" t="str">
        <f aca="false">In!G130</f>
        <v>Assumed</v>
      </c>
      <c r="H129" s="12" t="s">
        <v>1415</v>
      </c>
    </row>
    <row r="130" customFormat="false" ht="17.15" hidden="false" customHeight="false" outlineLevel="0" collapsed="false">
      <c r="A130" s="0" t="s">
        <v>446</v>
      </c>
      <c r="B130" s="0" t="s">
        <v>445</v>
      </c>
      <c r="C130" s="6" t="s">
        <v>321</v>
      </c>
      <c r="D130" s="22" t="n">
        <f aca="false">In!D131</f>
        <v>2</v>
      </c>
      <c r="E130" s="22" t="n">
        <f aca="false">In!E131</f>
        <v>3</v>
      </c>
      <c r="F130" s="22" t="n">
        <f aca="false">In!F131</f>
        <v>4</v>
      </c>
      <c r="G130" s="0" t="str">
        <f aca="false">In!G131</f>
        <v>Assumed</v>
      </c>
      <c r="H130" s="12" t="s">
        <v>1416</v>
      </c>
    </row>
    <row r="131" customFormat="false" ht="17.15" hidden="false" customHeight="false" outlineLevel="0" collapsed="false">
      <c r="A131" s="0" t="s">
        <v>449</v>
      </c>
      <c r="B131" s="0" t="s">
        <v>448</v>
      </c>
      <c r="C131" s="0" t="s">
        <v>332</v>
      </c>
      <c r="D131" s="22" t="n">
        <f aca="false">In!D132</f>
        <v>96</v>
      </c>
      <c r="E131" s="22" t="n">
        <f aca="false">In!E132</f>
        <v>110</v>
      </c>
      <c r="F131" s="22" t="n">
        <f aca="false">In!F132</f>
        <v>144</v>
      </c>
      <c r="G131" s="0" t="str">
        <f aca="false">In!G132</f>
        <v>Assumed</v>
      </c>
      <c r="H131" s="12" t="s">
        <v>1417</v>
      </c>
    </row>
    <row r="132" customFormat="false" ht="17.15" hidden="false" customHeight="false" outlineLevel="0" collapsed="false">
      <c r="A132" s="0" t="s">
        <v>452</v>
      </c>
      <c r="B132" s="0" t="s">
        <v>451</v>
      </c>
      <c r="C132" s="0" t="s">
        <v>332</v>
      </c>
      <c r="D132" s="22" t="n">
        <f aca="false">In!D133</f>
        <v>120</v>
      </c>
      <c r="E132" s="22" t="n">
        <f aca="false">In!E133</f>
        <v>144</v>
      </c>
      <c r="F132" s="22" t="n">
        <f aca="false">In!F133</f>
        <v>144</v>
      </c>
      <c r="G132" s="0" t="str">
        <f aca="false">In!G133</f>
        <v>Assumed</v>
      </c>
      <c r="H132" s="12" t="s">
        <v>1418</v>
      </c>
    </row>
    <row r="133" customFormat="false" ht="17.15" hidden="false" customHeight="false" outlineLevel="0" collapsed="false">
      <c r="A133" s="0" t="s">
        <v>455</v>
      </c>
      <c r="B133" s="0" t="s">
        <v>454</v>
      </c>
      <c r="C133" s="0" t="s">
        <v>332</v>
      </c>
      <c r="D133" s="22" t="n">
        <f aca="false">In!D134</f>
        <v>144</v>
      </c>
      <c r="E133" s="22" t="n">
        <f aca="false">In!E134</f>
        <v>200</v>
      </c>
      <c r="F133" s="22" t="n">
        <f aca="false">In!F134</f>
        <v>256</v>
      </c>
      <c r="G133" s="0" t="str">
        <f aca="false">In!G134</f>
        <v>Assumed</v>
      </c>
      <c r="H133" s="12" t="s">
        <v>1419</v>
      </c>
    </row>
    <row r="134" customFormat="false" ht="17.15" hidden="false" customHeight="false" outlineLevel="0" collapsed="false">
      <c r="A134" s="0" t="s">
        <v>460</v>
      </c>
      <c r="B134" s="6" t="s">
        <v>457</v>
      </c>
      <c r="C134" s="6" t="s">
        <v>321</v>
      </c>
      <c r="D134" s="22" t="n">
        <f aca="false">In!D135</f>
        <v>0.5</v>
      </c>
      <c r="E134" s="22" t="n">
        <f aca="false">In!E135</f>
        <v>1</v>
      </c>
      <c r="F134" s="22" t="n">
        <f aca="false">In!F135</f>
        <v>1.5</v>
      </c>
      <c r="G134" s="0" t="str">
        <f aca="false">In!G135</f>
        <v>Derived／Assumed</v>
      </c>
      <c r="H134" s="12" t="s">
        <v>1420</v>
      </c>
    </row>
    <row r="135" customFormat="false" ht="17.15" hidden="false" customHeight="false" outlineLevel="0" collapsed="false">
      <c r="A135" s="0" t="s">
        <v>463</v>
      </c>
      <c r="B135" s="6" t="s">
        <v>462</v>
      </c>
      <c r="C135" s="6" t="s">
        <v>321</v>
      </c>
      <c r="D135" s="22" t="n">
        <f aca="false">In!D136</f>
        <v>3</v>
      </c>
      <c r="E135" s="22" t="n">
        <f aca="false">In!E136</f>
        <v>4.5</v>
      </c>
      <c r="F135" s="22" t="n">
        <f aca="false">In!F136</f>
        <v>6</v>
      </c>
      <c r="G135" s="0" t="str">
        <f aca="false">In!G136</f>
        <v>Derived／Assumed</v>
      </c>
      <c r="H135" s="12" t="s">
        <v>1421</v>
      </c>
    </row>
    <row r="136" customFormat="false" ht="17.15" hidden="false" customHeight="false" outlineLevel="0" collapsed="false">
      <c r="A136" s="0" t="s">
        <v>466</v>
      </c>
      <c r="B136" s="6" t="s">
        <v>465</v>
      </c>
      <c r="C136" s="6" t="s">
        <v>321</v>
      </c>
      <c r="D136" s="22" t="n">
        <f aca="false">In!D137</f>
        <v>3.5</v>
      </c>
      <c r="E136" s="22" t="n">
        <f aca="false">In!E137</f>
        <v>5</v>
      </c>
      <c r="F136" s="22" t="n">
        <f aca="false">In!F137</f>
        <v>7</v>
      </c>
      <c r="G136" s="0" t="str">
        <f aca="false">In!G137</f>
        <v>Derived／Assumed</v>
      </c>
      <c r="H136" s="12" t="s">
        <v>1422</v>
      </c>
    </row>
    <row r="137" customFormat="false" ht="17.15" hidden="false" customHeight="false" outlineLevel="0" collapsed="false">
      <c r="A137" s="0" t="s">
        <v>469</v>
      </c>
      <c r="B137" s="6" t="s">
        <v>468</v>
      </c>
      <c r="C137" s="0" t="s">
        <v>332</v>
      </c>
      <c r="D137" s="22" t="n">
        <f aca="false">In!D138</f>
        <v>100</v>
      </c>
      <c r="E137" s="22" t="n">
        <f aca="false">In!E138</f>
        <v>150</v>
      </c>
      <c r="F137" s="22" t="n">
        <f aca="false">In!F138</f>
        <v>200</v>
      </c>
      <c r="G137" s="0" t="str">
        <f aca="false">In!G138</f>
        <v>Derived／Assumed</v>
      </c>
      <c r="H137" s="12" t="s">
        <v>1423</v>
      </c>
    </row>
    <row r="138" customFormat="false" ht="17.15" hidden="false" customHeight="false" outlineLevel="0" collapsed="false">
      <c r="A138" s="0" t="s">
        <v>472</v>
      </c>
      <c r="B138" s="6" t="s">
        <v>471</v>
      </c>
      <c r="C138" s="0" t="s">
        <v>332</v>
      </c>
      <c r="D138" s="22" t="n">
        <f aca="false">In!D139</f>
        <v>150</v>
      </c>
      <c r="E138" s="22" t="n">
        <f aca="false">In!E139</f>
        <v>200</v>
      </c>
      <c r="F138" s="22" t="n">
        <f aca="false">In!F139</f>
        <v>250</v>
      </c>
      <c r="G138" s="0" t="str">
        <f aca="false">In!G139</f>
        <v>Derived／Assumed</v>
      </c>
      <c r="H138" s="12" t="s">
        <v>1424</v>
      </c>
    </row>
    <row r="139" customFormat="false" ht="17.15" hidden="false" customHeight="false" outlineLevel="0" collapsed="false">
      <c r="A139" s="0" t="s">
        <v>475</v>
      </c>
      <c r="B139" s="6" t="s">
        <v>474</v>
      </c>
      <c r="C139" s="0" t="s">
        <v>332</v>
      </c>
      <c r="D139" s="22" t="n">
        <f aca="false">In!D140</f>
        <v>200</v>
      </c>
      <c r="E139" s="22" t="n">
        <f aca="false">In!E140</f>
        <v>250</v>
      </c>
      <c r="F139" s="22" t="n">
        <f aca="false">In!F140</f>
        <v>300</v>
      </c>
      <c r="G139" s="0" t="str">
        <f aca="false">In!G140</f>
        <v>Derived／Assumed</v>
      </c>
      <c r="H139" s="12" t="s">
        <v>1425</v>
      </c>
    </row>
    <row r="140" customFormat="false" ht="17.15" hidden="false" customHeight="false" outlineLevel="0" collapsed="false">
      <c r="A140" s="0" t="s">
        <v>482</v>
      </c>
      <c r="B140" s="6" t="s">
        <v>478</v>
      </c>
      <c r="C140" s="0" t="s">
        <v>479</v>
      </c>
      <c r="E140" s="22" t="n">
        <f aca="false">In!E142</f>
        <v>1</v>
      </c>
      <c r="G140" s="0" t="str">
        <f aca="false">In!G142</f>
        <v>Derived</v>
      </c>
      <c r="H140" s="12" t="s">
        <v>1426</v>
      </c>
    </row>
    <row r="141" customFormat="false" ht="17.15" hidden="false" customHeight="false" outlineLevel="0" collapsed="false">
      <c r="A141" s="0" t="s">
        <v>485</v>
      </c>
      <c r="B141" s="6" t="s">
        <v>484</v>
      </c>
      <c r="C141" s="0" t="s">
        <v>479</v>
      </c>
      <c r="E141" s="22" t="n">
        <f aca="false">In!E143</f>
        <v>1</v>
      </c>
      <c r="G141" s="0" t="str">
        <f aca="false">In!G143</f>
        <v>Derived</v>
      </c>
      <c r="H141" s="12" t="s">
        <v>1427</v>
      </c>
    </row>
    <row r="142" customFormat="false" ht="17.15" hidden="false" customHeight="false" outlineLevel="0" collapsed="false">
      <c r="A142" s="0" t="s">
        <v>488</v>
      </c>
      <c r="B142" s="6" t="s">
        <v>487</v>
      </c>
      <c r="C142" s="0" t="s">
        <v>479</v>
      </c>
      <c r="D142" s="22" t="n">
        <f aca="false">In!D144</f>
        <v>0.7</v>
      </c>
      <c r="E142" s="22" t="n">
        <f aca="false">In!E144</f>
        <v>0.8</v>
      </c>
      <c r="F142" s="22" t="n">
        <f aca="false">In!F144</f>
        <v>0.9</v>
      </c>
      <c r="G142" s="0" t="str">
        <f aca="false">In!G144</f>
        <v>Assumed</v>
      </c>
      <c r="H142" s="12" t="s">
        <v>1428</v>
      </c>
    </row>
    <row r="143" customFormat="false" ht="17.15" hidden="false" customHeight="false" outlineLevel="0" collapsed="false">
      <c r="A143" s="0" t="s">
        <v>491</v>
      </c>
      <c r="B143" s="6" t="s">
        <v>490</v>
      </c>
      <c r="C143" s="0" t="s">
        <v>479</v>
      </c>
      <c r="D143" s="22" t="n">
        <f aca="false">In!D145</f>
        <v>0.75</v>
      </c>
      <c r="E143" s="22" t="n">
        <f aca="false">In!E145</f>
        <v>0.85</v>
      </c>
      <c r="F143" s="22" t="n">
        <f aca="false">In!F145</f>
        <v>0.95</v>
      </c>
      <c r="G143" s="0" t="str">
        <f aca="false">In!G145</f>
        <v>Assumed</v>
      </c>
      <c r="H143" s="12" t="s">
        <v>1429</v>
      </c>
    </row>
    <row r="144" customFormat="false" ht="17.15" hidden="false" customHeight="false" outlineLevel="0" collapsed="false">
      <c r="A144" s="0" t="s">
        <v>494</v>
      </c>
      <c r="B144" s="6" t="s">
        <v>493</v>
      </c>
      <c r="C144" s="0" t="s">
        <v>479</v>
      </c>
      <c r="D144" s="22" t="n">
        <f aca="false">In!D146</f>
        <v>0.5</v>
      </c>
      <c r="E144" s="22" t="n">
        <f aca="false">In!E146</f>
        <v>0.6</v>
      </c>
      <c r="F144" s="22" t="n">
        <f aca="false">In!F146</f>
        <v>0.7</v>
      </c>
      <c r="G144" s="0" t="str">
        <f aca="false">In!G146</f>
        <v>Assumed</v>
      </c>
      <c r="H144" s="12" t="s">
        <v>1430</v>
      </c>
    </row>
    <row r="145" customFormat="false" ht="17.15" hidden="false" customHeight="false" outlineLevel="0" collapsed="false">
      <c r="A145" s="0" t="s">
        <v>497</v>
      </c>
      <c r="B145" s="6" t="s">
        <v>496</v>
      </c>
      <c r="C145" s="0" t="s">
        <v>479</v>
      </c>
      <c r="D145" s="22" t="n">
        <f aca="false">In!D147</f>
        <v>0.5</v>
      </c>
      <c r="E145" s="22" t="n">
        <f aca="false">In!E147</f>
        <v>0.6</v>
      </c>
      <c r="F145" s="22" t="n">
        <f aca="false">In!F147</f>
        <v>0.7</v>
      </c>
      <c r="G145" s="0" t="str">
        <f aca="false">In!G147</f>
        <v>Assumed</v>
      </c>
      <c r="H145" s="12" t="s">
        <v>1431</v>
      </c>
    </row>
    <row r="146" customFormat="false" ht="17.15" hidden="false" customHeight="false" outlineLevel="0" collapsed="false">
      <c r="A146" s="0" t="s">
        <v>504</v>
      </c>
      <c r="B146" s="0" t="s">
        <v>500</v>
      </c>
      <c r="C146" s="0" t="s">
        <v>501</v>
      </c>
      <c r="D146" s="22" t="n">
        <f aca="false">In!D149</f>
        <v>34</v>
      </c>
      <c r="E146" s="22" t="n">
        <f aca="false">In!E149</f>
        <v>35</v>
      </c>
      <c r="F146" s="22" t="n">
        <f aca="false">In!F149</f>
        <v>35</v>
      </c>
      <c r="G146" s="0" t="str">
        <f aca="false">In!G149</f>
        <v>Verified</v>
      </c>
      <c r="H146" s="12" t="s">
        <v>1432</v>
      </c>
    </row>
    <row r="147" customFormat="false" ht="17.15" hidden="false" customHeight="false" outlineLevel="0" collapsed="false">
      <c r="A147" s="0" t="s">
        <v>508</v>
      </c>
      <c r="B147" s="0" t="s">
        <v>506</v>
      </c>
      <c r="C147" s="0" t="s">
        <v>50</v>
      </c>
      <c r="D147" s="26" t="n">
        <f aca="false">In!D150</f>
        <v>0.6</v>
      </c>
      <c r="E147" s="26" t="n">
        <f aca="false">In!E150</f>
        <v>0.7</v>
      </c>
      <c r="F147" s="26" t="n">
        <f aca="false">In!F150</f>
        <v>0.8</v>
      </c>
      <c r="G147" s="0" t="str">
        <f aca="false">In!G150</f>
        <v>Interested-party</v>
      </c>
      <c r="H147" s="12" t="s">
        <v>1433</v>
      </c>
    </row>
    <row r="148" customFormat="false" ht="17.15" hidden="false" customHeight="false" outlineLevel="0" collapsed="false">
      <c r="A148" s="0" t="s">
        <v>512</v>
      </c>
      <c r="B148" s="6" t="s">
        <v>510</v>
      </c>
      <c r="C148" s="0" t="s">
        <v>479</v>
      </c>
      <c r="D148" s="22" t="n">
        <f aca="false">In!D151</f>
        <v>1</v>
      </c>
      <c r="E148" s="22" t="n">
        <f aca="false">In!E151</f>
        <v>1.15</v>
      </c>
      <c r="F148" s="22" t="n">
        <f aca="false">In!F151</f>
        <v>1.3</v>
      </c>
      <c r="G148" s="0" t="str">
        <f aca="false">In!G151</f>
        <v>Assumed</v>
      </c>
      <c r="H148" s="12" t="s">
        <v>1434</v>
      </c>
    </row>
    <row r="149" customFormat="false" ht="17.15" hidden="false" customHeight="false" outlineLevel="0" collapsed="false">
      <c r="A149" s="0" t="s">
        <v>516</v>
      </c>
      <c r="B149" s="0" t="s">
        <v>514</v>
      </c>
      <c r="C149" s="0" t="s">
        <v>50</v>
      </c>
      <c r="D149" s="26" t="n">
        <f aca="false">In!D152</f>
        <v>0.5</v>
      </c>
      <c r="E149" s="26" t="n">
        <f aca="false">In!E152</f>
        <v>0.55</v>
      </c>
      <c r="F149" s="26" t="n">
        <f aca="false">In!F152</f>
        <v>0.63</v>
      </c>
      <c r="G149" s="0" t="str">
        <f aca="false">In!G152</f>
        <v>Interested-party</v>
      </c>
      <c r="H149" s="12" t="s">
        <v>1435</v>
      </c>
    </row>
    <row r="150" customFormat="false" ht="17.15" hidden="false" customHeight="false" outlineLevel="0" collapsed="false">
      <c r="A150" s="0" t="s">
        <v>520</v>
      </c>
      <c r="B150" s="0" t="s">
        <v>518</v>
      </c>
      <c r="C150" s="0" t="s">
        <v>50</v>
      </c>
      <c r="D150" s="26" t="n">
        <f aca="false">In!D153</f>
        <v>0.3</v>
      </c>
      <c r="E150" s="26" t="n">
        <f aca="false">In!E153</f>
        <v>0.45</v>
      </c>
      <c r="F150" s="26" t="n">
        <f aca="false">In!F153</f>
        <v>0.63</v>
      </c>
      <c r="G150" s="0" t="str">
        <f aca="false">In!G153</f>
        <v>Assumed</v>
      </c>
      <c r="H150" s="12" t="s">
        <v>1436</v>
      </c>
    </row>
    <row r="151" customFormat="false" ht="17.15" hidden="false" customHeight="false" outlineLevel="0" collapsed="false">
      <c r="A151" s="0" t="s">
        <v>525</v>
      </c>
      <c r="B151" s="0" t="s">
        <v>522</v>
      </c>
      <c r="C151" s="0" t="s">
        <v>523</v>
      </c>
      <c r="D151" s="22" t="n">
        <f aca="false">In!D154</f>
        <v>12.5</v>
      </c>
      <c r="E151" s="22" t="n">
        <f aca="false">In!E154</f>
        <v>14.6</v>
      </c>
      <c r="F151" s="22" t="n">
        <f aca="false">In!F154</f>
        <v>16</v>
      </c>
      <c r="G151" s="0" t="str">
        <f aca="false">In!G154</f>
        <v>Interested-party</v>
      </c>
      <c r="H151" s="12" t="s">
        <v>1437</v>
      </c>
    </row>
    <row r="152" customFormat="false" ht="17.15" hidden="false" customHeight="false" outlineLevel="0" collapsed="false">
      <c r="A152" s="0" t="s">
        <v>529</v>
      </c>
      <c r="B152" s="0" t="s">
        <v>527</v>
      </c>
      <c r="C152" s="0" t="s">
        <v>50</v>
      </c>
      <c r="D152" s="26" t="n">
        <f aca="false">In!D155</f>
        <v>0.38</v>
      </c>
      <c r="E152" s="26" t="n">
        <f aca="false">In!E155</f>
        <v>0.8</v>
      </c>
      <c r="F152" s="26" t="n">
        <f aca="false">In!F155</f>
        <v>1.21</v>
      </c>
      <c r="G152" s="0" t="str">
        <f aca="false">In!G155</f>
        <v>Interested-party</v>
      </c>
      <c r="H152" s="12" t="s">
        <v>1438</v>
      </c>
    </row>
    <row r="153" customFormat="false" ht="17.15" hidden="false" customHeight="false" outlineLevel="0" collapsed="false">
      <c r="A153" s="0" t="s">
        <v>533</v>
      </c>
      <c r="B153" s="0" t="s">
        <v>531</v>
      </c>
      <c r="C153" s="0" t="s">
        <v>50</v>
      </c>
      <c r="D153" s="26" t="n">
        <f aca="false">In!D156</f>
        <v>0</v>
      </c>
      <c r="E153" s="26" t="n">
        <f aca="false">In!E156</f>
        <v>0.1</v>
      </c>
      <c r="F153" s="26" t="n">
        <f aca="false">In!F156</f>
        <v>0.25</v>
      </c>
      <c r="G153" s="0" t="str">
        <f aca="false">In!G156</f>
        <v>Interested-party</v>
      </c>
      <c r="H153" s="12" t="s">
        <v>1439</v>
      </c>
    </row>
    <row r="154" customFormat="false" ht="17.15" hidden="false" customHeight="false" outlineLevel="0" collapsed="false">
      <c r="A154" s="0" t="s">
        <v>537</v>
      </c>
      <c r="B154" s="0" t="s">
        <v>535</v>
      </c>
      <c r="C154" s="0" t="s">
        <v>50</v>
      </c>
      <c r="D154" s="26" t="n">
        <f aca="false">In!D157</f>
        <v>-0.4</v>
      </c>
      <c r="E154" s="26" t="n">
        <f aca="false">In!E157</f>
        <v>-0.25</v>
      </c>
      <c r="F154" s="26" t="n">
        <f aca="false">In!F157</f>
        <v>-0.1</v>
      </c>
      <c r="G154" s="0" t="str">
        <f aca="false">In!G157</f>
        <v>Assumed</v>
      </c>
      <c r="H154" s="12" t="s">
        <v>1440</v>
      </c>
    </row>
    <row r="155" customFormat="false" ht="17.15" hidden="false" customHeight="false" outlineLevel="0" collapsed="false">
      <c r="A155" s="0" t="s">
        <v>541</v>
      </c>
      <c r="B155" s="0" t="s">
        <v>539</v>
      </c>
      <c r="C155" s="0" t="s">
        <v>50</v>
      </c>
      <c r="D155" s="26" t="n">
        <f aca="false">In!D158</f>
        <v>-0.55</v>
      </c>
      <c r="E155" s="26" t="n">
        <f aca="false">In!E158</f>
        <v>-0.4</v>
      </c>
      <c r="F155" s="26" t="n">
        <f aca="false">In!F158</f>
        <v>-0.25</v>
      </c>
      <c r="G155" s="0" t="str">
        <f aca="false">In!G158</f>
        <v>Assumed</v>
      </c>
      <c r="H155" s="12" t="s">
        <v>1441</v>
      </c>
    </row>
    <row r="156" customFormat="false" ht="17.15" hidden="false" customHeight="false" outlineLevel="0" collapsed="false">
      <c r="A156" s="0" t="s">
        <v>545</v>
      </c>
      <c r="B156" s="0" t="s">
        <v>543</v>
      </c>
      <c r="C156" s="0" t="s">
        <v>50</v>
      </c>
      <c r="D156" s="26" t="n">
        <f aca="false">In!D159</f>
        <v>0.2</v>
      </c>
      <c r="E156" s="26" t="n">
        <f aca="false">In!E159</f>
        <v>0.3</v>
      </c>
      <c r="F156" s="26" t="n">
        <f aca="false">In!F159</f>
        <v>0.45</v>
      </c>
      <c r="G156" s="0" t="str">
        <f aca="false">In!G159</f>
        <v>Assumed</v>
      </c>
      <c r="H156" s="12" t="s">
        <v>1442</v>
      </c>
    </row>
    <row r="157" customFormat="false" ht="17.15" hidden="false" customHeight="false" outlineLevel="0" collapsed="false">
      <c r="A157" s="0" t="s">
        <v>549</v>
      </c>
      <c r="B157" s="0" t="s">
        <v>547</v>
      </c>
      <c r="C157" s="0" t="s">
        <v>50</v>
      </c>
      <c r="D157" s="26" t="n">
        <f aca="false">In!D160</f>
        <v>0.25</v>
      </c>
      <c r="E157" s="26" t="n">
        <f aca="false">In!E160</f>
        <v>0.35</v>
      </c>
      <c r="F157" s="26" t="n">
        <f aca="false">In!F160</f>
        <v>0.5</v>
      </c>
      <c r="G157" s="0" t="str">
        <f aca="false">In!G160</f>
        <v>Assumed</v>
      </c>
      <c r="H157" s="12" t="s">
        <v>1443</v>
      </c>
    </row>
    <row r="158" customFormat="false" ht="17.15" hidden="false" customHeight="false" outlineLevel="0" collapsed="false">
      <c r="A158" s="0" t="s">
        <v>553</v>
      </c>
      <c r="B158" s="0" t="s">
        <v>551</v>
      </c>
      <c r="C158" s="0" t="s">
        <v>50</v>
      </c>
      <c r="D158" s="26" t="n">
        <f aca="false">In!D161</f>
        <v>-0.15</v>
      </c>
      <c r="E158" s="26" t="n">
        <f aca="false">In!E161</f>
        <v>-0.05</v>
      </c>
      <c r="F158" s="26" t="n">
        <f aca="false">In!F161</f>
        <v>0.05</v>
      </c>
      <c r="G158" s="0" t="str">
        <f aca="false">In!G161</f>
        <v>Assumed</v>
      </c>
      <c r="H158" s="12" t="s">
        <v>1444</v>
      </c>
    </row>
    <row r="159" customFormat="false" ht="17.15" hidden="false" customHeight="false" outlineLevel="0" collapsed="false">
      <c r="A159" s="0" t="s">
        <v>557</v>
      </c>
      <c r="B159" s="0" t="s">
        <v>555</v>
      </c>
      <c r="C159" s="0" t="s">
        <v>50</v>
      </c>
      <c r="D159" s="26" t="n">
        <f aca="false">In!D162</f>
        <v>-0.1</v>
      </c>
      <c r="E159" s="26" t="n">
        <f aca="false">In!E162</f>
        <v>0</v>
      </c>
      <c r="F159" s="26" t="n">
        <f aca="false">In!F162</f>
        <v>0.1</v>
      </c>
      <c r="G159" s="0" t="str">
        <f aca="false">In!G162</f>
        <v>Assumed</v>
      </c>
      <c r="H159" s="12" t="s">
        <v>1445</v>
      </c>
    </row>
    <row r="160" customFormat="false" ht="17.15" hidden="false" customHeight="false" outlineLevel="0" collapsed="false">
      <c r="A160" s="0" t="s">
        <v>561</v>
      </c>
      <c r="B160" s="0" t="s">
        <v>559</v>
      </c>
      <c r="C160" s="0" t="s">
        <v>50</v>
      </c>
      <c r="D160" s="26" t="n">
        <f aca="false">In!D163</f>
        <v>-0.1</v>
      </c>
      <c r="E160" s="26" t="n">
        <f aca="false">In!E163</f>
        <v>0.05</v>
      </c>
      <c r="F160" s="26" t="n">
        <f aca="false">In!F163</f>
        <v>0.15</v>
      </c>
      <c r="G160" s="0" t="str">
        <f aca="false">In!G163</f>
        <v>Assumed</v>
      </c>
      <c r="H160" s="12" t="s">
        <v>1446</v>
      </c>
    </row>
    <row r="161" customFormat="false" ht="17.15" hidden="false" customHeight="false" outlineLevel="0" collapsed="false">
      <c r="A161" s="0" t="s">
        <v>567</v>
      </c>
      <c r="B161" s="0" t="s">
        <v>564</v>
      </c>
      <c r="C161" s="0" t="s">
        <v>501</v>
      </c>
      <c r="D161" s="22" t="n">
        <f aca="false">In!D165</f>
        <v>340</v>
      </c>
      <c r="E161" s="22" t="n">
        <f aca="false">In!E165</f>
        <v>374</v>
      </c>
      <c r="F161" s="22" t="n">
        <f aca="false">In!F165</f>
        <v>400</v>
      </c>
      <c r="G161" s="0" t="str">
        <f aca="false">In!G165</f>
        <v>Verified／Assumed</v>
      </c>
      <c r="H161" s="12" t="s">
        <v>1447</v>
      </c>
    </row>
    <row r="162" customFormat="false" ht="17.15" hidden="false" customHeight="false" outlineLevel="0" collapsed="false">
      <c r="A162" s="0" t="s">
        <v>572</v>
      </c>
      <c r="B162" s="6" t="s">
        <v>569</v>
      </c>
      <c r="C162" s="0" t="s">
        <v>570</v>
      </c>
      <c r="D162" s="22" t="n">
        <f aca="false">In!D166</f>
        <v>38</v>
      </c>
      <c r="E162" s="22" t="n">
        <f aca="false">In!E166</f>
        <v>42.8</v>
      </c>
      <c r="F162" s="22" t="n">
        <f aca="false">In!F166</f>
        <v>48</v>
      </c>
      <c r="G162" s="0" t="str">
        <f aca="false">In!G166</f>
        <v>Derived</v>
      </c>
      <c r="H162" s="12" t="s">
        <v>1448</v>
      </c>
    </row>
    <row r="163" customFormat="false" ht="17.15" hidden="false" customHeight="false" outlineLevel="0" collapsed="false">
      <c r="A163" s="0" t="s">
        <v>576</v>
      </c>
      <c r="B163" s="6" t="s">
        <v>574</v>
      </c>
      <c r="C163" s="0" t="s">
        <v>570</v>
      </c>
      <c r="D163" s="22" t="n">
        <f aca="false">In!D167</f>
        <v>3.5</v>
      </c>
      <c r="E163" s="22" t="n">
        <f aca="false">In!E167</f>
        <v>4.46</v>
      </c>
      <c r="F163" s="22" t="n">
        <f aca="false">In!F167</f>
        <v>4.9</v>
      </c>
      <c r="G163" s="0" t="str">
        <f aca="false">In!G167</f>
        <v>Derived</v>
      </c>
      <c r="H163" s="12" t="s">
        <v>1449</v>
      </c>
    </row>
    <row r="164" customFormat="false" ht="17.15" hidden="false" customHeight="false" outlineLevel="0" collapsed="false">
      <c r="A164" s="0" t="s">
        <v>580</v>
      </c>
      <c r="B164" s="6" t="s">
        <v>578</v>
      </c>
      <c r="C164" s="0" t="s">
        <v>501</v>
      </c>
      <c r="E164" s="22" t="n">
        <f aca="false">In!E168</f>
        <v>54.6</v>
      </c>
      <c r="G164" s="0" t="str">
        <f aca="false">In!G168</f>
        <v>Interested-party</v>
      </c>
      <c r="H164" s="12" t="s">
        <v>1450</v>
      </c>
    </row>
    <row r="165" customFormat="false" ht="17.15" hidden="false" customHeight="false" outlineLevel="0" collapsed="false">
      <c r="A165" s="0" t="s">
        <v>584</v>
      </c>
      <c r="B165" s="6" t="s">
        <v>582</v>
      </c>
      <c r="C165" s="0" t="s">
        <v>501</v>
      </c>
      <c r="E165" s="22" t="n">
        <f aca="false">In!E169</f>
        <v>77.4</v>
      </c>
      <c r="G165" s="0" t="str">
        <f aca="false">In!G169</f>
        <v>Interested-party</v>
      </c>
      <c r="H165" s="12" t="s">
        <v>1451</v>
      </c>
    </row>
    <row r="166" customFormat="false" ht="17.15" hidden="false" customHeight="false" outlineLevel="0" collapsed="false">
      <c r="A166" s="0" t="s">
        <v>588</v>
      </c>
      <c r="B166" s="6" t="s">
        <v>586</v>
      </c>
      <c r="C166" s="0" t="s">
        <v>501</v>
      </c>
      <c r="E166" s="22" t="n">
        <f aca="false">In!E170</f>
        <v>152.8</v>
      </c>
      <c r="G166" s="0" t="str">
        <f aca="false">In!G170</f>
        <v>Interested-party</v>
      </c>
      <c r="H166" s="12" t="s">
        <v>1452</v>
      </c>
    </row>
    <row r="167" customFormat="false" ht="17.15" hidden="false" customHeight="false" outlineLevel="0" collapsed="false">
      <c r="A167" s="0" t="s">
        <v>593</v>
      </c>
      <c r="B167" s="0" t="s">
        <v>591</v>
      </c>
      <c r="C167" s="0" t="s">
        <v>50</v>
      </c>
      <c r="D167" s="26" t="n">
        <f aca="false">In!D172</f>
        <v>-0.7</v>
      </c>
      <c r="E167" s="26" t="n">
        <f aca="false">In!E172</f>
        <v>-0.5</v>
      </c>
      <c r="F167" s="26" t="n">
        <f aca="false">In!F172</f>
        <v>-0.3</v>
      </c>
      <c r="G167" s="0" t="str">
        <f aca="false">In!G172</f>
        <v>Assumed</v>
      </c>
      <c r="H167" s="12" t="s">
        <v>1453</v>
      </c>
    </row>
    <row r="168" customFormat="false" ht="17.15" hidden="false" customHeight="false" outlineLevel="0" collapsed="false">
      <c r="A168" s="0" t="s">
        <v>596</v>
      </c>
      <c r="B168" s="0" t="s">
        <v>595</v>
      </c>
      <c r="C168" s="0" t="s">
        <v>50</v>
      </c>
      <c r="D168" s="26" t="n">
        <f aca="false">In!D173</f>
        <v>0.05</v>
      </c>
      <c r="E168" s="26" t="n">
        <f aca="false">In!E173</f>
        <v>0.15</v>
      </c>
      <c r="F168" s="26" t="n">
        <f aca="false">In!F173</f>
        <v>0.25</v>
      </c>
      <c r="G168" s="0" t="str">
        <f aca="false">In!G173</f>
        <v>Assumed</v>
      </c>
      <c r="H168" s="12" t="s">
        <v>1454</v>
      </c>
    </row>
    <row r="169" customFormat="false" ht="17.15" hidden="false" customHeight="false" outlineLevel="0" collapsed="false">
      <c r="A169" s="0" t="s">
        <v>599</v>
      </c>
      <c r="B169" s="0" t="s">
        <v>598</v>
      </c>
      <c r="C169" s="0" t="s">
        <v>50</v>
      </c>
      <c r="D169" s="26" t="n">
        <f aca="false">In!D174</f>
        <v>0.05</v>
      </c>
      <c r="E169" s="26" t="n">
        <f aca="false">In!E174</f>
        <v>0.15</v>
      </c>
      <c r="F169" s="26" t="n">
        <f aca="false">In!F174</f>
        <v>0.25</v>
      </c>
      <c r="G169" s="0" t="str">
        <f aca="false">In!G174</f>
        <v>Assumed</v>
      </c>
      <c r="H169" s="12" t="s">
        <v>1455</v>
      </c>
    </row>
    <row r="170" customFormat="false" ht="17.15" hidden="false" customHeight="false" outlineLevel="0" collapsed="false">
      <c r="A170" s="0" t="s">
        <v>602</v>
      </c>
      <c r="B170" s="0" t="s">
        <v>601</v>
      </c>
      <c r="C170" s="0" t="s">
        <v>50</v>
      </c>
      <c r="D170" s="26" t="n">
        <f aca="false">In!D175</f>
        <v>0</v>
      </c>
      <c r="E170" s="26" t="n">
        <f aca="false">In!E175</f>
        <v>0</v>
      </c>
      <c r="F170" s="26" t="n">
        <f aca="false">In!F175</f>
        <v>0</v>
      </c>
      <c r="G170" s="0" t="str">
        <f aca="false">In!G175</f>
        <v>Assumed</v>
      </c>
      <c r="H170" s="12" t="s">
        <v>1456</v>
      </c>
    </row>
    <row r="171" customFormat="false" ht="17.15" hidden="false" customHeight="false" outlineLevel="0" collapsed="false">
      <c r="A171" s="0" t="s">
        <v>605</v>
      </c>
      <c r="B171" s="0" t="s">
        <v>604</v>
      </c>
      <c r="C171" s="0" t="s">
        <v>50</v>
      </c>
      <c r="D171" s="26" t="n">
        <f aca="false">In!D176</f>
        <v>0.05</v>
      </c>
      <c r="E171" s="26" t="n">
        <f aca="false">In!E176</f>
        <v>0.15</v>
      </c>
      <c r="F171" s="26" t="n">
        <f aca="false">In!F176</f>
        <v>0.25</v>
      </c>
      <c r="G171" s="0" t="str">
        <f aca="false">In!G176</f>
        <v>Assumed</v>
      </c>
      <c r="H171" s="12" t="s">
        <v>1457</v>
      </c>
    </row>
    <row r="172" customFormat="false" ht="17.15" hidden="false" customHeight="false" outlineLevel="0" collapsed="false">
      <c r="A172" s="0" t="s">
        <v>608</v>
      </c>
      <c r="B172" s="0" t="s">
        <v>607</v>
      </c>
      <c r="C172" s="0" t="s">
        <v>50</v>
      </c>
      <c r="D172" s="26" t="n">
        <f aca="false">In!D177</f>
        <v>0.05</v>
      </c>
      <c r="E172" s="26" t="n">
        <f aca="false">In!E177</f>
        <v>0.15</v>
      </c>
      <c r="F172" s="26" t="n">
        <f aca="false">In!F177</f>
        <v>0.25</v>
      </c>
      <c r="G172" s="0" t="str">
        <f aca="false">In!G177</f>
        <v>Assumed</v>
      </c>
      <c r="H172" s="12" t="s">
        <v>1458</v>
      </c>
    </row>
    <row r="173" customFormat="false" ht="17.15" hidden="false" customHeight="false" outlineLevel="0" collapsed="false">
      <c r="A173" s="0" t="s">
        <v>611</v>
      </c>
      <c r="B173" s="0" t="s">
        <v>610</v>
      </c>
      <c r="C173" s="0" t="s">
        <v>50</v>
      </c>
      <c r="D173" s="26" t="n">
        <f aca="false">In!D178</f>
        <v>0.05</v>
      </c>
      <c r="E173" s="26" t="n">
        <f aca="false">In!E178</f>
        <v>0.15</v>
      </c>
      <c r="F173" s="26" t="n">
        <f aca="false">In!F178</f>
        <v>0.25</v>
      </c>
      <c r="G173" s="0" t="str">
        <f aca="false">In!G178</f>
        <v>Assumed</v>
      </c>
      <c r="H173" s="12" t="s">
        <v>1459</v>
      </c>
    </row>
    <row r="174" customFormat="false" ht="17.15" hidden="false" customHeight="false" outlineLevel="0" collapsed="false">
      <c r="A174" s="0" t="s">
        <v>614</v>
      </c>
      <c r="B174" s="6" t="s">
        <v>613</v>
      </c>
      <c r="C174" s="0" t="s">
        <v>50</v>
      </c>
      <c r="D174" s="26" t="n">
        <f aca="false">In!D179</f>
        <v>0.05</v>
      </c>
      <c r="E174" s="26" t="n">
        <f aca="false">In!E179</f>
        <v>0.15</v>
      </c>
      <c r="F174" s="26" t="n">
        <f aca="false">In!F179</f>
        <v>0.25</v>
      </c>
      <c r="G174" s="0" t="str">
        <f aca="false">In!G179</f>
        <v>Assumed</v>
      </c>
      <c r="H174" s="12" t="s">
        <v>1460</v>
      </c>
    </row>
    <row r="175" customFormat="false" ht="17.15" hidden="false" customHeight="false" outlineLevel="0" collapsed="false">
      <c r="A175" s="0" t="s">
        <v>620</v>
      </c>
      <c r="B175" s="0" t="s">
        <v>617</v>
      </c>
      <c r="C175" s="0" t="s">
        <v>618</v>
      </c>
      <c r="D175" s="22" t="n">
        <f aca="false">In!D181</f>
        <v>20</v>
      </c>
      <c r="E175" s="22" t="n">
        <f aca="false">In!E181</f>
        <v>30</v>
      </c>
      <c r="F175" s="22" t="n">
        <f aca="false">In!F181</f>
        <v>45</v>
      </c>
      <c r="G175" s="0" t="str">
        <f aca="false">In!G181</f>
        <v>Interested-party</v>
      </c>
      <c r="H175" s="12" t="s">
        <v>1461</v>
      </c>
    </row>
    <row r="176" customFormat="false" ht="17.15" hidden="false" customHeight="false" outlineLevel="0" collapsed="false">
      <c r="A176" s="0" t="s">
        <v>625</v>
      </c>
      <c r="B176" s="0" t="s">
        <v>623</v>
      </c>
      <c r="C176" s="0" t="s">
        <v>618</v>
      </c>
      <c r="D176" s="22" t="n">
        <f aca="false">In!D182</f>
        <v>8</v>
      </c>
      <c r="E176" s="22" t="n">
        <f aca="false">In!E182</f>
        <v>12</v>
      </c>
      <c r="F176" s="22" t="n">
        <f aca="false">In!F182</f>
        <v>18</v>
      </c>
      <c r="G176" s="0" t="str">
        <f aca="false">In!G182</f>
        <v>Assumed</v>
      </c>
      <c r="H176" s="12" t="s">
        <v>1462</v>
      </c>
    </row>
    <row r="177" customFormat="false" ht="17.15" hidden="false" customHeight="false" outlineLevel="0" collapsed="false">
      <c r="A177" s="0" t="s">
        <v>630</v>
      </c>
      <c r="B177" s="0" t="s">
        <v>628</v>
      </c>
      <c r="C177" s="0" t="s">
        <v>618</v>
      </c>
      <c r="D177" s="22" t="n">
        <f aca="false">In!D183</f>
        <v>5</v>
      </c>
      <c r="E177" s="22" t="n">
        <f aca="false">In!E183</f>
        <v>8</v>
      </c>
      <c r="F177" s="22" t="n">
        <f aca="false">In!F183</f>
        <v>12</v>
      </c>
      <c r="G177" s="0" t="str">
        <f aca="false">In!G183</f>
        <v>Assumed</v>
      </c>
      <c r="H177" s="12" t="s">
        <v>1463</v>
      </c>
    </row>
    <row r="178" customFormat="false" ht="17.15" hidden="false" customHeight="false" outlineLevel="0" collapsed="false">
      <c r="A178" s="0" t="s">
        <v>635</v>
      </c>
      <c r="B178" s="6" t="s">
        <v>633</v>
      </c>
      <c r="C178" s="0" t="s">
        <v>618</v>
      </c>
      <c r="D178" s="22" t="n">
        <f aca="false">In!D184</f>
        <v>5</v>
      </c>
      <c r="E178" s="22" t="n">
        <f aca="false">In!E184</f>
        <v>8</v>
      </c>
      <c r="F178" s="22" t="n">
        <f aca="false">In!F184</f>
        <v>12</v>
      </c>
      <c r="G178" s="0" t="str">
        <f aca="false">In!G184</f>
        <v>Assumed</v>
      </c>
      <c r="H178" s="12" t="s">
        <v>1464</v>
      </c>
    </row>
    <row r="179" customFormat="false" ht="17.15" hidden="false" customHeight="false" outlineLevel="0" collapsed="false">
      <c r="A179" s="0" t="s">
        <v>639</v>
      </c>
      <c r="B179" s="0" t="s">
        <v>637</v>
      </c>
      <c r="C179" s="0" t="s">
        <v>618</v>
      </c>
      <c r="D179" s="22" t="n">
        <f aca="false">In!D185</f>
        <v>6</v>
      </c>
      <c r="E179" s="22" t="n">
        <f aca="false">In!E185</f>
        <v>8</v>
      </c>
      <c r="F179" s="22" t="n">
        <f aca="false">In!F185</f>
        <v>11</v>
      </c>
      <c r="G179" s="0" t="str">
        <f aca="false">In!G185</f>
        <v>Assumed</v>
      </c>
      <c r="H179" s="12" t="s">
        <v>1465</v>
      </c>
    </row>
    <row r="180" customFormat="false" ht="17.15" hidden="false" customHeight="false" outlineLevel="0" collapsed="false">
      <c r="A180" s="0" t="s">
        <v>644</v>
      </c>
      <c r="B180" s="6" t="s">
        <v>642</v>
      </c>
      <c r="C180" s="0" t="s">
        <v>618</v>
      </c>
      <c r="D180" s="22" t="n">
        <f aca="false">In!D186</f>
        <v>4</v>
      </c>
      <c r="E180" s="22" t="n">
        <f aca="false">In!E186</f>
        <v>6</v>
      </c>
      <c r="F180" s="22" t="n">
        <f aca="false">In!F186</f>
        <v>9</v>
      </c>
      <c r="G180" s="0" t="str">
        <f aca="false">In!G186</f>
        <v>Assumed</v>
      </c>
      <c r="H180" s="12" t="s">
        <v>1466</v>
      </c>
    </row>
    <row r="181" customFormat="false" ht="17.15" hidden="false" customHeight="false" outlineLevel="0" collapsed="false">
      <c r="A181" s="0" t="s">
        <v>649</v>
      </c>
      <c r="B181" s="0" t="s">
        <v>647</v>
      </c>
      <c r="C181" s="0" t="s">
        <v>479</v>
      </c>
      <c r="D181" s="22" t="n">
        <f aca="false">In!D187</f>
        <v>0.3</v>
      </c>
      <c r="E181" s="22" t="n">
        <f aca="false">In!E187</f>
        <v>0.6</v>
      </c>
      <c r="F181" s="22" t="n">
        <f aca="false">In!F187</f>
        <v>1</v>
      </c>
      <c r="G181" s="0" t="str">
        <f aca="false">In!G187</f>
        <v>Assumed</v>
      </c>
      <c r="H181" s="12" t="s">
        <v>1467</v>
      </c>
    </row>
    <row r="182" customFormat="false" ht="17.15" hidden="false" customHeight="false" outlineLevel="0" collapsed="false">
      <c r="A182" s="0" t="s">
        <v>655</v>
      </c>
      <c r="B182" s="0" t="s">
        <v>653</v>
      </c>
      <c r="C182" s="0" t="s">
        <v>50</v>
      </c>
      <c r="D182" s="26" t="n">
        <f aca="false">In!D189</f>
        <v>0.8</v>
      </c>
      <c r="E182" s="26" t="n">
        <f aca="false">In!E189</f>
        <v>0.9</v>
      </c>
      <c r="F182" s="26" t="n">
        <f aca="false">In!F189</f>
        <v>1</v>
      </c>
      <c r="G182" s="0" t="str">
        <f aca="false">In!G189</f>
        <v>Assumed</v>
      </c>
      <c r="H182" s="12" t="s">
        <v>1468</v>
      </c>
    </row>
    <row r="183" customFormat="false" ht="17.15" hidden="false" customHeight="false" outlineLevel="0" collapsed="false">
      <c r="A183" s="0" t="s">
        <v>660</v>
      </c>
      <c r="B183" s="0" t="s">
        <v>658</v>
      </c>
      <c r="C183" s="0" t="s">
        <v>50</v>
      </c>
      <c r="D183" s="26" t="n">
        <f aca="false">In!D190</f>
        <v>0.6</v>
      </c>
      <c r="E183" s="26" t="n">
        <f aca="false">In!E190</f>
        <v>0.8</v>
      </c>
      <c r="F183" s="26" t="n">
        <f aca="false">In!F190</f>
        <v>0.9</v>
      </c>
      <c r="G183" s="0" t="str">
        <f aca="false">In!G190</f>
        <v>Assumed</v>
      </c>
      <c r="H183" s="12" t="s">
        <v>1469</v>
      </c>
    </row>
    <row r="184" customFormat="false" ht="17.15" hidden="false" customHeight="false" outlineLevel="0" collapsed="false">
      <c r="A184" s="0" t="s">
        <v>664</v>
      </c>
      <c r="B184" s="0" t="s">
        <v>663</v>
      </c>
      <c r="C184" s="0" t="s">
        <v>50</v>
      </c>
      <c r="D184" s="26" t="n">
        <f aca="false">In!D191</f>
        <v>0.5</v>
      </c>
      <c r="E184" s="26" t="n">
        <f aca="false">In!E191</f>
        <v>0.75</v>
      </c>
      <c r="F184" s="26" t="n">
        <f aca="false">In!F191</f>
        <v>0.9</v>
      </c>
      <c r="G184" s="0" t="str">
        <f aca="false">In!G191</f>
        <v>Assumed</v>
      </c>
      <c r="H184" s="12" t="s">
        <v>1470</v>
      </c>
    </row>
    <row r="185" customFormat="false" ht="17.15" hidden="false" customHeight="false" outlineLevel="0" collapsed="false">
      <c r="A185" s="0" t="s">
        <v>669</v>
      </c>
      <c r="B185" s="0" t="s">
        <v>667</v>
      </c>
      <c r="C185" s="0" t="s">
        <v>50</v>
      </c>
      <c r="D185" s="26" t="n">
        <f aca="false">In!D192</f>
        <v>0.2</v>
      </c>
      <c r="E185" s="26" t="n">
        <f aca="false">In!E192</f>
        <v>0.35</v>
      </c>
      <c r="F185" s="26" t="n">
        <f aca="false">In!F192</f>
        <v>0.5</v>
      </c>
      <c r="G185" s="0" t="str">
        <f aca="false">In!G192</f>
        <v>Assumed</v>
      </c>
      <c r="H185" s="12" t="s">
        <v>1471</v>
      </c>
    </row>
    <row r="186" customFormat="false" ht="17.15" hidden="false" customHeight="false" outlineLevel="0" collapsed="false">
      <c r="A186" s="0" t="s">
        <v>674</v>
      </c>
      <c r="B186" s="0" t="s">
        <v>672</v>
      </c>
      <c r="C186" s="0" t="s">
        <v>50</v>
      </c>
      <c r="D186" s="26" t="n">
        <f aca="false">In!D193</f>
        <v>0.4</v>
      </c>
      <c r="E186" s="26" t="n">
        <f aca="false">In!E193</f>
        <v>0.55</v>
      </c>
      <c r="F186" s="26" t="n">
        <f aca="false">In!F193</f>
        <v>0.7</v>
      </c>
      <c r="G186" s="0" t="str">
        <f aca="false">In!G193</f>
        <v>Assumed</v>
      </c>
      <c r="H186" s="12" t="s">
        <v>1472</v>
      </c>
    </row>
    <row r="187" customFormat="false" ht="17.15" hidden="false" customHeight="false" outlineLevel="0" collapsed="false">
      <c r="A187" s="0" t="s">
        <v>678</v>
      </c>
      <c r="B187" s="0" t="s">
        <v>676</v>
      </c>
      <c r="C187" s="0" t="s">
        <v>50</v>
      </c>
      <c r="D187" s="26" t="n">
        <f aca="false">In!D194</f>
        <v>0.4</v>
      </c>
      <c r="E187" s="26" t="n">
        <f aca="false">In!E194</f>
        <v>0.55</v>
      </c>
      <c r="F187" s="26" t="n">
        <f aca="false">In!F194</f>
        <v>0.7</v>
      </c>
      <c r="G187" s="0" t="str">
        <f aca="false">In!G194</f>
        <v>Assumed</v>
      </c>
      <c r="H187" s="12" t="s">
        <v>1473</v>
      </c>
    </row>
    <row r="188" customFormat="false" ht="17.15" hidden="false" customHeight="false" outlineLevel="0" collapsed="false">
      <c r="A188" s="0" t="s">
        <v>682</v>
      </c>
      <c r="B188" s="0" t="s">
        <v>680</v>
      </c>
      <c r="C188" s="0" t="s">
        <v>50</v>
      </c>
      <c r="D188" s="26" t="n">
        <f aca="false">In!D195</f>
        <v>0.05</v>
      </c>
      <c r="E188" s="26" t="n">
        <f aca="false">In!E195</f>
        <v>0.1</v>
      </c>
      <c r="F188" s="26" t="n">
        <f aca="false">In!F195</f>
        <v>0.2</v>
      </c>
      <c r="G188" s="0" t="str">
        <f aca="false">In!G195</f>
        <v>Assumed</v>
      </c>
      <c r="H188" s="12" t="s">
        <v>1474</v>
      </c>
    </row>
    <row r="189" customFormat="false" ht="17.15" hidden="false" customHeight="false" outlineLevel="0" collapsed="false">
      <c r="A189" s="0" t="s">
        <v>686</v>
      </c>
      <c r="B189" s="0" t="s">
        <v>685</v>
      </c>
      <c r="C189" s="0" t="s">
        <v>50</v>
      </c>
      <c r="D189" s="26" t="n">
        <f aca="false">In!D196</f>
        <v>0.05</v>
      </c>
      <c r="E189" s="26" t="n">
        <f aca="false">In!E196</f>
        <v>0.1</v>
      </c>
      <c r="F189" s="26" t="n">
        <f aca="false">In!F196</f>
        <v>0.2</v>
      </c>
      <c r="G189" s="0" t="str">
        <f aca="false">In!G196</f>
        <v>Assumed</v>
      </c>
      <c r="H189" s="12" t="s">
        <v>1475</v>
      </c>
    </row>
    <row r="190" customFormat="false" ht="17.15" hidden="false" customHeight="false" outlineLevel="0" collapsed="false">
      <c r="A190" s="0" t="s">
        <v>689</v>
      </c>
      <c r="B190" s="0" t="s">
        <v>688</v>
      </c>
      <c r="C190" s="0" t="s">
        <v>50</v>
      </c>
      <c r="D190" s="26" t="n">
        <f aca="false">In!D197</f>
        <v>0</v>
      </c>
      <c r="E190" s="26" t="n">
        <f aca="false">In!E197</f>
        <v>0.08</v>
      </c>
      <c r="F190" s="26" t="n">
        <f aca="false">In!F197</f>
        <v>0.2</v>
      </c>
      <c r="G190" s="0" t="str">
        <f aca="false">In!G197</f>
        <v>Assumed</v>
      </c>
      <c r="H190" s="12" t="s">
        <v>1476</v>
      </c>
    </row>
    <row r="191" customFormat="false" ht="17.15" hidden="false" customHeight="false" outlineLevel="0" collapsed="false">
      <c r="A191" s="0" t="s">
        <v>693</v>
      </c>
      <c r="B191" s="0" t="s">
        <v>691</v>
      </c>
      <c r="C191" s="0" t="s">
        <v>50</v>
      </c>
      <c r="D191" s="26" t="n">
        <f aca="false">In!D198</f>
        <v>0.02</v>
      </c>
      <c r="E191" s="26" t="n">
        <f aca="false">In!E198</f>
        <v>0.05</v>
      </c>
      <c r="F191" s="26" t="n">
        <f aca="false">In!F198</f>
        <v>0.1</v>
      </c>
      <c r="G191" s="0" t="str">
        <f aca="false">In!G198</f>
        <v>Assumed</v>
      </c>
      <c r="H191" s="12" t="s">
        <v>1477</v>
      </c>
    </row>
    <row r="192" customFormat="false" ht="17.15" hidden="false" customHeight="false" outlineLevel="0" collapsed="false">
      <c r="A192" s="0" t="s">
        <v>697</v>
      </c>
      <c r="B192" s="0" t="s">
        <v>696</v>
      </c>
      <c r="C192" s="0" t="s">
        <v>50</v>
      </c>
      <c r="D192" s="26" t="n">
        <f aca="false">In!D199</f>
        <v>0.03</v>
      </c>
      <c r="E192" s="26" t="n">
        <f aca="false">In!E199</f>
        <v>0.06</v>
      </c>
      <c r="F192" s="26" t="n">
        <f aca="false">In!F199</f>
        <v>0.12</v>
      </c>
      <c r="G192" s="0" t="str">
        <f aca="false">In!G199</f>
        <v>Assumed</v>
      </c>
      <c r="H192" s="12" t="s">
        <v>1478</v>
      </c>
    </row>
    <row r="193" customFormat="false" ht="17.15" hidden="false" customHeight="false" outlineLevel="0" collapsed="false">
      <c r="A193" s="0" t="s">
        <v>700</v>
      </c>
      <c r="B193" s="0" t="s">
        <v>699</v>
      </c>
      <c r="C193" s="0" t="s">
        <v>50</v>
      </c>
      <c r="D193" s="26" t="n">
        <f aca="false">In!D200</f>
        <v>0.08</v>
      </c>
      <c r="E193" s="26" t="n">
        <f aca="false">In!E200</f>
        <v>0.15</v>
      </c>
      <c r="F193" s="26" t="n">
        <f aca="false">In!F200</f>
        <v>0.25</v>
      </c>
      <c r="G193" s="0" t="str">
        <f aca="false">In!G200</f>
        <v>Assumed</v>
      </c>
      <c r="H193" s="12" t="s">
        <v>1479</v>
      </c>
    </row>
    <row r="194" customFormat="false" ht="17.15" hidden="false" customHeight="false" outlineLevel="0" collapsed="false">
      <c r="A194" s="0" t="s">
        <v>704</v>
      </c>
      <c r="B194" s="0" t="s">
        <v>702</v>
      </c>
      <c r="C194" s="0" t="s">
        <v>50</v>
      </c>
      <c r="D194" s="26" t="n">
        <f aca="false">In!D201</f>
        <v>0</v>
      </c>
      <c r="E194" s="26" t="n">
        <f aca="false">In!E201</f>
        <v>0</v>
      </c>
      <c r="F194" s="26" t="n">
        <f aca="false">In!F201</f>
        <v>0.02</v>
      </c>
      <c r="G194" s="0" t="str">
        <f aca="false">In!G201</f>
        <v>Assumed</v>
      </c>
      <c r="H194" s="12" t="s">
        <v>1480</v>
      </c>
    </row>
    <row r="195" customFormat="false" ht="17.15" hidden="false" customHeight="false" outlineLevel="0" collapsed="false">
      <c r="A195" s="0" t="s">
        <v>708</v>
      </c>
      <c r="B195" s="0" t="s">
        <v>707</v>
      </c>
      <c r="C195" s="0" t="s">
        <v>50</v>
      </c>
      <c r="D195" s="26" t="n">
        <f aca="false">In!D202</f>
        <v>0</v>
      </c>
      <c r="E195" s="26" t="n">
        <f aca="false">In!E202</f>
        <v>0</v>
      </c>
      <c r="F195" s="26" t="n">
        <f aca="false">In!F202</f>
        <v>0.05</v>
      </c>
      <c r="G195" s="0" t="str">
        <f aca="false">In!G202</f>
        <v>Assumed</v>
      </c>
      <c r="H195" s="12" t="s">
        <v>1481</v>
      </c>
    </row>
    <row r="196" customFormat="false" ht="17.15" hidden="false" customHeight="false" outlineLevel="0" collapsed="false">
      <c r="A196" s="0" t="s">
        <v>711</v>
      </c>
      <c r="B196" s="0" t="s">
        <v>710</v>
      </c>
      <c r="C196" s="0" t="s">
        <v>50</v>
      </c>
      <c r="D196" s="26" t="n">
        <f aca="false">In!D203</f>
        <v>0</v>
      </c>
      <c r="E196" s="26" t="n">
        <f aca="false">In!E203</f>
        <v>0.05</v>
      </c>
      <c r="F196" s="26" t="n">
        <f aca="false">In!F203</f>
        <v>0.15</v>
      </c>
      <c r="G196" s="0" t="str">
        <f aca="false">In!G203</f>
        <v>Assumed</v>
      </c>
      <c r="H196" s="12" t="s">
        <v>1482</v>
      </c>
    </row>
    <row r="197" customFormat="false" ht="17.15" hidden="false" customHeight="false" outlineLevel="0" collapsed="false">
      <c r="A197" s="0" t="s">
        <v>715</v>
      </c>
      <c r="B197" s="6" t="s">
        <v>713</v>
      </c>
      <c r="C197" s="0" t="s">
        <v>50</v>
      </c>
      <c r="D197" s="26" t="n">
        <f aca="false">In!D204</f>
        <v>0.03</v>
      </c>
      <c r="E197" s="26" t="n">
        <f aca="false">In!E204</f>
        <v>0.05</v>
      </c>
      <c r="F197" s="26" t="n">
        <f aca="false">In!F204</f>
        <v>0.1</v>
      </c>
      <c r="G197" s="0" t="str">
        <f aca="false">In!G204</f>
        <v>Assumed</v>
      </c>
      <c r="H197" s="12" t="s">
        <v>1483</v>
      </c>
    </row>
    <row r="198" customFormat="false" ht="17.15" hidden="false" customHeight="false" outlineLevel="0" collapsed="false">
      <c r="A198" s="0" t="s">
        <v>719</v>
      </c>
      <c r="B198" s="6" t="s">
        <v>718</v>
      </c>
      <c r="C198" s="0" t="s">
        <v>50</v>
      </c>
      <c r="D198" s="26" t="n">
        <f aca="false">In!D205</f>
        <v>0.08</v>
      </c>
      <c r="E198" s="26" t="n">
        <f aca="false">In!E205</f>
        <v>0.15</v>
      </c>
      <c r="F198" s="26" t="n">
        <f aca="false">In!F205</f>
        <v>0.2</v>
      </c>
      <c r="G198" s="0" t="str">
        <f aca="false">In!G205</f>
        <v>Assumed</v>
      </c>
      <c r="H198" s="12" t="s">
        <v>1484</v>
      </c>
    </row>
    <row r="199" customFormat="false" ht="17.15" hidden="false" customHeight="false" outlineLevel="0" collapsed="false">
      <c r="A199" s="0" t="s">
        <v>722</v>
      </c>
      <c r="B199" s="6" t="s">
        <v>721</v>
      </c>
      <c r="C199" s="0" t="s">
        <v>50</v>
      </c>
      <c r="D199" s="26" t="n">
        <f aca="false">In!D206</f>
        <v>0.1</v>
      </c>
      <c r="E199" s="26" t="n">
        <f aca="false">In!E206</f>
        <v>0.18</v>
      </c>
      <c r="F199" s="26" t="n">
        <f aca="false">In!F206</f>
        <v>0.2</v>
      </c>
      <c r="G199" s="0" t="str">
        <f aca="false">In!G206</f>
        <v>Assumed</v>
      </c>
      <c r="H199" s="12" t="s">
        <v>1485</v>
      </c>
    </row>
    <row r="200" customFormat="false" ht="17.15" hidden="false" customHeight="false" outlineLevel="0" collapsed="false">
      <c r="A200" s="0" t="s">
        <v>726</v>
      </c>
      <c r="B200" s="6" t="s">
        <v>724</v>
      </c>
      <c r="C200" s="0" t="s">
        <v>50</v>
      </c>
      <c r="D200" s="26" t="n">
        <f aca="false">In!D207</f>
        <v>0</v>
      </c>
      <c r="E200" s="26" t="n">
        <f aca="false">In!E207</f>
        <v>0</v>
      </c>
      <c r="F200" s="26" t="n">
        <f aca="false">In!F207</f>
        <v>0.02</v>
      </c>
      <c r="G200" s="0" t="str">
        <f aca="false">In!G207</f>
        <v>Assumed</v>
      </c>
      <c r="H200" s="12" t="s">
        <v>1486</v>
      </c>
    </row>
    <row r="201" customFormat="false" ht="17.15" hidden="false" customHeight="false" outlineLevel="0" collapsed="false">
      <c r="A201" s="0" t="s">
        <v>730</v>
      </c>
      <c r="B201" s="6" t="s">
        <v>729</v>
      </c>
      <c r="C201" s="0" t="s">
        <v>50</v>
      </c>
      <c r="D201" s="26" t="n">
        <f aca="false">In!D208</f>
        <v>0</v>
      </c>
      <c r="E201" s="26" t="n">
        <f aca="false">In!E208</f>
        <v>0</v>
      </c>
      <c r="F201" s="26" t="n">
        <f aca="false">In!F208</f>
        <v>0.03</v>
      </c>
      <c r="G201" s="0" t="str">
        <f aca="false">In!G208</f>
        <v>Assumed</v>
      </c>
      <c r="H201" s="12" t="s">
        <v>1487</v>
      </c>
    </row>
    <row r="202" customFormat="false" ht="17.15" hidden="false" customHeight="false" outlineLevel="0" collapsed="false">
      <c r="A202" s="0" t="s">
        <v>733</v>
      </c>
      <c r="B202" s="6" t="s">
        <v>732</v>
      </c>
      <c r="C202" s="0" t="s">
        <v>50</v>
      </c>
      <c r="D202" s="26" t="n">
        <f aca="false">In!D209</f>
        <v>0</v>
      </c>
      <c r="E202" s="26" t="n">
        <f aca="false">In!E209</f>
        <v>0</v>
      </c>
      <c r="F202" s="26" t="n">
        <f aca="false">In!F209</f>
        <v>0.05</v>
      </c>
      <c r="G202" s="0" t="str">
        <f aca="false">In!G209</f>
        <v>Assumed</v>
      </c>
      <c r="H202" s="12" t="s">
        <v>1488</v>
      </c>
    </row>
    <row r="203" customFormat="false" ht="17.15" hidden="false" customHeight="false" outlineLevel="0" collapsed="false">
      <c r="A203" s="0" t="s">
        <v>737</v>
      </c>
      <c r="B203" s="6" t="s">
        <v>735</v>
      </c>
      <c r="C203" s="0" t="s">
        <v>50</v>
      </c>
      <c r="D203" s="26" t="n">
        <f aca="false">In!D210</f>
        <v>0.2</v>
      </c>
      <c r="E203" s="26" t="n">
        <f aca="false">In!E210</f>
        <v>0.3</v>
      </c>
      <c r="F203" s="26" t="n">
        <f aca="false">In!F210</f>
        <v>0.4</v>
      </c>
      <c r="G203" s="0" t="str">
        <f aca="false">In!G210</f>
        <v>Assumed</v>
      </c>
      <c r="H203" s="12" t="s">
        <v>1489</v>
      </c>
    </row>
    <row r="204" customFormat="false" ht="17.15" hidden="false" customHeight="false" outlineLevel="0" collapsed="false">
      <c r="A204" s="0" t="s">
        <v>741</v>
      </c>
      <c r="B204" s="6" t="s">
        <v>740</v>
      </c>
      <c r="C204" s="0" t="s">
        <v>50</v>
      </c>
      <c r="D204" s="26" t="n">
        <f aca="false">In!D211</f>
        <v>0.4</v>
      </c>
      <c r="E204" s="26" t="n">
        <f aca="false">In!E211</f>
        <v>0.55</v>
      </c>
      <c r="F204" s="26" t="n">
        <f aca="false">In!F211</f>
        <v>0.75</v>
      </c>
      <c r="G204" s="0" t="str">
        <f aca="false">In!G211</f>
        <v>Assumed</v>
      </c>
      <c r="H204" s="12" t="s">
        <v>1490</v>
      </c>
    </row>
    <row r="205" customFormat="false" ht="17.15" hidden="false" customHeight="false" outlineLevel="0" collapsed="false">
      <c r="A205" s="0" t="s">
        <v>744</v>
      </c>
      <c r="B205" s="6" t="s">
        <v>743</v>
      </c>
      <c r="C205" s="0" t="s">
        <v>50</v>
      </c>
      <c r="D205" s="26" t="n">
        <f aca="false">In!D212</f>
        <v>0.4</v>
      </c>
      <c r="E205" s="26" t="n">
        <f aca="false">In!E212</f>
        <v>0.5</v>
      </c>
      <c r="F205" s="26" t="n">
        <f aca="false">In!F212</f>
        <v>0.75</v>
      </c>
      <c r="G205" s="0" t="str">
        <f aca="false">In!G212</f>
        <v>Assumed</v>
      </c>
      <c r="H205" s="12" t="s">
        <v>1491</v>
      </c>
    </row>
    <row r="206" customFormat="false" ht="17.15" hidden="false" customHeight="false" outlineLevel="0" collapsed="false">
      <c r="A206" s="0" t="s">
        <v>747</v>
      </c>
      <c r="B206" s="6" t="s">
        <v>746</v>
      </c>
      <c r="C206" s="0" t="s">
        <v>50</v>
      </c>
      <c r="D206" s="26" t="n">
        <f aca="false">In!D213</f>
        <v>0.3</v>
      </c>
      <c r="E206" s="26" t="n">
        <f aca="false">In!E213</f>
        <v>0.4</v>
      </c>
      <c r="F206" s="26" t="n">
        <f aca="false">In!F213</f>
        <v>0.75</v>
      </c>
      <c r="G206" s="0" t="str">
        <f aca="false">In!G213</f>
        <v>Assumed</v>
      </c>
      <c r="H206" s="12" t="s">
        <v>1492</v>
      </c>
    </row>
    <row r="207" customFormat="false" ht="17.15" hidden="false" customHeight="false" outlineLevel="0" collapsed="false">
      <c r="A207" s="0" t="s">
        <v>750</v>
      </c>
      <c r="B207" s="6" t="s">
        <v>749</v>
      </c>
      <c r="C207" s="0" t="s">
        <v>50</v>
      </c>
      <c r="D207" s="26" t="n">
        <f aca="false">In!D214</f>
        <v>0.35</v>
      </c>
      <c r="E207" s="26" t="n">
        <f aca="false">In!E214</f>
        <v>0.55</v>
      </c>
      <c r="F207" s="26" t="n">
        <f aca="false">In!F214</f>
        <v>0.85</v>
      </c>
      <c r="G207" s="0" t="str">
        <f aca="false">In!G214</f>
        <v>Assumed</v>
      </c>
      <c r="H207" s="12" t="s">
        <v>1493</v>
      </c>
    </row>
    <row r="208" customFormat="false" ht="17.15" hidden="false" customHeight="false" outlineLevel="0" collapsed="false">
      <c r="A208" s="0" t="s">
        <v>753</v>
      </c>
      <c r="B208" s="6" t="s">
        <v>752</v>
      </c>
      <c r="C208" s="0" t="s">
        <v>50</v>
      </c>
      <c r="D208" s="26" t="n">
        <f aca="false">In!D215</f>
        <v>0.3</v>
      </c>
      <c r="E208" s="26" t="n">
        <f aca="false">In!E215</f>
        <v>0.45</v>
      </c>
      <c r="F208" s="26" t="n">
        <f aca="false">In!F215</f>
        <v>0.85</v>
      </c>
      <c r="G208" s="0" t="str">
        <f aca="false">In!G215</f>
        <v>Assumed</v>
      </c>
      <c r="H208" s="12" t="s">
        <v>1494</v>
      </c>
    </row>
    <row r="209" customFormat="false" ht="17.15" hidden="false" customHeight="false" outlineLevel="0" collapsed="false">
      <c r="A209" s="0" t="s">
        <v>757</v>
      </c>
      <c r="B209" s="6" t="s">
        <v>756</v>
      </c>
      <c r="C209" s="0" t="s">
        <v>50</v>
      </c>
      <c r="D209" s="26" t="n">
        <f aca="false">In!D216</f>
        <v>0.2</v>
      </c>
      <c r="E209" s="26" t="n">
        <f aca="false">In!E216</f>
        <v>0.35</v>
      </c>
      <c r="F209" s="26" t="n">
        <f aca="false">In!F216</f>
        <v>0.85</v>
      </c>
      <c r="G209" s="0" t="str">
        <f aca="false">In!G216</f>
        <v>Assumed</v>
      </c>
      <c r="H209" s="12" t="s">
        <v>1495</v>
      </c>
    </row>
    <row r="211" customFormat="false" ht="17.15" hidden="false" customHeight="false" outlineLevel="0" collapsed="false">
      <c r="A211" s="10" t="s">
        <v>1496</v>
      </c>
    </row>
    <row r="212" customFormat="false" ht="15" hidden="false" customHeight="false" outlineLevel="0" collapsed="false">
      <c r="A212" s="4" t="s">
        <v>14</v>
      </c>
      <c r="B212" s="4" t="s">
        <v>38</v>
      </c>
      <c r="C212" s="4" t="s">
        <v>39</v>
      </c>
      <c r="D212" s="5" t="s">
        <v>848</v>
      </c>
      <c r="E212" s="5" t="s">
        <v>783</v>
      </c>
      <c r="F212" s="5" t="s">
        <v>784</v>
      </c>
      <c r="G212" s="5" t="s">
        <v>785</v>
      </c>
      <c r="H212" s="5" t="s">
        <v>786</v>
      </c>
      <c r="I212" s="4" t="s">
        <v>1290</v>
      </c>
    </row>
    <row r="213" customFormat="false" ht="17.15" hidden="false" customHeight="false" outlineLevel="0" collapsed="false">
      <c r="A213" s="0" t="s">
        <v>1497</v>
      </c>
      <c r="B213" s="0" t="s">
        <v>1498</v>
      </c>
      <c r="C213" s="0" t="s">
        <v>866</v>
      </c>
      <c r="D213" s="7" t="str">
        <f aca="false">IF(ISBLANK(Mkt!C13),"",Mkt!C13)</f>
        <v/>
      </c>
      <c r="E213" s="7" t="n">
        <f aca="false">IF(ISBLANK(Mkt!D13),"",Mkt!D13)</f>
        <v>3.2893</v>
      </c>
      <c r="F213" s="7" t="n">
        <f aca="false">IF(ISBLANK(Mkt!E13),"",Mkt!E13)</f>
        <v>6.1702</v>
      </c>
      <c r="G213" s="7" t="n">
        <f aca="false">IF(ISBLANK(Mkt!F13),"",Mkt!F13)</f>
        <v>8.938</v>
      </c>
      <c r="H213" s="7" t="n">
        <f aca="false">IF(ISBLANK(Mkt!G13),"",Mkt!G13)</f>
        <v>11.6194</v>
      </c>
      <c r="I213" s="12" t="s">
        <v>1499</v>
      </c>
    </row>
    <row r="214" customFormat="false" ht="17.15" hidden="false" customHeight="false" outlineLevel="0" collapsed="false">
      <c r="A214" s="0" t="s">
        <v>1500</v>
      </c>
      <c r="B214" s="0" t="s">
        <v>1501</v>
      </c>
      <c r="C214" s="0" t="s">
        <v>866</v>
      </c>
      <c r="D214" s="7" t="str">
        <f aca="false">IF(ISBLANK(Mkt!C14),"",Mkt!C14)</f>
        <v/>
      </c>
      <c r="E214" s="7" t="n">
        <f aca="false">IF(ISBLANK(Mkt!D14),"",Mkt!D14)</f>
        <v>3.782695</v>
      </c>
      <c r="F214" s="7" t="n">
        <f aca="false">IF(ISBLANK(Mkt!E14),"",Mkt!E14)</f>
        <v>7.09573</v>
      </c>
      <c r="G214" s="7" t="n">
        <f aca="false">IF(ISBLANK(Mkt!F14),"",Mkt!F14)</f>
        <v>10.2787</v>
      </c>
      <c r="H214" s="7" t="n">
        <f aca="false">IF(ISBLANK(Mkt!G14),"",Mkt!G14)</f>
        <v>13.36231</v>
      </c>
      <c r="I214" s="12" t="s">
        <v>1502</v>
      </c>
    </row>
    <row r="215" customFormat="false" ht="17.15" hidden="false" customHeight="false" outlineLevel="0" collapsed="false">
      <c r="A215" s="0" t="s">
        <v>1503</v>
      </c>
      <c r="B215" s="6" t="s">
        <v>1504</v>
      </c>
      <c r="C215" s="6" t="s">
        <v>321</v>
      </c>
      <c r="D215" s="7" t="str">
        <f aca="false">IF(ISBLANK(Mkt!C15),"",Mkt!C15)</f>
        <v/>
      </c>
      <c r="E215" s="7" t="n">
        <f aca="false">IF(ISBLANK(Mkt!D15),"",Mkt!D15)</f>
        <v>15.2</v>
      </c>
      <c r="F215" s="7" t="n">
        <f aca="false">IF(ISBLANK(Mkt!E15),"",Mkt!E15)</f>
        <v>23.7</v>
      </c>
      <c r="G215" s="7" t="n">
        <f aca="false">IF(ISBLANK(Mkt!F15),"",Mkt!F15)</f>
        <v>26.5</v>
      </c>
      <c r="H215" s="7" t="str">
        <f aca="false">IF(ISBLANK(Mkt!G15),"",Mkt!G15)</f>
        <v/>
      </c>
      <c r="I215" s="12" t="s">
        <v>1505</v>
      </c>
    </row>
    <row r="216" customFormat="false" ht="17.15" hidden="false" customHeight="false" outlineLevel="0" collapsed="false">
      <c r="A216" s="0" t="s">
        <v>1506</v>
      </c>
      <c r="B216" s="6" t="s">
        <v>870</v>
      </c>
      <c r="C216" s="0" t="s">
        <v>332</v>
      </c>
      <c r="D216" s="7" t="str">
        <f aca="false">IF(ISBLANK(Mkt!C16),"",Mkt!C16)</f>
        <v/>
      </c>
      <c r="E216" s="7" t="n">
        <f aca="false">IF(ISBLANK(Mkt!D16),"",Mkt!D16)</f>
        <v>216.401315789474</v>
      </c>
      <c r="F216" s="7" t="n">
        <f aca="false">IF(ISBLANK(Mkt!E16),"",Mkt!E16)</f>
        <v>260.345991561181</v>
      </c>
      <c r="G216" s="7" t="n">
        <f aca="false">IF(ISBLANK(Mkt!F16),"",Mkt!F16)</f>
        <v>337.283018867925</v>
      </c>
      <c r="H216" s="7" t="str">
        <f aca="false">IF(ISBLANK(Mkt!G16),"",Mkt!G16)</f>
        <v/>
      </c>
      <c r="I216" s="12" t="s">
        <v>1507</v>
      </c>
    </row>
    <row r="217" customFormat="false" ht="17.15" hidden="false" customHeight="false" outlineLevel="0" collapsed="false">
      <c r="A217" s="0" t="s">
        <v>1508</v>
      </c>
      <c r="B217" s="0" t="s">
        <v>1509</v>
      </c>
      <c r="C217" s="0" t="s">
        <v>866</v>
      </c>
      <c r="D217" s="7" t="n">
        <f aca="false">IF(ISBLANK(Mkt!C17),"",Mkt!C17)</f>
        <v>2.22511470588235</v>
      </c>
      <c r="E217" s="7" t="n">
        <f aca="false">IF(ISBLANK(Mkt!D17),"",Mkt!D17)</f>
        <v>3.782695</v>
      </c>
      <c r="F217" s="7" t="n">
        <f aca="false">IF(ISBLANK(Mkt!E17),"",Mkt!E17)</f>
        <v>5.86317725</v>
      </c>
      <c r="G217" s="7" t="n">
        <f aca="false">IF(ISBLANK(Mkt!F17),"",Mkt!F17)</f>
        <v>8.5016070125</v>
      </c>
      <c r="H217" s="7" t="n">
        <f aca="false">IF(ISBLANK(Mkt!G17),"",Mkt!G17)</f>
        <v>11.477169466875</v>
      </c>
      <c r="I217" s="12" t="s">
        <v>1510</v>
      </c>
    </row>
    <row r="218" customFormat="false" ht="17.15" hidden="false" customHeight="false" outlineLevel="0" collapsed="false">
      <c r="A218" s="0" t="s">
        <v>1511</v>
      </c>
      <c r="B218" s="6" t="s">
        <v>1512</v>
      </c>
      <c r="C218" s="0" t="s">
        <v>479</v>
      </c>
      <c r="D218" s="7" t="str">
        <f aca="false">IF(ISBLANK(Mkt!C18),"",Mkt!C18)</f>
        <v/>
      </c>
      <c r="E218" s="7" t="n">
        <f aca="false">IF(ISBLANK(Mkt!D18),"",Mkt!D18)</f>
        <v>1</v>
      </c>
      <c r="F218" s="7" t="n">
        <f aca="false">IF(ISBLANK(Mkt!E18),"",Mkt!E18)</f>
        <v>1</v>
      </c>
      <c r="G218" s="7" t="n">
        <f aca="false">IF(ISBLANK(Mkt!F18),"",Mkt!F18)</f>
        <v>1</v>
      </c>
      <c r="H218" s="7" t="n">
        <f aca="false">IF(ISBLANK(Mkt!G18),"",Mkt!G18)</f>
        <v>1</v>
      </c>
      <c r="I218" s="12" t="s">
        <v>1513</v>
      </c>
    </row>
    <row r="219" customFormat="false" ht="17.15" hidden="false" customHeight="false" outlineLevel="0" collapsed="false">
      <c r="A219" s="0" t="s">
        <v>1514</v>
      </c>
      <c r="B219" s="0" t="s">
        <v>1515</v>
      </c>
      <c r="C219" s="0" t="s">
        <v>866</v>
      </c>
      <c r="D219" s="7" t="n">
        <f aca="false">IF(ISBLANK(Mkt!C24),"",Mkt!C24)</f>
        <v>2.22511470588235</v>
      </c>
      <c r="E219" s="7" t="n">
        <f aca="false">IF(ISBLANK(Mkt!D24),"",Mkt!D24)</f>
        <v>3.782695</v>
      </c>
      <c r="F219" s="7" t="n">
        <f aca="false">IF(ISBLANK(Mkt!E24),"",Mkt!E24)</f>
        <v>5.86317725</v>
      </c>
      <c r="G219" s="7" t="n">
        <f aca="false">IF(ISBLANK(Mkt!F24),"",Mkt!F24)</f>
        <v>8.5016070125</v>
      </c>
      <c r="H219" s="7" t="n">
        <f aca="false">IF(ISBLANK(Mkt!G24),"",Mkt!G24)</f>
        <v>11.477169466875</v>
      </c>
      <c r="I219" s="12" t="s">
        <v>1516</v>
      </c>
    </row>
    <row r="220" customFormat="false" ht="17.15" hidden="false" customHeight="false" outlineLevel="0" collapsed="false">
      <c r="A220" s="0" t="s">
        <v>1517</v>
      </c>
      <c r="B220" s="0" t="s">
        <v>1518</v>
      </c>
      <c r="C220" s="0" t="s">
        <v>866</v>
      </c>
      <c r="D220" s="7" t="str">
        <f aca="false">IF(ISBLANK(Mkt!C27),"",Mkt!C27)</f>
        <v/>
      </c>
      <c r="E220" s="7" t="n">
        <f aca="false">IF(ISBLANK(Mkt!D27),"",Mkt!D27)</f>
        <v>0</v>
      </c>
      <c r="F220" s="7" t="n">
        <f aca="false">IF(ISBLANK(Mkt!E27),"",Mkt!E27)</f>
        <v>1.23255275</v>
      </c>
      <c r="G220" s="7" t="n">
        <f aca="false">IF(ISBLANK(Mkt!F27),"",Mkt!F27)</f>
        <v>1.7770929875</v>
      </c>
      <c r="H220" s="7" t="n">
        <f aca="false">IF(ISBLANK(Mkt!G27),"",Mkt!G27)</f>
        <v>1.885140533125</v>
      </c>
      <c r="I220" s="12" t="s">
        <v>1519</v>
      </c>
    </row>
    <row r="221" customFormat="false" ht="17.15" hidden="false" customHeight="false" outlineLevel="0" collapsed="false">
      <c r="A221" s="0" t="s">
        <v>1520</v>
      </c>
      <c r="B221" s="0" t="s">
        <v>887</v>
      </c>
      <c r="C221" s="0" t="s">
        <v>523</v>
      </c>
      <c r="D221" s="7" t="n">
        <f aca="false">IF(ISBLANK(Mkt!C30),"",Mkt!C30)</f>
        <v>15.7295261711557</v>
      </c>
      <c r="E221" s="7" t="n">
        <f aca="false">IF(ISBLANK(Mkt!D30),"",Mkt!D30)</f>
        <v>14.6</v>
      </c>
      <c r="F221" s="7" t="n">
        <f aca="false">IF(ISBLANK(Mkt!E30),"",Mkt!E30)</f>
        <v>26.28</v>
      </c>
      <c r="G221" s="7" t="n">
        <f aca="false">IF(ISBLANK(Mkt!F30),"",Mkt!F30)</f>
        <v>28.908</v>
      </c>
      <c r="H221" s="7" t="n">
        <f aca="false">IF(ISBLANK(Mkt!G30),"",Mkt!G30)</f>
        <v>27.4626</v>
      </c>
      <c r="I221" s="12" t="s">
        <v>1521</v>
      </c>
    </row>
    <row r="222" customFormat="false" ht="17.15" hidden="false" customHeight="false" outlineLevel="0" collapsed="false">
      <c r="A222" s="0" t="s">
        <v>1522</v>
      </c>
      <c r="B222" s="0" t="s">
        <v>890</v>
      </c>
      <c r="C222" s="0" t="s">
        <v>501</v>
      </c>
      <c r="D222" s="7" t="n">
        <f aca="false">IF(ISBLANK(Mkt!C33),"",Mkt!C33)</f>
        <v>35</v>
      </c>
      <c r="E222" s="7" t="n">
        <f aca="false">IF(ISBLANK(Mkt!D33),"",Mkt!D33)</f>
        <v>55.227347</v>
      </c>
      <c r="F222" s="7" t="n">
        <f aca="false">IF(ISBLANK(Mkt!E33),"",Mkt!E33)</f>
        <v>154.08429813</v>
      </c>
      <c r="G222" s="7" t="n">
        <f aca="false">IF(ISBLANK(Mkt!F33),"",Mkt!F33)</f>
        <v>245.76445551735</v>
      </c>
      <c r="H222" s="7" t="n">
        <f aca="false">IF(ISBLANK(Mkt!G33),"",Mkt!G33)</f>
        <v>315.192914201001</v>
      </c>
      <c r="I222" s="12" t="s">
        <v>1523</v>
      </c>
    </row>
    <row r="223" customFormat="false" ht="17.15" hidden="false" customHeight="false" outlineLevel="0" collapsed="false">
      <c r="A223" s="0" t="s">
        <v>1524</v>
      </c>
      <c r="B223" s="6" t="s">
        <v>1525</v>
      </c>
      <c r="C223" s="0" t="s">
        <v>479</v>
      </c>
      <c r="D223" s="7" t="str">
        <f aca="false">IF(ISBLANK(Mkt!C19),"",Mkt!C19)</f>
        <v/>
      </c>
      <c r="E223" s="7" t="n">
        <f aca="false">IF(ISBLANK(Mkt!D19),"",Mkt!D19)</f>
        <v>1</v>
      </c>
      <c r="F223" s="7" t="n">
        <f aca="false">IF(ISBLANK(Mkt!E19),"",Mkt!E19)</f>
        <v>1</v>
      </c>
      <c r="G223" s="7" t="n">
        <f aca="false">IF(ISBLANK(Mkt!F19),"",Mkt!F19)</f>
        <v>0.8</v>
      </c>
      <c r="H223" s="7" t="n">
        <f aca="false">IF(ISBLANK(Mkt!G19),"",Mkt!G19)</f>
        <v>0.85</v>
      </c>
      <c r="I223" s="12" t="s">
        <v>1526</v>
      </c>
    </row>
    <row r="224" customFormat="false" ht="17.15" hidden="false" customHeight="false" outlineLevel="0" collapsed="false">
      <c r="A224" s="0" t="s">
        <v>1527</v>
      </c>
      <c r="B224" s="0" t="s">
        <v>1528</v>
      </c>
      <c r="C224" s="0" t="s">
        <v>866</v>
      </c>
      <c r="D224" s="7" t="n">
        <f aca="false">IF(ISBLANK(Mkt!C25),"",Mkt!C25)</f>
        <v>2.22511470588235</v>
      </c>
      <c r="E224" s="7" t="n">
        <f aca="false">IF(ISBLANK(Mkt!D25),"",Mkt!D25)</f>
        <v>3.782695</v>
      </c>
      <c r="F224" s="7" t="n">
        <f aca="false">IF(ISBLANK(Mkt!E25),"",Mkt!E25)</f>
        <v>5.86317725</v>
      </c>
      <c r="G224" s="7" t="n">
        <f aca="false">IF(ISBLANK(Mkt!F25),"",Mkt!F25)</f>
        <v>8.22296</v>
      </c>
      <c r="H224" s="7" t="n">
        <f aca="false">IF(ISBLANK(Mkt!G25),"",Mkt!G25)</f>
        <v>11.3579635</v>
      </c>
      <c r="I224" s="12" t="s">
        <v>1529</v>
      </c>
    </row>
    <row r="225" customFormat="false" ht="17.15" hidden="false" customHeight="false" outlineLevel="0" collapsed="false">
      <c r="A225" s="0" t="s">
        <v>1530</v>
      </c>
      <c r="B225" s="0" t="s">
        <v>1531</v>
      </c>
      <c r="C225" s="0" t="s">
        <v>866</v>
      </c>
      <c r="D225" s="7" t="str">
        <f aca="false">IF(ISBLANK(Mkt!C28),"",Mkt!C28)</f>
        <v/>
      </c>
      <c r="E225" s="7" t="n">
        <f aca="false">IF(ISBLANK(Mkt!D28),"",Mkt!D28)</f>
        <v>0</v>
      </c>
      <c r="F225" s="7" t="n">
        <f aca="false">IF(ISBLANK(Mkt!E28),"",Mkt!E28)</f>
        <v>1.23255275</v>
      </c>
      <c r="G225" s="7" t="n">
        <f aca="false">IF(ISBLANK(Mkt!F28),"",Mkt!F28)</f>
        <v>-0.278647012499999</v>
      </c>
      <c r="H225" s="7" t="n">
        <f aca="false">IF(ISBLANK(Mkt!G28),"",Mkt!G28)</f>
        <v>-0.119205966875001</v>
      </c>
      <c r="I225" s="12" t="s">
        <v>1532</v>
      </c>
    </row>
    <row r="226" customFormat="false" ht="17.15" hidden="false" customHeight="false" outlineLevel="0" collapsed="false">
      <c r="A226" s="0" t="s">
        <v>1533</v>
      </c>
      <c r="B226" s="0" t="s">
        <v>888</v>
      </c>
      <c r="C226" s="0" t="s">
        <v>523</v>
      </c>
      <c r="D226" s="7" t="n">
        <f aca="false">IF(ISBLANK(Mkt!C31),"",Mkt!C31)</f>
        <v>15.7295261711557</v>
      </c>
      <c r="E226" s="7" t="n">
        <f aca="false">IF(ISBLANK(Mkt!D31),"",Mkt!D31)</f>
        <v>14.6</v>
      </c>
      <c r="F226" s="7" t="n">
        <f aca="false">IF(ISBLANK(Mkt!E31),"",Mkt!E31)</f>
        <v>26.28</v>
      </c>
      <c r="G226" s="7" t="n">
        <f aca="false">IF(ISBLANK(Mkt!F31),"",Mkt!F31)</f>
        <v>19.71</v>
      </c>
      <c r="H226" s="7" t="n">
        <f aca="false">IF(ISBLANK(Mkt!G31),"",Mkt!G31)</f>
        <v>19.71</v>
      </c>
      <c r="I226" s="12" t="s">
        <v>1534</v>
      </c>
    </row>
    <row r="227" customFormat="false" ht="17.15" hidden="false" customHeight="false" outlineLevel="0" collapsed="false">
      <c r="A227" s="0" t="s">
        <v>1535</v>
      </c>
      <c r="B227" s="0" t="s">
        <v>891</v>
      </c>
      <c r="C227" s="0" t="s">
        <v>501</v>
      </c>
      <c r="D227" s="7" t="n">
        <f aca="false">IF(ISBLANK(Mkt!C34),"",Mkt!C34)</f>
        <v>35</v>
      </c>
      <c r="E227" s="7" t="n">
        <f aca="false">IF(ISBLANK(Mkt!D34),"",Mkt!D34)</f>
        <v>55.227347</v>
      </c>
      <c r="F227" s="7" t="n">
        <f aca="false">IF(ISBLANK(Mkt!E34),"",Mkt!E34)</f>
        <v>154.08429813</v>
      </c>
      <c r="G227" s="7" t="n">
        <f aca="false">IF(ISBLANK(Mkt!F34),"",Mkt!F34)</f>
        <v>162.0745416</v>
      </c>
      <c r="H227" s="7" t="n">
        <f aca="false">IF(ISBLANK(Mkt!G34),"",Mkt!G34)</f>
        <v>223.865460585</v>
      </c>
      <c r="I227" s="12" t="s">
        <v>1536</v>
      </c>
    </row>
    <row r="228" customFormat="false" ht="17.15" hidden="false" customHeight="false" outlineLevel="0" collapsed="false">
      <c r="A228" s="0" t="s">
        <v>1537</v>
      </c>
      <c r="B228" s="6" t="s">
        <v>1538</v>
      </c>
      <c r="C228" s="0" t="s">
        <v>479</v>
      </c>
      <c r="D228" s="7" t="str">
        <f aca="false">IF(ISBLANK(Mkt!C20),"",Mkt!C20)</f>
        <v/>
      </c>
      <c r="E228" s="7" t="n">
        <f aca="false">IF(ISBLANK(Mkt!D20),"",Mkt!D20)</f>
        <v>1</v>
      </c>
      <c r="F228" s="7" t="n">
        <f aca="false">IF(ISBLANK(Mkt!E20),"",Mkt!E20)</f>
        <v>1</v>
      </c>
      <c r="G228" s="7" t="n">
        <f aca="false">IF(ISBLANK(Mkt!F20),"",Mkt!F20)</f>
        <v>0.6</v>
      </c>
      <c r="H228" s="7" t="n">
        <f aca="false">IF(ISBLANK(Mkt!G20),"",Mkt!G20)</f>
        <v>0.6</v>
      </c>
      <c r="I228" s="12" t="s">
        <v>1539</v>
      </c>
    </row>
    <row r="229" customFormat="false" ht="17.15" hidden="false" customHeight="false" outlineLevel="0" collapsed="false">
      <c r="A229" s="0" t="s">
        <v>1540</v>
      </c>
      <c r="B229" s="0" t="s">
        <v>1541</v>
      </c>
      <c r="C229" s="0" t="s">
        <v>866</v>
      </c>
      <c r="D229" s="7" t="n">
        <f aca="false">IF(ISBLANK(Mkt!C26),"",Mkt!C26)</f>
        <v>2.22511470588235</v>
      </c>
      <c r="E229" s="7" t="n">
        <f aca="false">IF(ISBLANK(Mkt!D26),"",Mkt!D26)</f>
        <v>3.782695</v>
      </c>
      <c r="F229" s="7" t="n">
        <f aca="false">IF(ISBLANK(Mkt!E26),"",Mkt!E26)</f>
        <v>5.86317725</v>
      </c>
      <c r="G229" s="7" t="n">
        <f aca="false">IF(ISBLANK(Mkt!F26),"",Mkt!F26)</f>
        <v>6.16722</v>
      </c>
      <c r="H229" s="7" t="n">
        <f aca="false">IF(ISBLANK(Mkt!G26),"",Mkt!G26)</f>
        <v>8.017386</v>
      </c>
      <c r="I229" s="12" t="s">
        <v>1542</v>
      </c>
    </row>
    <row r="230" customFormat="false" ht="17.15" hidden="false" customHeight="false" outlineLevel="0" collapsed="false">
      <c r="A230" s="0" t="s">
        <v>1543</v>
      </c>
      <c r="B230" s="0" t="s">
        <v>1544</v>
      </c>
      <c r="C230" s="0" t="s">
        <v>866</v>
      </c>
      <c r="D230" s="7" t="str">
        <f aca="false">IF(ISBLANK(Mkt!C29),"",Mkt!C29)</f>
        <v/>
      </c>
      <c r="E230" s="7" t="n">
        <f aca="false">IF(ISBLANK(Mkt!D29),"",Mkt!D29)</f>
        <v>0</v>
      </c>
      <c r="F230" s="7" t="n">
        <f aca="false">IF(ISBLANK(Mkt!E29),"",Mkt!E29)</f>
        <v>1.23255275</v>
      </c>
      <c r="G230" s="7" t="n">
        <f aca="false">IF(ISBLANK(Mkt!F29),"",Mkt!F29)</f>
        <v>-2.3343870125</v>
      </c>
      <c r="H230" s="7" t="n">
        <f aca="false">IF(ISBLANK(Mkt!G29),"",Mkt!G29)</f>
        <v>-3.459783466875</v>
      </c>
      <c r="I230" s="12" t="s">
        <v>1545</v>
      </c>
    </row>
    <row r="231" customFormat="false" ht="17.15" hidden="false" customHeight="false" outlineLevel="0" collapsed="false">
      <c r="A231" s="0" t="s">
        <v>1546</v>
      </c>
      <c r="B231" s="0" t="s">
        <v>889</v>
      </c>
      <c r="C231" s="0" t="s">
        <v>523</v>
      </c>
      <c r="D231" s="7" t="n">
        <f aca="false">IF(ISBLANK(Mkt!C32),"",Mkt!C32)</f>
        <v>15.7295261711557</v>
      </c>
      <c r="E231" s="7" t="n">
        <f aca="false">IF(ISBLANK(Mkt!D32),"",Mkt!D32)</f>
        <v>14.6</v>
      </c>
      <c r="F231" s="7" t="n">
        <f aca="false">IF(ISBLANK(Mkt!E32),"",Mkt!E32)</f>
        <v>26.28</v>
      </c>
      <c r="G231" s="7" t="n">
        <f aca="false">IF(ISBLANK(Mkt!F32),"",Mkt!F32)</f>
        <v>15.768</v>
      </c>
      <c r="H231" s="7" t="n">
        <f aca="false">IF(ISBLANK(Mkt!G32),"",Mkt!G32)</f>
        <v>16.5564</v>
      </c>
      <c r="I231" s="12" t="s">
        <v>1547</v>
      </c>
    </row>
    <row r="232" customFormat="false" ht="17.15" hidden="false" customHeight="false" outlineLevel="0" collapsed="false">
      <c r="A232" s="0" t="s">
        <v>1548</v>
      </c>
      <c r="B232" s="0" t="s">
        <v>892</v>
      </c>
      <c r="C232" s="0" t="s">
        <v>501</v>
      </c>
      <c r="D232" s="7" t="n">
        <f aca="false">IF(ISBLANK(Mkt!C35),"",Mkt!C35)</f>
        <v>35</v>
      </c>
      <c r="E232" s="7" t="n">
        <f aca="false">IF(ISBLANK(Mkt!D35),"",Mkt!D35)</f>
        <v>55.227347</v>
      </c>
      <c r="F232" s="7" t="n">
        <f aca="false">IF(ISBLANK(Mkt!E35),"",Mkt!E35)</f>
        <v>154.08429813</v>
      </c>
      <c r="G232" s="7" t="n">
        <f aca="false">IF(ISBLANK(Mkt!F35),"",Mkt!F35)</f>
        <v>97.24472496</v>
      </c>
      <c r="H232" s="7" t="n">
        <f aca="false">IF(ISBLANK(Mkt!G35),"",Mkt!G35)</f>
        <v>132.7390495704</v>
      </c>
      <c r="I232" s="12" t="s">
        <v>1549</v>
      </c>
    </row>
    <row r="234" customFormat="false" ht="17.15" hidden="false" customHeight="false" outlineLevel="0" collapsed="false">
      <c r="A234" s="10" t="s">
        <v>1550</v>
      </c>
    </row>
    <row r="235" customFormat="false" ht="17.15" hidden="false" customHeight="false" outlineLevel="0" collapsed="false">
      <c r="A235" s="0" t="s">
        <v>1551</v>
      </c>
      <c r="B235" s="0" t="s">
        <v>1552</v>
      </c>
      <c r="C235" s="6" t="s">
        <v>321</v>
      </c>
      <c r="E235" s="7" t="n">
        <f aca="false">Units!C4</f>
        <v>5.4</v>
      </c>
      <c r="F235" s="7" t="n">
        <f aca="false">Units!D4</f>
        <v>2.4</v>
      </c>
      <c r="G235" s="7" t="n">
        <f aca="false">Units!E4</f>
        <v>0.5</v>
      </c>
      <c r="H235" s="7" t="n">
        <f aca="false">Units!F4</f>
        <v>0.25</v>
      </c>
      <c r="I235" s="12" t="s">
        <v>1553</v>
      </c>
    </row>
    <row r="236" customFormat="false" ht="17.15" hidden="false" customHeight="false" outlineLevel="0" collapsed="false">
      <c r="A236" s="0" t="s">
        <v>1554</v>
      </c>
      <c r="B236" s="0" t="s">
        <v>1555</v>
      </c>
      <c r="C236" s="6" t="s">
        <v>321</v>
      </c>
      <c r="E236" s="7" t="n">
        <f aca="false">Units!C5</f>
        <v>1.7</v>
      </c>
      <c r="F236" s="7" t="n">
        <f aca="false">Units!D5</f>
        <v>7</v>
      </c>
      <c r="G236" s="7" t="n">
        <f aca="false">Units!E5</f>
        <v>7</v>
      </c>
      <c r="H236" s="7" t="n">
        <f aca="false">Units!F5</f>
        <v>8.05</v>
      </c>
      <c r="I236" s="12" t="s">
        <v>1556</v>
      </c>
    </row>
    <row r="237" customFormat="false" ht="17.15" hidden="false" customHeight="false" outlineLevel="0" collapsed="false">
      <c r="A237" s="0" t="s">
        <v>1557</v>
      </c>
      <c r="B237" s="0" t="s">
        <v>1558</v>
      </c>
      <c r="C237" s="6" t="s">
        <v>321</v>
      </c>
      <c r="E237" s="7" t="n">
        <f aca="false">Units!C6</f>
        <v>0</v>
      </c>
      <c r="F237" s="7" t="n">
        <f aca="false">Units!D6</f>
        <v>0.3</v>
      </c>
      <c r="G237" s="7" t="n">
        <f aca="false">Units!E6</f>
        <v>2</v>
      </c>
      <c r="H237" s="7" t="n">
        <f aca="false">Units!F6</f>
        <v>2.3</v>
      </c>
      <c r="I237" s="12" t="s">
        <v>1559</v>
      </c>
    </row>
    <row r="238" customFormat="false" ht="17.15" hidden="false" customHeight="false" outlineLevel="0" collapsed="false">
      <c r="A238" s="0" t="s">
        <v>1560</v>
      </c>
      <c r="B238" s="0" t="s">
        <v>1561</v>
      </c>
      <c r="C238" s="6" t="s">
        <v>321</v>
      </c>
      <c r="E238" s="7" t="n">
        <f aca="false">Units!C7</f>
        <v>0.5</v>
      </c>
      <c r="F238" s="7" t="n">
        <f aca="false">Units!D7</f>
        <v>0</v>
      </c>
      <c r="G238" s="7" t="n">
        <f aca="false">Units!E7</f>
        <v>0</v>
      </c>
      <c r="H238" s="7" t="n">
        <f aca="false">Units!F7</f>
        <v>0</v>
      </c>
      <c r="I238" s="12" t="s">
        <v>1562</v>
      </c>
    </row>
    <row r="239" customFormat="false" ht="17.15" hidden="false" customHeight="false" outlineLevel="0" collapsed="false">
      <c r="A239" s="0" t="s">
        <v>1563</v>
      </c>
      <c r="B239" s="0" t="s">
        <v>1564</v>
      </c>
      <c r="C239" s="6" t="s">
        <v>321</v>
      </c>
      <c r="E239" s="7" t="n">
        <f aca="false">Units!C8</f>
        <v>0.75</v>
      </c>
      <c r="F239" s="7" t="n">
        <f aca="false">Units!D8</f>
        <v>1.5</v>
      </c>
      <c r="G239" s="7" t="n">
        <f aca="false">Units!E8</f>
        <v>2</v>
      </c>
      <c r="H239" s="7" t="n">
        <f aca="false">Units!F8</f>
        <v>2.3</v>
      </c>
      <c r="I239" s="12" t="s">
        <v>1565</v>
      </c>
    </row>
    <row r="240" customFormat="false" ht="17.15" hidden="false" customHeight="false" outlineLevel="0" collapsed="false">
      <c r="A240" s="0" t="s">
        <v>1566</v>
      </c>
      <c r="B240" s="0" t="s">
        <v>1567</v>
      </c>
      <c r="C240" s="6" t="s">
        <v>321</v>
      </c>
      <c r="E240" s="7" t="n">
        <f aca="false">Units!C9</f>
        <v>3.85</v>
      </c>
      <c r="F240" s="7" t="n">
        <f aca="false">Units!D9</f>
        <v>5.5</v>
      </c>
      <c r="G240" s="7" t="n">
        <f aca="false">Units!E9</f>
        <v>7</v>
      </c>
      <c r="H240" s="7" t="n">
        <f aca="false">Units!F9</f>
        <v>8.05</v>
      </c>
      <c r="I240" s="12" t="s">
        <v>1568</v>
      </c>
    </row>
    <row r="241" customFormat="false" ht="17.15" hidden="false" customHeight="false" outlineLevel="0" collapsed="false">
      <c r="A241" s="0" t="s">
        <v>1569</v>
      </c>
      <c r="B241" s="0" t="s">
        <v>1570</v>
      </c>
      <c r="C241" s="6" t="s">
        <v>321</v>
      </c>
      <c r="E241" s="7" t="n">
        <f aca="false">Units!C10</f>
        <v>2</v>
      </c>
      <c r="F241" s="7" t="n">
        <f aca="false">Units!D10</f>
        <v>2.5</v>
      </c>
      <c r="G241" s="7" t="n">
        <f aca="false">Units!E10</f>
        <v>3</v>
      </c>
      <c r="H241" s="7" t="n">
        <f aca="false">Units!F10</f>
        <v>3.45</v>
      </c>
      <c r="I241" s="12" t="s">
        <v>1571</v>
      </c>
    </row>
    <row r="242" customFormat="false" ht="17.15" hidden="false" customHeight="false" outlineLevel="0" collapsed="false">
      <c r="A242" s="0" t="s">
        <v>1572</v>
      </c>
      <c r="B242" s="6" t="s">
        <v>1573</v>
      </c>
      <c r="C242" s="6" t="s">
        <v>321</v>
      </c>
      <c r="E242" s="7" t="n">
        <f aca="false">Units!C11</f>
        <v>1</v>
      </c>
      <c r="F242" s="7" t="n">
        <f aca="false">Units!D11</f>
        <v>4.5</v>
      </c>
      <c r="G242" s="7" t="n">
        <f aca="false">Units!E11</f>
        <v>5</v>
      </c>
      <c r="H242" s="7" t="n">
        <f aca="false">Units!F11</f>
        <v>5.75</v>
      </c>
      <c r="I242" s="12" t="s">
        <v>1574</v>
      </c>
    </row>
    <row r="243" customFormat="false" ht="17.15" hidden="false" customHeight="false" outlineLevel="0" collapsed="false">
      <c r="A243" s="0" t="s">
        <v>1575</v>
      </c>
      <c r="B243" s="6" t="s">
        <v>1576</v>
      </c>
      <c r="C243" s="6" t="s">
        <v>321</v>
      </c>
      <c r="E243" s="7" t="n">
        <f aca="false">Units!C12</f>
        <v>15.2</v>
      </c>
      <c r="F243" s="7" t="n">
        <f aca="false">Units!D12</f>
        <v>23.7</v>
      </c>
      <c r="G243" s="7" t="n">
        <f aca="false">Units!E12</f>
        <v>26.5</v>
      </c>
      <c r="H243" s="7" t="n">
        <f aca="false">Units!F12</f>
        <v>30.15</v>
      </c>
      <c r="I243" s="12" t="s">
        <v>1577</v>
      </c>
    </row>
    <row r="244" customFormat="false" ht="17.15" hidden="false" customHeight="false" outlineLevel="0" collapsed="false">
      <c r="A244" s="0" t="s">
        <v>1578</v>
      </c>
      <c r="B244" s="6" t="s">
        <v>1579</v>
      </c>
      <c r="C244" s="6" t="s">
        <v>321</v>
      </c>
      <c r="E244" s="7" t="n">
        <f aca="false">Units!C13</f>
        <v>15.2</v>
      </c>
      <c r="F244" s="7" t="n">
        <f aca="false">Units!D13</f>
        <v>23.7</v>
      </c>
      <c r="G244" s="7" t="n">
        <f aca="false">Units!E13</f>
        <v>26.5</v>
      </c>
      <c r="H244" s="7" t="n">
        <f aca="false">Units!F13</f>
        <v>30.15</v>
      </c>
      <c r="I244" s="12" t="s">
        <v>1580</v>
      </c>
    </row>
    <row r="245" customFormat="false" ht="17.15" hidden="false" customHeight="false" outlineLevel="0" collapsed="false">
      <c r="A245" s="0" t="s">
        <v>1581</v>
      </c>
      <c r="B245" s="6" t="s">
        <v>1582</v>
      </c>
      <c r="C245" s="6" t="s">
        <v>321</v>
      </c>
      <c r="E245" s="7" t="n">
        <f aca="false">Units!C14</f>
        <v>15.2</v>
      </c>
      <c r="F245" s="7" t="n">
        <f aca="false">Units!D14</f>
        <v>23.7</v>
      </c>
      <c r="G245" s="7" t="n">
        <f aca="false">Units!E14</f>
        <v>21.2</v>
      </c>
      <c r="H245" s="7" t="n">
        <f aca="false">Units!F14</f>
        <v>25.6275</v>
      </c>
      <c r="I245" s="12" t="s">
        <v>1583</v>
      </c>
    </row>
    <row r="246" customFormat="false" ht="17.15" hidden="false" customHeight="false" outlineLevel="0" collapsed="false">
      <c r="A246" s="0" t="s">
        <v>1584</v>
      </c>
      <c r="B246" s="6" t="s">
        <v>1585</v>
      </c>
      <c r="C246" s="6" t="s">
        <v>321</v>
      </c>
      <c r="E246" s="7" t="n">
        <f aca="false">Units!C15</f>
        <v>15.2</v>
      </c>
      <c r="F246" s="7" t="n">
        <f aca="false">Units!D15</f>
        <v>23.7</v>
      </c>
      <c r="G246" s="7" t="n">
        <f aca="false">Units!E15</f>
        <v>15.9</v>
      </c>
      <c r="H246" s="7" t="n">
        <f aca="false">Units!F15</f>
        <v>18.09</v>
      </c>
      <c r="I246" s="12" t="s">
        <v>1586</v>
      </c>
    </row>
    <row r="247" customFormat="false" ht="17.15" hidden="false" customHeight="false" outlineLevel="0" collapsed="false">
      <c r="A247" s="0" t="s">
        <v>1587</v>
      </c>
      <c r="B247" s="0" t="s">
        <v>1588</v>
      </c>
      <c r="C247" s="0" t="s">
        <v>50</v>
      </c>
      <c r="E247" s="26" t="n">
        <f aca="false">Units!G12</f>
        <v>0.137735849056604</v>
      </c>
      <c r="I247" s="12" t="s">
        <v>1589</v>
      </c>
    </row>
    <row r="249" customFormat="false" ht="17.15" hidden="false" customHeight="false" outlineLevel="0" collapsed="false">
      <c r="A249" s="10" t="s">
        <v>1590</v>
      </c>
    </row>
    <row r="250" customFormat="false" ht="17.15" hidden="false" customHeight="false" outlineLevel="0" collapsed="false">
      <c r="A250" s="0" t="s">
        <v>1591</v>
      </c>
      <c r="B250" s="0" t="s">
        <v>1592</v>
      </c>
      <c r="C250" s="0" t="s">
        <v>50</v>
      </c>
      <c r="E250" s="18" t="n">
        <f aca="false">ShareTbl!D7</f>
        <v>0.95</v>
      </c>
      <c r="F250" s="18" t="n">
        <f aca="false">ShareTbl!E7</f>
        <v>0.95</v>
      </c>
      <c r="G250" s="18" t="n">
        <f aca="false">ShareTbl!F7</f>
        <v>0.98</v>
      </c>
      <c r="I250" s="12" t="s">
        <v>1593</v>
      </c>
    </row>
    <row r="251" customFormat="false" ht="17.15" hidden="false" customHeight="false" outlineLevel="0" collapsed="false">
      <c r="A251" s="0" t="s">
        <v>1594</v>
      </c>
      <c r="B251" s="6" t="s">
        <v>1595</v>
      </c>
      <c r="C251" s="0" t="s">
        <v>50</v>
      </c>
      <c r="E251" s="18" t="n">
        <f aca="false">ShareTbl!D13</f>
        <v>0.4</v>
      </c>
      <c r="F251" s="18" t="n">
        <f aca="false">ShareTbl!E13</f>
        <v>0.61</v>
      </c>
      <c r="G251" s="18" t="n">
        <f aca="false">ShareTbl!F13</f>
        <v>0.7</v>
      </c>
      <c r="I251" s="12" t="s">
        <v>1596</v>
      </c>
    </row>
    <row r="252" customFormat="false" ht="17.15" hidden="false" customHeight="false" outlineLevel="0" collapsed="false">
      <c r="A252" s="0" t="s">
        <v>1597</v>
      </c>
      <c r="B252" s="0" t="s">
        <v>1598</v>
      </c>
      <c r="C252" s="0" t="s">
        <v>50</v>
      </c>
      <c r="E252" s="18" t="n">
        <f aca="false">ShareTbl!D18</f>
        <v>0.4</v>
      </c>
      <c r="F252" s="18" t="n">
        <f aca="false">ShareTbl!E18</f>
        <v>0.65</v>
      </c>
      <c r="G252" s="18" t="n">
        <f aca="false">ShareTbl!F18</f>
        <v>0.63</v>
      </c>
      <c r="I252" s="12" t="s">
        <v>1599</v>
      </c>
    </row>
    <row r="253" customFormat="false" ht="17.15" hidden="false" customHeight="false" outlineLevel="0" collapsed="false">
      <c r="A253" s="0" t="s">
        <v>1600</v>
      </c>
      <c r="B253" s="0" t="s">
        <v>1601</v>
      </c>
      <c r="C253" s="0" t="s">
        <v>50</v>
      </c>
      <c r="E253" s="18" t="n">
        <f aca="false">ShareTbl!D23</f>
        <v>0.4</v>
      </c>
      <c r="F253" s="18" t="n">
        <f aca="false">ShareTbl!E23</f>
        <v>0.6</v>
      </c>
      <c r="G253" s="18" t="n">
        <f aca="false">ShareTbl!F23</f>
        <v>0.53</v>
      </c>
      <c r="I253" s="12" t="s">
        <v>1602</v>
      </c>
    </row>
    <row r="254" customFormat="false" ht="17.15" hidden="false" customHeight="false" outlineLevel="0" collapsed="false">
      <c r="A254" s="0" t="s">
        <v>1603</v>
      </c>
      <c r="B254" s="0" t="s">
        <v>1604</v>
      </c>
      <c r="C254" s="0" t="s">
        <v>50</v>
      </c>
      <c r="E254" s="18" t="n">
        <f aca="false">ShareTbl!D28</f>
        <v>0.4</v>
      </c>
      <c r="F254" s="18" t="n">
        <f aca="false">ShareTbl!E28</f>
        <v>0.5</v>
      </c>
      <c r="G254" s="18" t="n">
        <f aca="false">ShareTbl!F28</f>
        <v>0.43</v>
      </c>
      <c r="I254" s="12" t="s">
        <v>1605</v>
      </c>
    </row>
    <row r="256" customFormat="false" ht="17.15" hidden="false" customHeight="false" outlineLevel="0" collapsed="false">
      <c r="A256" s="10" t="s">
        <v>1606</v>
      </c>
    </row>
    <row r="257" customFormat="false" ht="15" hidden="false" customHeight="false" outlineLevel="0" collapsed="false">
      <c r="A257" s="4" t="s">
        <v>14</v>
      </c>
      <c r="B257" s="4" t="s">
        <v>38</v>
      </c>
      <c r="C257" s="4" t="s">
        <v>39</v>
      </c>
      <c r="D257" s="4" t="s">
        <v>40</v>
      </c>
      <c r="E257" s="4" t="s">
        <v>41</v>
      </c>
      <c r="F257" s="4" t="s">
        <v>42</v>
      </c>
      <c r="G257" s="4"/>
      <c r="H257" s="4" t="s">
        <v>1290</v>
      </c>
    </row>
    <row r="258" customFormat="false" ht="17.15" hidden="false" customHeight="false" outlineLevel="0" collapsed="false">
      <c r="A258" s="0" t="s">
        <v>1607</v>
      </c>
      <c r="B258" s="6" t="s">
        <v>1608</v>
      </c>
      <c r="C258" s="6" t="s">
        <v>916</v>
      </c>
      <c r="D258" s="22" t="n">
        <f aca="false">IF(ISBLANK(TK_In!D5),"",TK_In!D5)</f>
        <v>22439</v>
      </c>
      <c r="E258" s="22" t="n">
        <f aca="false">IF(ISBLANK(TK_In!E5),"",TK_In!E5)</f>
        <v>22439</v>
      </c>
      <c r="F258" s="22" t="n">
        <f aca="false">IF(ISBLANK(TK_In!F5),"",TK_In!F5)</f>
        <v>22439</v>
      </c>
      <c r="H258" s="12" t="s">
        <v>1609</v>
      </c>
    </row>
    <row r="259" customFormat="false" ht="17.15" hidden="false" customHeight="false" outlineLevel="0" collapsed="false">
      <c r="A259" s="0" t="s">
        <v>1610</v>
      </c>
      <c r="B259" s="6" t="s">
        <v>1611</v>
      </c>
      <c r="C259" s="6" t="s">
        <v>916</v>
      </c>
      <c r="D259" s="22" t="n">
        <f aca="false">IF(ISBLANK(TK_In!D6),"",TK_In!D6)</f>
        <v>6969</v>
      </c>
      <c r="E259" s="22" t="n">
        <f aca="false">IF(ISBLANK(TK_In!E6),"",TK_In!E6)</f>
        <v>6969</v>
      </c>
      <c r="F259" s="22" t="n">
        <f aca="false">IF(ISBLANK(TK_In!F6),"",TK_In!F6)</f>
        <v>6969</v>
      </c>
      <c r="H259" s="12" t="s">
        <v>1612</v>
      </c>
    </row>
    <row r="260" customFormat="false" ht="17.15" hidden="false" customHeight="false" outlineLevel="0" collapsed="false">
      <c r="A260" s="0" t="s">
        <v>1613</v>
      </c>
      <c r="B260" s="6" t="s">
        <v>1614</v>
      </c>
      <c r="C260" s="6" t="s">
        <v>916</v>
      </c>
      <c r="D260" s="22" t="n">
        <f aca="false">IF(ISBLANK(TK_In!D7),"",TK_In!D7)</f>
        <v>6764</v>
      </c>
      <c r="E260" s="22" t="n">
        <f aca="false">IF(ISBLANK(TK_In!E7),"",TK_In!E7)</f>
        <v>6764</v>
      </c>
      <c r="F260" s="22" t="n">
        <f aca="false">IF(ISBLANK(TK_In!F7),"",TK_In!F7)</f>
        <v>6764</v>
      </c>
      <c r="H260" s="12" t="s">
        <v>1615</v>
      </c>
    </row>
    <row r="261" customFormat="false" ht="17.15" hidden="false" customHeight="false" outlineLevel="0" collapsed="false">
      <c r="A261" s="0" t="s">
        <v>1616</v>
      </c>
      <c r="B261" s="6" t="s">
        <v>1617</v>
      </c>
      <c r="C261" s="6" t="s">
        <v>916</v>
      </c>
      <c r="D261" s="22" t="n">
        <f aca="false">IF(ISBLANK(TK_In!D8),"",TK_In!D8)</f>
        <v>4052</v>
      </c>
      <c r="E261" s="22" t="n">
        <f aca="false">IF(ISBLANK(TK_In!E8),"",TK_In!E8)</f>
        <v>4052</v>
      </c>
      <c r="F261" s="22" t="n">
        <f aca="false">IF(ISBLANK(TK_In!F8),"",TK_In!F8)</f>
        <v>4052</v>
      </c>
      <c r="H261" s="12" t="s">
        <v>1618</v>
      </c>
    </row>
    <row r="262" customFormat="false" ht="17.15" hidden="false" customHeight="false" outlineLevel="0" collapsed="false">
      <c r="A262" s="0" t="s">
        <v>1619</v>
      </c>
      <c r="B262" s="6" t="s">
        <v>1620</v>
      </c>
      <c r="C262" s="6" t="s">
        <v>916</v>
      </c>
      <c r="D262" s="22" t="n">
        <f aca="false">IF(ISBLANK(TK_In!D9),"",TK_In!D9)</f>
        <v>2705</v>
      </c>
      <c r="E262" s="22" t="n">
        <f aca="false">IF(ISBLANK(TK_In!E9),"",TK_In!E9)</f>
        <v>2705</v>
      </c>
      <c r="F262" s="22" t="n">
        <f aca="false">IF(ISBLANK(TK_In!F9),"",TK_In!F9)</f>
        <v>2705</v>
      </c>
      <c r="H262" s="12" t="s">
        <v>1621</v>
      </c>
    </row>
    <row r="263" customFormat="false" ht="17.15" hidden="false" customHeight="false" outlineLevel="0" collapsed="false">
      <c r="A263" s="0" t="s">
        <v>1622</v>
      </c>
      <c r="B263" s="6" t="s">
        <v>1623</v>
      </c>
      <c r="C263" s="6" t="s">
        <v>929</v>
      </c>
      <c r="D263" s="22" t="n">
        <f aca="false">IF(ISBLANK(TK_In!D10),"",TK_In!D10)</f>
        <v>718048</v>
      </c>
      <c r="E263" s="22" t="n">
        <f aca="false">IF(ISBLANK(TK_In!E10),"",TK_In!E10)</f>
        <v>718048</v>
      </c>
      <c r="F263" s="22" t="n">
        <f aca="false">IF(ISBLANK(TK_In!F10),"",TK_In!F10)</f>
        <v>718048</v>
      </c>
      <c r="H263" s="12" t="s">
        <v>1624</v>
      </c>
    </row>
    <row r="264" customFormat="false" ht="17.15" hidden="false" customHeight="false" outlineLevel="0" collapsed="false">
      <c r="A264" s="0" t="s">
        <v>1625</v>
      </c>
      <c r="B264" s="6" t="s">
        <v>1626</v>
      </c>
      <c r="C264" s="6" t="s">
        <v>929</v>
      </c>
      <c r="D264" s="22" t="n">
        <f aca="false">IF(ISBLANK(TK_In!D11),"",TK_In!D11)</f>
        <v>501768</v>
      </c>
      <c r="E264" s="22" t="n">
        <f aca="false">IF(ISBLANK(TK_In!E11),"",TK_In!E11)</f>
        <v>501768</v>
      </c>
      <c r="F264" s="22" t="n">
        <f aca="false">IF(ISBLANK(TK_In!F11),"",TK_In!F11)</f>
        <v>501768</v>
      </c>
      <c r="H264" s="12" t="s">
        <v>1627</v>
      </c>
    </row>
    <row r="265" customFormat="false" ht="17.15" hidden="false" customHeight="false" outlineLevel="0" collapsed="false">
      <c r="A265" s="0" t="s">
        <v>1628</v>
      </c>
      <c r="B265" s="6" t="s">
        <v>1629</v>
      </c>
      <c r="C265" s="6" t="s">
        <v>929</v>
      </c>
      <c r="D265" s="22" t="n">
        <f aca="false">IF(ISBLANK(TK_In!D12),"",TK_In!D12)</f>
        <v>487008</v>
      </c>
      <c r="E265" s="22" t="n">
        <f aca="false">IF(ISBLANK(TK_In!E12),"",TK_In!E12)</f>
        <v>487008</v>
      </c>
      <c r="F265" s="22" t="n">
        <f aca="false">IF(ISBLANK(TK_In!F12),"",TK_In!F12)</f>
        <v>487008</v>
      </c>
      <c r="H265" s="12" t="s">
        <v>1630</v>
      </c>
    </row>
    <row r="266" customFormat="false" ht="17.15" hidden="false" customHeight="false" outlineLevel="0" collapsed="false">
      <c r="A266" s="0" t="s">
        <v>1631</v>
      </c>
      <c r="B266" s="6" t="s">
        <v>1632</v>
      </c>
      <c r="C266" s="6" t="s">
        <v>929</v>
      </c>
      <c r="D266" s="22" t="n">
        <f aca="false">IF(ISBLANK(TK_In!D13),"",TK_In!D13)</f>
        <v>291744</v>
      </c>
      <c r="E266" s="22" t="n">
        <f aca="false">IF(ISBLANK(TK_In!E13),"",TK_In!E13)</f>
        <v>291744</v>
      </c>
      <c r="F266" s="22" t="n">
        <f aca="false">IF(ISBLANK(TK_In!F13),"",TK_In!F13)</f>
        <v>291744</v>
      </c>
      <c r="H266" s="12" t="s">
        <v>1633</v>
      </c>
    </row>
    <row r="267" customFormat="false" ht="17.15" hidden="false" customHeight="false" outlineLevel="0" collapsed="false">
      <c r="A267" s="0" t="s">
        <v>1634</v>
      </c>
      <c r="B267" s="6" t="s">
        <v>1635</v>
      </c>
      <c r="C267" s="6" t="s">
        <v>929</v>
      </c>
      <c r="D267" s="22" t="n">
        <f aca="false">IF(ISBLANK(TK_In!D14),"",TK_In!D14)</f>
        <v>194760</v>
      </c>
      <c r="E267" s="22" t="n">
        <f aca="false">IF(ISBLANK(TK_In!E14),"",TK_In!E14)</f>
        <v>194760</v>
      </c>
      <c r="F267" s="22" t="n">
        <f aca="false">IF(ISBLANK(TK_In!F14),"",TK_In!F14)</f>
        <v>194760</v>
      </c>
      <c r="H267" s="12" t="s">
        <v>1636</v>
      </c>
    </row>
    <row r="268" customFormat="false" ht="17.15" hidden="false" customHeight="false" outlineLevel="0" collapsed="false">
      <c r="A268" s="0" t="s">
        <v>1637</v>
      </c>
      <c r="B268" s="6" t="s">
        <v>1638</v>
      </c>
      <c r="C268" s="0" t="s">
        <v>501</v>
      </c>
      <c r="D268" s="22" t="n">
        <f aca="false">IF(ISBLANK(TK_In!D15),"",TK_In!D15)</f>
        <v>21.4202694</v>
      </c>
      <c r="E268" s="22" t="n">
        <f aca="false">IF(ISBLANK(TK_In!E15),"",TK_In!E15)</f>
        <v>27.510214</v>
      </c>
      <c r="F268" s="22" t="n">
        <f aca="false">IF(ISBLANK(TK_In!F15),"",TK_In!F15)</f>
        <v>34.1207434</v>
      </c>
      <c r="H268" s="12" t="s">
        <v>1639</v>
      </c>
    </row>
    <row r="269" customFormat="false" ht="17.15" hidden="false" customHeight="false" outlineLevel="0" collapsed="false">
      <c r="A269" s="0" t="s">
        <v>1640</v>
      </c>
      <c r="B269" s="6" t="s">
        <v>1641</v>
      </c>
      <c r="C269" s="0" t="s">
        <v>501</v>
      </c>
      <c r="D269" s="22" t="n">
        <f aca="false">IF(ISBLANK(TK_In!D16),"",TK_In!D16)</f>
        <v>20.6393904</v>
      </c>
      <c r="E269" s="22" t="n">
        <f aca="false">IF(ISBLANK(TK_In!E16),"",TK_In!E16)</f>
        <v>24.015174</v>
      </c>
      <c r="F269" s="22" t="n">
        <f aca="false">IF(ISBLANK(TK_In!F16),"",TK_In!F16)</f>
        <v>27.6502044</v>
      </c>
      <c r="H269" s="12" t="s">
        <v>1642</v>
      </c>
    </row>
    <row r="270" customFormat="false" ht="17.15" hidden="false" customHeight="false" outlineLevel="0" collapsed="false">
      <c r="A270" s="0" t="s">
        <v>1643</v>
      </c>
      <c r="B270" s="6" t="s">
        <v>1644</v>
      </c>
      <c r="C270" s="0" t="s">
        <v>501</v>
      </c>
      <c r="D270" s="22" t="n">
        <f aca="false">IF(ISBLANK(TK_In!D17),"",TK_In!D17)</f>
        <v>28.5549024</v>
      </c>
      <c r="E270" s="22" t="n">
        <f aca="false">IF(ISBLANK(TK_In!E17),"",TK_In!E17)</f>
        <v>32.237224</v>
      </c>
      <c r="F270" s="22" t="n">
        <f aca="false">IF(ISBLANK(TK_In!F17),"",TK_In!F17)</f>
        <v>39.2826064</v>
      </c>
      <c r="H270" s="12" t="s">
        <v>1645</v>
      </c>
    </row>
    <row r="271" customFormat="false" ht="17.15" hidden="false" customHeight="false" outlineLevel="0" collapsed="false">
      <c r="A271" s="0" t="s">
        <v>1646</v>
      </c>
      <c r="B271" s="6" t="s">
        <v>1647</v>
      </c>
      <c r="C271" s="0" t="s">
        <v>501</v>
      </c>
      <c r="D271" s="22" t="n">
        <f aca="false">IF(ISBLANK(TK_In!D18),"",TK_In!D18)</f>
        <v>31.9970232</v>
      </c>
      <c r="E271" s="22" t="n">
        <f aca="false">IF(ISBLANK(TK_In!E18),"",TK_In!E18)</f>
        <v>37.586352</v>
      </c>
      <c r="F271" s="22" t="n">
        <f aca="false">IF(ISBLANK(TK_In!F18),"",TK_In!F18)</f>
        <v>42.6375752</v>
      </c>
      <c r="H271" s="12" t="s">
        <v>1648</v>
      </c>
    </row>
    <row r="272" customFormat="false" ht="17.15" hidden="false" customHeight="false" outlineLevel="0" collapsed="false">
      <c r="A272" s="0" t="s">
        <v>1649</v>
      </c>
      <c r="B272" s="6" t="s">
        <v>1650</v>
      </c>
      <c r="C272" s="0" t="s">
        <v>501</v>
      </c>
      <c r="D272" s="22" t="n">
        <f aca="false">IF(ISBLANK(TK_In!D19),"",TK_In!D19)</f>
        <v>35.845578</v>
      </c>
      <c r="E272" s="22" t="n">
        <f aca="false">IF(ISBLANK(TK_In!E19),"",TK_In!E19)</f>
        <v>50.08578</v>
      </c>
      <c r="F272" s="22" t="n">
        <f aca="false">IF(ISBLANK(TK_In!F19),"",TK_In!F19)</f>
        <v>65.481558</v>
      </c>
      <c r="H272" s="12" t="s">
        <v>1651</v>
      </c>
    </row>
    <row r="273" customFormat="false" ht="17.15" hidden="false" customHeight="false" outlineLevel="0" collapsed="false">
      <c r="A273" s="0" t="s">
        <v>1652</v>
      </c>
      <c r="B273" s="6" t="s">
        <v>1653</v>
      </c>
      <c r="C273" s="0" t="s">
        <v>501</v>
      </c>
      <c r="D273" s="22" t="n">
        <f aca="false">IF(ISBLANK(TK_In!D20),"",TK_In!D20)</f>
        <v>10.212</v>
      </c>
      <c r="E273" s="22" t="n">
        <f aca="false">IF(ISBLANK(TK_In!E20),"",TK_In!E20)</f>
        <v>12.67</v>
      </c>
      <c r="F273" s="22" t="n">
        <f aca="false">IF(ISBLANK(TK_In!F20),"",TK_In!F20)</f>
        <v>16.186</v>
      </c>
      <c r="H273" s="12" t="s">
        <v>1654</v>
      </c>
    </row>
    <row r="274" customFormat="false" ht="17.15" hidden="false" customHeight="false" outlineLevel="0" collapsed="false">
      <c r="A274" s="0" t="s">
        <v>1655</v>
      </c>
      <c r="B274" s="6" t="s">
        <v>1656</v>
      </c>
      <c r="C274" s="0" t="s">
        <v>501</v>
      </c>
      <c r="D274" s="22" t="n">
        <f aca="false">IF(ISBLANK(TK_In!D21),"",TK_In!D21)</f>
        <v>10.212</v>
      </c>
      <c r="E274" s="22" t="n">
        <f aca="false">IF(ISBLANK(TK_In!E21),"",TK_In!E21)</f>
        <v>12.67</v>
      </c>
      <c r="F274" s="22" t="n">
        <f aca="false">IF(ISBLANK(TK_In!F21),"",TK_In!F21)</f>
        <v>16.186</v>
      </c>
      <c r="H274" s="12" t="s">
        <v>1657</v>
      </c>
    </row>
    <row r="275" customFormat="false" ht="17.15" hidden="false" customHeight="false" outlineLevel="0" collapsed="false">
      <c r="A275" s="0" t="s">
        <v>1658</v>
      </c>
      <c r="B275" s="6" t="s">
        <v>1659</v>
      </c>
      <c r="C275" s="0" t="s">
        <v>501</v>
      </c>
      <c r="D275" s="22" t="n">
        <f aca="false">IF(ISBLANK(TK_In!D22),"",TK_In!D22)</f>
        <v>10.212</v>
      </c>
      <c r="E275" s="22" t="n">
        <f aca="false">IF(ISBLANK(TK_In!E22),"",TK_In!E22)</f>
        <v>12.67</v>
      </c>
      <c r="F275" s="22" t="n">
        <f aca="false">IF(ISBLANK(TK_In!F22),"",TK_In!F22)</f>
        <v>16.186</v>
      </c>
      <c r="H275" s="12" t="s">
        <v>1660</v>
      </c>
    </row>
    <row r="276" customFormat="false" ht="17.15" hidden="false" customHeight="false" outlineLevel="0" collapsed="false">
      <c r="A276" s="0" t="s">
        <v>1661</v>
      </c>
      <c r="B276" s="6" t="s">
        <v>1662</v>
      </c>
      <c r="C276" s="0" t="s">
        <v>501</v>
      </c>
      <c r="D276" s="22" t="n">
        <f aca="false">IF(ISBLANK(TK_In!D23),"",TK_In!D23)</f>
        <v>10.212</v>
      </c>
      <c r="E276" s="22" t="n">
        <f aca="false">IF(ISBLANK(TK_In!E23),"",TK_In!E23)</f>
        <v>12.67</v>
      </c>
      <c r="F276" s="22" t="n">
        <f aca="false">IF(ISBLANK(TK_In!F23),"",TK_In!F23)</f>
        <v>16.186</v>
      </c>
      <c r="H276" s="12" t="s">
        <v>1663</v>
      </c>
    </row>
    <row r="277" customFormat="false" ht="17.15" hidden="false" customHeight="false" outlineLevel="0" collapsed="false">
      <c r="A277" s="0" t="s">
        <v>1664</v>
      </c>
      <c r="B277" s="6" t="s">
        <v>1665</v>
      </c>
      <c r="C277" s="0" t="s">
        <v>501</v>
      </c>
      <c r="D277" s="22" t="n">
        <f aca="false">IF(ISBLANK(TK_In!D24),"",TK_In!D24)</f>
        <v>10.212</v>
      </c>
      <c r="E277" s="22" t="n">
        <f aca="false">IF(ISBLANK(TK_In!E24),"",TK_In!E24)</f>
        <v>12.67</v>
      </c>
      <c r="F277" s="22" t="n">
        <f aca="false">IF(ISBLANK(TK_In!F24),"",TK_In!F24)</f>
        <v>16.186</v>
      </c>
      <c r="H277" s="12" t="s">
        <v>1666</v>
      </c>
    </row>
    <row r="278" customFormat="false" ht="17.15" hidden="false" customHeight="false" outlineLevel="0" collapsed="false">
      <c r="A278" s="0" t="s">
        <v>1667</v>
      </c>
      <c r="B278" s="6" t="s">
        <v>1668</v>
      </c>
      <c r="C278" s="0" t="s">
        <v>501</v>
      </c>
      <c r="D278" s="22" t="n">
        <f aca="false">IF(ISBLANK(TK_In!D25),"",TK_In!D25)</f>
        <v>31.6322694</v>
      </c>
      <c r="E278" s="22" t="n">
        <f aca="false">IF(ISBLANK(TK_In!E25),"",TK_In!E25)</f>
        <v>40.180214</v>
      </c>
      <c r="F278" s="22" t="n">
        <f aca="false">IF(ISBLANK(TK_In!F25),"",TK_In!F25)</f>
        <v>50.3067434</v>
      </c>
      <c r="H278" s="12" t="s">
        <v>1669</v>
      </c>
    </row>
    <row r="279" customFormat="false" ht="17.15" hidden="false" customHeight="false" outlineLevel="0" collapsed="false">
      <c r="A279" s="0" t="s">
        <v>1670</v>
      </c>
      <c r="B279" s="6" t="s">
        <v>1671</v>
      </c>
      <c r="C279" s="0" t="s">
        <v>501</v>
      </c>
      <c r="D279" s="22" t="n">
        <f aca="false">IF(ISBLANK(TK_In!D26),"",TK_In!D26)</f>
        <v>30.8513904</v>
      </c>
      <c r="E279" s="22" t="n">
        <f aca="false">IF(ISBLANK(TK_In!E26),"",TK_In!E26)</f>
        <v>36.685174</v>
      </c>
      <c r="F279" s="22" t="n">
        <f aca="false">IF(ISBLANK(TK_In!F26),"",TK_In!F26)</f>
        <v>43.8362044</v>
      </c>
      <c r="H279" s="12" t="s">
        <v>1672</v>
      </c>
    </row>
    <row r="280" customFormat="false" ht="17.15" hidden="false" customHeight="false" outlineLevel="0" collapsed="false">
      <c r="A280" s="0" t="s">
        <v>1673</v>
      </c>
      <c r="B280" s="6" t="s">
        <v>1674</v>
      </c>
      <c r="C280" s="0" t="s">
        <v>501</v>
      </c>
      <c r="D280" s="22" t="n">
        <f aca="false">IF(ISBLANK(TK_In!D27),"",TK_In!D27)</f>
        <v>38.7669024</v>
      </c>
      <c r="E280" s="22" t="n">
        <f aca="false">IF(ISBLANK(TK_In!E27),"",TK_In!E27)</f>
        <v>44.907224</v>
      </c>
      <c r="F280" s="22" t="n">
        <f aca="false">IF(ISBLANK(TK_In!F27),"",TK_In!F27)</f>
        <v>55.4686064</v>
      </c>
      <c r="H280" s="12" t="s">
        <v>1675</v>
      </c>
    </row>
    <row r="281" customFormat="false" ht="17.15" hidden="false" customHeight="false" outlineLevel="0" collapsed="false">
      <c r="A281" s="0" t="s">
        <v>1676</v>
      </c>
      <c r="B281" s="6" t="s">
        <v>1677</v>
      </c>
      <c r="C281" s="0" t="s">
        <v>501</v>
      </c>
      <c r="D281" s="22" t="n">
        <f aca="false">IF(ISBLANK(TK_In!D28),"",TK_In!D28)</f>
        <v>42.2090232</v>
      </c>
      <c r="E281" s="22" t="n">
        <f aca="false">IF(ISBLANK(TK_In!E28),"",TK_In!E28)</f>
        <v>50.256352</v>
      </c>
      <c r="F281" s="22" t="n">
        <f aca="false">IF(ISBLANK(TK_In!F28),"",TK_In!F28)</f>
        <v>58.8235752</v>
      </c>
      <c r="H281" s="12" t="s">
        <v>1678</v>
      </c>
    </row>
    <row r="282" customFormat="false" ht="17.15" hidden="false" customHeight="false" outlineLevel="0" collapsed="false">
      <c r="A282" s="0" t="s">
        <v>1679</v>
      </c>
      <c r="B282" s="6" t="s">
        <v>1680</v>
      </c>
      <c r="C282" s="0" t="s">
        <v>501</v>
      </c>
      <c r="D282" s="22" t="n">
        <f aca="false">IF(ISBLANK(TK_In!D29),"",TK_In!D29)</f>
        <v>46.057578</v>
      </c>
      <c r="E282" s="22" t="n">
        <f aca="false">IF(ISBLANK(TK_In!E29),"",TK_In!E29)</f>
        <v>62.75578</v>
      </c>
      <c r="F282" s="22" t="n">
        <f aca="false">IF(ISBLANK(TK_In!F29),"",TK_In!F29)</f>
        <v>81.667558</v>
      </c>
      <c r="H282" s="12" t="s">
        <v>1681</v>
      </c>
    </row>
    <row r="283" customFormat="false" ht="17.15" hidden="false" customHeight="false" outlineLevel="0" collapsed="false">
      <c r="A283" s="0" t="s">
        <v>1682</v>
      </c>
      <c r="B283" s="6" t="s">
        <v>1683</v>
      </c>
      <c r="C283" s="0" t="s">
        <v>960</v>
      </c>
      <c r="D283" s="22" t="n">
        <f aca="false">IF(ISBLANK(TK_In!D30),"",TK_In!D30)</f>
        <v>0.9</v>
      </c>
      <c r="E283" s="22" t="n">
        <f aca="false">IF(ISBLANK(TK_In!E30),"",TK_In!E30)</f>
        <v>1.1</v>
      </c>
      <c r="F283" s="22" t="n">
        <f aca="false">IF(ISBLANK(TK_In!F30),"",TK_In!F30)</f>
        <v>1.3</v>
      </c>
      <c r="H283" s="12" t="s">
        <v>1684</v>
      </c>
    </row>
    <row r="284" customFormat="false" ht="17.15" hidden="false" customHeight="false" outlineLevel="0" collapsed="false">
      <c r="A284" s="0" t="s">
        <v>1685</v>
      </c>
      <c r="B284" s="6" t="s">
        <v>1686</v>
      </c>
      <c r="C284" s="0" t="s">
        <v>960</v>
      </c>
      <c r="D284" s="22" t="n">
        <f aca="false">IF(ISBLANK(TK_In!D31),"",TK_In!D31)</f>
        <v>2.8</v>
      </c>
      <c r="E284" s="22" t="n">
        <f aca="false">IF(ISBLANK(TK_In!E31),"",TK_In!E31)</f>
        <v>3.1</v>
      </c>
      <c r="F284" s="22" t="n">
        <f aca="false">IF(ISBLANK(TK_In!F31),"",TK_In!F31)</f>
        <v>3.4</v>
      </c>
      <c r="H284" s="12" t="s">
        <v>1687</v>
      </c>
    </row>
    <row r="285" customFormat="false" ht="17.15" hidden="false" customHeight="false" outlineLevel="0" collapsed="false">
      <c r="A285" s="0" t="s">
        <v>1688</v>
      </c>
      <c r="B285" s="6" t="s">
        <v>1689</v>
      </c>
      <c r="C285" s="0" t="s">
        <v>960</v>
      </c>
      <c r="D285" s="22" t="n">
        <f aca="false">IF(ISBLANK(TK_In!D32),"",TK_In!D32)</f>
        <v>4</v>
      </c>
      <c r="E285" s="22" t="n">
        <f aca="false">IF(ISBLANK(TK_In!E32),"",TK_In!E32)</f>
        <v>4.3</v>
      </c>
      <c r="F285" s="22" t="n">
        <f aca="false">IF(ISBLANK(TK_In!F32),"",TK_In!F32)</f>
        <v>5</v>
      </c>
      <c r="H285" s="12" t="s">
        <v>1690</v>
      </c>
    </row>
    <row r="286" customFormat="false" ht="17.15" hidden="false" customHeight="false" outlineLevel="0" collapsed="false">
      <c r="A286" s="0" t="s">
        <v>1691</v>
      </c>
      <c r="B286" s="6" t="s">
        <v>1692</v>
      </c>
      <c r="C286" s="0" t="s">
        <v>960</v>
      </c>
      <c r="D286" s="22" t="n">
        <f aca="false">IF(ISBLANK(TK_In!D33),"",TK_In!D33)</f>
        <v>7.5</v>
      </c>
      <c r="E286" s="22" t="n">
        <f aca="false">IF(ISBLANK(TK_In!E33),"",TK_In!E33)</f>
        <v>8.4</v>
      </c>
      <c r="F286" s="22" t="n">
        <f aca="false">IF(ISBLANK(TK_In!F33),"",TK_In!F33)</f>
        <v>9.1</v>
      </c>
      <c r="H286" s="12" t="s">
        <v>1693</v>
      </c>
    </row>
    <row r="287" customFormat="false" ht="17.15" hidden="false" customHeight="false" outlineLevel="0" collapsed="false">
      <c r="A287" s="0" t="s">
        <v>1694</v>
      </c>
      <c r="B287" s="6" t="s">
        <v>1695</v>
      </c>
      <c r="C287" s="0" t="s">
        <v>960</v>
      </c>
      <c r="D287" s="22" t="n">
        <f aca="false">IF(ISBLANK(TK_In!D34),"",TK_In!D34)</f>
        <v>12.6</v>
      </c>
      <c r="E287" s="22" t="n">
        <f aca="false">IF(ISBLANK(TK_In!E34),"",TK_In!E34)</f>
        <v>16.8</v>
      </c>
      <c r="F287" s="22" t="n">
        <f aca="false">IF(ISBLANK(TK_In!F34),"",TK_In!F34)</f>
        <v>21</v>
      </c>
      <c r="H287" s="12" t="s">
        <v>1696</v>
      </c>
    </row>
    <row r="288" customFormat="false" ht="17.15" hidden="false" customHeight="false" outlineLevel="0" collapsed="false">
      <c r="A288" s="0" t="s">
        <v>1697</v>
      </c>
      <c r="B288" s="0" t="s">
        <v>1698</v>
      </c>
      <c r="C288" s="6" t="s">
        <v>969</v>
      </c>
      <c r="D288" s="22" t="n">
        <f aca="false">IF(ISBLANK(TK_In!D35),"",TK_In!D35)</f>
        <v>0.05</v>
      </c>
      <c r="E288" s="22" t="n">
        <f aca="false">IF(ISBLANK(TK_In!E35),"",TK_In!E35)</f>
        <v>0.1</v>
      </c>
      <c r="F288" s="22" t="n">
        <f aca="false">IF(ISBLANK(TK_In!F35),"",TK_In!F35)</f>
        <v>0.15</v>
      </c>
      <c r="H288" s="12" t="s">
        <v>1699</v>
      </c>
    </row>
    <row r="289" customFormat="false" ht="17.15" hidden="false" customHeight="false" outlineLevel="0" collapsed="false">
      <c r="A289" s="0" t="s">
        <v>1700</v>
      </c>
      <c r="B289" s="0" t="s">
        <v>1701</v>
      </c>
      <c r="C289" s="6" t="s">
        <v>969</v>
      </c>
      <c r="D289" s="22" t="n">
        <f aca="false">IF(ISBLANK(TK_In!D36),"",TK_In!D36)</f>
        <v>0.05</v>
      </c>
      <c r="E289" s="22" t="n">
        <f aca="false">IF(ISBLANK(TK_In!E36),"",TK_In!E36)</f>
        <v>0.1</v>
      </c>
      <c r="F289" s="22" t="n">
        <f aca="false">IF(ISBLANK(TK_In!F36),"",TK_In!F36)</f>
        <v>0.15</v>
      </c>
      <c r="H289" s="12" t="s">
        <v>1702</v>
      </c>
    </row>
    <row r="290" customFormat="false" ht="17.15" hidden="false" customHeight="false" outlineLevel="0" collapsed="false">
      <c r="A290" s="0" t="s">
        <v>1703</v>
      </c>
      <c r="B290" s="0" t="s">
        <v>1704</v>
      </c>
      <c r="C290" s="6" t="s">
        <v>969</v>
      </c>
      <c r="D290" s="22" t="n">
        <f aca="false">IF(ISBLANK(TK_In!D37),"",TK_In!D37)</f>
        <v>0.05</v>
      </c>
      <c r="E290" s="22" t="n">
        <f aca="false">IF(ISBLANK(TK_In!E37),"",TK_In!E37)</f>
        <v>0.1</v>
      </c>
      <c r="F290" s="22" t="n">
        <f aca="false">IF(ISBLANK(TK_In!F37),"",TK_In!F37)</f>
        <v>0.15</v>
      </c>
      <c r="H290" s="12" t="s">
        <v>1705</v>
      </c>
    </row>
    <row r="291" customFormat="false" ht="17.15" hidden="false" customHeight="false" outlineLevel="0" collapsed="false">
      <c r="A291" s="0" t="s">
        <v>1706</v>
      </c>
      <c r="B291" s="0" t="s">
        <v>1707</v>
      </c>
      <c r="C291" s="6" t="s">
        <v>969</v>
      </c>
      <c r="D291" s="22" t="n">
        <f aca="false">IF(ISBLANK(TK_In!D38),"",TK_In!D38)</f>
        <v>0.05</v>
      </c>
      <c r="E291" s="22" t="n">
        <f aca="false">IF(ISBLANK(TK_In!E38),"",TK_In!E38)</f>
        <v>0.1</v>
      </c>
      <c r="F291" s="22" t="n">
        <f aca="false">IF(ISBLANK(TK_In!F38),"",TK_In!F38)</f>
        <v>0.15</v>
      </c>
      <c r="H291" s="12" t="s">
        <v>1708</v>
      </c>
    </row>
    <row r="292" customFormat="false" ht="17.15" hidden="false" customHeight="false" outlineLevel="0" collapsed="false">
      <c r="A292" s="0" t="s">
        <v>1709</v>
      </c>
      <c r="B292" s="0" t="s">
        <v>1710</v>
      </c>
      <c r="C292" s="6" t="s">
        <v>969</v>
      </c>
      <c r="D292" s="22" t="n">
        <f aca="false">IF(ISBLANK(TK_In!D39),"",TK_In!D39)</f>
        <v>0.05</v>
      </c>
      <c r="E292" s="22" t="n">
        <f aca="false">IF(ISBLANK(TK_In!E39),"",TK_In!E39)</f>
        <v>0.1</v>
      </c>
      <c r="F292" s="22" t="n">
        <f aca="false">IF(ISBLANK(TK_In!F39),"",TK_In!F39)</f>
        <v>0.15</v>
      </c>
      <c r="H292" s="12" t="s">
        <v>1711</v>
      </c>
    </row>
    <row r="293" customFormat="false" ht="17.15" hidden="false" customHeight="false" outlineLevel="0" collapsed="false">
      <c r="A293" s="0" t="s">
        <v>1712</v>
      </c>
      <c r="B293" s="6" t="s">
        <v>1713</v>
      </c>
      <c r="C293" s="0" t="s">
        <v>978</v>
      </c>
      <c r="D293" s="22" t="n">
        <f aca="false">IF(ISBLANK(TK_In!D40),"",TK_In!D40)</f>
        <v>300</v>
      </c>
      <c r="E293" s="22" t="n">
        <f aca="false">IF(ISBLANK(TK_In!E40),"",TK_In!E40)</f>
        <v>500</v>
      </c>
      <c r="F293" s="22" t="n">
        <f aca="false">IF(ISBLANK(TK_In!F40),"",TK_In!F40)</f>
        <v>800</v>
      </c>
      <c r="H293" s="12" t="s">
        <v>1714</v>
      </c>
    </row>
    <row r="294" customFormat="false" ht="17.15" hidden="false" customHeight="false" outlineLevel="0" collapsed="false">
      <c r="A294" s="0" t="s">
        <v>1715</v>
      </c>
      <c r="B294" s="6" t="s">
        <v>1716</v>
      </c>
      <c r="C294" s="0" t="s">
        <v>978</v>
      </c>
      <c r="D294" s="22" t="n">
        <f aca="false">IF(ISBLANK(TK_In!D41),"",TK_In!D41)</f>
        <v>300</v>
      </c>
      <c r="E294" s="22" t="n">
        <f aca="false">IF(ISBLANK(TK_In!E41),"",TK_In!E41)</f>
        <v>500</v>
      </c>
      <c r="F294" s="22" t="n">
        <f aca="false">IF(ISBLANK(TK_In!F41),"",TK_In!F41)</f>
        <v>800</v>
      </c>
      <c r="H294" s="12" t="s">
        <v>1717</v>
      </c>
    </row>
    <row r="295" customFormat="false" ht="17.15" hidden="false" customHeight="false" outlineLevel="0" collapsed="false">
      <c r="A295" s="0" t="s">
        <v>1718</v>
      </c>
      <c r="B295" s="6" t="s">
        <v>1719</v>
      </c>
      <c r="C295" s="0" t="s">
        <v>978</v>
      </c>
      <c r="D295" s="22" t="n">
        <f aca="false">IF(ISBLANK(TK_In!D42),"",TK_In!D42)</f>
        <v>300</v>
      </c>
      <c r="E295" s="22" t="n">
        <f aca="false">IF(ISBLANK(TK_In!E42),"",TK_In!E42)</f>
        <v>500</v>
      </c>
      <c r="F295" s="22" t="n">
        <f aca="false">IF(ISBLANK(TK_In!F42),"",TK_In!F42)</f>
        <v>800</v>
      </c>
      <c r="H295" s="12" t="s">
        <v>1720</v>
      </c>
    </row>
    <row r="296" customFormat="false" ht="17.15" hidden="false" customHeight="false" outlineLevel="0" collapsed="false">
      <c r="A296" s="0" t="s">
        <v>1721</v>
      </c>
      <c r="B296" s="6" t="s">
        <v>1722</v>
      </c>
      <c r="C296" s="0" t="s">
        <v>978</v>
      </c>
      <c r="D296" s="22" t="n">
        <f aca="false">IF(ISBLANK(TK_In!D43),"",TK_In!D43)</f>
        <v>300</v>
      </c>
      <c r="E296" s="22" t="n">
        <f aca="false">IF(ISBLANK(TK_In!E43),"",TK_In!E43)</f>
        <v>500</v>
      </c>
      <c r="F296" s="22" t="n">
        <f aca="false">IF(ISBLANK(TK_In!F43),"",TK_In!F43)</f>
        <v>800</v>
      </c>
      <c r="H296" s="12" t="s">
        <v>1723</v>
      </c>
    </row>
    <row r="297" customFormat="false" ht="17.15" hidden="false" customHeight="false" outlineLevel="0" collapsed="false">
      <c r="A297" s="0" t="s">
        <v>1724</v>
      </c>
      <c r="B297" s="6" t="s">
        <v>1725</v>
      </c>
      <c r="C297" s="0" t="s">
        <v>978</v>
      </c>
      <c r="D297" s="22" t="n">
        <f aca="false">IF(ISBLANK(TK_In!D44),"",TK_In!D44)</f>
        <v>300</v>
      </c>
      <c r="E297" s="22" t="n">
        <f aca="false">IF(ISBLANK(TK_In!E44),"",TK_In!E44)</f>
        <v>500</v>
      </c>
      <c r="F297" s="22" t="n">
        <f aca="false">IF(ISBLANK(TK_In!F44),"",TK_In!F44)</f>
        <v>800</v>
      </c>
      <c r="H297" s="12" t="s">
        <v>1726</v>
      </c>
    </row>
    <row r="298" customFormat="false" ht="17.15" hidden="false" customHeight="false" outlineLevel="0" collapsed="false">
      <c r="A298" s="0" t="s">
        <v>1727</v>
      </c>
      <c r="B298" s="0" t="s">
        <v>985</v>
      </c>
      <c r="C298" s="6" t="s">
        <v>987</v>
      </c>
      <c r="D298" s="22" t="n">
        <f aca="false">IF(ISBLANK(TK_In!D45),"",TK_In!D45)</f>
        <v>0.7</v>
      </c>
      <c r="E298" s="22" t="n">
        <f aca="false">IF(ISBLANK(TK_In!E45),"",TK_In!E45)</f>
        <v>0.8</v>
      </c>
      <c r="F298" s="22" t="n">
        <f aca="false">IF(ISBLANK(TK_In!F45),"",TK_In!F45)</f>
        <v>1.15</v>
      </c>
      <c r="H298" s="12" t="s">
        <v>1728</v>
      </c>
    </row>
    <row r="299" customFormat="false" ht="17.15" hidden="false" customHeight="false" outlineLevel="0" collapsed="false">
      <c r="A299" s="0" t="s">
        <v>1729</v>
      </c>
      <c r="B299" s="0" t="s">
        <v>991</v>
      </c>
      <c r="C299" s="6" t="s">
        <v>987</v>
      </c>
      <c r="D299" s="22" t="n">
        <f aca="false">IF(ISBLANK(TK_In!D46),"",TK_In!D46)</f>
        <v>0.6</v>
      </c>
      <c r="E299" s="22" t="n">
        <f aca="false">IF(ISBLANK(TK_In!E46),"",TK_In!E46)</f>
        <v>0.8</v>
      </c>
      <c r="F299" s="22" t="n">
        <f aca="false">IF(ISBLANK(TK_In!F46),"",TK_In!F46)</f>
        <v>1.1</v>
      </c>
      <c r="H299" s="12" t="s">
        <v>1730</v>
      </c>
    </row>
    <row r="300" customFormat="false" ht="17.15" hidden="false" customHeight="false" outlineLevel="0" collapsed="false">
      <c r="A300" s="0" t="s">
        <v>1731</v>
      </c>
      <c r="B300" s="0" t="s">
        <v>995</v>
      </c>
      <c r="C300" s="6" t="s">
        <v>987</v>
      </c>
      <c r="D300" s="22" t="n">
        <f aca="false">IF(ISBLANK(TK_In!D47),"",TK_In!D47)</f>
        <v>0.3</v>
      </c>
      <c r="E300" s="22" t="n">
        <f aca="false">IF(ISBLANK(TK_In!E47),"",TK_In!E47)</f>
        <v>0.5</v>
      </c>
      <c r="F300" s="22" t="n">
        <f aca="false">IF(ISBLANK(TK_In!F47),"",TK_In!F47)</f>
        <v>0.8</v>
      </c>
      <c r="H300" s="12" t="s">
        <v>1732</v>
      </c>
    </row>
    <row r="301" customFormat="false" ht="17.15" hidden="false" customHeight="false" outlineLevel="0" collapsed="false">
      <c r="A301" s="0" t="s">
        <v>1733</v>
      </c>
      <c r="B301" s="0" t="s">
        <v>999</v>
      </c>
      <c r="C301" s="6" t="s">
        <v>987</v>
      </c>
      <c r="D301" s="22" t="n">
        <f aca="false">IF(ISBLANK(TK_In!D48),"",TK_In!D48)</f>
        <v>0.2</v>
      </c>
      <c r="E301" s="22" t="n">
        <f aca="false">IF(ISBLANK(TK_In!E48),"",TK_In!E48)</f>
        <v>0.4</v>
      </c>
      <c r="F301" s="22" t="n">
        <f aca="false">IF(ISBLANK(TK_In!F48),"",TK_In!F48)</f>
        <v>0.8</v>
      </c>
      <c r="H301" s="12" t="s">
        <v>1734</v>
      </c>
    </row>
    <row r="302" customFormat="false" ht="17.15" hidden="false" customHeight="false" outlineLevel="0" collapsed="false">
      <c r="A302" s="0" t="s">
        <v>1735</v>
      </c>
      <c r="B302" s="0" t="s">
        <v>1003</v>
      </c>
      <c r="C302" s="6" t="s">
        <v>987</v>
      </c>
      <c r="D302" s="22" t="n">
        <f aca="false">IF(ISBLANK(TK_In!D49),"",TK_In!D49)</f>
        <v>0.4</v>
      </c>
      <c r="E302" s="22" t="n">
        <f aca="false">IF(ISBLANK(TK_In!E49),"",TK_In!E49)</f>
        <v>0.6</v>
      </c>
      <c r="F302" s="22" t="n">
        <f aca="false">IF(ISBLANK(TK_In!F49),"",TK_In!F49)</f>
        <v>0.9</v>
      </c>
      <c r="H302" s="12" t="s">
        <v>1736</v>
      </c>
    </row>
    <row r="303" customFormat="false" ht="17.15" hidden="false" customHeight="false" outlineLevel="0" collapsed="false">
      <c r="A303" s="0" t="s">
        <v>1737</v>
      </c>
      <c r="B303" s="6" t="s">
        <v>1007</v>
      </c>
      <c r="C303" s="6" t="s">
        <v>987</v>
      </c>
      <c r="D303" s="22" t="n">
        <f aca="false">IF(ISBLANK(TK_In!D50),"",TK_In!D50)</f>
        <v>0.05</v>
      </c>
      <c r="E303" s="22" t="n">
        <f aca="false">IF(ISBLANK(TK_In!E50),"",TK_In!E50)</f>
        <v>0.08</v>
      </c>
      <c r="F303" s="22" t="n">
        <f aca="false">IF(ISBLANK(TK_In!F50),"",TK_In!F50)</f>
        <v>0.15</v>
      </c>
      <c r="H303" s="12" t="s">
        <v>1738</v>
      </c>
    </row>
    <row r="304" customFormat="false" ht="17.15" hidden="false" customHeight="false" outlineLevel="0" collapsed="false">
      <c r="A304" s="0" t="s">
        <v>1739</v>
      </c>
      <c r="B304" s="0" t="s">
        <v>1011</v>
      </c>
      <c r="C304" s="6" t="s">
        <v>987</v>
      </c>
      <c r="D304" s="22" t="n">
        <f aca="false">IF(ISBLANK(TK_In!D51),"",TK_In!D51)</f>
        <v>0.25</v>
      </c>
      <c r="E304" s="22" t="n">
        <f aca="false">IF(ISBLANK(TK_In!E51),"",TK_In!E51)</f>
        <v>0.55</v>
      </c>
      <c r="F304" s="22" t="n">
        <f aca="false">IF(ISBLANK(TK_In!F51),"",TK_In!F51)</f>
        <v>0.75</v>
      </c>
      <c r="H304" s="12" t="s">
        <v>1740</v>
      </c>
    </row>
    <row r="305" customFormat="false" ht="17.15" hidden="false" customHeight="false" outlineLevel="0" collapsed="false">
      <c r="A305" s="0" t="s">
        <v>1741</v>
      </c>
      <c r="B305" s="0" t="s">
        <v>1015</v>
      </c>
      <c r="C305" s="6" t="s">
        <v>987</v>
      </c>
      <c r="D305" s="22" t="n">
        <f aca="false">IF(ISBLANK(TK_In!D52),"",TK_In!D52)</f>
        <v>0.67</v>
      </c>
      <c r="E305" s="22" t="n">
        <f aca="false">IF(ISBLANK(TK_In!E52),"",TK_In!E52)</f>
        <v>0.85</v>
      </c>
      <c r="F305" s="22" t="n">
        <f aca="false">IF(ISBLANK(TK_In!F52),"",TK_In!F52)</f>
        <v>1.12</v>
      </c>
      <c r="H305" s="12" t="s">
        <v>1742</v>
      </c>
    </row>
    <row r="306" customFormat="false" ht="17.15" hidden="false" customHeight="false" outlineLevel="0" collapsed="false">
      <c r="A306" s="0" t="s">
        <v>1743</v>
      </c>
      <c r="B306" s="0" t="s">
        <v>1019</v>
      </c>
      <c r="C306" s="6" t="s">
        <v>987</v>
      </c>
      <c r="D306" s="22" t="n">
        <f aca="false">IF(ISBLANK(TK_In!D53),"",TK_In!D53)</f>
        <v>0.65</v>
      </c>
      <c r="E306" s="22" t="n">
        <f aca="false">IF(ISBLANK(TK_In!E53),"",TK_In!E53)</f>
        <v>0.7</v>
      </c>
      <c r="F306" s="22" t="n">
        <f aca="false">IF(ISBLANK(TK_In!F53),"",TK_In!F53)</f>
        <v>0.9</v>
      </c>
      <c r="H306" s="12" t="s">
        <v>1744</v>
      </c>
    </row>
    <row r="307" customFormat="false" ht="17.15" hidden="false" customHeight="false" outlineLevel="0" collapsed="false">
      <c r="A307" s="0" t="s">
        <v>1745</v>
      </c>
      <c r="B307" s="0" t="s">
        <v>1023</v>
      </c>
      <c r="C307" s="6" t="s">
        <v>987</v>
      </c>
      <c r="D307" s="22" t="n">
        <f aca="false">IF(ISBLANK(TK_In!D54),"",TK_In!D54)</f>
        <v>0.45</v>
      </c>
      <c r="E307" s="22" t="n">
        <f aca="false">IF(ISBLANK(TK_In!E54),"",TK_In!E54)</f>
        <v>0.61</v>
      </c>
      <c r="F307" s="22" t="n">
        <f aca="false">IF(ISBLANK(TK_In!F54),"",TK_In!F54)</f>
        <v>0.7</v>
      </c>
      <c r="H307" s="12" t="s">
        <v>1746</v>
      </c>
    </row>
    <row r="308" customFormat="false" ht="17.15" hidden="false" customHeight="false" outlineLevel="0" collapsed="false">
      <c r="A308" s="0" t="s">
        <v>1747</v>
      </c>
      <c r="B308" s="0" t="s">
        <v>1027</v>
      </c>
      <c r="C308" s="6" t="s">
        <v>987</v>
      </c>
      <c r="D308" s="22" t="n">
        <f aca="false">IF(ISBLANK(TK_In!D55),"",TK_In!D55)</f>
        <v>0.8</v>
      </c>
      <c r="E308" s="22" t="n">
        <f aca="false">IF(ISBLANK(TK_In!E55),"",TK_In!E55)</f>
        <v>1</v>
      </c>
      <c r="F308" s="22" t="n">
        <f aca="false">IF(ISBLANK(TK_In!F55),"",TK_In!F55)</f>
        <v>1.2</v>
      </c>
      <c r="H308" s="12" t="s">
        <v>1748</v>
      </c>
    </row>
    <row r="309" customFormat="false" ht="17.15" hidden="false" customHeight="false" outlineLevel="0" collapsed="false">
      <c r="A309" s="0" t="s">
        <v>1749</v>
      </c>
      <c r="B309" s="0" t="s">
        <v>1031</v>
      </c>
      <c r="C309" s="6" t="s">
        <v>987</v>
      </c>
      <c r="D309" s="22" t="n">
        <f aca="false">IF(ISBLANK(TK_In!D56),"",TK_In!D56)</f>
        <v>0.7</v>
      </c>
      <c r="E309" s="22" t="n">
        <f aca="false">IF(ISBLANK(TK_In!E56),"",TK_In!E56)</f>
        <v>0.8</v>
      </c>
      <c r="F309" s="22" t="n">
        <f aca="false">IF(ISBLANK(TK_In!F56),"",TK_In!F56)</f>
        <v>1</v>
      </c>
      <c r="H309" s="12" t="s">
        <v>1750</v>
      </c>
    </row>
    <row r="310" customFormat="false" ht="17.15" hidden="false" customHeight="false" outlineLevel="0" collapsed="false">
      <c r="A310" s="0" t="s">
        <v>1751</v>
      </c>
      <c r="B310" s="6" t="s">
        <v>1035</v>
      </c>
      <c r="C310" s="6" t="s">
        <v>987</v>
      </c>
      <c r="D310" s="22" t="n">
        <f aca="false">IF(ISBLANK(TK_In!D57),"",TK_In!D57)</f>
        <v>0.45</v>
      </c>
      <c r="E310" s="22" t="n">
        <f aca="false">IF(ISBLANK(TK_In!E57),"",TK_In!E57)</f>
        <v>0.55</v>
      </c>
      <c r="F310" s="22" t="n">
        <f aca="false">IF(ISBLANK(TK_In!F57),"",TK_In!F57)</f>
        <v>0.7</v>
      </c>
      <c r="H310" s="12" t="s">
        <v>1752</v>
      </c>
    </row>
    <row r="311" customFormat="false" ht="17.15" hidden="false" customHeight="false" outlineLevel="0" collapsed="false">
      <c r="A311" s="0" t="s">
        <v>1753</v>
      </c>
      <c r="B311" s="0" t="s">
        <v>1039</v>
      </c>
      <c r="C311" s="6" t="s">
        <v>987</v>
      </c>
      <c r="D311" s="22" t="n">
        <f aca="false">IF(ISBLANK(TK_In!D58),"",TK_In!D58)</f>
        <v>0.4</v>
      </c>
      <c r="E311" s="22" t="n">
        <f aca="false">IF(ISBLANK(TK_In!E58),"",TK_In!E58)</f>
        <v>0.5</v>
      </c>
      <c r="F311" s="22" t="n">
        <f aca="false">IF(ISBLANK(TK_In!F58),"",TK_In!F58)</f>
        <v>0.6</v>
      </c>
      <c r="H311" s="12" t="s">
        <v>1754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1755</v>
      </c>
    </row>
    <row r="3" customFormat="false" ht="15" hidden="false" customHeight="false" outlineLevel="0" collapsed="false">
      <c r="A3" s="5" t="s">
        <v>1044</v>
      </c>
      <c r="B3" s="4" t="s">
        <v>38</v>
      </c>
      <c r="C3" s="4" t="s">
        <v>1756</v>
      </c>
      <c r="D3" s="4" t="s">
        <v>1757</v>
      </c>
      <c r="E3" s="4" t="s">
        <v>1758</v>
      </c>
      <c r="F3" s="4" t="s">
        <v>1759</v>
      </c>
      <c r="G3" s="4" t="s">
        <v>1051</v>
      </c>
      <c r="H3" s="4" t="s">
        <v>33</v>
      </c>
    </row>
    <row r="4" customFormat="false" ht="17.15" hidden="false" customHeight="false" outlineLevel="0" collapsed="false">
      <c r="A4" s="0" t="s">
        <v>1760</v>
      </c>
      <c r="B4" s="0" t="s">
        <v>1761</v>
      </c>
      <c r="C4" s="21" t="n">
        <f aca="false">Mkt!C33</f>
        <v>35</v>
      </c>
      <c r="D4" s="0" t="n">
        <v>35</v>
      </c>
      <c r="E4" s="12" t="n">
        <f aca="false">IF(ISNUMBER(D4),C4-D4,"")</f>
        <v>0</v>
      </c>
      <c r="F4" s="0" t="str">
        <f aca="false">IF(NOT(ISNUMBER(D4)),"WARN",IF(ABS(E4)&lt;0.000000001,"OK","ERROR"))</f>
        <v>OK</v>
      </c>
      <c r="G4" s="6" t="s">
        <v>1762</v>
      </c>
      <c r="H4" s="12" t="s">
        <v>1763</v>
      </c>
    </row>
    <row r="5" customFormat="false" ht="17.15" hidden="false" customHeight="false" outlineLevel="0" collapsed="false">
      <c r="A5" s="0" t="s">
        <v>1764</v>
      </c>
      <c r="B5" s="0" t="s">
        <v>1765</v>
      </c>
      <c r="C5" s="21" t="n">
        <f aca="false">Mkt!D33</f>
        <v>55.227347</v>
      </c>
      <c r="D5" s="0" t="n">
        <v>55.227347</v>
      </c>
      <c r="E5" s="12" t="n">
        <f aca="false">IF(ISNUMBER(D5),C5-D5,"")</f>
        <v>0</v>
      </c>
      <c r="F5" s="0" t="str">
        <f aca="false">IF(NOT(ISNUMBER(D5)),"WARN",IF(ABS(E5)&lt;0.000000001,"OK","ERROR"))</f>
        <v>OK</v>
      </c>
      <c r="G5" s="6" t="s">
        <v>1762</v>
      </c>
      <c r="H5" s="12" t="s">
        <v>1763</v>
      </c>
    </row>
    <row r="6" customFormat="false" ht="17.15" hidden="false" customHeight="false" outlineLevel="0" collapsed="false">
      <c r="A6" s="0" t="s">
        <v>1766</v>
      </c>
      <c r="B6" s="0" t="s">
        <v>1767</v>
      </c>
      <c r="C6" s="21" t="n">
        <f aca="false">Mkt!E33</f>
        <v>154.08429813</v>
      </c>
      <c r="D6" s="0" t="n">
        <v>154.08429813</v>
      </c>
      <c r="E6" s="12" t="n">
        <f aca="false">IF(ISNUMBER(D6),C6-D6,"")</f>
        <v>0</v>
      </c>
      <c r="F6" s="0" t="str">
        <f aca="false">IF(NOT(ISNUMBER(D6)),"WARN",IF(ABS(E6)&lt;0.000000001,"OK","ERROR"))</f>
        <v>OK</v>
      </c>
      <c r="G6" s="6" t="s">
        <v>1762</v>
      </c>
      <c r="H6" s="12" t="s">
        <v>1763</v>
      </c>
    </row>
    <row r="7" customFormat="false" ht="17.15" hidden="false" customHeight="false" outlineLevel="0" collapsed="false">
      <c r="A7" s="0" t="s">
        <v>1768</v>
      </c>
      <c r="B7" s="0" t="s">
        <v>1769</v>
      </c>
      <c r="C7" s="21" t="n">
        <f aca="false">Mkt!F33</f>
        <v>245.76445551735</v>
      </c>
      <c r="D7" s="0" t="n">
        <v>245.76445551735</v>
      </c>
      <c r="E7" s="12" t="n">
        <f aca="false">IF(ISNUMBER(D7),C7-D7,"")</f>
        <v>0</v>
      </c>
      <c r="F7" s="0" t="str">
        <f aca="false">IF(NOT(ISNUMBER(D7)),"WARN",IF(ABS(E7)&lt;0.000000001,"OK","ERROR"))</f>
        <v>OK</v>
      </c>
      <c r="G7" s="6" t="s">
        <v>1762</v>
      </c>
      <c r="H7" s="12" t="s">
        <v>1763</v>
      </c>
    </row>
    <row r="8" customFormat="false" ht="17.15" hidden="false" customHeight="false" outlineLevel="0" collapsed="false">
      <c r="A8" s="0" t="s">
        <v>1770</v>
      </c>
      <c r="B8" s="0" t="s">
        <v>1771</v>
      </c>
      <c r="C8" s="21" t="n">
        <f aca="false">Mkt!G33</f>
        <v>315.192914201001</v>
      </c>
      <c r="D8" s="0" t="n">
        <v>315.192914201001</v>
      </c>
      <c r="E8" s="12" t="n">
        <f aca="false">IF(ISNUMBER(D8),C8-D8,"")</f>
        <v>0</v>
      </c>
      <c r="F8" s="0" t="str">
        <f aca="false">IF(NOT(ISNUMBER(D8)),"WARN",IF(ABS(E8)&lt;0.000000001,"OK","ERROR"))</f>
        <v>OK</v>
      </c>
      <c r="G8" s="6" t="s">
        <v>1762</v>
      </c>
      <c r="H8" s="12" t="s">
        <v>1763</v>
      </c>
    </row>
    <row r="9" customFormat="false" ht="17.15" hidden="false" customHeight="false" outlineLevel="0" collapsed="false">
      <c r="A9" s="0" t="s">
        <v>1772</v>
      </c>
      <c r="B9" s="0" t="s">
        <v>1773</v>
      </c>
      <c r="C9" s="21" t="n">
        <f aca="false">Mkt!C34</f>
        <v>35</v>
      </c>
      <c r="D9" s="0" t="n">
        <v>35</v>
      </c>
      <c r="E9" s="12" t="n">
        <f aca="false">IF(ISNUMBER(D9),C9-D9,"")</f>
        <v>0</v>
      </c>
      <c r="F9" s="0" t="str">
        <f aca="false">IF(NOT(ISNUMBER(D9)),"WARN",IF(ABS(E9)&lt;0.000000001,"OK","ERROR"))</f>
        <v>OK</v>
      </c>
      <c r="G9" s="6" t="s">
        <v>1762</v>
      </c>
      <c r="H9" s="12" t="s">
        <v>1763</v>
      </c>
    </row>
    <row r="10" customFormat="false" ht="17.15" hidden="false" customHeight="false" outlineLevel="0" collapsed="false">
      <c r="A10" s="0" t="s">
        <v>1774</v>
      </c>
      <c r="B10" s="0" t="s">
        <v>1775</v>
      </c>
      <c r="C10" s="21" t="n">
        <f aca="false">Mkt!D34</f>
        <v>55.227347</v>
      </c>
      <c r="D10" s="0" t="n">
        <v>55.227347</v>
      </c>
      <c r="E10" s="12" t="n">
        <f aca="false">IF(ISNUMBER(D10),C10-D10,"")</f>
        <v>0</v>
      </c>
      <c r="F10" s="0" t="str">
        <f aca="false">IF(NOT(ISNUMBER(D10)),"WARN",IF(ABS(E10)&lt;0.000000001,"OK","ERROR"))</f>
        <v>OK</v>
      </c>
      <c r="G10" s="6" t="s">
        <v>1762</v>
      </c>
      <c r="H10" s="12" t="s">
        <v>1763</v>
      </c>
    </row>
    <row r="11" customFormat="false" ht="17.15" hidden="false" customHeight="false" outlineLevel="0" collapsed="false">
      <c r="A11" s="0" t="s">
        <v>1776</v>
      </c>
      <c r="B11" s="0" t="s">
        <v>1777</v>
      </c>
      <c r="C11" s="21" t="n">
        <f aca="false">Mkt!E34</f>
        <v>154.08429813</v>
      </c>
      <c r="D11" s="0" t="n">
        <v>154.08429813</v>
      </c>
      <c r="E11" s="12" t="n">
        <f aca="false">IF(ISNUMBER(D11),C11-D11,"")</f>
        <v>0</v>
      </c>
      <c r="F11" s="0" t="str">
        <f aca="false">IF(NOT(ISNUMBER(D11)),"WARN",IF(ABS(E11)&lt;0.000000001,"OK","ERROR"))</f>
        <v>OK</v>
      </c>
      <c r="G11" s="6" t="s">
        <v>1762</v>
      </c>
      <c r="H11" s="12" t="s">
        <v>1763</v>
      </c>
    </row>
    <row r="12" customFormat="false" ht="17.15" hidden="false" customHeight="false" outlineLevel="0" collapsed="false">
      <c r="A12" s="0" t="s">
        <v>1778</v>
      </c>
      <c r="B12" s="0" t="s">
        <v>1779</v>
      </c>
      <c r="C12" s="21" t="n">
        <f aca="false">Mkt!F34</f>
        <v>162.0745416</v>
      </c>
      <c r="D12" s="0" t="n">
        <v>162.0745416</v>
      </c>
      <c r="E12" s="12" t="n">
        <f aca="false">IF(ISNUMBER(D12),C12-D12,"")</f>
        <v>0</v>
      </c>
      <c r="F12" s="0" t="str">
        <f aca="false">IF(NOT(ISNUMBER(D12)),"WARN",IF(ABS(E12)&lt;0.000000001,"OK","ERROR"))</f>
        <v>OK</v>
      </c>
      <c r="G12" s="6" t="s">
        <v>1762</v>
      </c>
      <c r="H12" s="12" t="s">
        <v>1763</v>
      </c>
    </row>
    <row r="13" customFormat="false" ht="17.15" hidden="false" customHeight="false" outlineLevel="0" collapsed="false">
      <c r="A13" s="0" t="s">
        <v>1780</v>
      </c>
      <c r="B13" s="0" t="s">
        <v>1781</v>
      </c>
      <c r="C13" s="21" t="n">
        <f aca="false">Mkt!G34</f>
        <v>223.865460585</v>
      </c>
      <c r="D13" s="0" t="n">
        <v>223.865460585</v>
      </c>
      <c r="E13" s="12" t="n">
        <f aca="false">IF(ISNUMBER(D13),C13-D13,"")</f>
        <v>0</v>
      </c>
      <c r="F13" s="0" t="str">
        <f aca="false">IF(NOT(ISNUMBER(D13)),"WARN",IF(ABS(E13)&lt;0.000000001,"OK","ERROR"))</f>
        <v>OK</v>
      </c>
      <c r="G13" s="6" t="s">
        <v>1762</v>
      </c>
      <c r="H13" s="12" t="s">
        <v>1763</v>
      </c>
    </row>
    <row r="14" customFormat="false" ht="17.15" hidden="false" customHeight="false" outlineLevel="0" collapsed="false">
      <c r="A14" s="0" t="s">
        <v>1782</v>
      </c>
      <c r="B14" s="0" t="s">
        <v>1783</v>
      </c>
      <c r="C14" s="21" t="n">
        <f aca="false">Mkt!C35</f>
        <v>35</v>
      </c>
      <c r="D14" s="0" t="n">
        <v>35</v>
      </c>
      <c r="E14" s="12" t="n">
        <f aca="false">IF(ISNUMBER(D14),C14-D14,"")</f>
        <v>0</v>
      </c>
      <c r="F14" s="0" t="str">
        <f aca="false">IF(NOT(ISNUMBER(D14)),"WARN",IF(ABS(E14)&lt;0.000000001,"OK","ERROR"))</f>
        <v>OK</v>
      </c>
      <c r="G14" s="6" t="s">
        <v>1762</v>
      </c>
      <c r="H14" s="12" t="s">
        <v>1763</v>
      </c>
    </row>
    <row r="15" customFormat="false" ht="17.15" hidden="false" customHeight="false" outlineLevel="0" collapsed="false">
      <c r="A15" s="0" t="s">
        <v>1784</v>
      </c>
      <c r="B15" s="0" t="s">
        <v>1785</v>
      </c>
      <c r="C15" s="21" t="n">
        <f aca="false">Mkt!D35</f>
        <v>55.227347</v>
      </c>
      <c r="D15" s="0" t="n">
        <v>55.227347</v>
      </c>
      <c r="E15" s="12" t="n">
        <f aca="false">IF(ISNUMBER(D15),C15-D15,"")</f>
        <v>0</v>
      </c>
      <c r="F15" s="0" t="str">
        <f aca="false">IF(NOT(ISNUMBER(D15)),"WARN",IF(ABS(E15)&lt;0.000000001,"OK","ERROR"))</f>
        <v>OK</v>
      </c>
      <c r="G15" s="6" t="s">
        <v>1762</v>
      </c>
      <c r="H15" s="12" t="s">
        <v>1763</v>
      </c>
    </row>
    <row r="16" customFormat="false" ht="17.15" hidden="false" customHeight="false" outlineLevel="0" collapsed="false">
      <c r="A16" s="0" t="s">
        <v>1786</v>
      </c>
      <c r="B16" s="0" t="s">
        <v>1787</v>
      </c>
      <c r="C16" s="21" t="n">
        <f aca="false">Mkt!E35</f>
        <v>154.08429813</v>
      </c>
      <c r="D16" s="0" t="n">
        <v>154.08429813</v>
      </c>
      <c r="E16" s="12" t="n">
        <f aca="false">IF(ISNUMBER(D16),C16-D16,"")</f>
        <v>0</v>
      </c>
      <c r="F16" s="0" t="str">
        <f aca="false">IF(NOT(ISNUMBER(D16)),"WARN",IF(ABS(E16)&lt;0.000000001,"OK","ERROR"))</f>
        <v>OK</v>
      </c>
      <c r="G16" s="6" t="s">
        <v>1762</v>
      </c>
      <c r="H16" s="12" t="s">
        <v>1763</v>
      </c>
    </row>
    <row r="17" customFormat="false" ht="17.15" hidden="false" customHeight="false" outlineLevel="0" collapsed="false">
      <c r="A17" s="0" t="s">
        <v>1788</v>
      </c>
      <c r="B17" s="0" t="s">
        <v>1789</v>
      </c>
      <c r="C17" s="21" t="n">
        <f aca="false">Mkt!F35</f>
        <v>97.24472496</v>
      </c>
      <c r="D17" s="0" t="n">
        <v>97.24472496</v>
      </c>
      <c r="E17" s="12" t="n">
        <f aca="false">IF(ISNUMBER(D17),C17-D17,"")</f>
        <v>0</v>
      </c>
      <c r="F17" s="0" t="str">
        <f aca="false">IF(NOT(ISNUMBER(D17)),"WARN",IF(ABS(E17)&lt;0.000000001,"OK","ERROR"))</f>
        <v>OK</v>
      </c>
      <c r="G17" s="6" t="s">
        <v>1762</v>
      </c>
      <c r="H17" s="12" t="s">
        <v>1763</v>
      </c>
    </row>
    <row r="18" customFormat="false" ht="17.15" hidden="false" customHeight="false" outlineLevel="0" collapsed="false">
      <c r="A18" s="0" t="s">
        <v>1790</v>
      </c>
      <c r="B18" s="0" t="s">
        <v>1791</v>
      </c>
      <c r="C18" s="21" t="n">
        <f aca="false">Mkt!G35</f>
        <v>132.7390495704</v>
      </c>
      <c r="D18" s="0" t="n">
        <v>132.7390495704</v>
      </c>
      <c r="E18" s="12" t="n">
        <f aca="false">IF(ISNUMBER(D18),C18-D18,"")</f>
        <v>0</v>
      </c>
      <c r="F18" s="0" t="str">
        <f aca="false">IF(NOT(ISNUMBER(D18)),"WARN",IF(ABS(E18)&lt;0.000000001,"OK","ERROR"))</f>
        <v>OK</v>
      </c>
      <c r="G18" s="6" t="s">
        <v>1762</v>
      </c>
      <c r="H18" s="12" t="s">
        <v>1763</v>
      </c>
    </row>
    <row r="19" customFormat="false" ht="17.15" hidden="false" customHeight="false" outlineLevel="0" collapsed="false">
      <c r="A19" s="0" t="s">
        <v>1792</v>
      </c>
      <c r="B19" s="6" t="s">
        <v>1793</v>
      </c>
      <c r="C19" s="0" t="n">
        <f aca="false">um28_A</f>
        <v>1</v>
      </c>
      <c r="F19" s="0" t="str">
        <f aca="false">IF(ABS(C19-1)&lt;0.000000001,"OK","ERROR")</f>
        <v>OK</v>
      </c>
      <c r="G19" s="6" t="s">
        <v>1794</v>
      </c>
    </row>
    <row r="20" customFormat="false" ht="17.15" hidden="false" customHeight="false" outlineLevel="0" collapsed="false">
      <c r="A20" s="0" t="s">
        <v>1795</v>
      </c>
      <c r="B20" s="6" t="s">
        <v>1796</v>
      </c>
      <c r="C20" s="0" t="n">
        <f aca="false">um29_A</f>
        <v>1</v>
      </c>
      <c r="F20" s="0" t="str">
        <f aca="false">IF(ABS(C20-1)&lt;0.000000001,"OK","ERROR")</f>
        <v>OK</v>
      </c>
      <c r="G20" s="6" t="s">
        <v>1794</v>
      </c>
    </row>
    <row r="21" customFormat="false" ht="17.15" hidden="false" customHeight="false" outlineLevel="0" collapsed="false">
      <c r="A21" s="0" t="s">
        <v>1797</v>
      </c>
      <c r="B21" s="6" t="s">
        <v>1798</v>
      </c>
      <c r="C21" s="0" t="n">
        <f aca="false">um28_B</f>
        <v>0.8</v>
      </c>
      <c r="D21" s="0" t="str">
        <f aca="false">um28_B_lo&amp;"–"&amp;um28_B_hi</f>
        <v>0.7–0.9</v>
      </c>
      <c r="F21" s="0" t="str">
        <f aca="false">IF(AND(C21&gt;=um28_B_lo,C21&lt;=um28_B_hi),"OK","ERROR")</f>
        <v>OK</v>
      </c>
      <c r="G21" s="6" t="s">
        <v>1794</v>
      </c>
    </row>
    <row r="22" customFormat="false" ht="17.15" hidden="false" customHeight="false" outlineLevel="0" collapsed="false">
      <c r="A22" s="0" t="s">
        <v>1799</v>
      </c>
      <c r="B22" s="6" t="s">
        <v>1800</v>
      </c>
      <c r="C22" s="0" t="n">
        <f aca="false">um29_B</f>
        <v>0.85</v>
      </c>
      <c r="D22" s="0" t="str">
        <f aca="false">um29_B_lo&amp;"–"&amp;um29_B_hi</f>
        <v>0.75–0.95</v>
      </c>
      <c r="F22" s="0" t="str">
        <f aca="false">IF(AND(C22&gt;=um29_B_lo,C22&lt;=um29_B_hi),"OK","ERROR")</f>
        <v>OK</v>
      </c>
      <c r="G22" s="6" t="s">
        <v>1794</v>
      </c>
    </row>
    <row r="23" customFormat="false" ht="17.15" hidden="false" customHeight="false" outlineLevel="0" collapsed="false">
      <c r="A23" s="0" t="s">
        <v>1801</v>
      </c>
      <c r="B23" s="6" t="s">
        <v>1802</v>
      </c>
      <c r="C23" s="0" t="n">
        <f aca="false">um28_C</f>
        <v>0.6</v>
      </c>
      <c r="D23" s="0" t="str">
        <f aca="false">um28_C_lo&amp;"–"&amp;um28_C_hi</f>
        <v>0.5–0.7</v>
      </c>
      <c r="F23" s="0" t="str">
        <f aca="false">IF(AND(C23&gt;=um28_C_lo,C23&lt;=um28_C_hi),"OK","ERROR")</f>
        <v>OK</v>
      </c>
      <c r="G23" s="6" t="s">
        <v>1794</v>
      </c>
    </row>
    <row r="24" customFormat="false" ht="17.15" hidden="false" customHeight="false" outlineLevel="0" collapsed="false">
      <c r="A24" s="0" t="s">
        <v>1803</v>
      </c>
      <c r="B24" s="6" t="s">
        <v>1804</v>
      </c>
      <c r="C24" s="0" t="n">
        <f aca="false">um29_C</f>
        <v>0.6</v>
      </c>
      <c r="D24" s="0" t="str">
        <f aca="false">um29_C_lo&amp;"–"&amp;um29_C_hi</f>
        <v>0.5–0.7</v>
      </c>
      <c r="F24" s="0" t="str">
        <f aca="false">IF(AND(C24&gt;=um29_C_lo,C24&lt;=um29_C_hi),"OK","ERROR")</f>
        <v>OK</v>
      </c>
      <c r="G24" s="6" t="s">
        <v>1794</v>
      </c>
    </row>
    <row r="25" customFormat="false" ht="17.15" hidden="false" customHeight="false" outlineLevel="0" collapsed="false">
      <c r="A25" s="0" t="s">
        <v>1805</v>
      </c>
      <c r="B25" s="0" t="s">
        <v>1806</v>
      </c>
      <c r="F25" s="0" t="str">
        <f aca="false">IF(AND(um28_A&gt;=um28_B,um28_B&gt;=um28_C),"OK","ERROR")</f>
        <v>OK</v>
      </c>
      <c r="G25" s="6" t="s">
        <v>1794</v>
      </c>
    </row>
    <row r="26" customFormat="false" ht="17.15" hidden="false" customHeight="false" outlineLevel="0" collapsed="false">
      <c r="A26" s="0" t="s">
        <v>1807</v>
      </c>
      <c r="B26" s="0" t="s">
        <v>1808</v>
      </c>
      <c r="F26" s="0" t="str">
        <f aca="false">IF(AND(um29_A&gt;=um29_B,um29_B&gt;=um29_C),"OK","ERROR")</f>
        <v>OK</v>
      </c>
      <c r="G26" s="6" t="s">
        <v>1794</v>
      </c>
    </row>
    <row r="27" customFormat="false" ht="17.15" hidden="false" customHeight="false" outlineLevel="0" collapsed="false">
      <c r="A27" s="0" t="s">
        <v>1809</v>
      </c>
      <c r="B27" s="6" t="s">
        <v>1810</v>
      </c>
      <c r="C27" s="0" t="n">
        <f aca="false">TK_In!$M$60</f>
        <v>2</v>
      </c>
      <c r="F27" s="0" t="str">
        <f aca="false">IF(C27=0,"OK","WARN")</f>
        <v>WARN</v>
      </c>
      <c r="G27" s="6" t="s">
        <v>1811</v>
      </c>
      <c r="H27" s="0" t="s">
        <v>1812</v>
      </c>
    </row>
    <row r="28" customFormat="false" ht="17.15" hidden="false" customHeight="false" outlineLevel="0" collapsed="false">
      <c r="A28" s="0" t="s">
        <v>1813</v>
      </c>
      <c r="B28" s="0" t="s">
        <v>1814</v>
      </c>
      <c r="C28" s="14" t="n">
        <f aca="false">Units!C12</f>
        <v>15.2</v>
      </c>
      <c r="D28" s="21" t="n">
        <f aca="false">Mkt!D15</f>
        <v>15.2</v>
      </c>
      <c r="E28" s="12" t="n">
        <f aca="false">C28-D28</f>
        <v>0</v>
      </c>
      <c r="F28" s="0" t="str">
        <f aca="false">IF(ABS(E28)&lt;0.000000001,"OK","ERROR")</f>
        <v>OK</v>
      </c>
      <c r="G28" s="6" t="s">
        <v>1815</v>
      </c>
    </row>
    <row r="29" customFormat="false" ht="17.15" hidden="false" customHeight="false" outlineLevel="0" collapsed="false">
      <c r="A29" s="0" t="s">
        <v>1816</v>
      </c>
      <c r="B29" s="0" t="s">
        <v>1817</v>
      </c>
      <c r="C29" s="14" t="n">
        <f aca="false">Units!D12</f>
        <v>23.7</v>
      </c>
      <c r="D29" s="21" t="n">
        <f aca="false">Mkt!E15</f>
        <v>23.7</v>
      </c>
      <c r="E29" s="12" t="n">
        <f aca="false">C29-D29</f>
        <v>0</v>
      </c>
      <c r="F29" s="0" t="str">
        <f aca="false">IF(ABS(E29)&lt;0.000000001,"OK","ERROR")</f>
        <v>OK</v>
      </c>
      <c r="G29" s="6" t="s">
        <v>1815</v>
      </c>
    </row>
    <row r="30" customFormat="false" ht="17.15" hidden="false" customHeight="false" outlineLevel="0" collapsed="false">
      <c r="A30" s="0" t="s">
        <v>1818</v>
      </c>
      <c r="B30" s="0" t="s">
        <v>1819</v>
      </c>
      <c r="C30" s="14" t="n">
        <f aca="false">Units!E12</f>
        <v>26.5</v>
      </c>
      <c r="D30" s="21" t="n">
        <f aca="false">Mkt!F15</f>
        <v>26.5</v>
      </c>
      <c r="E30" s="12" t="n">
        <f aca="false">C30-D30</f>
        <v>0</v>
      </c>
      <c r="F30" s="0" t="str">
        <f aca="false">IF(ABS(E30)&lt;0.000000001,"OK","ERROR")</f>
        <v>OK</v>
      </c>
      <c r="G30" s="6" t="s">
        <v>1815</v>
      </c>
    </row>
    <row r="31" customFormat="false" ht="17.15" hidden="false" customHeight="false" outlineLevel="0" collapsed="false">
      <c r="A31" s="0" t="s">
        <v>1820</v>
      </c>
      <c r="B31" s="0" t="s">
        <v>1821</v>
      </c>
      <c r="C31" s="17" t="n">
        <f aca="false">g29_bw</f>
        <v>-0.5</v>
      </c>
      <c r="D31" s="0" t="str">
        <f aca="false">g29_bw_lo&amp;"–"&amp;g29_bw_hi</f>
        <v>-0.7–-0.3</v>
      </c>
      <c r="F31" s="0" t="str">
        <f aca="false">IF(AND(C31&gt;=g29_bw_lo,C31&lt;=g29_bw_hi),"OK","ERROR")</f>
        <v>OK</v>
      </c>
      <c r="G31" s="6" t="s">
        <v>1794</v>
      </c>
    </row>
    <row r="32" customFormat="false" ht="17.15" hidden="false" customHeight="false" outlineLevel="0" collapsed="false">
      <c r="A32" s="0" t="s">
        <v>1822</v>
      </c>
      <c r="B32" s="0" t="s">
        <v>1823</v>
      </c>
      <c r="C32" s="17" t="n">
        <f aca="false">g29_rb</f>
        <v>0.15</v>
      </c>
      <c r="D32" s="0" t="str">
        <f aca="false">g29_rb_lo&amp;"–"&amp;g29_rb_hi</f>
        <v>0.05–0.25</v>
      </c>
      <c r="F32" s="0" t="str">
        <f aca="false">IF(AND(C32&gt;=g29_rb_lo,C32&lt;=g29_rb_hi),"OK","ERROR")</f>
        <v>OK</v>
      </c>
      <c r="G32" s="6" t="s">
        <v>1794</v>
      </c>
    </row>
    <row r="33" customFormat="false" ht="17.15" hidden="false" customHeight="false" outlineLevel="0" collapsed="false">
      <c r="A33" s="0" t="s">
        <v>1824</v>
      </c>
      <c r="B33" s="0" t="s">
        <v>1825</v>
      </c>
      <c r="C33" s="17" t="n">
        <f aca="false">g29_ru</f>
        <v>0.15</v>
      </c>
      <c r="D33" s="0" t="str">
        <f aca="false">g29_ru_lo&amp;"–"&amp;g29_ru_hi</f>
        <v>0.05–0.25</v>
      </c>
      <c r="F33" s="0" t="str">
        <f aca="false">IF(AND(C33&gt;=g29_ru_lo,C33&lt;=g29_ru_hi),"OK","ERROR")</f>
        <v>OK</v>
      </c>
      <c r="G33" s="6" t="s">
        <v>1794</v>
      </c>
    </row>
    <row r="34" customFormat="false" ht="17.15" hidden="false" customHeight="false" outlineLevel="0" collapsed="false">
      <c r="A34" s="0" t="s">
        <v>1826</v>
      </c>
      <c r="B34" s="0" t="s">
        <v>1827</v>
      </c>
      <c r="C34" s="17" t="n">
        <f aca="false">g29_hp</f>
        <v>0</v>
      </c>
      <c r="D34" s="0" t="str">
        <f aca="false">g29_hp_lo&amp;"–"&amp;g29_hp_hi</f>
        <v>0–0</v>
      </c>
      <c r="F34" s="0" t="str">
        <f aca="false">IF(AND(C34&gt;=g29_hp_lo,C34&lt;=g29_hp_hi),"OK","ERROR")</f>
        <v>OK</v>
      </c>
      <c r="G34" s="6" t="s">
        <v>1794</v>
      </c>
    </row>
    <row r="35" customFormat="false" ht="17.15" hidden="false" customHeight="false" outlineLevel="0" collapsed="false">
      <c r="A35" s="0" t="s">
        <v>1828</v>
      </c>
      <c r="B35" s="0" t="s">
        <v>1829</v>
      </c>
      <c r="C35" s="17" t="n">
        <f aca="false">g29_amd</f>
        <v>0.15</v>
      </c>
      <c r="D35" s="0" t="str">
        <f aca="false">g29_amd_lo&amp;"–"&amp;g29_amd_hi</f>
        <v>0.05–0.25</v>
      </c>
      <c r="F35" s="0" t="str">
        <f aca="false">IF(AND(C35&gt;=g29_amd_lo,C35&lt;=g29_amd_hi),"OK","ERROR")</f>
        <v>OK</v>
      </c>
      <c r="G35" s="6" t="s">
        <v>1794</v>
      </c>
    </row>
    <row r="36" customFormat="false" ht="17.15" hidden="false" customHeight="false" outlineLevel="0" collapsed="false">
      <c r="A36" s="0" t="s">
        <v>1830</v>
      </c>
      <c r="B36" s="0" t="s">
        <v>1831</v>
      </c>
      <c r="C36" s="17" t="n">
        <f aca="false">g29_tpu</f>
        <v>0.15</v>
      </c>
      <c r="D36" s="0" t="str">
        <f aca="false">g29_tpu_lo&amp;"–"&amp;g29_tpu_hi</f>
        <v>0.05–0.25</v>
      </c>
      <c r="F36" s="0" t="str">
        <f aca="false">IF(AND(C36&gt;=g29_tpu_lo,C36&lt;=g29_tpu_hi),"OK","ERROR")</f>
        <v>OK</v>
      </c>
      <c r="G36" s="6" t="s">
        <v>1794</v>
      </c>
    </row>
    <row r="37" customFormat="false" ht="17.15" hidden="false" customHeight="false" outlineLevel="0" collapsed="false">
      <c r="A37" s="0" t="s">
        <v>1832</v>
      </c>
      <c r="B37" s="0" t="s">
        <v>1833</v>
      </c>
      <c r="C37" s="17" t="n">
        <f aca="false">g29_trn</f>
        <v>0.15</v>
      </c>
      <c r="D37" s="0" t="str">
        <f aca="false">g29_trn_lo&amp;"–"&amp;g29_trn_hi</f>
        <v>0.05–0.25</v>
      </c>
      <c r="F37" s="0" t="str">
        <f aca="false">IF(AND(C37&gt;=g29_trn_lo,C37&lt;=g29_trn_hi),"OK","ERROR")</f>
        <v>OK</v>
      </c>
      <c r="G37" s="6" t="s">
        <v>1794</v>
      </c>
    </row>
    <row r="38" customFormat="false" ht="17.15" hidden="false" customHeight="false" outlineLevel="0" collapsed="false">
      <c r="A38" s="0" t="s">
        <v>1834</v>
      </c>
      <c r="B38" s="0" t="s">
        <v>1835</v>
      </c>
      <c r="C38" s="17" t="n">
        <f aca="false">g29_oth</f>
        <v>0.15</v>
      </c>
      <c r="D38" s="0" t="str">
        <f aca="false">g29_oth_lo&amp;"–"&amp;g29_oth_hi</f>
        <v>0.05–0.25</v>
      </c>
      <c r="F38" s="0" t="str">
        <f aca="false">IF(AND(C38&gt;=g29_oth_lo,C38&lt;=g29_oth_hi),"OK","ERROR")</f>
        <v>OK</v>
      </c>
      <c r="G38" s="6" t="s">
        <v>1794</v>
      </c>
    </row>
    <row r="39" customFormat="false" ht="17.15" hidden="false" customHeight="false" outlineLevel="0" collapsed="false">
      <c r="A39" s="0" t="s">
        <v>1836</v>
      </c>
      <c r="B39" s="0" t="s">
        <v>1837</v>
      </c>
      <c r="C39" s="15" t="n">
        <f aca="false">ShareTbl!D7</f>
        <v>0.95</v>
      </c>
      <c r="D39" s="0" t="n">
        <v>1</v>
      </c>
      <c r="F39" s="0" t="str">
        <f aca="false">IF(C39&lt;=1+0.000000001,"OK","ERROR")</f>
        <v>OK</v>
      </c>
      <c r="G39" s="6" t="s">
        <v>1838</v>
      </c>
    </row>
    <row r="40" customFormat="false" ht="17.15" hidden="false" customHeight="false" outlineLevel="0" collapsed="false">
      <c r="A40" s="0" t="s">
        <v>1839</v>
      </c>
      <c r="B40" s="0" t="s">
        <v>1840</v>
      </c>
      <c r="C40" s="15" t="n">
        <f aca="false">ShareTbl!E7</f>
        <v>0.95</v>
      </c>
      <c r="D40" s="0" t="n">
        <v>1</v>
      </c>
      <c r="F40" s="0" t="str">
        <f aca="false">IF(C40&lt;=1+0.000000001,"OK","ERROR")</f>
        <v>OK</v>
      </c>
      <c r="G40" s="6" t="s">
        <v>1838</v>
      </c>
    </row>
    <row r="41" customFormat="false" ht="17.15" hidden="false" customHeight="false" outlineLevel="0" collapsed="false">
      <c r="A41" s="0" t="s">
        <v>1841</v>
      </c>
      <c r="B41" s="0" t="s">
        <v>1842</v>
      </c>
      <c r="C41" s="15" t="n">
        <f aca="false">ShareTbl!F7</f>
        <v>0.98</v>
      </c>
      <c r="D41" s="0" t="n">
        <v>1</v>
      </c>
      <c r="F41" s="0" t="str">
        <f aca="false">IF(C41&lt;=1+0.000000001,"OK","ERROR")</f>
        <v>OK</v>
      </c>
      <c r="G41" s="6" t="s">
        <v>1838</v>
      </c>
    </row>
    <row r="42" customFormat="false" ht="17.15" hidden="false" customHeight="false" outlineLevel="0" collapsed="false">
      <c r="A42" s="0" t="s">
        <v>1843</v>
      </c>
      <c r="B42" s="6" t="s">
        <v>1844</v>
      </c>
      <c r="C42" s="15" t="n">
        <f aca="false">ShareTbl!D13</f>
        <v>0.4</v>
      </c>
      <c r="D42" s="0" t="n">
        <v>1</v>
      </c>
      <c r="F42" s="0" t="str">
        <f aca="false">IF(C42&lt;=1+0.000000001,"OK","ERROR")</f>
        <v>OK</v>
      </c>
      <c r="G42" s="6" t="s">
        <v>1838</v>
      </c>
    </row>
    <row r="43" customFormat="false" ht="17.15" hidden="false" customHeight="false" outlineLevel="0" collapsed="false">
      <c r="A43" s="0" t="s">
        <v>1845</v>
      </c>
      <c r="B43" s="6" t="s">
        <v>1846</v>
      </c>
      <c r="C43" s="15" t="n">
        <f aca="false">ShareTbl!E13</f>
        <v>0.61</v>
      </c>
      <c r="D43" s="0" t="n">
        <v>1</v>
      </c>
      <c r="F43" s="0" t="str">
        <f aca="false">IF(C43&lt;=1+0.000000001,"OK","ERROR")</f>
        <v>OK</v>
      </c>
      <c r="G43" s="6" t="s">
        <v>1838</v>
      </c>
    </row>
    <row r="44" customFormat="false" ht="17.15" hidden="false" customHeight="false" outlineLevel="0" collapsed="false">
      <c r="A44" s="0" t="s">
        <v>1847</v>
      </c>
      <c r="B44" s="6" t="s">
        <v>1848</v>
      </c>
      <c r="C44" s="15" t="n">
        <f aca="false">ShareTbl!F13</f>
        <v>0.7</v>
      </c>
      <c r="D44" s="0" t="n">
        <v>1</v>
      </c>
      <c r="F44" s="0" t="str">
        <f aca="false">IF(C44&lt;=1+0.000000001,"OK","ERROR")</f>
        <v>OK</v>
      </c>
      <c r="G44" s="6" t="s">
        <v>1838</v>
      </c>
    </row>
    <row r="45" customFormat="false" ht="17.15" hidden="false" customHeight="false" outlineLevel="0" collapsed="false">
      <c r="A45" s="0" t="s">
        <v>1849</v>
      </c>
      <c r="B45" s="0" t="s">
        <v>1850</v>
      </c>
      <c r="C45" s="15" t="n">
        <f aca="false">ShareTbl!D18</f>
        <v>0.4</v>
      </c>
      <c r="D45" s="0" t="n">
        <v>1</v>
      </c>
      <c r="F45" s="0" t="str">
        <f aca="false">IF(C45&lt;=1+0.000000001,"OK","ERROR")</f>
        <v>OK</v>
      </c>
      <c r="G45" s="6" t="s">
        <v>1838</v>
      </c>
    </row>
    <row r="46" customFormat="false" ht="17.15" hidden="false" customHeight="false" outlineLevel="0" collapsed="false">
      <c r="A46" s="0" t="s">
        <v>1851</v>
      </c>
      <c r="B46" s="0" t="s">
        <v>1852</v>
      </c>
      <c r="C46" s="15" t="n">
        <f aca="false">ShareTbl!E18</f>
        <v>0.65</v>
      </c>
      <c r="D46" s="0" t="n">
        <v>1</v>
      </c>
      <c r="F46" s="0" t="str">
        <f aca="false">IF(C46&lt;=1+0.000000001,"OK","ERROR")</f>
        <v>OK</v>
      </c>
      <c r="G46" s="6" t="s">
        <v>1838</v>
      </c>
    </row>
    <row r="47" customFormat="false" ht="17.15" hidden="false" customHeight="false" outlineLevel="0" collapsed="false">
      <c r="A47" s="0" t="s">
        <v>1853</v>
      </c>
      <c r="B47" s="0" t="s">
        <v>1854</v>
      </c>
      <c r="C47" s="15" t="n">
        <f aca="false">ShareTbl!F18</f>
        <v>0.63</v>
      </c>
      <c r="D47" s="0" t="n">
        <v>1</v>
      </c>
      <c r="F47" s="0" t="str">
        <f aca="false">IF(C47&lt;=1+0.000000001,"OK","ERROR")</f>
        <v>OK</v>
      </c>
      <c r="G47" s="6" t="s">
        <v>1838</v>
      </c>
    </row>
    <row r="48" customFormat="false" ht="17.15" hidden="false" customHeight="false" outlineLevel="0" collapsed="false">
      <c r="A48" s="0" t="s">
        <v>1855</v>
      </c>
      <c r="B48" s="0" t="s">
        <v>1856</v>
      </c>
      <c r="C48" s="15" t="n">
        <f aca="false">ShareTbl!D23</f>
        <v>0.4</v>
      </c>
      <c r="D48" s="0" t="n">
        <v>1</v>
      </c>
      <c r="F48" s="0" t="str">
        <f aca="false">IF(C48&lt;=1+0.000000001,"OK","ERROR")</f>
        <v>OK</v>
      </c>
      <c r="G48" s="6" t="s">
        <v>1838</v>
      </c>
    </row>
    <row r="49" customFormat="false" ht="17.15" hidden="false" customHeight="false" outlineLevel="0" collapsed="false">
      <c r="A49" s="0" t="s">
        <v>1857</v>
      </c>
      <c r="B49" s="0" t="s">
        <v>1858</v>
      </c>
      <c r="C49" s="15" t="n">
        <f aca="false">ShareTbl!E23</f>
        <v>0.6</v>
      </c>
      <c r="D49" s="0" t="n">
        <v>1</v>
      </c>
      <c r="F49" s="0" t="str">
        <f aca="false">IF(C49&lt;=1+0.000000001,"OK","ERROR")</f>
        <v>OK</v>
      </c>
      <c r="G49" s="6" t="s">
        <v>1838</v>
      </c>
    </row>
    <row r="50" customFormat="false" ht="17.15" hidden="false" customHeight="false" outlineLevel="0" collapsed="false">
      <c r="A50" s="0" t="s">
        <v>1859</v>
      </c>
      <c r="B50" s="0" t="s">
        <v>1860</v>
      </c>
      <c r="C50" s="15" t="n">
        <f aca="false">ShareTbl!F23</f>
        <v>0.53</v>
      </c>
      <c r="D50" s="0" t="n">
        <v>1</v>
      </c>
      <c r="F50" s="0" t="str">
        <f aca="false">IF(C50&lt;=1+0.000000001,"OK","ERROR")</f>
        <v>OK</v>
      </c>
      <c r="G50" s="6" t="s">
        <v>1838</v>
      </c>
    </row>
    <row r="51" customFormat="false" ht="17.15" hidden="false" customHeight="false" outlineLevel="0" collapsed="false">
      <c r="A51" s="0" t="s">
        <v>1861</v>
      </c>
      <c r="B51" s="0" t="s">
        <v>1862</v>
      </c>
      <c r="C51" s="15" t="n">
        <f aca="false">ShareTbl!D28</f>
        <v>0.4</v>
      </c>
      <c r="D51" s="0" t="n">
        <v>1</v>
      </c>
      <c r="F51" s="0" t="str">
        <f aca="false">IF(C51&lt;=1+0.000000001,"OK","ERROR")</f>
        <v>OK</v>
      </c>
      <c r="G51" s="6" t="s">
        <v>1838</v>
      </c>
    </row>
    <row r="52" customFormat="false" ht="17.15" hidden="false" customHeight="false" outlineLevel="0" collapsed="false">
      <c r="A52" s="0" t="s">
        <v>1863</v>
      </c>
      <c r="B52" s="0" t="s">
        <v>1864</v>
      </c>
      <c r="C52" s="15" t="n">
        <f aca="false">ShareTbl!E28</f>
        <v>0.5</v>
      </c>
      <c r="D52" s="0" t="n">
        <v>1</v>
      </c>
      <c r="F52" s="0" t="str">
        <f aca="false">IF(C52&lt;=1+0.000000001,"OK","ERROR")</f>
        <v>OK</v>
      </c>
      <c r="G52" s="6" t="s">
        <v>1838</v>
      </c>
    </row>
    <row r="53" customFormat="false" ht="17.15" hidden="false" customHeight="false" outlineLevel="0" collapsed="false">
      <c r="A53" s="0" t="s">
        <v>1865</v>
      </c>
      <c r="B53" s="0" t="s">
        <v>1866</v>
      </c>
      <c r="C53" s="15" t="n">
        <f aca="false">ShareTbl!F28</f>
        <v>0.43</v>
      </c>
      <c r="D53" s="0" t="n">
        <v>1</v>
      </c>
      <c r="F53" s="0" t="str">
        <f aca="false">IF(C53&lt;=1+0.000000001,"OK","ERROR")</f>
        <v>OK</v>
      </c>
      <c r="G53" s="6" t="s">
        <v>1838</v>
      </c>
    </row>
    <row r="54" customFormat="false" ht="17.15" hidden="false" customHeight="false" outlineLevel="0" collapsed="false">
      <c r="A54" s="0" t="s">
        <v>1867</v>
      </c>
      <c r="B54" s="0" t="s">
        <v>1868</v>
      </c>
      <c r="C54" s="0" t="n">
        <f aca="false">SUMPRODUCT((In!A5:A227&lt;&gt;"")*(In!E5:E227&lt;&gt;"")*(In!G5:G227=""))</f>
        <v>0</v>
      </c>
      <c r="F54" s="0" t="str">
        <f aca="false">IF(C54=0,"OK","ERROR")</f>
        <v>OK</v>
      </c>
      <c r="G54" s="6" t="s">
        <v>1869</v>
      </c>
    </row>
    <row r="55" customFormat="false" ht="17.15" hidden="false" customHeight="false" outlineLevel="0" collapsed="false">
      <c r="A55" s="0" t="s">
        <v>1870</v>
      </c>
      <c r="B55" s="0" t="s">
        <v>1871</v>
      </c>
      <c r="C55" s="0" t="n">
        <f aca="false">SUMPRODUCT((In!A5:A227&lt;&gt;"")*(In!E5:E227&lt;&gt;"")*(In!H5:H227=""))</f>
        <v>0</v>
      </c>
      <c r="F55" s="0" t="str">
        <f aca="false">IF(C55=0,"OK","ERROR")</f>
        <v>OK</v>
      </c>
      <c r="G55" s="6" t="s">
        <v>1869</v>
      </c>
      <c r="H55" s="0" t="s">
        <v>1872</v>
      </c>
    </row>
    <row r="56" customFormat="false" ht="17.15" hidden="false" customHeight="false" outlineLevel="0" collapsed="false">
      <c r="A56" s="0" t="s">
        <v>1873</v>
      </c>
      <c r="B56" s="6" t="s">
        <v>1874</v>
      </c>
      <c r="C56" s="0" t="n">
        <f aca="false">SUMPRODUCT((In!A5:A227&lt;&gt;"")*(In!E5:E227&lt;&gt;"")*(ISNUMBER(SEARCH("Assumed",In!G5:G227))+ISNUMBER(SEARCH("Analogy",In!G5:G227))&gt;0)*((In!D5:D227="")+(In!F5:F227="")&gt;0))</f>
        <v>0</v>
      </c>
      <c r="F56" s="0" t="str">
        <f aca="false">IF(C56=0,"OK","ERROR")</f>
        <v>OK</v>
      </c>
      <c r="G56" s="6" t="s">
        <v>1869</v>
      </c>
      <c r="H56" s="0" t="s">
        <v>1875</v>
      </c>
    </row>
    <row r="57" customFormat="false" ht="17.15" hidden="false" customHeight="false" outlineLevel="0" collapsed="false">
      <c r="A57" s="0" t="s">
        <v>1876</v>
      </c>
      <c r="B57" s="0" t="s">
        <v>1877</v>
      </c>
      <c r="C57" s="0" t="n">
        <v>0</v>
      </c>
      <c r="F57" s="0" t="str">
        <f aca="false">IF(C57=0,"OK","ERROR")</f>
        <v>OK</v>
      </c>
      <c r="G57" s="6" t="s">
        <v>1869</v>
      </c>
    </row>
    <row r="58" customFormat="false" ht="17.15" hidden="false" customHeight="false" outlineLevel="0" collapsed="false">
      <c r="A58" s="0" t="s">
        <v>1878</v>
      </c>
      <c r="B58" s="6" t="s">
        <v>1879</v>
      </c>
      <c r="C58" s="0" t="n">
        <f aca="false">COUNTIF(Conflicts!L4:L25,"待*")</f>
        <v>20</v>
      </c>
      <c r="F58" s="0" t="str">
        <f aca="false">IF(C58=0,"OK","WARN")</f>
        <v>WARN</v>
      </c>
      <c r="G58" s="6" t="s">
        <v>1869</v>
      </c>
      <c r="H58" s="0" t="s">
        <v>1880</v>
      </c>
    </row>
    <row r="60" customFormat="false" ht="15" hidden="false" customHeight="false" outlineLevel="0" collapsed="false">
      <c r="A60" s="10" t="s">
        <v>1881</v>
      </c>
      <c r="C60" s="23" t="n">
        <f aca="false">COUNTIF(F4:F58,"ERROR")</f>
        <v>0</v>
      </c>
    </row>
    <row r="61" customFormat="false" ht="15" hidden="false" customHeight="false" outlineLevel="0" collapsed="false">
      <c r="A61" s="10" t="s">
        <v>1882</v>
      </c>
      <c r="C61" s="23" t="n">
        <f aca="false">COUNTIF(F4:F58,"WARN")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1883</v>
      </c>
    </row>
    <row r="3" customFormat="false" ht="17.15" hidden="false" customHeight="false" outlineLevel="0" collapsed="false">
      <c r="A3" s="4" t="s">
        <v>1884</v>
      </c>
      <c r="B3" s="4" t="s">
        <v>1885</v>
      </c>
      <c r="C3" s="4" t="s">
        <v>38</v>
      </c>
      <c r="D3" s="4" t="s">
        <v>1886</v>
      </c>
      <c r="E3" s="4" t="s">
        <v>1887</v>
      </c>
      <c r="F3" s="5" t="s">
        <v>1888</v>
      </c>
      <c r="G3" s="4" t="s">
        <v>1054</v>
      </c>
    </row>
    <row r="4" customFormat="false" ht="79.85" hidden="false" customHeight="false" outlineLevel="0" collapsed="false">
      <c r="A4" s="3" t="s">
        <v>1889</v>
      </c>
      <c r="B4" s="2" t="s">
        <v>1890</v>
      </c>
      <c r="C4" s="2" t="s">
        <v>1891</v>
      </c>
      <c r="D4" s="2" t="s">
        <v>1892</v>
      </c>
      <c r="E4" s="3" t="s">
        <v>1893</v>
      </c>
      <c r="F4" s="2" t="s">
        <v>1894</v>
      </c>
      <c r="G4" s="2" t="s">
        <v>1895</v>
      </c>
    </row>
    <row r="5" customFormat="false" ht="79.85" hidden="false" customHeight="false" outlineLevel="0" collapsed="false">
      <c r="A5" s="24" t="s">
        <v>1896</v>
      </c>
      <c r="B5" s="25" t="s">
        <v>1897</v>
      </c>
      <c r="C5" s="25" t="s">
        <v>14</v>
      </c>
      <c r="D5" s="24" t="s">
        <v>1898</v>
      </c>
      <c r="E5" s="24" t="s">
        <v>1899</v>
      </c>
      <c r="F5" s="25" t="s">
        <v>1900</v>
      </c>
      <c r="G5" s="25" t="s">
        <v>1901</v>
      </c>
    </row>
    <row r="6" customFormat="false" ht="64.15" hidden="false" customHeight="false" outlineLevel="0" collapsed="false">
      <c r="A6" s="3" t="s">
        <v>1902</v>
      </c>
      <c r="B6" s="2" t="s">
        <v>1903</v>
      </c>
      <c r="C6" s="2" t="s">
        <v>1904</v>
      </c>
      <c r="D6" s="3" t="s">
        <v>1905</v>
      </c>
      <c r="E6" s="3" t="s">
        <v>1899</v>
      </c>
      <c r="F6" s="2" t="s">
        <v>1906</v>
      </c>
      <c r="G6" s="2" t="s">
        <v>1895</v>
      </c>
    </row>
    <row r="7" customFormat="false" ht="95.5" hidden="false" customHeight="false" outlineLevel="0" collapsed="false">
      <c r="A7" s="24" t="s">
        <v>1907</v>
      </c>
      <c r="B7" s="25" t="s">
        <v>1890</v>
      </c>
      <c r="C7" s="25" t="s">
        <v>1908</v>
      </c>
      <c r="D7" s="25" t="s">
        <v>1909</v>
      </c>
      <c r="E7" s="24" t="s">
        <v>1899</v>
      </c>
      <c r="F7" s="25" t="s">
        <v>1910</v>
      </c>
      <c r="G7" s="25" t="s">
        <v>1901</v>
      </c>
    </row>
    <row r="8" customFormat="false" ht="64.15" hidden="false" customHeight="false" outlineLevel="0" collapsed="false">
      <c r="A8" s="3" t="s">
        <v>1911</v>
      </c>
      <c r="B8" s="2" t="s">
        <v>1903</v>
      </c>
      <c r="C8" s="2" t="s">
        <v>1912</v>
      </c>
      <c r="D8" s="3" t="s">
        <v>1913</v>
      </c>
      <c r="E8" s="3" t="s">
        <v>1899</v>
      </c>
      <c r="F8" s="2" t="s">
        <v>1906</v>
      </c>
      <c r="G8" s="2" t="s">
        <v>1895</v>
      </c>
    </row>
    <row r="9" customFormat="false" ht="48.5" hidden="false" customHeight="false" outlineLevel="0" collapsed="false">
      <c r="A9" s="24" t="s">
        <v>1914</v>
      </c>
      <c r="B9" s="25" t="s">
        <v>1890</v>
      </c>
      <c r="C9" s="25" t="s">
        <v>1915</v>
      </c>
      <c r="D9" s="24" t="s">
        <v>1916</v>
      </c>
      <c r="E9" s="24" t="s">
        <v>1899</v>
      </c>
      <c r="F9" s="25" t="s">
        <v>1917</v>
      </c>
      <c r="G9" s="25" t="s">
        <v>1901</v>
      </c>
    </row>
    <row r="10" customFormat="false" ht="48.5" hidden="false" customHeight="false" outlineLevel="0" collapsed="false">
      <c r="A10" s="3" t="s">
        <v>1918</v>
      </c>
      <c r="B10" s="2" t="s">
        <v>1869</v>
      </c>
      <c r="C10" s="2" t="s">
        <v>1919</v>
      </c>
      <c r="D10" s="2" t="s">
        <v>1920</v>
      </c>
      <c r="E10" s="3" t="s">
        <v>1899</v>
      </c>
      <c r="F10" s="2" t="s">
        <v>1921</v>
      </c>
      <c r="G10" s="2" t="s">
        <v>1895</v>
      </c>
    </row>
    <row r="11" customFormat="false" ht="95.5" hidden="false" customHeight="false" outlineLevel="0" collapsed="false">
      <c r="A11" s="24" t="s">
        <v>1922</v>
      </c>
      <c r="B11" s="25" t="s">
        <v>1890</v>
      </c>
      <c r="C11" s="24" t="s">
        <v>1923</v>
      </c>
      <c r="D11" s="24" t="s">
        <v>1924</v>
      </c>
      <c r="E11" s="24" t="s">
        <v>1899</v>
      </c>
      <c r="F11" s="25" t="s">
        <v>1925</v>
      </c>
      <c r="G11" s="25" t="s">
        <v>1901</v>
      </c>
    </row>
    <row r="12" customFormat="false" ht="48.5" hidden="false" customHeight="false" outlineLevel="0" collapsed="false">
      <c r="A12" s="3" t="s">
        <v>1926</v>
      </c>
      <c r="B12" s="2" t="s">
        <v>1869</v>
      </c>
      <c r="C12" s="3" t="s">
        <v>1927</v>
      </c>
      <c r="D12" s="3" t="s">
        <v>1928</v>
      </c>
      <c r="E12" s="3" t="s">
        <v>1899</v>
      </c>
      <c r="F12" s="2" t="s">
        <v>1929</v>
      </c>
      <c r="G12" s="2" t="s">
        <v>1895</v>
      </c>
    </row>
    <row r="13" customFormat="false" ht="48.5" hidden="false" customHeight="false" outlineLevel="0" collapsed="false">
      <c r="A13" s="3" t="s">
        <v>1930</v>
      </c>
      <c r="B13" s="2" t="s">
        <v>1903</v>
      </c>
      <c r="C13" s="2" t="s">
        <v>1931</v>
      </c>
      <c r="D13" s="3" t="s">
        <v>1932</v>
      </c>
      <c r="E13" s="3" t="s">
        <v>1899</v>
      </c>
      <c r="F13" s="2" t="s">
        <v>1929</v>
      </c>
      <c r="G13" s="2" t="s">
        <v>1895</v>
      </c>
    </row>
    <row r="14" customFormat="false" ht="95.5" hidden="false" customHeight="false" outlineLevel="0" collapsed="false">
      <c r="A14" s="3" t="s">
        <v>1933</v>
      </c>
      <c r="B14" s="2" t="s">
        <v>1890</v>
      </c>
      <c r="C14" s="3" t="s">
        <v>1934</v>
      </c>
      <c r="D14" s="3" t="s">
        <v>1935</v>
      </c>
      <c r="E14" s="3" t="s">
        <v>1899</v>
      </c>
      <c r="F14" s="2" t="s">
        <v>1929</v>
      </c>
      <c r="G14" s="2" t="s">
        <v>1895</v>
      </c>
    </row>
    <row r="15" customFormat="false" ht="48.5" hidden="false" customHeight="false" outlineLevel="0" collapsed="false">
      <c r="A15" s="3" t="s">
        <v>1936</v>
      </c>
      <c r="B15" s="2" t="s">
        <v>1903</v>
      </c>
      <c r="C15" s="2" t="s">
        <v>1937</v>
      </c>
      <c r="D15" s="2" t="s">
        <v>1938</v>
      </c>
      <c r="E15" s="3" t="s">
        <v>1899</v>
      </c>
      <c r="F15" s="2" t="s">
        <v>1929</v>
      </c>
      <c r="G15" s="2" t="s">
        <v>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1939</v>
      </c>
    </row>
    <row r="3" customFormat="false" ht="15" hidden="false" customHeight="false" outlineLevel="0" collapsed="false">
      <c r="A3" s="5" t="s">
        <v>1044</v>
      </c>
      <c r="B3" s="4" t="s">
        <v>1887</v>
      </c>
      <c r="C3" s="4" t="s">
        <v>1940</v>
      </c>
      <c r="D3" s="4" t="s">
        <v>1055</v>
      </c>
      <c r="E3" s="4" t="s">
        <v>43</v>
      </c>
      <c r="F3" s="4" t="s">
        <v>1941</v>
      </c>
      <c r="G3" s="4" t="s">
        <v>1942</v>
      </c>
      <c r="H3" s="4" t="s">
        <v>1943</v>
      </c>
      <c r="I3" s="4" t="s">
        <v>1944</v>
      </c>
      <c r="J3" s="4" t="s">
        <v>1945</v>
      </c>
      <c r="K3" s="4" t="s">
        <v>1946</v>
      </c>
      <c r="L3" s="4" t="s">
        <v>1947</v>
      </c>
    </row>
    <row r="4" customFormat="false" ht="17.15" hidden="false" customHeight="false" outlineLevel="0" collapsed="false">
      <c r="A4" s="6" t="s">
        <v>1948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2026-10-27T06:23:46Z</dcterms:created>
  <dc:creator>openpyxl</dc:creator>
  <dc:description/>
  <dc:language>en-US</dc:language>
  <cp:lastModifiedBy/>
  <dcterms:modified xsi:type="dcterms:W3CDTF">2026-10-27T06:23:46Z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