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sic" vbProcedure="false">Q!$B$6</definedName>
    <definedName function="false" hidden="false" name="a25_auto" vbProcedure="false">Q!$B$7</definedName>
    <definedName function="false" hidden="false" name="a25_cpu" vbProcedure="false">Q!$B$5</definedName>
    <definedName function="false" hidden="false" name="a25_eps" vbProcedure="false">Q!$B$19</definedName>
    <definedName function="false" hidden="false" name="a25_gp" vbProcedure="false">Q!$B$9</definedName>
    <definedName function="false" hidden="false" name="a25_ni" vbProcedure="false">Q!$B$17</definedName>
    <definedName function="false" hidden="false" name="a25_nonop" vbProcedure="false">Q!$B$13</definedName>
    <definedName function="false" hidden="false" name="a25_oi" vbProcedure="false">Q!$B$12</definedName>
    <definedName function="false" hidden="false" name="a25_opx" vbProcedure="false">Q!$B$11</definedName>
    <definedName function="false" hidden="false" name="a25_oth" vbProcedure="false">Q!$B$8</definedName>
    <definedName function="false" hidden="false" name="a25_rev" vbProcedure="false">Q!$B$4</definedName>
    <definedName function="false" hidden="false" name="a25_sh" vbProcedure="false">Q!$B$18</definedName>
    <definedName function="false" hidden="false" name="a25_tax" vbProcedure="false">Q!$B$15</definedName>
    <definedName function="false" hidden="false" name="a26_asic" vbProcedure="false">Q!$G$6</definedName>
    <definedName function="false" hidden="false" name="a26_auto" vbProcedure="false">Q!$G$7</definedName>
    <definedName function="false" hidden="false" name="a26_cpu" vbProcedure="false">Q!$G$5</definedName>
    <definedName function="false" hidden="false" name="a26_eps" vbProcedure="false">Q!$G$19</definedName>
    <definedName function="false" hidden="false" name="a26_gp" vbProcedure="false">Q!$G$9</definedName>
    <definedName function="false" hidden="false" name="a26_ni" vbProcedure="false">Q!$G$17</definedName>
    <definedName function="false" hidden="false" name="a26_nonop" vbProcedure="false">Q!$G$13</definedName>
    <definedName function="false" hidden="false" name="a26_oi" vbProcedure="false">Q!$G$12</definedName>
    <definedName function="false" hidden="false" name="a26_opx" vbProcedure="false">Q!$G$11</definedName>
    <definedName function="false" hidden="false" name="a26_oth" vbProcedure="false">Q!$G$8</definedName>
    <definedName function="false" hidden="false" name="a26_rev" vbProcedure="false">Q!$G$4</definedName>
    <definedName function="false" hidden="false" name="a26_sh" vbProcedure="false">Q!$G$18</definedName>
    <definedName function="false" hidden="false" name="a26_tax" vbProcedure="false">Q!$G$15</definedName>
    <definedName function="false" hidden="false" name="ag29_A" vbProcedure="false">In!$E$61</definedName>
    <definedName function="false" hidden="false" name="ag29_B" vbProcedure="false">In!$E$64</definedName>
    <definedName function="false" hidden="false" name="ag29_C" vbProcedure="false">In!$E$67</definedName>
    <definedName function="false" hidden="false" name="am27_A" vbProcedure="false">In!$E$59</definedName>
    <definedName function="false" hidden="false" name="am27_A_hi" vbProcedure="false">In!$F$59</definedName>
    <definedName function="false" hidden="false" name="am27_A_lo" vbProcedure="false">In!$D$59</definedName>
    <definedName function="false" hidden="false" name="am27_B" vbProcedure="false">In!$E$62</definedName>
    <definedName function="false" hidden="false" name="am27_C" vbProcedure="false">In!$E$65</definedName>
    <definedName function="false" hidden="false" name="am28_A" vbProcedure="false">In!$E$60</definedName>
    <definedName function="false" hidden="false" name="am28_B" vbProcedure="false">In!$E$63</definedName>
    <definedName function="false" hidden="false" name="am28_C" vbProcedure="false">In!$E$66</definedName>
    <definedName function="false" hidden="false" name="asic_sh25" vbProcedure="false">In!$E$81</definedName>
    <definedName function="false" hidden="false" name="asic_sh26" vbProcedure="false">In!$E$78</definedName>
    <definedName function="false" hidden="false" name="asic_sh26_hi" vbProcedure="false">In!$F$78</definedName>
    <definedName function="false" hidden="false" name="asic_sh26_lo" vbProcedure="false">In!$D$78</definedName>
    <definedName function="false" hidden="false" name="att26" vbProcedure="false">In!$E$20</definedName>
    <definedName function="false" hidden="false" name="att26_hi" vbProcedure="false">In!$F$20</definedName>
    <definedName function="false" hidden="false" name="att26_lo" vbProcedure="false">In!$D$20</definedName>
    <definedName function="false" hidden="false" name="att_A" vbProcedure="false">In!$E$21</definedName>
    <definedName function="false" hidden="false" name="att_A_hi" vbProcedure="false">In!$F$21</definedName>
    <definedName function="false" hidden="false" name="att_A_lo" vbProcedure="false">In!$D$21</definedName>
    <definedName function="false" hidden="false" name="att_B" vbProcedure="false">In!$E$22</definedName>
    <definedName function="false" hidden="false" name="att_C" vbProcedure="false">In!$E$23</definedName>
    <definedName function="false" hidden="false" name="auto_sh25" vbProcedure="false">In!$E$82</definedName>
    <definedName function="false" hidden="false" name="auto_sh26" vbProcedure="false">In!$E$79</definedName>
    <definedName function="false" hidden="false" name="auto_sh26_hi" vbProcedure="false">In!$F$79</definedName>
    <definedName function="false" hidden="false" name="auto_sh26_lo" vbProcedure="false">In!$D$79</definedName>
    <definedName function="false" hidden="false" name="av_oth_26" vbProcedure="false">In!$E$35</definedName>
    <definedName function="false" hidden="false" name="av_oth_27" vbProcedure="false">In!$E$38</definedName>
    <definedName function="false" hidden="false" name="av_oth_28" vbProcedure="false">In!$E$41</definedName>
    <definedName function="false" hidden="false" name="av_tpu_26" vbProcedure="false">In!$E$44</definedName>
    <definedName function="false" hidden="false" name="av_tpu_27" vbProcedure="false">In!$E$45</definedName>
    <definedName function="false" hidden="false" name="av_tpu_28" vbProcedure="false">In!$E$46</definedName>
    <definedName function="false" hidden="false" name="cons_eps26" vbProcedure="false">In!$E$107</definedName>
    <definedName function="false" hidden="false" name="cons_eps26_hi" vbProcedure="false">In!$F$107</definedName>
    <definedName function="false" hidden="false" name="cons_eps26_lo" vbProcedure="false">In!$D$107</definedName>
    <definedName function="false" hidden="false" name="cons_feps" vbProcedure="false">In!$E$120</definedName>
    <definedName function="false" hidden="false" name="cons_rev26" vbProcedure="false">In!$E$106</definedName>
    <definedName function="false" hidden="false" name="cons_rev26_hi" vbProcedure="false">In!$F$106</definedName>
    <definedName function="false" hidden="false" name="cons_rev26_lo" vbProcedure="false">In!$D$106</definedName>
    <definedName function="false" hidden="false" name="cons_tp" vbProcedure="false">In!$E$121</definedName>
    <definedName function="false" hidden="false" name="cons_tp_hi" vbProcedure="false">In!$F$121</definedName>
    <definedName function="false" hidden="false" name="cons_tp_lo" vbProcedure="false">In!$D$121</definedName>
    <definedName function="false" hidden="false" name="core_oth" vbProcedure="false">In!$E$34</definedName>
    <definedName function="false" hidden="false" name="core_oth_hi" vbProcedure="false">In!$F$34</definedName>
    <definedName function="false" hidden="false" name="core_oth_lo" vbProcedure="false">In!$D$34</definedName>
    <definedName function="false" hidden="false" name="co_auto27" vbProcedure="false">In!$E$105</definedName>
    <definedName function="false" hidden="false" name="co_gm26" vbProcedure="false">In!$E$103</definedName>
    <definedName function="false" hidden="false" name="co_opm26" vbProcedure="false">In!$E$104</definedName>
    <definedName function="false" hidden="false" name="cpu_sh25" vbProcedure="false">In!$E$80</definedName>
    <definedName function="false" hidden="false" name="cpu_sh25_hi" vbProcedure="false">In!$F$80</definedName>
    <definedName function="false" hidden="false" name="cpu_sh25_lo" vbProcedure="false">In!$D$80</definedName>
    <definedName function="false" hidden="false" name="cpu_sh26" vbProcedure="false">In!$E$77</definedName>
    <definedName function="false" hidden="false" name="cpu_sh26_hi" vbProcedure="false">In!$F$77</definedName>
    <definedName function="false" hidden="false" name="cpu_sh26_lo" vbProcedure="false">In!$D$77</definedName>
    <definedName function="false" hidden="false" name="cpu_u27" vbProcedure="false">In!$E$113</definedName>
    <definedName function="false" hidden="false" name="cpu_u27_hi" vbProcedure="false">In!$F$113</definedName>
    <definedName function="false" hidden="false" name="cpu_u27_lo" vbProcedure="false">In!$D$113</definedName>
    <definedName function="false" hidden="false" name="dom_cpu27" vbProcedure="false">In!$E$114</definedName>
    <definedName function="false" hidden="false" name="dom_ts27" vbProcedure="false">In!$E$115</definedName>
    <definedName function="false" hidden="false" name="fade_gA" vbProcedure="false">In!$E$131</definedName>
    <definedName function="false" hidden="false" name="fade_gB" vbProcedure="false">In!$E$132</definedName>
    <definedName function="false" hidden="false" name="fade_gC" vbProcedure="false">In!$E$133</definedName>
    <definedName function="false" hidden="false" name="fade_mA" vbProcedure="false">In!$E$134</definedName>
    <definedName function="false" hidden="false" name="fade_mB" vbProcedure="false">In!$E$135</definedName>
    <definedName function="false" hidden="false" name="fade_mC" vbProcedure="false">In!$E$136</definedName>
    <definedName function="false" hidden="false" name="fb_eps26" vbProcedure="false">In!$E$109</definedName>
    <definedName function="false" hidden="false" name="fb_eps27" vbProcedure="false">In!$E$110</definedName>
    <definedName function="false" hidden="false" name="fb_eps28" vbProcedure="false">In!$E$111</definedName>
    <definedName function="false" hidden="false" name="fpe" vbProcedure="false">In!$E$119</definedName>
    <definedName function="false" hidden="false" name="fx" vbProcedure="false">In!$E$101</definedName>
    <definedName function="false" hidden="false" name="fx26" vbProcedure="false">In!$E$83</definedName>
    <definedName function="false" hidden="false" name="fx26_hi" vbProcedure="false">In!$F$83</definedName>
    <definedName function="false" hidden="false" name="fx26_lo" vbProcedure="false">In!$D$83</definedName>
    <definedName function="false" hidden="false" name="fx_hi" vbProcedure="false">In!$F$101</definedName>
    <definedName function="false" hidden="false" name="fx_lo" vbProcedure="false">In!$D$101</definedName>
    <definedName function="false" hidden="false" name="g29_oth" vbProcedure="false">In!$E$12</definedName>
    <definedName function="false" hidden="false" name="g29_tpu" vbProcedure="false">In!$E$8</definedName>
    <definedName function="false" hidden="false" name="gmadj" vbProcedure="false">In!$E$75</definedName>
    <definedName function="false" hidden="false" name="gmadj_hi" vbProcedure="false">In!$F$75</definedName>
    <definedName function="false" hidden="false" name="gmadj_lo" vbProcedure="false">In!$D$75</definedName>
    <definedName function="false" hidden="false" name="go27_A" vbProcedure="false">In!$E$48</definedName>
    <definedName function="false" hidden="false" name="go27_A_hi" vbProcedure="false">In!$F$48</definedName>
    <definedName function="false" hidden="false" name="go27_A_lo" vbProcedure="false">In!$D$48</definedName>
    <definedName function="false" hidden="false" name="go27_B" vbProcedure="false">In!$E$49</definedName>
    <definedName function="false" hidden="false" name="go27_B_hi" vbProcedure="false">In!$F$49</definedName>
    <definedName function="false" hidden="false" name="go27_B_lo" vbProcedure="false">In!$D$49</definedName>
    <definedName function="false" hidden="false" name="go27_C" vbProcedure="false">In!$E$50</definedName>
    <definedName function="false" hidden="false" name="go27_C_hi" vbProcedure="false">In!$F$50</definedName>
    <definedName function="false" hidden="false" name="go27_C_lo" vbProcedure="false">In!$D$50</definedName>
    <definedName function="false" hidden="false" name="go28_A" vbProcedure="false">In!$E$51</definedName>
    <definedName function="false" hidden="false" name="go28_A_hi" vbProcedure="false">In!$F$51</definedName>
    <definedName function="false" hidden="false" name="go28_A_lo" vbProcedure="false">In!$D$51</definedName>
    <definedName function="false" hidden="false" name="go28_B" vbProcedure="false">In!$E$52</definedName>
    <definedName function="false" hidden="false" name="go28_B_hi" vbProcedure="false">In!$F$52</definedName>
    <definedName function="false" hidden="false" name="go28_B_lo" vbProcedure="false">In!$D$52</definedName>
    <definedName function="false" hidden="false" name="go28_C" vbProcedure="false">In!$E$53</definedName>
    <definedName function="false" hidden="false" name="go28_C_hi" vbProcedure="false">In!$F$53</definedName>
    <definedName function="false" hidden="false" name="go28_C_lo" vbProcedure="false">In!$D$53</definedName>
    <definedName function="false" hidden="false" name="gsh26" vbProcedure="false">In!$E$24</definedName>
    <definedName function="false" hidden="false" name="gsh26_hi" vbProcedure="false">In!$F$24</definedName>
    <definedName function="false" hidden="false" name="gsh26_lo" vbProcedure="false">In!$D$24</definedName>
    <definedName function="false" hidden="false" name="gsh28_A" vbProcedure="false">In!$E$25</definedName>
    <definedName function="false" hidden="false" name="gsh28_A_hi" vbProcedure="false">In!$F$25</definedName>
    <definedName function="false" hidden="false" name="gsh28_A_lo" vbProcedure="false">In!$D$25</definedName>
    <definedName function="false" hidden="false" name="gsh28_B" vbProcedure="false">In!$E$26</definedName>
    <definedName function="false" hidden="false" name="gsh28_C" vbProcedure="false">In!$E$27</definedName>
    <definedName function="false" hidden="false" name="gta_A" vbProcedure="false">In!$E$55</definedName>
    <definedName function="false" hidden="false" name="gta_B" vbProcedure="false">In!$E$56</definedName>
    <definedName function="false" hidden="false" name="gta_C" vbProcedure="false">In!$E$57</definedName>
    <definedName function="false" hidden="false" name="guc_oth_26" vbProcedure="false">In!$E$47</definedName>
    <definedName function="false" hidden="false" name="guc_oth_26_hi" vbProcedure="false">In!$F$47</definedName>
    <definedName function="false" hidden="false" name="guc_oth_26_lo" vbProcedure="false">In!$D$47</definedName>
    <definedName function="false" hidden="false" name="g_o27_A" vbProcedure="false">In!$E$69</definedName>
    <definedName function="false" hidden="false" name="g_o27_A_hi" vbProcedure="false">In!$F$69</definedName>
    <definedName function="false" hidden="false" name="g_o27_A_lo" vbProcedure="false">In!$D$69</definedName>
    <definedName function="false" hidden="false" name="g_o27_B" vbProcedure="false">In!$E$71</definedName>
    <definedName function="false" hidden="false" name="g_o27_B_hi" vbProcedure="false">In!$F$71</definedName>
    <definedName function="false" hidden="false" name="g_o27_B_lo" vbProcedure="false">In!$D$71</definedName>
    <definedName function="false" hidden="false" name="g_o27_C" vbProcedure="false">In!$E$73</definedName>
    <definedName function="false" hidden="false" name="g_o27_C_hi" vbProcedure="false">In!$F$73</definedName>
    <definedName function="false" hidden="false" name="g_o27_C_lo" vbProcedure="false">In!$D$73</definedName>
    <definedName function="false" hidden="false" name="g_oL_A" vbProcedure="false">In!$E$70</definedName>
    <definedName function="false" hidden="false" name="g_oL_A_hi" vbProcedure="false">In!$F$70</definedName>
    <definedName function="false" hidden="false" name="g_oL_A_lo" vbProcedure="false">In!$D$70</definedName>
    <definedName function="false" hidden="false" name="g_oL_B" vbProcedure="false">In!$E$72</definedName>
    <definedName function="false" hidden="false" name="g_oL_B_hi" vbProcedure="false">In!$F$72</definedName>
    <definedName function="false" hidden="false" name="g_oL_B_lo" vbProcedure="false">In!$D$72</definedName>
    <definedName function="false" hidden="false" name="g_oL_C" vbProcedure="false">In!$E$74</definedName>
    <definedName function="false" hidden="false" name="g_oL_C_hi" vbProcedure="false">In!$F$74</definedName>
    <definedName function="false" hidden="false" name="g_oL_C_lo" vbProcedure="false">In!$D$74</definedName>
    <definedName function="false" hidden="false" name="g_opx_min" vbProcedure="false">In!$E$96</definedName>
    <definedName function="false" hidden="false" name="g_opx_min_hi" vbProcedure="false">In!$F$96</definedName>
    <definedName function="false" hidden="false" name="g_opx_min_lo" vbProcedure="false">In!$D$96</definedName>
    <definedName function="false" hidden="false" name="mk_oth_26" vbProcedure="false">In!$E$37</definedName>
    <definedName function="false" hidden="false" name="mk_oth_27" vbProcedure="false">In!$E$40</definedName>
    <definedName function="false" hidden="false" name="mk_oth_28" vbProcedure="false">In!$E$43</definedName>
    <definedName function="false" hidden="false" name="mv_oth_26" vbProcedure="false">In!$E$36</definedName>
    <definedName function="false" hidden="false" name="mv_oth_27" vbProcedure="false">In!$E$39</definedName>
    <definedName function="false" hidden="false" name="mv_oth_28" vbProcedure="false">In!$E$42</definedName>
    <definedName function="false" hidden="false" name="m_auto" vbProcedure="false">In!$E$68</definedName>
    <definedName function="false" hidden="false" name="m_auto_hi" vbProcedure="false">In!$F$68</definedName>
    <definedName function="false" hidden="false" name="m_auto_lo" vbProcedure="false">In!$D$68</definedName>
    <definedName function="false" hidden="false" name="m_tk" vbProcedure="false">In!$E$54</definedName>
    <definedName function="false" hidden="false" name="m_tk_hi" vbProcedure="false">In!$F$54</definedName>
    <definedName function="false" hidden="false" name="m_tk_lo" vbProcedure="false">In!$D$54</definedName>
    <definedName function="false" hidden="false" name="nim5" vbProcedure="false">In!$E$122</definedName>
    <definedName function="false" hidden="false" name="nonop_f" vbProcedure="false">In!$E$98</definedName>
    <definedName function="false" hidden="false" name="nonop_f_hi" vbProcedure="false">In!$F$98</definedName>
    <definedName function="false" hidden="false" name="nonop_f_lo" vbProcedure="false">In!$D$98</definedName>
    <definedName function="false" hidden="false" name="opx_adj" vbProcedure="false">In!$E$97</definedName>
    <definedName function="false" hidden="false" name="opx_adj_hi" vbProcedure="false">In!$F$97</definedName>
    <definedName function="false" hidden="false" name="opx_adj_lo" vbProcedure="false">In!$D$97</definedName>
    <definedName function="false" hidden="false" name="pc_cpu" vbProcedure="false">In!$E$28</definedName>
    <definedName function="false" hidden="false" name="pc_cpu_hi" vbProcedure="false">In!$F$28</definedName>
    <definedName function="false" hidden="false" name="pc_cpu_lo" vbProcedure="false">In!$D$28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In!$E$118</definedName>
    <definedName function="false" hidden="false" name="pfc_A" vbProcedure="false">In!$E$29</definedName>
    <definedName function="false" hidden="false" name="pfc_A_hi" vbProcedure="false">In!$F$29</definedName>
    <definedName function="false" hidden="false" name="pfc_A_lo" vbProcedure="false">In!$D$29</definedName>
    <definedName function="false" hidden="false" name="pfc_B" vbProcedure="false">In!$E$30</definedName>
    <definedName function="false" hidden="false" name="pfc_C" vbProcedure="false">In!$E$31</definedName>
    <definedName function="false" hidden="false" name="phi" vbProcedure="false">In!$E$95</definedName>
    <definedName function="false" hidden="false" name="phi_hi" vbProcedure="false">In!$F$95</definedName>
    <definedName function="false" hidden="false" name="phi_lo" vbProcedure="false">In!$D$95</definedName>
    <definedName function="false" hidden="false" name="px" vbProcedure="false">In!$E$117</definedName>
    <definedName function="false" hidden="false" name="q3_gm" vbProcedure="false">In!$E$85</definedName>
    <definedName function="false" hidden="false" name="q3_opx" vbProcedure="false">In!$E$86</definedName>
    <definedName function="false" hidden="false" name="q3_rev" vbProcedure="false">In!$E$84</definedName>
    <definedName function="false" hidden="false" name="q4_g" vbProcedure="false">In!$E$87</definedName>
    <definedName function="false" hidden="false" name="q4_gm" vbProcedure="false">In!$E$88</definedName>
    <definedName function="false" hidden="false" name="q4_gm_hi" vbProcedure="false">In!$F$88</definedName>
    <definedName function="false" hidden="false" name="q4_gm_lo" vbProcedure="false">In!$D$88</definedName>
    <definedName function="false" hidden="false" name="q4_g_hi" vbProcedure="false">In!$F$87</definedName>
    <definedName function="false" hidden="false" name="q4_g_lo" vbProcedure="false">In!$D$87</definedName>
    <definedName function="false" hidden="false" name="q4_opx" vbProcedure="false">In!$E$89</definedName>
    <definedName function="false" hidden="false" name="q4_opx_hi" vbProcedure="false">In!$F$89</definedName>
    <definedName function="false" hidden="false" name="q4_opx_lo" vbProcedure="false">In!$D$89</definedName>
    <definedName function="false" hidden="false" name="q_nonop" vbProcedure="false">In!$E$91</definedName>
    <definedName function="false" hidden="false" name="q_nonop_hi" vbProcedure="false">In!$F$91</definedName>
    <definedName function="false" hidden="false" name="q_nonop_lo" vbProcedure="false">In!$D$91</definedName>
    <definedName function="false" hidden="false" name="q_sh" vbProcedure="false">In!$E$93</definedName>
    <definedName function="false" hidden="false" name="q_tax" vbProcedure="false">In!$E$92</definedName>
    <definedName function="false" hidden="false" name="q_tax_hi" vbProcedure="false">In!$F$92</definedName>
    <definedName function="false" hidden="false" name="q_tax_lo" vbProcedure="false">In!$D$92</definedName>
    <definedName function="false" hidden="false" name="rm_factor" vbProcedure="false">Val!$B$153</definedName>
    <definedName function="false" hidden="false" name="sh_g" vbProcedure="false">In!$E$100</definedName>
    <definedName function="false" hidden="false" name="sh_g_hi" vbProcedure="false">In!$F$100</definedName>
    <definedName function="false" hidden="false" name="sh_g_lo" vbProcedure="false">In!$D$100</definedName>
    <definedName function="false" hidden="false" name="tax" vbProcedure="false">In!$E$99</definedName>
    <definedName function="false" hidden="false" name="tax_hi" vbProcedure="false">In!$F$99</definedName>
    <definedName function="false" hidden="false" name="tax_lo" vbProcedure="false">In!$D$99</definedName>
    <definedName function="false" hidden="false" name="tp_comp_adj" vbProcedure="false">Val!$B$154</definedName>
    <definedName function="false" hidden="false" name="tp_g" vbProcedure="false">In!$E$128</definedName>
    <definedName function="false" hidden="false" name="tp_r" vbProcedure="false">In!$E$127</definedName>
    <definedName function="false" hidden="false" name="tp_roe" vbProcedure="false">In!$E$129</definedName>
    <definedName function="false" hidden="false" name="tp_wA" vbProcedure="false">In!$E$124</definedName>
    <definedName function="false" hidden="false" name="tp_wB" vbProcedure="false">In!$E$125</definedName>
    <definedName function="false" hidden="false" name="tp_wC" vbProcedure="false">In!$E$126</definedName>
    <definedName function="false" hidden="false" name="tp_w_dcf" vbProcedure="false">In!$E$130</definedName>
    <definedName function="false" hidden="false" name="t_h1" vbProcedure="false">In!$E$90</definedName>
    <definedName function="false" hidden="false" name="ua_eps27" vbProcedure="false">In!$E$112</definedName>
    <definedName function="false" hidden="false" name="uf" vbProcedure="false">In!$E$32</definedName>
    <definedName function="false" hidden="false" name="uf_hi" vbProcedure="false">In!$F$32</definedName>
    <definedName function="false" hidden="false" name="uf_lo" vbProcedure="false">In!$D$32</definedName>
    <definedName function="false" hidden="false" name="um28_A" vbProcedure="false">In!$E$13</definedName>
    <definedName function="false" hidden="false" name="um28_B" vbProcedure="false">In!$E$15</definedName>
    <definedName function="false" hidden="false" name="um28_C" vbProcedure="false">In!$E$17</definedName>
    <definedName function="false" hidden="false" name="um29_A" vbProcedure="false">In!$E$14</definedName>
    <definedName function="false" hidden="false" name="um29_B" vbProcedure="false">In!$E$16</definedName>
    <definedName function="false" hidden="false" name="um29_C" vbProcedure="false">In!$E$18</definedName>
    <definedName function="false" hidden="false" name="u_oth_26" vbProcedure="false">In!$E$9</definedName>
    <definedName function="false" hidden="false" name="u_oth_27" vbProcedure="false">In!$E$10</definedName>
    <definedName function="false" hidden="false" name="u_oth_28" vbProcedure="false">In!$E$11</definedName>
    <definedName function="false" hidden="false" name="u_tpu_26" vbProcedure="false">In!$E$5</definedName>
    <definedName function="false" hidden="false" name="u_tpu_27" vbProcedure="false">In!$E$6</definedName>
    <definedName function="false" hidden="false" name="u_tpu_28" vbProcedure="false">In!$E$7</definedName>
    <definedName function="false" hidden="false" name="va_eps27" vbProcedure="false">In!$E$108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<sst xmlns="http://schemas.openxmlformats.org/spreadsheetml/2006/main" count="3679" uniqueCount="1046">
  <si>
    <r>
      <rPr>
        <b val="true"/>
        <sz val="11"/>
        <rFont val="Noto Sans CJK SC"/>
        <family val="2"/>
      </rPr>
      <t xml:space="preserve">創意電子（</t>
    </r>
    <r>
      <rPr>
        <b val="true"/>
        <sz val="11"/>
        <rFont val="Cambria"/>
        <family val="0"/>
        <charset val="1"/>
      </rPr>
      <t xml:space="preserve">3443.TW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：運算層，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設計服務＋量產；台積電體系）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</si>
  <si>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顆數＝台積電模型的 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CPU </t>
    </r>
    <r>
      <rPr>
        <sz val="11"/>
        <rFont val="Noto Sans CJK SC"/>
        <family val="2"/>
      </rPr>
      <t xml:space="preserve">對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配比；其他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顆數讀台積電模型、每顆核心售價讀 </t>
    </r>
    <r>
      <rPr>
        <sz val="11"/>
        <rFont val="Cambria"/>
        <family val="0"/>
        <charset val="1"/>
      </rPr>
      <t xml:space="preserve">Broadcom </t>
    </r>
    <r>
      <rPr>
        <sz val="11"/>
        <rFont val="Noto Sans CJK SC"/>
        <family val="2"/>
      </rPr>
      <t xml:space="preserve">模型，份額與 </t>
    </r>
    <r>
      <rPr>
        <sz val="11"/>
        <rFont val="Cambria"/>
        <family val="0"/>
        <charset val="1"/>
      </rPr>
      <t xml:space="preserve">Broadcom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Marvell</t>
    </r>
    <r>
      <rPr>
        <sz val="11"/>
        <rFont val="Noto Sans CJK SC"/>
        <family val="2"/>
      </rPr>
      <t xml:space="preserve">、聯發科合計不超過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；車用與其他營收用簡化成長。本版未做先驗。</t>
    </r>
  </si>
  <si>
    <r>
      <rPr>
        <sz val="11"/>
        <rFont val="Noto Sans CJK SC"/>
        <family val="2"/>
      </rPr>
      <t xml:space="preserve">模型命題：創意的營收由 </t>
    </r>
    <r>
      <rPr>
        <sz val="11"/>
        <rFont val="Cambria"/>
        <family val="0"/>
        <charset val="1"/>
      </rPr>
      <t xml:space="preserve">NRE </t>
    </r>
    <r>
      <rPr>
        <sz val="11"/>
        <rFont val="Noto Sans CJK SC"/>
        <family val="2"/>
      </rPr>
      <t xml:space="preserve">轉為 </t>
    </r>
    <r>
      <rPr>
        <sz val="11"/>
        <rFont val="Cambria"/>
        <family val="0"/>
        <charset val="1"/>
      </rPr>
      <t xml:space="preserve">Google </t>
    </r>
    <r>
      <rPr>
        <sz val="11"/>
        <rFont val="Noto Sans CJK SC"/>
        <family val="2"/>
      </rPr>
      <t xml:space="preserve">自研 </t>
    </r>
    <r>
      <rPr>
        <sz val="11"/>
        <rFont val="Cambria"/>
        <family val="0"/>
        <charset val="1"/>
      </rPr>
      <t xml:space="preserve">Arm CPU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Axion</t>
    </r>
    <r>
      <rPr>
        <sz val="11"/>
        <rFont val="Noto Sans CJK SC"/>
        <family val="2"/>
      </rPr>
      <t xml:space="preserve">）的 </t>
    </r>
    <r>
      <rPr>
        <sz val="11"/>
        <rFont val="Cambria"/>
        <family val="0"/>
        <charset val="1"/>
      </rPr>
      <t xml:space="preserve">turnkey </t>
    </r>
    <r>
      <rPr>
        <sz val="11"/>
        <rFont val="Noto Sans CJK SC"/>
        <family val="2"/>
      </rPr>
      <t xml:space="preserve">量產（晶圓與封裝轉售、毛利率低）。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營收約翻倍、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單季 </t>
    </r>
    <r>
      <rPr>
        <sz val="11"/>
        <rFont val="Cambria"/>
        <family val="0"/>
        <charset val="1"/>
      </rPr>
      <t xml:space="preserve">187.5 </t>
    </r>
    <r>
      <rPr>
        <sz val="11"/>
        <rFont val="Noto Sans CJK SC"/>
        <family val="2"/>
      </rPr>
      <t xml:space="preserve">億元；以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CPU </t>
    </r>
    <r>
      <rPr>
        <sz val="11"/>
        <rFont val="Noto Sans CJK SC"/>
        <family val="2"/>
      </rPr>
      <t xml:space="preserve">配比推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顆數，再加其他 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、車用與 </t>
    </r>
    <r>
      <rPr>
        <sz val="11"/>
        <rFont val="Cambria"/>
        <family val="0"/>
        <charset val="1"/>
      </rPr>
      <t xml:space="preserve">NRE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的營收與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有多少？現價約 </t>
    </r>
    <r>
      <rPr>
        <sz val="11"/>
        <rFont val="Cambria"/>
        <family val="0"/>
        <charset val="1"/>
      </rPr>
      <t xml:space="preserve">90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需要哪一條路徑？</t>
    </r>
  </si>
  <si>
    <r>
      <rPr>
        <sz val="11"/>
        <rFont val="Noto Sans CJK SC"/>
        <family val="2"/>
      </rPr>
      <t xml:space="preserve">核心問題：在市場層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顆數（</t>
    </r>
    <r>
      <rPr>
        <sz val="11"/>
        <rFont val="Cambria"/>
        <family val="0"/>
        <charset val="1"/>
      </rPr>
      <t xml:space="preserve">CY2027 5.5 </t>
    </r>
    <r>
      <rPr>
        <sz val="11"/>
        <rFont val="Noto Sans CJK SC"/>
        <family val="2"/>
      </rPr>
      <t xml:space="preserve">百萬顆）與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對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配比口徑下，創意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顆數與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離法人估計（</t>
    </r>
    <r>
      <rPr>
        <sz val="11"/>
        <rFont val="Cambria"/>
        <family val="0"/>
        <charset val="1"/>
      </rPr>
      <t xml:space="preserve">CPU 400 </t>
    </r>
    <r>
      <rPr>
        <sz val="11"/>
        <rFont val="Noto Sans CJK SC"/>
        <family val="2"/>
      </rPr>
      <t xml:space="preserve">萬顆、</t>
    </r>
    <r>
      <rPr>
        <sz val="11"/>
        <rFont val="Cambria"/>
        <family val="0"/>
        <charset val="1"/>
      </rPr>
      <t xml:space="preserve">FY2027 EPS 94–139 </t>
    </r>
    <r>
      <rPr>
        <sz val="11"/>
        <rFont val="Noto Sans CJK SC"/>
        <family val="2"/>
      </rPr>
      <t xml:space="preserve">元）多遠；差距靠配比、份額還是車用；現價隱含的倍數與同業差多少。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</si>
  <si>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</t>
    </r>
    <r>
      <rPr>
        <sz val="11"/>
        <rFont val="Cambria"/>
        <family val="0"/>
        <charset val="1"/>
      </rPr>
      <t xml:space="preserve">FY2025A </t>
    </r>
    <r>
      <rPr>
        <sz val="11"/>
        <rFont val="Noto Sans CJK SC"/>
        <family val="2"/>
      </rPr>
      <t xml:space="preserve">實績、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錨點、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驅動因子推導、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收斂法。金額：十億新台幣；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：新台幣（基本）。口徑：歸屬母公司淨利（</t>
    </r>
    <r>
      <rPr>
        <sz val="11"/>
        <rFont val="Cambria"/>
        <family val="0"/>
        <charset val="1"/>
      </rPr>
      <t xml:space="preserve">TIFRS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 </t>
    </r>
    <r>
      <rPr>
        <sz val="11"/>
        <rFont val="Cambria"/>
        <family val="0"/>
        <charset val="1"/>
      </rPr>
      <t xml:space="preserve">2026-10-29 </t>
    </r>
    <r>
      <rPr>
        <sz val="11"/>
        <rFont val="Noto Sans CJK SC"/>
        <family val="2"/>
      </rPr>
      <t xml:space="preserve">公布，本版只納入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</si>
  <si>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</si>
  <si>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Google CPU </t>
    </r>
    <r>
      <rPr>
        <sz val="11"/>
        <rFont val="Noto Sans CJK SC"/>
        <family val="2"/>
      </rPr>
      <t xml:space="preserve">量產：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 </t>
    </r>
    <r>
      <rPr>
        <sz val="11"/>
        <rFont val="Cambria"/>
        <family val="0"/>
        <charset val="1"/>
      </rPr>
      <t xml:space="preserve">Google TPU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情境係數（</t>
    </r>
    <r>
      <rPr>
        <sz val="11"/>
        <rFont val="Cambria"/>
        <family val="0"/>
        <charset val="1"/>
      </rPr>
      <t xml:space="preserve">CY2028–29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同字母）</t>
    </r>
    <r>
      <rPr>
        <sz val="11"/>
        <rFont val="Cambria"/>
        <family val="0"/>
        <charset val="1"/>
      </rPr>
      <t xml:space="preserve">× CPU </t>
    </r>
    <r>
      <rPr>
        <sz val="11"/>
        <rFont val="Noto Sans CJK SC"/>
        <family val="2"/>
      </rPr>
      <t xml:space="preserve">對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配比（</t>
    </r>
    <r>
      <rPr>
        <sz val="11"/>
        <rFont val="Cambria"/>
        <family val="0"/>
        <charset val="1"/>
      </rPr>
      <t xml:space="preserve">CY2026 0.325 </t>
    </r>
    <r>
      <rPr>
        <sz val="11"/>
        <rFont val="Noto Sans CJK SC"/>
        <family val="2"/>
      </rPr>
      <t xml:space="preserve">校準；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0.4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創意份額（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90%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70%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每顆營收 </t>
    </r>
    <r>
      <rPr>
        <sz val="11"/>
        <rFont val="Cambria"/>
        <family val="0"/>
        <charset val="1"/>
      </rPr>
      <t xml:space="preserve">1.0K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×1.2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k_c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以錨點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拆分 </t>
    </r>
    <r>
      <rPr>
        <sz val="11"/>
        <rFont val="Cambria"/>
        <family val="0"/>
        <charset val="1"/>
      </rPr>
      <t xml:space="preserve">48%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32</t>
    </r>
    <r>
      <rPr>
        <sz val="11"/>
        <rFont val="Noto Sans CJK SC"/>
        <family val="2"/>
      </rPr>
      <t xml:space="preserve">。</t>
    </r>
  </si>
  <si>
    <r>
      <rPr>
        <sz val="11"/>
        <rFont val="Cambria"/>
        <family val="0"/>
        <charset val="1"/>
      </rPr>
      <t xml:space="preserve">AI ASIC </t>
    </r>
    <r>
      <rPr>
        <sz val="11"/>
        <rFont val="Noto Sans CJK SC"/>
        <family val="2"/>
      </rPr>
      <t xml:space="preserve">量產：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創意份額（</t>
    </r>
    <r>
      <rPr>
        <sz val="11"/>
        <rFont val="Cambria"/>
        <family val="0"/>
        <charset val="1"/>
      </rPr>
      <t xml:space="preserve">CY2026 3%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CY2027 6%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Broadcom </t>
    </r>
    <r>
      <rPr>
        <sz val="11"/>
        <rFont val="Noto Sans CJK SC"/>
        <family val="2"/>
      </rPr>
      <t xml:space="preserve">模型核心售價 </t>
    </r>
    <r>
      <rPr>
        <sz val="11"/>
        <rFont val="Cambria"/>
        <family val="0"/>
        <charset val="1"/>
      </rPr>
      <t xml:space="preserve">6K × k_o</t>
    </r>
    <r>
      <rPr>
        <sz val="11"/>
        <rFont val="Noto Sans CJK SC"/>
        <family val="2"/>
      </rPr>
      <t xml:space="preserve">。車用：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錨點（營收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FY2027 ×4.0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2.0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×2.0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。其他（</t>
    </r>
    <r>
      <rPr>
        <sz val="11"/>
        <rFont val="Cambria"/>
        <family val="0"/>
        <charset val="1"/>
      </rPr>
      <t xml:space="preserve">NRE</t>
    </r>
    <r>
      <rPr>
        <sz val="11"/>
        <rFont val="Noto Sans CJK SC"/>
        <family val="2"/>
      </rPr>
      <t xml:space="preserve">＋其他量產）：</t>
    </r>
    <r>
      <rPr>
        <sz val="11"/>
        <rFont val="Cambria"/>
        <family val="0"/>
        <charset val="1"/>
      </rPr>
      <t xml:space="preserve">FY2027 +15%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+8%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、之後 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</si>
  <si>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毛利：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量產（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ASIC</t>
    </r>
    <r>
      <rPr>
        <sz val="11"/>
        <rFont val="Noto Sans CJK SC"/>
        <family val="2"/>
      </rPr>
      <t xml:space="preserve">）毛利率 </t>
    </r>
    <r>
      <rPr>
        <sz val="11"/>
        <rFont val="Cambria"/>
        <family val="0"/>
        <charset val="1"/>
      </rPr>
      <t xml:space="preserve">13%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；情境 </t>
    </r>
    <r>
      <rPr>
        <sz val="11"/>
        <rFont val="Cambria"/>
        <family val="0"/>
        <charset val="1"/>
      </rPr>
      <t xml:space="preserve">A +1pt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−2pt</t>
    </r>
    <r>
      <rPr>
        <sz val="11"/>
        <rFont val="Noto Sans CJK SC"/>
        <family val="2"/>
      </rPr>
      <t xml:space="preserve">）、車用 </t>
    </r>
    <r>
      <rPr>
        <sz val="11"/>
        <rFont val="Cambria"/>
        <family val="0"/>
        <charset val="1"/>
      </rPr>
      <t xml:space="preserve">16%</t>
    </r>
    <r>
      <rPr>
        <sz val="11"/>
        <rFont val="Noto Sans CJK SC"/>
        <family val="2"/>
      </rPr>
      <t xml:space="preserve">；其他營收毛利率為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，含 </t>
    </r>
    <r>
      <rPr>
        <sz val="11"/>
        <rFont val="Cambria"/>
        <family val="0"/>
        <charset val="1"/>
      </rPr>
      <t xml:space="preserve">NRE</t>
    </r>
    <r>
      <rPr>
        <sz val="11"/>
        <rFont val="Noto Sans CJK SC"/>
        <family val="2"/>
      </rPr>
      <t xml:space="preserve">）後沿用。營業費用彈性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、年增下限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；營業外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、稅率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、股數 </t>
    </r>
    <r>
      <rPr>
        <sz val="11"/>
        <rFont val="Cambria"/>
        <family val="0"/>
        <charset val="1"/>
      </rPr>
      <t xml:space="preserve">134.01M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</si>
  <si>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營收實績（月營收）＋公司方向性說法（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毛利率較 </t>
    </r>
    <r>
      <rPr>
        <sz val="11"/>
        <rFont val="Cambria"/>
        <family val="0"/>
        <charset val="1"/>
      </rPr>
      <t xml:space="preserve">2Q </t>
    </r>
    <r>
      <rPr>
        <sz val="11"/>
        <rFont val="Noto Sans CJK SC"/>
        <family val="2"/>
      </rPr>
      <t xml:space="preserve">下滑、費用持平）＋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假設（營收季增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18.5%</t>
    </r>
    <r>
      <rPr>
        <sz val="11"/>
        <rFont val="Noto Sans CJK SC"/>
        <family val="2"/>
      </rPr>
      <t xml:space="preserve">）。營收拆分（</t>
    </r>
    <r>
      <rPr>
        <sz val="11"/>
        <rFont val="Cambria"/>
        <family val="0"/>
        <charset val="1"/>
      </rPr>
      <t xml:space="preserve">CPU 48%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ASIC 3%</t>
    </r>
    <r>
      <rPr>
        <sz val="11"/>
        <rFont val="Noto Sans CJK SC"/>
        <family val="2"/>
      </rPr>
      <t xml:space="preserve">、車用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）為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</si>
  <si>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，情境價值負值取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目標價（世芯、聯發科、博通、邁威爾前瞻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</si>
  <si>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依工作單以 </t>
    </r>
    <r>
      <rPr>
        <sz val="11"/>
        <rFont val="Cambria"/>
        <family val="0"/>
        <charset val="1"/>
      </rPr>
      <t xml:space="preserve">FY2029 × 0.8 </t>
    </r>
    <r>
      <rPr>
        <sz val="11"/>
        <rFont val="Noto Sans CJK SC"/>
        <family val="2"/>
      </rPr>
      <t xml:space="preserve">代替。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</si>
  <si>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未使用。公司數字多取自媒體轉述財報與法說；券商與資料商為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</si>
  <si>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公司未揭露客戶名稱與 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AI ASIC</t>
    </r>
    <r>
      <rPr>
        <sz val="11"/>
        <rFont val="Noto Sans CJK SC"/>
        <family val="2"/>
      </rPr>
      <t xml:space="preserve">、車用營收金額，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拆分與毛利率為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CPU </t>
    </r>
    <r>
      <rPr>
        <sz val="11"/>
        <rFont val="Noto Sans CJK SC"/>
        <family val="2"/>
      </rPr>
      <t xml:space="preserve">顆數綁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配比，法人 </t>
    </r>
    <r>
      <rPr>
        <sz val="11"/>
        <rFont val="Cambria"/>
        <family val="0"/>
        <charset val="1"/>
      </rPr>
      <t xml:space="preserve">CY2027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400 </t>
    </r>
    <r>
      <rPr>
        <sz val="11"/>
        <rFont val="Noto Sans CJK SC"/>
        <family val="2"/>
      </rPr>
      <t xml:space="preserve">萬顆需配比約 </t>
    </r>
    <r>
      <rPr>
        <sz val="11"/>
        <rFont val="Cambria"/>
        <family val="0"/>
        <charset val="1"/>
      </rPr>
      <t xml:space="preserve">0.73</t>
    </r>
    <r>
      <rPr>
        <sz val="11"/>
        <rFont val="Noto Sans CJK SC"/>
        <family val="2"/>
      </rPr>
      <t xml:space="preserve">，超出本模型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，修訂市場層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顆數應由市場層提出，不在本模型自改；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份額受 </t>
    </r>
    <r>
      <rPr>
        <sz val="11"/>
        <rFont val="Cambria"/>
        <family val="0"/>
        <charset val="1"/>
      </rPr>
      <t xml:space="preserve">Broadcom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Marvell</t>
    </r>
    <r>
      <rPr>
        <sz val="11"/>
        <rFont val="Noto Sans CJK SC"/>
        <family val="2"/>
      </rPr>
      <t xml:space="preserve">、聯發科份額限制（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上限 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），分母含 </t>
    </r>
    <r>
      <rPr>
        <sz val="11"/>
        <rFont val="Cambria"/>
        <family val="0"/>
        <charset val="1"/>
      </rPr>
      <t xml:space="preserve">Ascend </t>
    </r>
    <r>
      <rPr>
        <sz val="11"/>
        <rFont val="Noto Sans CJK SC"/>
        <family val="2"/>
      </rPr>
      <t xml:space="preserve">等非台積電產品；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單一客戶集中（</t>
    </r>
    <r>
      <rPr>
        <sz val="11"/>
        <rFont val="Cambria"/>
        <family val="0"/>
        <charset val="1"/>
      </rPr>
      <t xml:space="preserve">Google CPU </t>
    </r>
    <r>
      <rPr>
        <sz val="11"/>
        <rFont val="Noto Sans CJK SC"/>
        <family val="2"/>
      </rPr>
      <t xml:space="preserve">約一半營收），情境 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只反映配比、份額下修，未含失去客戶；</t>
    </r>
    <r>
      <rPr>
        <sz val="11"/>
        <rFont val="Cambria"/>
        <family val="0"/>
        <charset val="1"/>
      </rPr>
      <t xml:space="preserve">(5) 3Q26 </t>
    </r>
    <r>
      <rPr>
        <sz val="11"/>
        <rFont val="Noto Sans CJK SC"/>
        <family val="2"/>
      </rPr>
      <t xml:space="preserve">毛利率與費用只有方向性說法；</t>
    </r>
    <r>
      <rPr>
        <sz val="11"/>
        <rFont val="Cambria"/>
        <family val="0"/>
        <charset val="1"/>
      </rPr>
      <t xml:space="preserve">1Q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稅前利益為推估；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多為 </t>
    </r>
    <r>
      <rPr>
        <sz val="11"/>
        <rFont val="Cambria"/>
        <family val="0"/>
        <charset val="1"/>
      </rPr>
      <t xml:space="preserve">NRE </t>
    </r>
    <r>
      <rPr>
        <sz val="11"/>
        <rFont val="Noto Sans CJK SC"/>
        <family val="2"/>
      </rPr>
      <t xml:space="preserve">主導期；</t>
    </r>
    <r>
      <rPr>
        <sz val="11"/>
        <rFont val="Cambria"/>
        <family val="0"/>
        <charset val="1"/>
      </rPr>
      <t xml:space="preserve">2016–2017 </t>
    </r>
    <r>
      <rPr>
        <sz val="11"/>
        <rFont val="Noto Sans CJK SC"/>
        <family val="2"/>
      </rPr>
      <t xml:space="preserve">自算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未找到；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</si>
  <si>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b val="true"/>
        <sz val="11"/>
        <rFont val="Noto Sans CJK SC"/>
        <family val="2"/>
      </rPr>
      <t xml:space="preserve">情境對照表（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讀同字母的行業情境；公司特有變數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</si>
  <si>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r>
      <rPr>
        <sz val="11"/>
        <rFont val="Noto Sans CJK SC"/>
        <family val="2"/>
      </rPr>
      <t xml:space="preserve">行業：</t>
    </r>
    <r>
      <rPr>
        <sz val="11"/>
        <rFont val="Cambria"/>
        <family val="0"/>
        <charset val="1"/>
      </rPr>
      <t xml:space="preserve">TPU</t>
    </r>
    <r>
      <rPr>
        <sz val="11"/>
        <rFont val="Noto Sans CJK SC"/>
        <family val="2"/>
      </rPr>
      <t xml:space="preserve">、其他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顆數係數＝</t>
    </r>
    <r>
      <rPr>
        <sz val="11"/>
        <rFont val="Cambria"/>
        <family val="0"/>
        <charset val="1"/>
      </rPr>
      <t xml:space="preserve">tsmc 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um28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um29</t>
    </r>
    <r>
      <rPr>
        <sz val="11"/>
        <rFont val="Noto Sans CJK SC"/>
        <family val="2"/>
      </rPr>
      <t xml:space="preserve">（＝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）。不讀 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markets/network</t>
    </r>
    <r>
      <rPr>
        <sz val="11"/>
        <rFont val="Noto Sans CJK SC"/>
        <family val="2"/>
      </rPr>
      <t xml:space="preserve">（創意無設備、網通營收）。</t>
    </r>
  </si>
  <si>
    <r>
      <rPr>
        <sz val="11"/>
        <rFont val="Noto Sans CJK SC"/>
        <family val="2"/>
      </rPr>
      <t xml:space="preserve">公司特有：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對 </t>
    </r>
    <r>
      <rPr>
        <sz val="11"/>
        <rFont val="Cambria"/>
        <family val="0"/>
        <charset val="1"/>
      </rPr>
      <t xml:space="preserve">TPU </t>
    </r>
    <r>
      <rPr>
        <sz val="11"/>
        <rFont val="Noto Sans CJK SC"/>
        <family val="2"/>
      </rPr>
      <t xml:space="preserve">配比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0.4</t>
    </r>
    <r>
      <rPr>
        <sz val="11"/>
        <rFont val="Noto Sans CJK SC"/>
        <family val="2"/>
      </rPr>
      <t xml:space="preserve">；下一代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90%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70%</t>
    </r>
    <r>
      <rPr>
        <sz val="11"/>
        <rFont val="Noto Sans CJK SC"/>
        <family val="2"/>
      </rPr>
      <t xml:space="preserve">、單價係數 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；其他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CY2027 6%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2%</t>
    </r>
    <r>
      <rPr>
        <sz val="11"/>
        <rFont val="Noto Sans CJK SC"/>
        <family val="2"/>
      </rPr>
      <t xml:space="preserve">；車用倍數 </t>
    </r>
    <r>
      <rPr>
        <sz val="11"/>
        <rFont val="Cambria"/>
        <family val="0"/>
        <charset val="1"/>
      </rPr>
      <t xml:space="preserve">FY2027 4.0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2.0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2.0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</t>
    </r>
    <r>
      <rPr>
        <sz val="11"/>
        <rFont val="Noto Sans CJK SC"/>
        <family val="2"/>
      </rPr>
      <t xml:space="preserve">；其他營收 </t>
    </r>
    <r>
      <rPr>
        <sz val="11"/>
        <rFont val="Cambria"/>
        <family val="0"/>
        <charset val="1"/>
      </rPr>
      <t xml:space="preserve">FY2027 +15%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+8%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、之後 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；量產毛利率調整 </t>
    </r>
    <r>
      <rPr>
        <sz val="11"/>
        <rFont val="Cambria"/>
        <family val="0"/>
        <charset val="1"/>
      </rPr>
      <t xml:space="preserve">+1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2pt</t>
    </r>
    <r>
      <rPr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</si>
  <si>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頁末新增「上檔空間級距」「投資建議」兩列（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14:17 </t>
    </r>
    <r>
      <rPr>
        <sz val="11"/>
        <color theme="1"/>
        <rFont val="Noto Sans CJK SC"/>
        <family val="2"/>
      </rPr>
      <t xml:space="preserve">固定規則），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頁末新增投資建議與重點觀察三點；既有儲存格位置與數值不變。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</si>
  <si>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：情境分歧最大：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199.7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115.2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52.0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3,785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1,992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682</t>
    </r>
    <r>
      <rPr>
        <sz val="11"/>
        <color theme="1"/>
        <rFont val="Noto Sans CJK SC"/>
        <family val="2"/>
      </rPr>
      <t xml:space="preserve">；即使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也只有現價的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124.8</t>
    </r>
    <r>
      <rPr>
        <sz val="11"/>
        <color theme="1"/>
        <rFont val="Noto Sans CJK SC"/>
        <family val="2"/>
      </rPr>
      <t xml:space="preserve">，同業前瞻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中位數下的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3,573</t>
    </r>
    <r>
      <rPr>
        <sz val="11"/>
        <color theme="1"/>
        <rFont val="Noto Sans CJK SC"/>
        <family val="2"/>
      </rPr>
      <t xml:space="preserve">（未調整），市場給創意的 </t>
    </r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成長溢價本模型只以相對倍數調整部分反映。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</si>
  <si>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仍為假設（營收季增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18.5%</t>
    </r>
    <r>
      <rPr>
        <sz val="11"/>
        <color theme="1"/>
        <rFont val="Noto Sans CJK SC"/>
        <family val="2"/>
      </rPr>
      <t xml:space="preserve">；公司未給季度區間指引）；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配比是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最敏感的變數（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頁）。下一個檢驗點是 </t>
    </r>
    <r>
      <rPr>
        <sz val="11"/>
        <color theme="1"/>
        <rFont val="Calibri"/>
        <family val="2"/>
        <charset val="1"/>
      </rPr>
      <t xml:space="preserve">10–12 </t>
    </r>
    <r>
      <rPr>
        <sz val="11"/>
        <color theme="1"/>
        <rFont val="Noto Sans CJK SC"/>
        <family val="2"/>
      </rPr>
      <t xml:space="preserve">月月營收與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2027-02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</si>
  <si>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）：分部原則重建（數值不變）。創意為單一應報導部門；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33 </t>
    </r>
    <r>
      <rPr>
        <sz val="11"/>
        <color theme="1"/>
        <rFont val="Noto Sans CJK SC"/>
        <family val="2"/>
      </rPr>
      <t xml:space="preserve">列起追加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部門營收、營收類別（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，經濟日報轉述）與核對列「分部合計 − 合併營收」。推估年仍以 </t>
    </r>
    <r>
      <rPr>
        <sz val="11"/>
        <color theme="1"/>
        <rFont val="Calibri"/>
        <family val="2"/>
        <charset val="1"/>
      </rPr>
      <t xml:space="preserve">Google CPU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／車用／其他拆分，不拆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Turnkey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</si>
  <si>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</si>
  <si>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）：滾入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財報：前三季營收 </t>
    </r>
    <r>
      <rPr>
        <sz val="11"/>
        <color theme="1"/>
        <rFont val="Calibri"/>
        <family val="2"/>
        <charset val="1"/>
      </rPr>
      <t xml:space="preserve">440.99 </t>
    </r>
    <r>
      <rPr>
        <sz val="11"/>
        <color theme="1"/>
        <rFont val="Noto Sans CJK SC"/>
        <family val="2"/>
      </rPr>
      <t xml:space="preserve">億、毛利 </t>
    </r>
    <r>
      <rPr>
        <sz val="11"/>
        <color theme="1"/>
        <rFont val="Calibri"/>
        <family val="2"/>
        <charset val="1"/>
      </rPr>
      <t xml:space="preserve">99.68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60.52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54.73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40.84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＝前三季 − 上半年：營收 </t>
    </r>
    <r>
      <rPr>
        <sz val="11"/>
        <color theme="1"/>
        <rFont val="Calibri"/>
        <family val="2"/>
        <charset val="1"/>
      </rPr>
      <t xml:space="preserve">187.5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20.58%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25.54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16.95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EPS 60.7 → 62.2</t>
    </r>
    <r>
      <rPr>
        <sz val="11"/>
        <color theme="1"/>
        <rFont val="Noto Sans CJK SC"/>
        <family val="2"/>
      </rPr>
      <t xml:space="preserve">，加權目標價 </t>
    </r>
    <r>
      <rPr>
        <sz val="11"/>
        <color theme="1"/>
        <rFont val="Calibri"/>
        <family val="2"/>
        <charset val="1"/>
      </rPr>
      <t xml:space="preserve">3,911 → 3,968</t>
    </r>
    <r>
      <rPr>
        <sz val="11"/>
        <color theme="1"/>
        <rFont val="Noto Sans CJK SC"/>
        <family val="2"/>
      </rPr>
      <t xml:space="preserve">，投資建議維持放空。</t>
    </r>
  </si>
  <si>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</si>
  <si>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）；顆數：百萬顆；匯率：新台幣／美元。每個輸入附兩個來源（找不到者寫「未找到」）；公司原文算一個。【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</si>
  <si>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未使用。公司財報與法說內容多取自媒體轉述（公司自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年起不再給季度區間指引）；公司說法為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；券商、資料商、媒體為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</si>
  <si>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</si>
  <si>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</si>
  <si>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</si>
  <si>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</si>
  <si>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</si>
  <si>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</si>
  <si>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</si>
  <si>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</si>
  <si>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</si>
  <si>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、聯發科模型同一份；情境係數讀台積電模型＝</t>
    </r>
    <r>
      <rPr>
        <b val="true"/>
        <sz val="11"/>
        <rFont val="Cambria"/>
        <family val="0"/>
        <charset val="1"/>
      </rPr>
      <t xml:space="preserve">markets/memory SCEN_UNITS</t>
    </r>
    <r>
      <rPr>
        <b val="true"/>
        <sz val="11"/>
        <rFont val="Noto Sans CJK SC"/>
        <family val="2"/>
      </rPr>
      <t xml:space="preserve">，不另訂）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</si>
  <si>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</si>
  <si>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</si>
  <si>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</si>
  <si>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</si>
  <si>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</si>
  <si>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成品同值、</t>
    </r>
    <r>
      <rPr>
        <sz val="11"/>
        <color theme="1"/>
        <rFont val="Calibri"/>
        <family val="2"/>
        <charset val="1"/>
      </rPr>
      <t xml:space="preserve">markets/memory UNITS </t>
    </r>
    <r>
      <rPr>
        <sz val="11"/>
        <color theme="1"/>
        <rFont val="Noto Sans CJK SC"/>
        <family val="2"/>
      </rPr>
      <t xml:space="preserve">同值（建置時檢查）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</si>
  <si>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</si>
  <si>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</si>
  <si>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</si>
  <si>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同上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</si>
  <si>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</si>
  <si>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</si>
  <si>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</si>
  <si>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</si>
  <si>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CY2029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</si>
  <si>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</si>
  <si>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</si>
  <si>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</si>
  <si>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</si>
  <si>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</si>
  <si>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</si>
  <si>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</si>
  <si>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</si>
  <si>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</si>
  <si>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</si>
  <si>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</si>
  <si>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</si>
  <si>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</si>
  <si>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</si>
  <si>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</si>
  <si>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</si>
  <si>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</si>
  <si>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</si>
  <si>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</si>
  <si>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</si>
  <si>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</si>
  <si>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、聯發科模型相同；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，建置時檢查）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</si>
  <si>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</si>
  <si>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</si>
  <si>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</si>
  <si>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</si>
  <si>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</si>
  <si>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</si>
  <si>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</si>
  <si>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</si>
  <si>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</si>
  <si>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</si>
  <si>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</si>
  <si>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</si>
  <si>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</si>
  <si>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</si>
  <si>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</si>
  <si>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Google </t>
    </r>
    <r>
      <rPr>
        <b val="true"/>
        <sz val="11"/>
        <rFont val="Noto Sans CJK SC"/>
        <family val="2"/>
      </rPr>
      <t xml:space="preserve">自研 </t>
    </r>
    <r>
      <rPr>
        <b val="true"/>
        <sz val="11"/>
        <rFont val="Cambria"/>
        <family val="0"/>
        <charset val="1"/>
      </rPr>
      <t xml:space="preserve">Arm CPU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Axion</t>
    </r>
    <r>
      <rPr>
        <b val="true"/>
        <sz val="11"/>
        <rFont val="Noto Sans CJK SC"/>
        <family val="2"/>
      </rPr>
      <t xml:space="preserve">）量產：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顆數＝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創意份額（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不占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加速器份額）</t>
    </r>
  </si>
  <si>
    <t xml:space="preserve">att26</t>
  </si>
  <si>
    <r>
      <rPr>
        <sz val="11"/>
        <color theme="1"/>
        <rFont val="Calibri"/>
        <family val="2"/>
        <charset val="1"/>
      </rPr>
      <t xml:space="preserve">CY2026 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TPU </t>
    </r>
    <r>
      <rPr>
        <sz val="11"/>
        <color theme="1"/>
        <rFont val="Noto Sans CJK SC"/>
        <family val="2"/>
      </rPr>
      <t xml:space="preserve">顆數；校準年）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</si>
  <si>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出貨約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Noto Sans CJK SC"/>
        <family val="2"/>
      </rPr>
      <t xml:space="preserve">萬顆（法人估計）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TPU 3.85 </t>
    </r>
    <r>
      <rPr>
        <sz val="11"/>
        <color theme="1"/>
        <rFont val="Noto Sans CJK SC"/>
        <family val="2"/>
      </rPr>
      <t xml:space="preserve">百萬顆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</si>
  <si>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只用於校準（</t>
    </r>
    <r>
      <rPr>
        <sz val="11"/>
        <color theme="1"/>
        <rFont val="Calibri"/>
        <family val="2"/>
        <charset val="1"/>
      </rPr>
      <t xml:space="preserve">k_c </t>
    </r>
    <r>
      <rPr>
        <sz val="11"/>
        <color theme="1"/>
        <rFont val="Noto Sans CJK SC"/>
        <family val="2"/>
      </rPr>
      <t xml:space="preserve">吸收）；公司未揭露客戶與顆數</t>
    </r>
  </si>
  <si>
    <t xml:space="preserve">att_A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</si>
  <si>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</si>
  <si>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出貨估計）：新平台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配置由 </t>
    </r>
    <r>
      <rPr>
        <sz val="11"/>
        <color theme="1"/>
        <rFont val="Calibri"/>
        <family val="2"/>
        <charset val="1"/>
      </rPr>
      <t xml:space="preserve">1:4 </t>
    </r>
    <r>
      <rPr>
        <sz val="11"/>
        <color theme="1"/>
        <rFont val="Noto Sans CJK SC"/>
        <family val="2"/>
      </rPr>
      <t xml:space="preserve">提升到 </t>
    </r>
    <r>
      <rPr>
        <sz val="11"/>
        <color theme="1"/>
        <rFont val="Calibri"/>
        <family val="2"/>
        <charset val="1"/>
      </rPr>
      <t xml:space="preserve">1:2</t>
    </r>
    <r>
      <rPr>
        <sz val="11"/>
        <color theme="1"/>
        <rFont val="Noto Sans CJK SC"/>
        <family val="2"/>
      </rPr>
      <t xml:space="preserve">（法人）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</si>
  <si>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（本國投顧：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營收結構）：第八代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伺服器由每顆 </t>
    </r>
    <r>
      <rPr>
        <sz val="11"/>
        <color theme="1"/>
        <rFont val="Calibri"/>
        <family val="2"/>
        <charset val="1"/>
      </rPr>
      <t xml:space="preserve">x86 CPU </t>
    </r>
    <r>
      <rPr>
        <sz val="11"/>
        <color theme="1"/>
        <rFont val="Noto Sans CJK SC"/>
        <family val="2"/>
      </rPr>
      <t xml:space="preserve">配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改為每顆 </t>
    </r>
    <r>
      <rPr>
        <sz val="11"/>
        <color theme="1"/>
        <rFont val="Calibri"/>
        <family val="2"/>
        <charset val="1"/>
      </rPr>
      <t xml:space="preserve">Arm CPU </t>
    </r>
    <r>
      <rPr>
        <sz val="11"/>
        <color theme="1"/>
        <rFont val="Noto Sans CJK SC"/>
        <family val="2"/>
      </rPr>
      <t xml:space="preserve">配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顆（本國投顧）；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另含一般運算 </t>
    </r>
    <r>
      <rPr>
        <sz val="11"/>
        <color theme="1"/>
        <rFont val="Calibri"/>
        <family val="2"/>
        <charset val="1"/>
      </rPr>
      <t xml:space="preserve">Axion </t>
    </r>
    <r>
      <rPr>
        <sz val="11"/>
        <color theme="1"/>
        <rFont val="Noto Sans CJK SC"/>
        <family val="2"/>
      </rPr>
      <t xml:space="preserve">執行個體</t>
    </r>
  </si>
  <si>
    <t xml:space="preserve">att_B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</si>
  <si>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</si>
  <si>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</t>
    </r>
  </si>
  <si>
    <t xml:space="preserve">att_C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</si>
  <si>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</si>
  <si>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gsh26</t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</si>
  <si>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CY2026–27</t>
    </r>
  </si>
  <si>
    <r>
      <rPr>
        <sz val="11"/>
        <color theme="1"/>
        <rFont val="Noto Sans CJK SC"/>
        <family val="2"/>
      </rPr>
      <t xml:space="preserve">公司：最大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客戶產能已確保（</t>
    </r>
    <r>
      <rPr>
        <sz val="11"/>
        <color theme="1"/>
        <rFont val="Calibri"/>
        <family val="2"/>
        <charset val="1"/>
      </rPr>
      <t xml:space="preserve">2026-01-30 </t>
    </r>
    <r>
      <rPr>
        <sz val="11"/>
        <color theme="1"/>
        <rFont val="Noto Sans CJK SC"/>
        <family val="2"/>
      </rPr>
      <t xml:space="preserve">法說，工商時報轉述）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</si>
  <si>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Google Arm CPU </t>
    </r>
    <r>
      <rPr>
        <sz val="11"/>
        <color theme="1"/>
        <rFont val="Noto Sans CJK SC"/>
        <family val="2"/>
      </rPr>
      <t xml:space="preserve">專案為創意（經濟日報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）；客戶名稱公司未揭露</t>
    </r>
  </si>
  <si>
    <t xml:space="preserve">gsh28_A</t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</si>
  <si>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</si>
  <si>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的設計夥伴：未找到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</si>
  <si>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部分轉給其他夥伴或客戶自行設計（</t>
    </r>
    <r>
      <rPr>
        <sz val="11"/>
        <color theme="1"/>
        <rFont val="Calibri"/>
        <family val="2"/>
        <charset val="1"/>
      </rPr>
      <t xml:space="preserve">COT</t>
    </r>
    <r>
      <rPr>
        <sz val="11"/>
        <color theme="1"/>
        <rFont val="Noto Sans CJK SC"/>
        <family val="2"/>
      </rPr>
      <t xml:space="preserve">）</t>
    </r>
  </si>
  <si>
    <t xml:space="preserve">gsh28_B</t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</si>
  <si>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</si>
  <si>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t xml:space="preserve">gsh28_C</t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</si>
  <si>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</si>
  <si>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t xml:space="preserve">pc_cpu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</si>
  <si>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turnkey</t>
    </r>
    <r>
      <rPr>
        <sz val="11"/>
        <color theme="1"/>
        <rFont val="Noto Sans CJK SC"/>
        <family val="2"/>
      </rPr>
      <t xml:space="preserve">：晶圓＋封裝測試轉售；未校準）</t>
    </r>
  </si>
  <si>
    <t xml:space="preserve">US$K</t>
  </si>
  <si>
    <r>
      <rPr>
        <sz val="11"/>
        <color theme="1"/>
        <rFont val="Noto Sans CJK SC"/>
        <family val="2"/>
      </rPr>
      <t xml:space="preserve">公司未揭露；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奈米大型 </t>
    </r>
    <r>
      <rPr>
        <sz val="11"/>
        <color theme="1"/>
        <rFont val="Calibri"/>
        <family val="2"/>
        <charset val="1"/>
      </rPr>
      <t xml:space="preserve">Arm CPU </t>
    </r>
    <r>
      <rPr>
        <sz val="11"/>
        <color theme="1"/>
        <rFont val="Noto Sans CJK SC"/>
        <family val="2"/>
      </rPr>
      <t xml:space="preserve">晶圓與封裝成本（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</si>
  <si>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k_c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營收吸收單價誤差</t>
    </r>
  </si>
  <si>
    <t xml:space="preserve">pfc_A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</si>
  <si>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營收係數（下一代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</si>
  <si>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公司：第四季開始出貨下一代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產品（經濟日報 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轉述法人）</t>
    </r>
  </si>
  <si>
    <t xml:space="preserve">下一代製程與單價：未找到</t>
  </si>
  <si>
    <t xml:space="preserve">pfc_B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</si>
  <si>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營收係數（下一代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</si>
  <si>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pfc_C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</si>
  <si>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營收係數（下一代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</si>
  <si>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uf</t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</si>
  <si>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</si>
  <si>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t xml:space="preserve">無</t>
  </si>
  <si>
    <t xml:space="preserve">±20%</t>
  </si>
  <si>
    <r>
      <rPr>
        <b val="true"/>
        <sz val="11"/>
        <rFont val="Cambria"/>
        <family val="0"/>
        <charset val="1"/>
      </rPr>
      <t xml:space="preserve">C. AI ASIC </t>
    </r>
    <r>
      <rPr>
        <b val="true"/>
        <sz val="11"/>
        <rFont val="Noto Sans CJK SC"/>
        <family val="2"/>
      </rPr>
      <t xml:space="preserve">量產（其他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等）：每顆規格讀 </t>
    </r>
    <r>
      <rPr>
        <b val="true"/>
        <sz val="11"/>
        <rFont val="Cambria"/>
        <family val="0"/>
        <charset val="1"/>
      </rPr>
      <t xml:space="preserve">Broadcom </t>
    </r>
    <r>
      <rPr>
        <b val="true"/>
        <sz val="11"/>
        <rFont val="Noto Sans CJK SC"/>
        <family val="2"/>
      </rPr>
      <t xml:space="preserve">模型（唯讀）；份額與 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、聯發科合計 ≤ </t>
    </r>
    <r>
      <rPr>
        <b val="true"/>
        <sz val="11"/>
        <rFont val="Cambria"/>
        <family val="0"/>
        <charset val="1"/>
      </rPr>
      <t xml:space="preserve">100%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</si>
  <si>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</si>
  <si>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</si>
  <si>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</si>
  <si>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每顆規格（本專案權威）；創意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只含晶圓與封裝轉售，以 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校準</t>
    </r>
  </si>
  <si>
    <t xml:space="preserve">av_oth_26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</si>
  <si>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</si>
  <si>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</si>
  <si>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</t>
    </r>
  </si>
  <si>
    <t xml:space="preserve">mv_oth_26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</si>
  <si>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</si>
  <si>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mrvl/dist/20261030_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In!E48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</si>
  <si>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</t>
    </r>
  </si>
  <si>
    <t xml:space="preserve">mk_oth_26</t>
  </si>
  <si>
    <r>
      <rPr>
        <sz val="11"/>
        <color theme="1"/>
        <rFont val="Noto Sans CJK SC"/>
        <family val="2"/>
      </rPr>
      <t xml:space="preserve">聯發科占其他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（高值；份額加總檢查用）</t>
    </r>
  </si>
  <si>
    <r>
      <rPr>
        <sz val="11"/>
        <color theme="1"/>
        <rFont val="Calibri"/>
        <family val="2"/>
        <charset val="1"/>
      </rPr>
      <t xml:space="preserve">mediatek/dist/20261030_</t>
    </r>
    <r>
      <rPr>
        <sz val="11"/>
        <color theme="1"/>
        <rFont val="Noto Sans CJK SC"/>
        <family val="2"/>
      </rPr>
      <t xml:space="preserve">聯發科個股模型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In!F45</t>
    </r>
  </si>
  <si>
    <r>
      <rPr>
        <sz val="11"/>
        <color theme="1"/>
        <rFont val="Noto Sans CJK SC"/>
        <family val="2"/>
      </rPr>
      <t xml:space="preserve">聯發科模型高值（基準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）；世芯模型只有 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份額，其他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</t>
    </r>
  </si>
  <si>
    <t xml:space="preserve">av_oth_27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</si>
  <si>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</si>
  <si>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In!E54</t>
    </r>
  </si>
  <si>
    <t xml:space="preserve">mv_oth_27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</si>
  <si>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</si>
  <si>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mrvl/dist/20261030_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In!E49</t>
    </r>
  </si>
  <si>
    <t xml:space="preserve">mk_oth_27</t>
  </si>
  <si>
    <r>
      <rPr>
        <sz val="11"/>
        <color theme="1"/>
        <rFont val="Noto Sans CJK SC"/>
        <family val="2"/>
      </rPr>
      <t xml:space="preserve">聯發科占其他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（高值；份額加總檢查用）</t>
    </r>
  </si>
  <si>
    <r>
      <rPr>
        <sz val="11"/>
        <color theme="1"/>
        <rFont val="Calibri"/>
        <family val="2"/>
        <charset val="1"/>
      </rPr>
      <t xml:space="preserve">mediatek/dist/20261030_</t>
    </r>
    <r>
      <rPr>
        <sz val="11"/>
        <color theme="1"/>
        <rFont val="Noto Sans CJK SC"/>
        <family val="2"/>
      </rPr>
      <t xml:space="preserve">聯發科個股模型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In!F46</t>
    </r>
  </si>
  <si>
    <t xml:space="preserve">av_oth_28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</si>
  <si>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</si>
  <si>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</si>
  <si>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t xml:space="preserve">mv_oth_28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</si>
  <si>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（份額加總檢查用）</t>
    </r>
  </si>
  <si>
    <r>
      <rPr>
        <sz val="11"/>
        <color theme="1"/>
        <rFont val="Calibri"/>
        <family val="2"/>
        <charset val="1"/>
      </rPr>
      <t xml:space="preserve">mrvl/dist/20261030_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</si>
  <si>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t xml:space="preserve">mk_oth_28</t>
  </si>
  <si>
    <r>
      <rPr>
        <sz val="11"/>
        <color theme="1"/>
        <rFont val="Noto Sans CJK SC"/>
        <family val="2"/>
      </rPr>
      <t xml:space="preserve">聯發科占其他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（高值；份額加總檢查用）</t>
    </r>
  </si>
  <si>
    <r>
      <rPr>
        <sz val="11"/>
        <color theme="1"/>
        <rFont val="Calibri"/>
        <family val="2"/>
        <charset val="1"/>
      </rPr>
      <t xml:space="preserve">mediatek/dist/20261030_</t>
    </r>
    <r>
      <rPr>
        <sz val="11"/>
        <color theme="1"/>
        <rFont val="Noto Sans CJK SC"/>
        <family val="2"/>
      </rPr>
      <t xml:space="preserve">聯發科個股模型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In!F47</t>
    </r>
  </si>
  <si>
    <t xml:space="preserve">av_tpu_26</t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</si>
  <si>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（基準；對照）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</si>
  <si>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</si>
  <si>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</si>
  <si>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創意不占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加速器份額（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另計）</t>
    </r>
  </si>
  <si>
    <t xml:space="preserve">av_tpu_27</t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</si>
  <si>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（基準；對照）</t>
    </r>
  </si>
  <si>
    <t xml:space="preserve">av_tpu_28</t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</si>
  <si>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（基準；對照）</t>
    </r>
  </si>
  <si>
    <t xml:space="preserve">guc_oth_26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</si>
  <si>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</si>
  <si>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美銀：</t>
    </r>
    <r>
      <rPr>
        <sz val="11"/>
        <color theme="1"/>
        <rFont val="Calibri"/>
        <family val="2"/>
        <charset val="1"/>
      </rPr>
      <t xml:space="preserve">Microsoft Maia 200 </t>
    </r>
    <r>
      <rPr>
        <sz val="11"/>
        <color theme="1"/>
        <rFont val="Noto Sans CJK SC"/>
        <family val="2"/>
      </rPr>
      <t xml:space="preserve">開始貢獻營收（科技新報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</si>
  <si>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吸收）；公司未揭露客戶</t>
    </r>
  </si>
  <si>
    <t xml:space="preserve">go27_A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</si>
  <si>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</si>
  <si>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最不利；高值受 </t>
    </r>
    <r>
      <rPr>
        <sz val="11"/>
        <color theme="1"/>
        <rFont val="Calibri"/>
        <family val="2"/>
        <charset val="1"/>
      </rPr>
      <t xml:space="preserve">1 − Broadcom − Marvell − </t>
    </r>
    <r>
      <rPr>
        <sz val="11"/>
        <color theme="1"/>
        <rFont val="Noto Sans CJK SC"/>
        <family val="2"/>
      </rPr>
      <t xml:space="preserve">聯發科高值限制</t>
    </r>
  </si>
  <si>
    <t xml:space="preserve">go27_B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</si>
  <si>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</si>
  <si>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</si>
  <si>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go27_C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</si>
  <si>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</si>
  <si>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go28_A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</si>
  <si>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</si>
  <si>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go28_B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</si>
  <si>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</si>
  <si>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go28_C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</si>
  <si>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</si>
  <si>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m_tk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</si>
  <si>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ASIC turnkey</t>
    </r>
    <r>
      <rPr>
        <sz val="11"/>
        <color theme="1"/>
        <rFont val="Noto Sans CJK SC"/>
        <family val="2"/>
      </rPr>
      <t xml:space="preserve">）毛利率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</si>
  <si>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毛利率低於其他業務、</t>
    </r>
    <r>
      <rPr>
        <sz val="11"/>
        <color theme="1"/>
        <rFont val="Calibri"/>
        <family val="2"/>
        <charset val="1"/>
      </rPr>
      <t xml:space="preserve">2Q26 turnkey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83%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21.6%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</si>
  <si>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頁核對：以 </t>
    </r>
    <r>
      <rPr>
        <sz val="11"/>
        <color theme="1"/>
        <rFont val="Calibri"/>
        <family val="2"/>
        <charset val="1"/>
      </rPr>
      <t xml:space="preserve">13% </t>
    </r>
    <r>
      <rPr>
        <sz val="11"/>
        <color theme="1"/>
        <rFont val="Noto Sans CJK SC"/>
        <family val="2"/>
      </rPr>
      <t xml:space="preserve">推得其他業務毛利率約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）</t>
    </r>
  </si>
  <si>
    <t xml:space="preserve">gta_A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</si>
  <si>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</si>
  <si>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</si>
  <si>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Noto Sans CJK SC"/>
        <family val="2"/>
      </rPr>
      <t xml:space="preserve">公司：毛利率受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比重壓抑、營業利益率維持穩定（優分析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</si>
  <si>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t xml:space="preserve">gta_B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</si>
  <si>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</si>
  <si>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gta_C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</si>
  <si>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量產毛利率調整（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</si>
  <si>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車用（含北美車用客戶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晶片，</t>
    </r>
    <r>
      <rPr>
        <b val="true"/>
        <sz val="11"/>
        <rFont val="Cambria"/>
        <family val="0"/>
        <charset val="1"/>
      </rPr>
      <t xml:space="preserve">2H27 </t>
    </r>
    <r>
      <rPr>
        <b val="true"/>
        <sz val="11"/>
        <rFont val="Noto Sans CJK SC"/>
        <family val="2"/>
      </rPr>
      <t xml:space="preserve">起量產）與其他營收（</t>
    </r>
    <r>
      <rPr>
        <b val="true"/>
        <sz val="11"/>
        <rFont val="Cambria"/>
        <family val="0"/>
        <charset val="1"/>
      </rPr>
      <t xml:space="preserve">NRE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BMC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控制器、加密貨幣等量產）：簡化成長（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起；情境別）</t>
    </r>
  </si>
  <si>
    <t xml:space="preserve">am27_A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</si>
  <si>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FY2027 ÷ FY2026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</si>
  <si>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公司：車用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年占營收個位數、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年雙位數；北美專案金額大，主要在 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後貢獻（優分析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</si>
  <si>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（摩根士丹利）：北美車用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認證、明年中量產（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</si>
  <si>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am28_A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</si>
  <si>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</si>
  <si>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量產的全年效果</t>
    </r>
  </si>
  <si>
    <t xml:space="preserve">ag29_A</t>
  </si>
  <si>
    <r>
      <rPr>
        <sz val="11"/>
        <color theme="1"/>
        <rFont val="Noto Sans CJK SC"/>
        <family val="2"/>
      </rPr>
      <t xml:space="preserve">車用營收年增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</si>
  <si>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am27_B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</si>
  <si>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FY2027 ÷ FY2026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</si>
  <si>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am28_B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</si>
  <si>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</si>
  <si>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ag29_B</t>
  </si>
  <si>
    <r>
      <rPr>
        <sz val="11"/>
        <color theme="1"/>
        <rFont val="Noto Sans CJK SC"/>
        <family val="2"/>
      </rPr>
      <t xml:space="preserve">車用營收年增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</si>
  <si>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am27_C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</si>
  <si>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FY2027 ÷ FY2026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</si>
  <si>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am28_C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</si>
  <si>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</si>
  <si>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ag29_C</t>
  </si>
  <si>
    <r>
      <rPr>
        <sz val="11"/>
        <color theme="1"/>
        <rFont val="Noto Sans CJK SC"/>
        <family val="2"/>
      </rPr>
      <t xml:space="preserve">車用營收年增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</si>
  <si>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m_auto</t>
  </si>
  <si>
    <t xml:space="preserve">車用量產毛利率</t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</si>
  <si>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（摩根士丹利）：北美車用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晶片毛利率高於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</si>
  <si>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：北美車用專案 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明顯改善獲利結構（法人）</t>
    </r>
  </si>
  <si>
    <t xml:space="preserve">g_o27_A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</si>
  <si>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</si>
  <si>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NRE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15–19%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BMC </t>
    </r>
    <r>
      <rPr>
        <sz val="11"/>
        <color theme="1"/>
        <rFont val="Noto Sans CJK SC"/>
        <family val="2"/>
      </rPr>
      <t xml:space="preserve">占營收高個位數；加密貨幣降為個位數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</si>
  <si>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HBM4 PHY</t>
    </r>
    <r>
      <rPr>
        <sz val="11"/>
        <color theme="1"/>
        <rFont val="Noto Sans CJK SC"/>
        <family val="2"/>
      </rPr>
      <t xml:space="preserve">、共同封裝光學（</t>
    </r>
    <r>
      <rPr>
        <sz val="11"/>
        <color theme="1"/>
        <rFont val="Calibri"/>
        <family val="2"/>
        <charset val="1"/>
      </rPr>
      <t xml:space="preserve">COUPE</t>
    </r>
    <r>
      <rPr>
        <sz val="11"/>
        <color theme="1"/>
        <rFont val="Noto Sans CJK SC"/>
        <family val="2"/>
      </rPr>
      <t xml:space="preserve">）認證（經濟日報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</t>
    </r>
  </si>
  <si>
    <t xml:space="preserve">g_oL_A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</si>
  <si>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</si>
  <si>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g_o27_B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</si>
  <si>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</si>
  <si>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g_oL_B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</si>
  <si>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</si>
  <si>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g_o27_C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</si>
  <si>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</si>
  <si>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g_oL_C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</si>
  <si>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</si>
  <si>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gmadj</t>
  </si>
  <si>
    <r>
      <rPr>
        <sz val="11"/>
        <color theme="1"/>
        <rFont val="Noto Sans CJK SC"/>
        <family val="2"/>
      </rPr>
      <t xml:space="preserve">其他營收毛利率調整（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</si>
  <si>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其他營收毛利率為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），之後沿用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</si>
  <si>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營收實績＋公司方向性說法＋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假設）與營收拆分</t>
    </r>
  </si>
  <si>
    <t xml:space="preserve">cpu_sh26</t>
  </si>
  <si>
    <r>
      <rPr>
        <sz val="11"/>
        <color theme="1"/>
        <rFont val="Calibri"/>
        <family val="2"/>
        <charset val="1"/>
      </rPr>
      <t xml:space="preserve">FY2026 Google CPU </t>
    </r>
    <r>
      <rPr>
        <sz val="11"/>
        <color theme="1"/>
        <rFont val="Noto Sans CJK SC"/>
        <family val="2"/>
      </rPr>
      <t xml:space="preserve">量產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</si>
  <si>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為最大應用、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主要成長動能（優分析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</si>
  <si>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（摩根士丹利）：</t>
    </r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營收接近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、全年超過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：法人估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</t>
    </r>
  </si>
  <si>
    <t xml:space="preserve">asic_sh26</t>
  </si>
  <si>
    <r>
      <rPr>
        <sz val="11"/>
        <color theme="1"/>
        <rFont val="Calibri"/>
        <family val="2"/>
        <charset val="1"/>
      </rPr>
      <t xml:space="preserve">FY2026 AI ASIC </t>
    </r>
    <r>
      <rPr>
        <sz val="11"/>
        <color theme="1"/>
        <rFont val="Noto Sans CJK SC"/>
        <family val="2"/>
      </rPr>
      <t xml:space="preserve">量產（其他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</si>
  <si>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（美銀）：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開始貢獻（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</si>
  <si>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公司未揭露；金額：未找到</t>
  </si>
  <si>
    <t xml:space="preserve">auto_sh26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</si>
  <si>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</si>
  <si>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（法說指引轉述）：車用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年占營收個位數（公司）</t>
    </r>
  </si>
  <si>
    <r>
      <rPr>
        <sz val="11"/>
        <color theme="1"/>
        <rFont val="Noto Sans CJK SC"/>
        <family val="2"/>
      </rPr>
      <t xml:space="preserve">取中間值（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</si>
  <si>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cpu_sh25</t>
  </si>
  <si>
    <r>
      <rPr>
        <sz val="11"/>
        <color theme="1"/>
        <rFont val="Calibri"/>
        <family val="2"/>
        <charset val="1"/>
      </rPr>
      <t xml:space="preserve">FY2025 Google CPU </t>
    </r>
    <r>
      <rPr>
        <sz val="11"/>
        <color theme="1"/>
        <rFont val="Noto Sans CJK SC"/>
        <family val="2"/>
      </rPr>
      <t xml:space="preserve">量產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營收（對照用）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</si>
  <si>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營收結構）：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相關營收約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</si>
  <si>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全年營收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2025-10-07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量產自 </t>
    </r>
    <r>
      <rPr>
        <sz val="11"/>
        <color theme="1"/>
        <rFont val="Calibri"/>
        <family val="2"/>
        <charset val="1"/>
      </rPr>
      <t xml:space="preserve">2H25</t>
    </r>
  </si>
  <si>
    <t xml:space="preserve">asic_sh25</t>
  </si>
  <si>
    <r>
      <rPr>
        <sz val="11"/>
        <color theme="1"/>
        <rFont val="Calibri"/>
        <family val="2"/>
        <charset val="1"/>
      </rPr>
      <t xml:space="preserve">FY2025 AI ASIC </t>
    </r>
    <r>
      <rPr>
        <sz val="11"/>
        <color theme="1"/>
        <rFont val="Noto Sans CJK SC"/>
        <family val="2"/>
      </rPr>
      <t xml:space="preserve">量產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營收（對照用）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</si>
  <si>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扣 </t>
    </r>
    <r>
      <rPr>
        <sz val="11"/>
        <color theme="1"/>
        <rFont val="Calibri"/>
        <family val="2"/>
        <charset val="1"/>
      </rPr>
      <t xml:space="preserve">CPU</t>
    </r>
  </si>
  <si>
    <t xml:space="preserve">auto_sh25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</si>
  <si>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營收（對照用）</t>
    </r>
  </si>
  <si>
    <r>
      <rPr>
        <sz val="11"/>
        <color theme="1"/>
        <rFont val="Noto Sans CJK SC"/>
        <family val="2"/>
      </rPr>
      <t xml:space="preserve">公司：中國、歐洲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已量產（</t>
    </r>
    <r>
      <rPr>
        <sz val="11"/>
        <color theme="1"/>
        <rFont val="Calibri"/>
        <family val="2"/>
        <charset val="1"/>
      </rPr>
      <t xml:space="preserve">2026-01-30 </t>
    </r>
    <r>
      <rPr>
        <sz val="11"/>
        <color theme="1"/>
        <rFont val="Noto Sans CJK SC"/>
        <family val="2"/>
      </rPr>
      <t xml:space="preserve">法說）</t>
    </r>
  </si>
  <si>
    <t xml:space="preserve">fx26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</si>
  <si>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美元營收換算）</t>
    </r>
  </si>
  <si>
    <t xml:space="preserve">NT$/US$</t>
  </si>
  <si>
    <r>
      <rPr>
        <sz val="11"/>
        <color theme="1"/>
        <rFont val="Noto Sans CJK SC"/>
        <family val="2"/>
      </rPr>
      <t xml:space="preserve">與世芯模型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假設相同</t>
    </r>
  </si>
  <si>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平均匯率：未找到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</si>
  <si>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</si>
  <si>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營收（月營收實績；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月合計）</t>
    </r>
  </si>
  <si>
    <t xml:space="preserve">NT$B</t>
  </si>
  <si>
    <t xml:space="preserve">Verified</t>
  </si>
  <si>
    <r>
      <rPr>
        <sz val="11"/>
        <color theme="1"/>
        <rFont val="Noto Sans CJK SC"/>
        <family val="2"/>
      </rPr>
      <t xml:space="preserve">科技新報（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月營收，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440.99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71.45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</si>
  <si>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</t>
    </r>
    <r>
      <rPr>
        <sz val="11"/>
        <color theme="1"/>
        <rFont val="Calibri"/>
        <family val="2"/>
        <charset val="1"/>
      </rPr>
      <t xml:space="preserve">3Q26 187.5 </t>
    </r>
    <r>
      <rPr>
        <sz val="11"/>
        <color theme="1"/>
        <rFont val="Noto Sans CJK SC"/>
        <family val="2"/>
      </rPr>
      <t xml:space="preserve">億、季增 </t>
    </r>
    <r>
      <rPr>
        <sz val="11"/>
        <color theme="1"/>
        <rFont val="Calibri"/>
        <family val="2"/>
        <charset val="1"/>
      </rPr>
      <t xml:space="preserve">34.9%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</si>
  <si>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</si>
  <si>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毛利率（實績；前三季 − 上半年）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</si>
  <si>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115 </t>
    </r>
    <r>
      <rPr>
        <sz val="11"/>
        <color theme="1"/>
        <rFont val="Noto Sans CJK SC"/>
        <family val="2"/>
      </rPr>
      <t xml:space="preserve">年第三季財報（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董事會；公開資訊觀測站、財訊快報）：前三季營收 </t>
    </r>
    <r>
      <rPr>
        <sz val="11"/>
        <color theme="1"/>
        <rFont val="Calibri"/>
        <family val="2"/>
        <charset val="1"/>
      </rPr>
      <t xml:space="preserve">44,098.9</t>
    </r>
    <r>
      <rPr>
        <sz val="11"/>
        <color theme="1"/>
        <rFont val="Noto Sans CJK SC"/>
        <family val="2"/>
      </rPr>
      <t xml:space="preserve">、毛利 </t>
    </r>
    <r>
      <rPr>
        <sz val="11"/>
        <color theme="1"/>
        <rFont val="Calibri"/>
        <family val="2"/>
        <charset val="1"/>
      </rPr>
      <t xml:space="preserve">9,967.7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6,051.7</t>
    </r>
    <r>
      <rPr>
        <sz val="11"/>
        <color theme="1"/>
        <rFont val="Noto Sans CJK SC"/>
        <family val="2"/>
      </rPr>
      <t xml:space="preserve">、稅前 </t>
    </r>
    <r>
      <rPr>
        <sz val="11"/>
        <color theme="1"/>
        <rFont val="Calibri"/>
        <family val="2"/>
        <charset val="1"/>
      </rPr>
      <t xml:space="preserve">6,306.2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5,473.4 </t>
    </r>
    <r>
      <rPr>
        <sz val="11"/>
        <color theme="1"/>
        <rFont val="Noto Sans CJK SC"/>
        <family val="2"/>
      </rPr>
      <t xml:space="preserve">百萬元，</t>
    </r>
    <r>
      <rPr>
        <sz val="11"/>
        <color theme="1"/>
        <rFont val="Calibri"/>
        <family val="2"/>
        <charset val="1"/>
      </rPr>
      <t xml:space="preserve">EPS 40.84</t>
    </r>
  </si>
  <si>
    <r>
      <rPr>
        <sz val="11"/>
        <color theme="1"/>
        <rFont val="Noto Sans CJK SC"/>
        <family val="2"/>
      </rPr>
      <t xml:space="preserve">中央社 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：第三季毛利率 </t>
    </r>
    <r>
      <rPr>
        <sz val="11"/>
        <color theme="1"/>
        <rFont val="Calibri"/>
        <family val="2"/>
        <charset val="1"/>
      </rPr>
      <t xml:space="preserve">20.58%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16.95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</si>
  <si>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</si>
  <si>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營業費用（實績；毛利 − 營業利益）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</si>
  <si>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月法說：與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約持平（</t>
    </r>
    <r>
      <rPr>
        <sz val="11"/>
        <color theme="1"/>
        <rFont val="Calibri"/>
        <family val="2"/>
        <charset val="1"/>
      </rPr>
      <t xml:space="preserve">2Q26 1.326</t>
    </r>
    <r>
      <rPr>
        <sz val="11"/>
        <color theme="1"/>
        <rFont val="Noto Sans CJK SC"/>
        <family val="2"/>
      </rPr>
      <t xml:space="preserve">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</si>
  <si>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</si>
  <si>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</si>
  <si>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（法說指引轉述）：第四季季增幅度可能進一步擴大（公司）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</si>
  <si>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出貨估計）：法人估季增 </t>
    </r>
    <r>
      <rPr>
        <sz val="11"/>
        <color theme="1"/>
        <rFont val="Calibri"/>
        <family val="2"/>
        <charset val="1"/>
      </rPr>
      <t xml:space="preserve">35–40%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第四季開始出貨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</si>
  <si>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</si>
  <si>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</si>
  <si>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公司：全年毛利率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</si>
  <si>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比重續升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</si>
  <si>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</si>
  <si>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</si>
  <si>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研發費用 </t>
    </r>
    <r>
      <rPr>
        <sz val="11"/>
        <color theme="1"/>
        <rFont val="Calibri"/>
        <family val="2"/>
        <charset val="1"/>
      </rPr>
      <t xml:space="preserve">10.5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</si>
  <si>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t xml:space="preserve">t_h1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</si>
  <si>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有效稅率（推估稅前利益用）</t>
    </r>
  </si>
  <si>
    <r>
      <rPr>
        <sz val="11"/>
        <color theme="1"/>
        <rFont val="Calibri"/>
        <family val="2"/>
        <charset val="1"/>
      </rPr>
      <t xml:space="preserve">stockanalysis.comfinancials/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月（至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）淨利 </t>
    </r>
    <r>
      <rPr>
        <sz val="11"/>
        <color theme="1"/>
        <rFont val="Calibri"/>
        <family val="2"/>
        <charset val="1"/>
      </rPr>
      <t xml:space="preserve">52.28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稅前約 </t>
    </r>
    <r>
      <rPr>
        <sz val="11"/>
        <color theme="1"/>
        <rFont val="Calibri"/>
        <family val="2"/>
        <charset val="1"/>
      </rPr>
      <t xml:space="preserve">60.49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</si>
  <si>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稅前利益與所得稅：未找到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</si>
  <si>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</si>
  <si>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起為實績）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</si>
  <si>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</si>
  <si>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</si>
  <si>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t xml:space="preserve">q_tax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</si>
  <si>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起為實績）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</si>
  <si>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</si>
  <si>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t xml:space="preserve">q_sh</t>
  </si>
  <si>
    <t xml:space="preserve">加權股數</t>
  </si>
  <si>
    <t xml:space="preserve">十億股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</si>
  <si>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：流通股數 </t>
    </r>
    <r>
      <rPr>
        <sz val="11"/>
        <color theme="1"/>
        <rFont val="Calibri"/>
        <family val="2"/>
        <charset val="1"/>
      </rPr>
      <t xml:space="preserve">134.01M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</si>
  <si>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134.0M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</si>
  <si>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FY2027 </t>
    </r>
    <r>
      <rPr>
        <b val="true"/>
        <sz val="11"/>
        <rFont val="Noto Sans CJK SC"/>
        <family val="2"/>
      </rPr>
      <t xml:space="preserve">起：營業費用、營業外、稅、股數、匯率</t>
    </r>
  </si>
  <si>
    <t xml:space="preserve">phi</t>
  </si>
  <si>
    <t xml:space="preserve">營業費用成長對營收成長的彈性</t>
  </si>
  <si>
    <r>
      <rPr>
        <sz val="11"/>
        <color theme="1"/>
        <rFont val="Noto Sans CJK SC"/>
        <family val="2"/>
      </rPr>
      <t xml:space="preserve">公司：營業利益率維持穩定、全年雙位數（優分析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</si>
  <si>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+32%</t>
    </r>
    <r>
      <rPr>
        <sz val="11"/>
        <color theme="1"/>
        <rFont val="Noto Sans CJK SC"/>
        <family val="2"/>
      </rPr>
      <t xml:space="preserve">、營收約 </t>
    </r>
    <r>
      <rPr>
        <sz val="11"/>
        <color theme="1"/>
        <rFont val="Calibri"/>
        <family val="2"/>
        <charset val="1"/>
      </rPr>
      <t xml:space="preserve">+100%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</si>
  <si>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g_opx_min</t>
  </si>
  <si>
    <t xml:space="preserve">營業費用年增下限</t>
  </si>
  <si>
    <r>
      <rPr>
        <sz val="11"/>
        <color theme="1"/>
        <rFont val="Noto Sans CJK SC"/>
        <family val="2"/>
      </rPr>
      <t xml:space="preserve">研發年增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）；先進封裝 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、自建運算中心（</t>
    </r>
    <r>
      <rPr>
        <sz val="11"/>
        <color theme="1"/>
        <rFont val="Calibri"/>
        <family val="2"/>
        <charset val="1"/>
      </rPr>
      <t xml:space="preserve">2026-01-30 </t>
    </r>
    <r>
      <rPr>
        <sz val="11"/>
        <color theme="1"/>
        <rFont val="Noto Sans CJK SC"/>
        <family val="2"/>
      </rPr>
      <t xml:space="preserve">法說）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</si>
  <si>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</si>
  <si>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</si>
  <si>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</si>
  <si>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nonop_f</t>
  </si>
  <si>
    <t xml:space="preserve">營業外淨額（每年）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</si>
  <si>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</si>
  <si>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現金增加帶動利息收入：金額未找到</t>
  </si>
  <si>
    <t xml:space="preserve">tax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</si>
  <si>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</si>
  <si>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</si>
  <si>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</si>
  <si>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加權股數年變動</t>
  </si>
  <si>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134–135M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</si>
  <si>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t xml:space="preserve">fx</t>
  </si>
  <si>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起；美元營收換算）</t>
    </r>
  </si>
  <si>
    <t xml:space="preserve">與聯發科、世芯、台積電模型相同假設</t>
  </si>
  <si>
    <t xml:space="preserve">車用與其他營收以新台幣成長率推，未另換算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</si>
  <si>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公司說法、共識與券商（只作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</si>
  <si>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co_gm26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</si>
  <si>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</si>
  <si>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（法說指引轉述）</t>
    </r>
  </si>
  <si>
    <t xml:space="preserve">下限值</t>
  </si>
  <si>
    <t xml:space="preserve">co_opm26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</si>
  <si>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營業利益率雙位數</t>
    </r>
  </si>
  <si>
    <t xml:space="preserve">co_auto27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</si>
  <si>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車用占營收雙位數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</si>
  <si>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</si>
  <si>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</si>
  <si>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擷取，早於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營收公布）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</si>
  <si>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起共識為付費資料：未找到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</si>
  <si>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</si>
  <si>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</si>
  <si>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t xml:space="preserve">NT$</t>
  </si>
  <si>
    <r>
      <rPr>
        <sz val="11"/>
        <color theme="1"/>
        <rFont val="Calibri"/>
        <family val="2"/>
        <charset val="1"/>
      </rPr>
      <t xml:space="preserve">stockanalysis.comforecast/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位；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</si>
  <si>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優分析資料庫 </t>
    </r>
    <r>
      <rPr>
        <sz val="11"/>
        <color theme="1"/>
        <rFont val="Calibri"/>
        <family val="2"/>
        <charset val="1"/>
      </rPr>
      <t xml:space="preserve">58.23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）</t>
    </r>
  </si>
  <si>
    <t xml:space="preserve">va_eps27</t>
  </si>
  <si>
    <r>
      <rPr>
        <sz val="11"/>
        <color theme="1"/>
        <rFont val="Noto Sans CJK SC"/>
        <family val="2"/>
      </rPr>
      <t xml:space="preserve">市場共識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Visible Alpha</t>
    </r>
    <r>
      <rPr>
        <sz val="11"/>
        <color theme="1"/>
        <rFont val="Noto Sans CJK SC"/>
        <family val="2"/>
      </rPr>
      <t xml:space="preserve">，工商時報轉述）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</si>
  <si>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、外資估計）</t>
    </r>
  </si>
  <si>
    <r>
      <rPr>
        <sz val="11"/>
        <color theme="1"/>
        <rFont val="Noto Sans CJK SC"/>
        <family val="2"/>
      </rPr>
      <t xml:space="preserve">資料日 </t>
    </r>
    <r>
      <rPr>
        <sz val="11"/>
        <color theme="1"/>
        <rFont val="Calibri"/>
        <family val="2"/>
        <charset val="1"/>
      </rPr>
      <t xml:space="preserve">2026-07-31</t>
    </r>
  </si>
  <si>
    <t xml:space="preserve">fb_eps26</t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</si>
  <si>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（工商時報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</si>
  <si>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6,500</t>
    </r>
  </si>
  <si>
    <t xml:space="preserve">fb_eps27</t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</si>
  <si>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FY2027 EPS</t>
    </r>
  </si>
  <si>
    <t xml:space="preserve">fb_eps28</t>
  </si>
  <si>
    <r>
      <rPr>
        <sz val="11"/>
        <color theme="1"/>
        <rFont val="Noto Sans CJK SC"/>
        <family val="2"/>
      </rPr>
      <t xml:space="preserve">外資 </t>
    </r>
    <r>
      <rPr>
        <sz val="11"/>
        <color theme="1"/>
        <rFont val="Calibri"/>
        <family val="2"/>
        <charset val="1"/>
      </rPr>
      <t xml:space="preserve">FY2028 EPS</t>
    </r>
  </si>
  <si>
    <t xml:space="preserve">ua_eps27</t>
  </si>
  <si>
    <r>
      <rPr>
        <sz val="11"/>
        <color theme="1"/>
        <rFont val="Noto Sans CJK SC"/>
        <family val="2"/>
      </rPr>
      <t xml:space="preserve">優分析資料庫 </t>
    </r>
    <r>
      <rPr>
        <sz val="11"/>
        <color theme="1"/>
        <rFont val="Calibri"/>
        <family val="2"/>
        <charset val="1"/>
      </rPr>
      <t xml:space="preserve">FY2027 EPS</t>
    </r>
  </si>
  <si>
    <t xml:space="preserve">cpu_u27</t>
  </si>
  <si>
    <r>
      <rPr>
        <sz val="11"/>
        <color theme="1"/>
        <rFont val="Noto Sans CJK SC"/>
        <family val="2"/>
      </rPr>
      <t xml:space="preserve">法人：</t>
    </r>
    <r>
      <rPr>
        <sz val="11"/>
        <color theme="1"/>
        <rFont val="Calibri"/>
        <family val="2"/>
        <charset val="1"/>
      </rPr>
      <t xml:space="preserve">CY2027 CPU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</si>
  <si>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出貨估計）：約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萬顆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</si>
  <si>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出貨估計）：由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萬顆上修至 </t>
    </r>
    <r>
      <rPr>
        <sz val="11"/>
        <color theme="1"/>
        <rFont val="Calibri"/>
        <family val="2"/>
        <charset val="1"/>
      </rPr>
      <t xml:space="preserve">350 </t>
    </r>
    <r>
      <rPr>
        <sz val="11"/>
        <color theme="1"/>
        <rFont val="Noto Sans CJK SC"/>
        <family val="2"/>
      </rPr>
      <t xml:space="preserve">萬顆</t>
    </r>
  </si>
  <si>
    <t xml:space="preserve">dom_cpu27</t>
  </si>
  <si>
    <r>
      <rPr>
        <sz val="11"/>
        <color theme="1"/>
        <rFont val="Noto Sans CJK SC"/>
        <family val="2"/>
      </rPr>
      <t xml:space="preserve">本國投顧：</t>
    </r>
    <r>
      <rPr>
        <sz val="11"/>
        <color theme="1"/>
        <rFont val="Calibri"/>
        <family val="2"/>
        <charset val="1"/>
      </rPr>
      <t xml:space="preserve">FY2027 CSP CPU </t>
    </r>
    <r>
      <rPr>
        <sz val="11"/>
        <color theme="1"/>
        <rFont val="Noto Sans CJK SC"/>
        <family val="2"/>
      </rPr>
      <t xml:space="preserve">專案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</si>
  <si>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（本國投顧：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營收結構）</t>
    </r>
  </si>
  <si>
    <t xml:space="preserve">dom_ts27</t>
  </si>
  <si>
    <r>
      <rPr>
        <sz val="11"/>
        <color theme="1"/>
        <rFont val="Noto Sans CJK SC"/>
        <family val="2"/>
      </rPr>
      <t xml:space="preserve">本國投顧：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北美車用 </t>
    </r>
    <r>
      <rPr>
        <sz val="11"/>
        <color theme="1"/>
        <rFont val="Calibri"/>
        <family val="2"/>
        <charset val="1"/>
      </rPr>
      <t xml:space="preserve">turnkey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</si>
  <si>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本模型車用含中國、歐洲 </t>
    </r>
    <r>
      <rPr>
        <sz val="11"/>
        <color theme="1"/>
        <rFont val="Calibri"/>
        <family val="2"/>
        <charset val="1"/>
      </rPr>
      <t xml:space="preserve">ADAS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</si>
  <si>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</si>
  <si>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</si>
  <si>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</si>
  <si>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stockanalysis.comhistory/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7,585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</si>
  <si>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10/22 7,585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5.19%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</si>
  <si>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</si>
  <si>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38.90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</si>
  <si>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38.90</t>
    </r>
  </si>
  <si>
    <r>
      <rPr>
        <sz val="11"/>
        <color theme="1"/>
        <rFont val="Noto Sans CJK SC"/>
        <family val="2"/>
      </rPr>
      <t xml:space="preserve">財報狗近四季 </t>
    </r>
    <r>
      <rPr>
        <sz val="11"/>
        <color theme="1"/>
        <rFont val="Calibri"/>
        <family val="2"/>
        <charset val="1"/>
      </rPr>
      <t xml:space="preserve">EPS 39.01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</si>
  <si>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</si>
  <si>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；股價 </t>
    </r>
    <r>
      <rPr>
        <sz val="11"/>
        <color theme="1"/>
        <rFont val="Calibri"/>
        <family val="2"/>
        <charset val="1"/>
      </rPr>
      <t xml:space="preserve">8,360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</si>
  <si>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</si>
  <si>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</si>
  <si>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</si>
  <si>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102.85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8,360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</si>
  <si>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</si>
  <si>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</si>
  <si>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</si>
  <si>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6,722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</si>
  <si>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5,729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5,800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2,500–8,000</t>
    </r>
  </si>
  <si>
    <t xml:space="preserve">nim5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</si>
  <si>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；對照用）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</si>
  <si>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營收與淨利</t>
    </r>
  </si>
  <si>
    <r>
      <rPr>
        <sz val="11"/>
        <color theme="1"/>
        <rFont val="Noto Sans CJK SC"/>
        <family val="2"/>
      </rPr>
      <t xml:space="preserve">十年平均（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）：未找到（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未取得）；收斂法依工作單改用最後一年 </t>
    </r>
    <r>
      <rPr>
        <sz val="11"/>
        <color theme="1"/>
        <rFont val="Calibri"/>
        <family val="2"/>
        <charset val="1"/>
      </rPr>
      <t xml:space="preserve">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</si>
  <si>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</si>
  <si>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</si>
  <si>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</si>
  <si>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</si>
  <si>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</si>
  <si>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</si>
  <si>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</si>
  <si>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</si>
  <si>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</si>
  <si>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</si>
  <si>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</si>
  <si>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</si>
  <si>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美、台、日、韓同一值；單一客戶集中度高的風險不改折現率，放在情境 </t>
    </r>
    <r>
      <rPr>
        <sz val="11"/>
        <color theme="1"/>
        <rFont val="Calibri"/>
        <family val="2"/>
        <charset val="1"/>
      </rPr>
      <t xml:space="preserve">C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</si>
  <si>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</si>
  <si>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</si>
  <si>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</si>
  <si>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</si>
  <si>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</si>
  <si>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</si>
  <si>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39.54%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32.90%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31.14%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</si>
  <si>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43.09%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</si>
  <si>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</si>
  <si>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</si>
  <si>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</si>
  <si>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</si>
  <si>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</si>
  <si>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</si>
  <si>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</si>
  <si>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</si>
  <si>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</si>
  <si>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</si>
  <si>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</si>
  <si>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</si>
  <si>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</si>
  <si>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</si>
  <si>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</si>
  <si>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」的中點）</t>
    </r>
  </si>
  <si>
    <r>
      <rPr>
        <sz val="11"/>
        <color theme="1"/>
        <rFont val="Noto Sans CJK SC"/>
        <family val="2"/>
      </rPr>
      <t xml:space="preserve">十年平均未找到，依工作單以最後一年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</si>
  <si>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</si>
  <si>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</si>
  <si>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</si>
  <si>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</si>
  <si>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</si>
  <si>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</si>
  <si>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</si>
  <si>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</si>
  <si>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</si>
  <si>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</si>
  <si>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</si>
  <si>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</si>
  <si>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</si>
  <si>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scn_att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</si>
  <si>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</si>
  <si>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att_A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att_B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att_C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</si>
  <si>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scn_gsh28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</si>
  <si>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gsh28_A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gsh28_B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gsh28_C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</si>
  <si>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scn_pfc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</si>
  <si>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pfc_A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pfc_B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pfc_C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</si>
  <si>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scn_go27</t>
  </si>
  <si>
    <r>
      <rPr>
        <sz val="11"/>
        <color theme="1"/>
        <rFont val="Noto Sans CJK SC"/>
        <family val="2"/>
      </rPr>
      <t xml:space="preserve">創意占其他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</si>
  <si>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go27_A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go27_B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go27_C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</si>
  <si>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scn_go28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</si>
  <si>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go28_A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go28_B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go28_C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</si>
  <si>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scn_gta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</si>
  <si>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gta_A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gta_B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gta_C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</si>
  <si>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scn_am27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</si>
  <si>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FY2027 ÷ FY2026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</si>
  <si>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am27_A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</si>
  <si>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scn_am28</t>
  </si>
  <si>
    <r>
      <rPr>
        <sz val="11"/>
        <color theme="1"/>
        <rFont val="Noto Sans CJK SC"/>
        <family val="2"/>
      </rPr>
      <t xml:space="preserve">車用營收 </t>
    </r>
    <r>
      <rPr>
        <sz val="11"/>
        <color theme="1"/>
        <rFont val="Calibri"/>
        <family val="2"/>
        <charset val="1"/>
      </rPr>
      <t xml:space="preserve">FY2028 ÷ FY2027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</si>
  <si>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</si>
  <si>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scn_ag29</t>
  </si>
  <si>
    <r>
      <rPr>
        <sz val="11"/>
        <color theme="1"/>
        <rFont val="Noto Sans CJK SC"/>
        <family val="2"/>
      </rPr>
      <t xml:space="preserve">車用營收年增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</si>
  <si>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ag29_A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ag29_B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ag29_C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</si>
  <si>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scn_g_o27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</si>
  <si>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</si>
  <si>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g_o27_A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</si>
  <si>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scn_g_oL</t>
  </si>
  <si>
    <r>
      <rPr>
        <sz val="11"/>
        <color theme="1"/>
        <rFont val="Noto Sans CJK SC"/>
        <family val="2"/>
      </rPr>
      <t xml:space="preserve">其他營收年增 </t>
    </r>
    <r>
      <rPr>
        <sz val="11"/>
        <color theme="1"/>
        <rFont val="Calibri"/>
        <family val="2"/>
        <charset val="1"/>
      </rPr>
      <t xml:space="preserve">FY2028–29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</si>
  <si>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g_oL_A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g_oL_B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g_oL_C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</si>
  <si>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</si>
  <si>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</si>
  <si>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</si>
  <si>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</si>
  <si>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</si>
  <si>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</si>
  <si>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</si>
  <si>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</si>
  <si>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</si>
  <si>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為新台幣、基本；股數為十億股）。藍字＝輸入（媒體轉述公司財報、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）；黑字＝公式。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、車用、其他的拆分為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（公司未揭露金額）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</si>
  <si>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＝前三季財報 − 上半年；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公布）＋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假設；公司自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年起不給季度區間指引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</si>
  <si>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</si>
  <si>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</si>
  <si>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</si>
  <si>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</si>
  <si>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</si>
  <si>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</si>
  <si>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</si>
  <si>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</si>
  <si>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財報頁、經濟日報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：科技新報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05-08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：經濟日報 </t>
    </r>
    <r>
      <rPr>
        <sz val="11"/>
        <color theme="1"/>
        <rFont val="Calibri"/>
        <family val="2"/>
        <charset val="1"/>
      </rPr>
      <t xml:space="preserve">2026-07-30</t>
    </r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</si>
  <si>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：月營收實績（科技新報）；</t>
    </r>
    <r>
      <rPr>
        <sz val="11"/>
        <color theme="1"/>
        <rFont val="Calibri"/>
        <family val="2"/>
        <charset val="1"/>
      </rPr>
      <t xml:space="preserve">1H26 253.4 </t>
    </r>
    <r>
      <rPr>
        <sz val="11"/>
        <color theme="1"/>
        <rFont val="Noto Sans CJK SC"/>
        <family val="2"/>
      </rPr>
      <t xml:space="preserve">億（經濟日報）</t>
    </r>
  </si>
  <si>
    <r>
      <rPr>
        <sz val="11"/>
        <color theme="1"/>
        <rFont val="Calibri"/>
        <family val="2"/>
        <charset val="1"/>
      </rPr>
      <t xml:space="preserve">  Google CPU </t>
    </r>
    <r>
      <rPr>
        <sz val="11"/>
        <color theme="1"/>
        <rFont val="Noto Sans CJK SC"/>
        <family val="2"/>
      </rPr>
      <t xml:space="preserve">量產（年度拆分）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</si>
  <si>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節</t>
    </r>
  </si>
  <si>
    <t xml:space="preserve">季度拆分未揭露；只在年度欄拆分</t>
  </si>
  <si>
    <r>
      <rPr>
        <sz val="11"/>
        <color theme="1"/>
        <rFont val="Calibri"/>
        <family val="2"/>
        <charset val="1"/>
      </rPr>
      <t xml:space="preserve">  AI ASIC </t>
    </r>
    <r>
      <rPr>
        <sz val="11"/>
        <color theme="1"/>
        <rFont val="Noto Sans CJK SC"/>
        <family val="2"/>
      </rPr>
      <t xml:space="preserve">量產（其他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</si>
  <si>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  車用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</si>
  <si>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</si>
  <si>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年車用占營收個位數</t>
    </r>
  </si>
  <si>
    <r>
      <rPr>
        <sz val="11"/>
        <color theme="1"/>
        <rFont val="Noto Sans CJK SC"/>
        <family val="2"/>
      </rPr>
      <t xml:space="preserve">  其他（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控制器、加密貨幣等量產）</t>
    </r>
  </si>
  <si>
    <r>
      <rPr>
        <sz val="11"/>
        <color theme="1"/>
        <rFont val="Calibri"/>
        <family val="2"/>
        <charset val="1"/>
      </rPr>
      <t xml:space="preserve">FY2025 NRE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）；公司：</t>
    </r>
    <r>
      <rPr>
        <sz val="11"/>
        <color theme="1"/>
        <rFont val="Calibri"/>
        <family val="2"/>
        <charset val="1"/>
      </rPr>
      <t xml:space="preserve">FY2026 NRE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15–19%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</si>
  <si>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</si>
  <si>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</si>
  <si>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21.6%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24.1%</t>
    </r>
    <r>
      <rPr>
        <sz val="11"/>
        <color theme="1"/>
        <rFont val="Noto Sans CJK SC"/>
        <family val="2"/>
      </rPr>
      <t xml:space="preserve">（經濟日報；工商時報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21.5%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1H26 − 2Q26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</si>
  <si>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</si>
  <si>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27.2%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21.6%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</si>
  <si>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</si>
  <si>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</si>
  <si>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</si>
  <si>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</si>
  <si>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</si>
  <si>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2Q26 16.76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13.8%</t>
    </r>
    <r>
      <rPr>
        <sz val="11"/>
        <color theme="1"/>
        <rFont val="Noto Sans CJK SC"/>
        <family val="2"/>
      </rPr>
      <t xml:space="preserve">（經濟日報）</t>
    </r>
  </si>
  <si>
    <t xml:space="preserve">營業外淨額</t>
  </si>
  <si>
    <t xml:space="preserve">稅前 − 營業利益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</si>
  <si>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</si>
  <si>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稅前淨利率推得約 </t>
    </r>
    <r>
      <rPr>
        <sz val="11"/>
        <color theme="1"/>
        <rFont val="Calibri"/>
        <family val="2"/>
        <charset val="1"/>
      </rPr>
      <t xml:space="preserve">44.42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月稅率）</t>
    </r>
  </si>
  <si>
    <t xml:space="preserve">所得稅</t>
  </si>
  <si>
    <t xml:space="preserve">稅前 − 淨利</t>
  </si>
  <si>
    <t xml:space="preserve">  有效稅率</t>
  </si>
  <si>
    <t xml:space="preserve">歸屬母公司淨利</t>
  </si>
  <si>
    <t xml:space="preserve">無重大非控制權益（假設）</t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</si>
  <si>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</si>
  <si>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</si>
  <si>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</si>
  <si>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</si>
  <si>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</si>
  <si>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28.13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28.01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1Q26 12.28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11.61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＝前三季 </t>
    </r>
    <r>
      <rPr>
        <sz val="11"/>
        <color theme="1"/>
        <rFont val="Calibri"/>
        <family val="2"/>
        <charset val="1"/>
      </rPr>
      <t xml:space="preserve">40.84 − </t>
    </r>
    <r>
      <rPr>
        <sz val="11"/>
        <color theme="1"/>
        <rFont val="Noto Sans CJK SC"/>
        <family val="2"/>
      </rPr>
      <t xml:space="preserve">上半年（中央社：</t>
    </r>
    <r>
      <rPr>
        <sz val="11"/>
        <color theme="1"/>
        <rFont val="Calibri"/>
        <family val="2"/>
        <charset val="1"/>
      </rPr>
      <t xml:space="preserve">16.95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</si>
  <si>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</si>
  <si>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</si>
  <si>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</si>
  <si>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毛利率（公司：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</si>
  <si>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營業利益率（公司：雙位數）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</si>
  <si>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其他營收年增</t>
    </r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</si>
  <si>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其他營收毛利率（以 </t>
    </r>
    <r>
      <rPr>
        <sz val="11"/>
        <color theme="1"/>
        <rFont val="Calibri"/>
        <family val="2"/>
        <charset val="1"/>
      </rPr>
      <t xml:space="preserve">m_tk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m_auto </t>
    </r>
    <r>
      <rPr>
        <sz val="11"/>
        <color theme="1"/>
        <rFont val="Noto Sans CJK SC"/>
        <family val="2"/>
      </rPr>
      <t xml:space="preserve">推得）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</si>
  <si>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自算 − 公司 </t>
    </r>
    <r>
      <rPr>
        <sz val="11"/>
        <color theme="1"/>
        <rFont val="Calibri"/>
        <family val="2"/>
        <charset val="1"/>
      </rPr>
      <t xml:space="preserve">25.34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</si>
  <si>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歸屬淨利 自算 − 公司 </t>
    </r>
    <r>
      <rPr>
        <sz val="11"/>
        <color theme="1"/>
        <rFont val="Calibri"/>
        <family val="2"/>
        <charset val="1"/>
      </rPr>
      <t xml:space="preserve">3.2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</si>
  <si>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</si>
  <si>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Noto Sans CJK SC"/>
        <family val="2"/>
      </rPr>
      <t xml:space="preserve">官方報告分部與營收類別（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；分部原則第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條）</t>
    </r>
  </si>
  <si>
    <r>
      <rPr>
        <sz val="11"/>
        <color theme="1"/>
        <rFont val="Noto Sans CJK SC"/>
        <family val="2"/>
      </rPr>
      <t xml:space="preserve">單一營運部門（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設計服務）營收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</si>
  <si>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財報：單一應報導部門</t>
    </r>
  </si>
  <si>
    <r>
      <rPr>
        <sz val="11"/>
        <color theme="1"/>
        <rFont val="Noto Sans CJK SC"/>
        <family val="2"/>
      </rPr>
      <t xml:space="preserve">與第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營收同一數字（公司揭露）</t>
    </r>
  </si>
  <si>
    <r>
      <rPr>
        <sz val="11"/>
        <color theme="1"/>
        <rFont val="Noto Sans CJK SC"/>
        <family val="2"/>
      </rPr>
      <t xml:space="preserve">  委託設計（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</si>
  <si>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（萬寶週刊）：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34%</t>
    </r>
  </si>
  <si>
    <t xml:space="preserve">比重為媒體轉述公司數字；金額為推得</t>
  </si>
  <si>
    <r>
      <rPr>
        <sz val="11"/>
        <color theme="1"/>
        <rFont val="Noto Sans CJK SC"/>
        <family val="2"/>
      </rPr>
      <t xml:space="preserve">  量產（</t>
    </r>
    <r>
      <rPr>
        <sz val="11"/>
        <color theme="1"/>
        <rFont val="Calibri"/>
        <family val="2"/>
        <charset val="1"/>
      </rPr>
      <t xml:space="preserve">Turnkey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</si>
  <si>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64%</t>
    </r>
  </si>
  <si>
    <r>
      <rPr>
        <sz val="11"/>
        <color theme="1"/>
        <rFont val="Noto Sans CJK SC"/>
        <family val="2"/>
      </rPr>
      <t xml:space="preserve">本模型的 </t>
    </r>
    <r>
      <rPr>
        <sz val="11"/>
        <color theme="1"/>
        <rFont val="Calibri"/>
        <family val="2"/>
        <charset val="1"/>
      </rPr>
      <t xml:space="preserve">Google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、車用量產皆屬 </t>
    </r>
    <r>
      <rPr>
        <sz val="11"/>
        <color theme="1"/>
        <rFont val="Calibri"/>
        <family val="2"/>
        <charset val="1"/>
      </rPr>
      <t xml:space="preserve">Turnkey</t>
    </r>
    <r>
      <rPr>
        <sz val="11"/>
        <color theme="1"/>
        <rFont val="Noto Sans CJK SC"/>
        <family val="2"/>
      </rPr>
      <t xml:space="preserve">；推估年不拆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Turnkey</t>
    </r>
  </si>
  <si>
    <t xml:space="preserve">  其他（差額）</t>
  </si>
  <si>
    <r>
      <rPr>
        <sz val="11"/>
        <color theme="1"/>
        <rFont val="Noto Sans CJK SC"/>
        <family val="2"/>
      </rPr>
      <t xml:space="preserve">原文未說明其餘約 </t>
    </r>
    <r>
      <rPr>
        <sz val="11"/>
        <color theme="1"/>
        <rFont val="Calibri"/>
        <family val="2"/>
        <charset val="1"/>
      </rPr>
      <t xml:space="preserve">2%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</si>
  <si>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</si>
  <si>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應為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</si>
  <si>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量產（情境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）。顆數：百萬顆（日曆年；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、聯發科模型同一份）；其他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每顆核心售價取自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模型（本專案權威，唯讀）；每顆價：</t>
    </r>
    <r>
      <rPr>
        <sz val="11"/>
        <color theme="1"/>
        <rFont val="Calibri"/>
        <family val="2"/>
        <charset val="1"/>
      </rPr>
      <t xml:space="preserve">US$K</t>
    </r>
  </si>
  <si>
    <t xml:space="preserve">CY2026</t>
  </si>
  <si>
    <t xml:space="preserve">CY2027</t>
  </si>
  <si>
    <t xml:space="preserve">CY2028</t>
  </si>
  <si>
    <t xml:space="preserve">CY2029</t>
  </si>
  <si>
    <r>
      <rPr>
        <b val="true"/>
        <sz val="11"/>
        <rFont val="Cambria"/>
        <family val="0"/>
        <charset val="1"/>
      </rPr>
      <t xml:space="preserve">1. Google </t>
    </r>
    <r>
      <rPr>
        <b val="true"/>
        <sz val="11"/>
        <rFont val="Noto Sans CJK SC"/>
        <family val="2"/>
      </rPr>
      <t xml:space="preserve">自研 </t>
    </r>
    <r>
      <rPr>
        <b val="true"/>
        <sz val="11"/>
        <rFont val="Cambria"/>
        <family val="0"/>
        <charset val="1"/>
      </rPr>
      <t xml:space="preserve">Arm CPU </t>
    </r>
    <r>
      <rPr>
        <b val="true"/>
        <sz val="11"/>
        <rFont val="Noto Sans CJK SC"/>
        <family val="2"/>
      </rPr>
      <t xml:space="preserve">與其他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；創意營收口徑＝晶圓與封裝轉售，乘校準係數）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</si>
  <si>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</si>
  <si>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</si>
  <si>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</si>
  <si>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法人估計；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</si>
  <si>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</si>
  <si>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配比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創意份額</t>
    </r>
  </si>
  <si>
    <r>
      <rPr>
        <sz val="11"/>
        <color theme="1"/>
        <rFont val="Noto Sans CJK SC"/>
        <family val="2"/>
      </rPr>
      <t xml:space="preserve">每顆創意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營收（校準後）</t>
    </r>
  </si>
  <si>
    <r>
      <rPr>
        <sz val="11"/>
        <color theme="1"/>
        <rFont val="Noto Sans CJK SC"/>
        <family val="2"/>
      </rPr>
      <t xml:space="preserve">每顆營收 </t>
    </r>
    <r>
      <rPr>
        <sz val="11"/>
        <color theme="1"/>
        <rFont val="Calibri"/>
        <family val="2"/>
        <charset val="1"/>
      </rPr>
      <t xml:space="preserve">× k_c</t>
    </r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</si>
  <si>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營收（美元）</t>
    </r>
  </si>
  <si>
    <t xml:space="preserve">US$B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</si>
  <si>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市場顆數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</si>
  <si>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頁（含 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等非台積電產品，份額分母偏大）</t>
    </r>
  </si>
  <si>
    <r>
      <rPr>
        <sz val="11"/>
        <color theme="1"/>
        <rFont val="Noto Sans CJK SC"/>
        <family val="2"/>
      </rPr>
      <t xml:space="preserve">創意份額：其他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</si>
  <si>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</si>
  <si>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</si>
  <si>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</si>
  <si>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</si>
  <si>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每顆核心售價 </t>
    </r>
    <r>
      <rPr>
        <sz val="11"/>
        <color theme="1"/>
        <rFont val="Calibri"/>
        <family val="2"/>
        <charset val="1"/>
      </rPr>
      <t xml:space="preserve">× k_o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</si>
  <si>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份額加總檢查（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＋聯發科＋創意 ≤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；各公司份額讀各自成品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頁；世芯只有 </t>
    </r>
    <r>
      <rPr>
        <b val="true"/>
        <sz val="11"/>
        <rFont val="Cambria"/>
        <family val="0"/>
        <charset val="1"/>
      </rPr>
      <t xml:space="preserve">Trainium </t>
    </r>
    <r>
      <rPr>
        <b val="true"/>
        <sz val="11"/>
        <rFont val="Noto Sans CJK SC"/>
        <family val="2"/>
      </rPr>
      <t xml:space="preserve">份額）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</si>
  <si>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＋聯發科（高）＋創意：其他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</si>
  <si>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其餘為客戶自行設計（</t>
    </r>
    <r>
      <rPr>
        <sz val="11"/>
        <color theme="1"/>
        <rFont val="Calibri"/>
        <family val="2"/>
        <charset val="1"/>
      </rPr>
      <t xml:space="preserve">COT</t>
    </r>
    <r>
      <rPr>
        <sz val="11"/>
        <color theme="1"/>
        <rFont val="Noto Sans CJK SC"/>
        <family val="2"/>
      </rPr>
      <t xml:space="preserve">）或其他夥伴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</si>
  <si>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＋聯發科（高）＋創意：其他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</si>
  <si>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＋聯發科（高）＋創意：其他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</si>
  <si>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創意其他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份額上限（</t>
    </r>
    <r>
      <rPr>
        <sz val="11"/>
        <color theme="1"/>
        <rFont val="Calibri"/>
        <family val="2"/>
        <charset val="1"/>
      </rPr>
      <t xml:space="preserve">1 − Broadcom − Marvell − </t>
    </r>
    <r>
      <rPr>
        <sz val="11"/>
        <color theme="1"/>
        <rFont val="Noto Sans CJK SC"/>
        <family val="2"/>
      </rPr>
      <t xml:space="preserve">聯發科高值）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</si>
  <si>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頁份額高值受此上限限制（建置時檢查）</t>
    </r>
  </si>
  <si>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＋聯發科：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（基準；創意不占）</t>
    </r>
  </si>
  <si>
    <r>
      <rPr>
        <sz val="11"/>
        <color theme="1"/>
        <rFont val="Noto Sans CJK SC"/>
        <family val="2"/>
      </rPr>
      <t xml:space="preserve">創意的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營收為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，不占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加速器份額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</si>
  <si>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校準值（只用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已發生的實績與錨點拆分；不用共識、不用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起的目標）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</si>
  <si>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k_c</t>
    </r>
  </si>
  <si>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未校準由下而上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</si>
  <si>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k_o</t>
    </r>
  </si>
  <si>
    <r>
      <rPr>
        <sz val="11"/>
        <color theme="1"/>
        <rFont val="Calibri"/>
        <family val="2"/>
        <charset val="1"/>
      </rPr>
      <t xml:space="preserve">FY2026 AI ASIC ÷</t>
    </r>
    <r>
      <rPr>
        <sz val="11"/>
        <color theme="1"/>
        <rFont val="Noto Sans CJK SC"/>
        <family val="2"/>
      </rPr>
      <t xml:space="preserve">（顆數 </t>
    </r>
    <r>
      <rPr>
        <sz val="11"/>
        <color theme="1"/>
        <rFont val="Calibri"/>
        <family val="2"/>
        <charset val="1"/>
      </rPr>
      <t xml:space="preserve">× Broadcom </t>
    </r>
    <r>
      <rPr>
        <sz val="11"/>
        <color theme="1"/>
        <rFont val="Noto Sans CJK SC"/>
        <family val="2"/>
      </rPr>
      <t xml:space="preserve">核心售價）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</si>
  <si>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殘差）</t>
    </r>
  </si>
  <si>
    <r>
      <rPr>
        <sz val="11"/>
        <color theme="1"/>
        <rFont val="Noto Sans CJK SC"/>
        <family val="2"/>
      </rPr>
      <t xml:space="preserve">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</t>
    </r>
  </si>
  <si>
    <r>
      <rPr>
        <b val="true"/>
        <sz val="11"/>
        <rFont val="Noto Sans CJK SC"/>
        <family val="2"/>
      </rPr>
      <t xml:space="preserve">讀法：創意的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營收以 </t>
    </r>
    <r>
      <rPr>
        <b val="true"/>
        <sz val="11"/>
        <rFont val="Cambria"/>
        <family val="0"/>
        <charset val="1"/>
      </rPr>
      <t xml:space="preserve">Google </t>
    </r>
    <r>
      <rPr>
        <b val="true"/>
        <sz val="11"/>
        <rFont val="Noto Sans CJK SC"/>
        <family val="2"/>
      </rPr>
      <t xml:space="preserve">自研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為主，顆數隨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顆數與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配比變動，不占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加速器份額；其他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份額受 </t>
    </r>
    <r>
      <rPr>
        <b val="true"/>
        <sz val="11"/>
        <rFont val="Cambria"/>
        <family val="0"/>
        <charset val="1"/>
      </rPr>
      <t xml:space="preserve">Broadcom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Marvell</t>
    </r>
    <r>
      <rPr>
        <b val="true"/>
        <sz val="11"/>
        <rFont val="Noto Sans CJK SC"/>
        <family val="2"/>
      </rPr>
      <t xml:space="preserve">、聯發科份額共同限制。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</si>
  <si>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創意損益（十億新台幣；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為收斂法。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</si>
  <si>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</si>
  <si>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</si>
  <si>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</si>
  <si>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</si>
  <si>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</si>
  <si>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</si>
  <si>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</si>
  <si>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</si>
  <si>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</si>
  <si>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</si>
  <si>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</si>
  <si>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Google CPU </t>
    </r>
    <r>
      <rPr>
        <sz val="11"/>
        <color theme="1"/>
        <rFont val="Noto Sans CJK SC"/>
        <family val="2"/>
      </rPr>
      <t xml:space="preserve">量產</t>
    </r>
  </si>
  <si>
    <r>
      <rPr>
        <sz val="11"/>
        <color theme="1"/>
        <rFont val="Noto Sans CJK SC"/>
        <family val="2"/>
      </rPr>
      <t xml:space="preserve">  其他（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＋其他量產）</t>
    </r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</si>
  <si>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</si>
  <si>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</si>
  <si>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</si>
  <si>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</si>
  <si>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</si>
  <si>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</si>
  <si>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</si>
  <si>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</si>
  <si>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</si>
  <si>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由下而上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</si>
  <si>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；下一代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100%</t>
    </r>
    <r>
      <rPr>
        <b val="true"/>
        <sz val="11"/>
        <rFont val="Noto Sans CJK SC"/>
        <family val="2"/>
      </rPr>
      <t xml:space="preserve">、單價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；其他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6%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8%</t>
    </r>
    <r>
      <rPr>
        <b val="true"/>
        <sz val="11"/>
        <rFont val="Noto Sans CJK SC"/>
        <family val="2"/>
      </rPr>
      <t xml:space="preserve">；車用 </t>
    </r>
    <r>
      <rPr>
        <b val="true"/>
        <sz val="11"/>
        <rFont val="Cambria"/>
        <family val="0"/>
        <charset val="1"/>
      </rPr>
      <t xml:space="preserve">×4.0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×2.0</t>
    </r>
    <r>
      <rPr>
        <b val="true"/>
        <sz val="11"/>
        <rFont val="Noto Sans CJK SC"/>
        <family val="2"/>
      </rPr>
      <t xml:space="preserve">；其他營收 </t>
    </r>
    <r>
      <rPr>
        <b val="true"/>
        <sz val="11"/>
        <rFont val="Cambria"/>
        <family val="0"/>
        <charset val="1"/>
      </rPr>
      <t xml:space="preserve">+15%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；量產毛利率 </t>
    </r>
    <r>
      <rPr>
        <b val="true"/>
        <sz val="11"/>
        <rFont val="Cambria"/>
        <family val="0"/>
        <charset val="1"/>
      </rPr>
      <t xml:space="preserve">+1pt</t>
    </r>
  </si>
  <si>
    <r>
      <rPr>
        <b val="true"/>
        <sz val="11"/>
        <rFont val="Cambria"/>
        <family val="0"/>
        <charset val="1"/>
      </rPr>
      <t xml:space="preserve">A. Google </t>
    </r>
    <r>
      <rPr>
        <b val="true"/>
        <sz val="11"/>
        <rFont val="Noto Sans CJK SC"/>
        <family val="2"/>
      </rPr>
      <t xml:space="preserve">自研 </t>
    </r>
    <r>
      <rPr>
        <b val="true"/>
        <sz val="11"/>
        <rFont val="Cambria"/>
        <family val="0"/>
        <charset val="1"/>
      </rPr>
      <t xml:space="preserve">Arm CPU </t>
    </r>
    <r>
      <rPr>
        <b val="true"/>
        <sz val="11"/>
        <rFont val="Noto Sans CJK SC"/>
        <family val="2"/>
      </rPr>
      <t xml:space="preserve">量產（由下而上；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</si>
  <si>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市場顆數（含情境係數）</t>
    </r>
  </si>
  <si>
    <r>
      <rPr>
        <sz val="11"/>
        <color theme="1"/>
        <rFont val="Noto Sans CJK SC"/>
        <family val="2"/>
      </rPr>
      <t xml:space="preserve">創意占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自研 </t>
    </r>
    <r>
      <rPr>
        <sz val="11"/>
        <color theme="1"/>
        <rFont val="Calibri"/>
        <family val="2"/>
        <charset val="1"/>
      </rPr>
      <t xml:space="preserve">CPU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</si>
  <si>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營收（未校準；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下一代係數）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</si>
  <si>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營收（未校準）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</si>
  <si>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k_c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營收（錨點）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</si>
  <si>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錨點的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拆分校準；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起沿用。顆數、配比、單價的合併係數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</si>
  <si>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營收（美元）</t>
    </r>
  </si>
  <si>
    <t xml:space="preserve">匯率</t>
  </si>
  <si>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量產營收</t>
    </r>
  </si>
  <si>
    <r>
      <rPr>
        <b val="true"/>
        <sz val="11"/>
        <rFont val="Cambria"/>
        <family val="0"/>
        <charset val="1"/>
      </rPr>
      <t xml:space="preserve">B. AI ASIC </t>
    </r>
    <r>
      <rPr>
        <b val="true"/>
        <sz val="11"/>
        <rFont val="Noto Sans CJK SC"/>
        <family val="2"/>
      </rPr>
      <t xml:space="preserve">量產（其他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等；由下而上）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</si>
  <si>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市場顆數（含情境係數）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</si>
  <si>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營收（未校準）＝ 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</si>
  <si>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校準係數 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AI ASIC</t>
    </r>
    <r>
      <rPr>
        <sz val="11"/>
        <color theme="1"/>
        <rFont val="Noto Sans CJK SC"/>
        <family val="2"/>
      </rPr>
      <t xml:space="preserve">（錨點）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</si>
  <si>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k_o &lt; 1</t>
    </r>
    <r>
      <rPr>
        <sz val="11"/>
        <color theme="1"/>
        <rFont val="Noto Sans CJK SC"/>
        <family val="2"/>
      </rPr>
      <t xml:space="preserve">＝創意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只含晶圓與封裝轉售，低於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的核心售價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</si>
  <si>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</si>
  <si>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量產營收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</si>
  <si>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車用與其他營收（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起簡化成長）</t>
    </r>
  </si>
  <si>
    <r>
      <rPr>
        <sz val="11"/>
        <color theme="1"/>
        <rFont val="Noto Sans CJK SC"/>
        <family val="2"/>
      </rPr>
      <t xml:space="preserve">車用（含北美車用客戶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晶片）</t>
    </r>
  </si>
  <si>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控制器、加密貨幣等量產）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</si>
  <si>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</si>
  <si>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</si>
  <si>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Google CPU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</si>
  <si>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</si>
  <si>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毛利與損益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</si>
  <si>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量產毛利 ＝（</t>
    </r>
    <r>
      <rPr>
        <sz val="11"/>
        <color theme="1"/>
        <rFont val="Calibri"/>
        <family val="2"/>
        <charset val="1"/>
      </rPr>
      <t xml:space="preserve">m_tk</t>
    </r>
    <r>
      <rPr>
        <sz val="11"/>
        <color theme="1"/>
        <rFont val="Noto Sans CJK SC"/>
        <family val="2"/>
      </rPr>
      <t xml:space="preserve">＋情境調整）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AI 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</si>
  <si>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車用毛利 ＝ </t>
    </r>
    <r>
      <rPr>
        <sz val="11"/>
        <color theme="1"/>
        <rFont val="Calibri"/>
        <family val="2"/>
        <charset val="1"/>
      </rPr>
      <t xml:space="preserve">m_auto × </t>
    </r>
    <r>
      <rPr>
        <sz val="11"/>
        <color theme="1"/>
        <rFont val="Noto Sans CJK SC"/>
        <family val="2"/>
      </rPr>
      <t xml:space="preserve">車用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</si>
  <si>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殘差，之後沿用＋調整）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</si>
  <si>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毛利等於錨點（含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，毛利率高）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</si>
  <si>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</si>
  <si>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</si>
  <si>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）；配比 </t>
    </r>
    <r>
      <rPr>
        <b val="true"/>
        <sz val="11"/>
        <rFont val="Cambria"/>
        <family val="0"/>
        <charset val="1"/>
      </rPr>
      <t xml:space="preserve">0.5</t>
    </r>
    <r>
      <rPr>
        <b val="true"/>
        <sz val="11"/>
        <rFont val="Noto Sans CJK SC"/>
        <family val="2"/>
      </rPr>
      <t xml:space="preserve">；下一代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90%</t>
    </r>
    <r>
      <rPr>
        <b val="true"/>
        <sz val="11"/>
        <rFont val="Noto Sans CJK SC"/>
        <family val="2"/>
      </rPr>
      <t xml:space="preserve">、單價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；其他 </t>
    </r>
    <r>
      <rPr>
        <b val="true"/>
        <sz val="11"/>
        <rFont val="Cambria"/>
        <family val="0"/>
        <charset val="1"/>
      </rPr>
      <t xml:space="preserve">ASIC 4%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；車用 </t>
    </r>
    <r>
      <rPr>
        <b val="true"/>
        <sz val="11"/>
        <rFont val="Cambria"/>
        <family val="0"/>
        <charset val="1"/>
      </rPr>
      <t xml:space="preserve">×3.0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×1.6</t>
    </r>
    <r>
      <rPr>
        <b val="true"/>
        <sz val="11"/>
        <rFont val="Noto Sans CJK SC"/>
        <family val="2"/>
      </rPr>
      <t xml:space="preserve">；其他營收 </t>
    </r>
    <r>
      <rPr>
        <b val="true"/>
        <sz val="11"/>
        <rFont val="Cambria"/>
        <family val="0"/>
        <charset val="1"/>
      </rPr>
      <t xml:space="preserve">+8%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+5%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</si>
  <si>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）；配比 </t>
    </r>
    <r>
      <rPr>
        <b val="true"/>
        <sz val="11"/>
        <rFont val="Cambria"/>
        <family val="0"/>
        <charset val="1"/>
      </rPr>
      <t xml:space="preserve">0.4</t>
    </r>
    <r>
      <rPr>
        <b val="true"/>
        <sz val="11"/>
        <rFont val="Noto Sans CJK SC"/>
        <family val="2"/>
      </rPr>
      <t xml:space="preserve">；下一代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70%</t>
    </r>
    <r>
      <rPr>
        <b val="true"/>
        <sz val="11"/>
        <rFont val="Noto Sans CJK SC"/>
        <family val="2"/>
      </rPr>
      <t xml:space="preserve">、單價 </t>
    </r>
    <r>
      <rPr>
        <b val="true"/>
        <sz val="11"/>
        <rFont val="Cambria"/>
        <family val="0"/>
        <charset val="1"/>
      </rPr>
      <t xml:space="preserve">×1.0</t>
    </r>
    <r>
      <rPr>
        <b val="true"/>
        <sz val="11"/>
        <rFont val="Noto Sans CJK SC"/>
        <family val="2"/>
      </rPr>
      <t xml:space="preserve">；其他 </t>
    </r>
    <r>
      <rPr>
        <b val="true"/>
        <sz val="11"/>
        <rFont val="Cambria"/>
        <family val="0"/>
        <charset val="1"/>
      </rPr>
      <t xml:space="preserve">ASIC 2%</t>
    </r>
    <r>
      <rPr>
        <b val="true"/>
        <sz val="11"/>
        <rFont val="Noto Sans CJK SC"/>
        <family val="2"/>
      </rPr>
      <t xml:space="preserve">；車用 </t>
    </r>
    <r>
      <rPr>
        <b val="true"/>
        <sz val="11"/>
        <rFont val="Cambria"/>
        <family val="0"/>
        <charset val="1"/>
      </rPr>
      <t xml:space="preserve">×2.0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；其他營收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；量產毛利率 −</t>
    </r>
    <r>
      <rPr>
        <b val="true"/>
        <sz val="11"/>
        <rFont val="Cambria"/>
        <family val="0"/>
        <charset val="1"/>
      </rPr>
      <t xml:space="preserve">2pt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</si>
  <si>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</si>
  <si>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循環位置：創意不是設備股，不套設備市場見頂年；以本模型營收最高的會計年度為見頂年（比照聯發科、世芯；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</si>
  <si>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</si>
  <si>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</si>
  <si>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</si>
  <si>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</si>
  <si>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</si>
  <si>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</si>
  <si>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</si>
  <si>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</si>
  <si>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</si>
  <si>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</si>
  <si>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</si>
  <si>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</si>
  <si>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</si>
  <si>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</si>
  <si>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</si>
  <si>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</si>
  <si>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</si>
  <si>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</si>
  <si>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</si>
  <si>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</si>
  <si>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</si>
  <si>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</si>
  <si>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</si>
  <si>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</si>
  <si>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</si>
  <si>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</si>
  <si>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</si>
  <si>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世芯</t>
    </r>
    <r>
      <rPr>
        <sz val="11"/>
        <color theme="1"/>
        <rFont val="Calibri"/>
        <family val="2"/>
        <charset val="1"/>
      </rPr>
      <t xml:space="preserve">-KY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</t>
    </r>
  </si>
  <si>
    <t xml:space="preserve">3661.TW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</si>
  <si>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</si>
  <si>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（分析師共識；價格日期如左；與聯發科、世芯模型同日擷取）</t>
    </r>
  </si>
  <si>
    <r>
      <rPr>
        <sz val="11"/>
        <color theme="1"/>
        <rFont val="Noto Sans CJK SC"/>
        <family val="2"/>
      </rPr>
      <t xml:space="preserve">聯發科（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）</t>
    </r>
  </si>
  <si>
    <t xml:space="preserve">2454.TW</t>
  </si>
  <si>
    <r>
      <rPr>
        <sz val="11"/>
        <color theme="1"/>
        <rFont val="Noto Sans CJK SC"/>
        <family val="2"/>
      </rPr>
      <t xml:space="preserve">博通（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</t>
    </r>
  </si>
  <si>
    <t xml:space="preserve">AVGO</t>
  </si>
  <si>
    <t xml:space="preserve">2026-10-23</t>
  </si>
  <si>
    <r>
      <rPr>
        <sz val="11"/>
        <color theme="1"/>
        <rFont val="Noto Sans CJK SC"/>
        <family val="2"/>
      </rPr>
      <t xml:space="preserve">邁威爾（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）</t>
    </r>
  </si>
  <si>
    <t xml:space="preserve">MRVL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</si>
  <si>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</si>
  <si>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對手（世芯、聯發科、博通、邁威爾）；不含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股公司，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）；智原資料日 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過舊，未列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</si>
  <si>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</si>
  <si>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</si>
  <si>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</si>
  <si>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</si>
  <si>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</si>
  <si>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</si>
  <si>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</si>
  <si>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</si>
  <si>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</si>
  <si>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</si>
  <si>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6,722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擷取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</si>
  <si>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</si>
  <si>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</si>
  <si>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</si>
  <si>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</si>
  <si>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2026-10-08 </t>
    </r>
    <r>
      <rPr>
        <sz val="11"/>
        <color theme="1"/>
        <rFont val="Noto Sans CJK SC"/>
        <family val="2"/>
      </rPr>
      <t xml:space="preserve">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</si>
  <si>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</si>
  <si>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</si>
  <si>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</si>
  <si>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</si>
  <si>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節兩來源平均）的分位；高於十年最大值記為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、低於最小值記為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</si>
  <si>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</si>
  <si>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明確期＋永續；創意為輕資產設計服務公司（量產為轉售，資本支出小），不改用淨利＋折舊－資本支出；情境價值負值取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：世芯、聯發科、博通、邁威爾前瞻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中位數；創意本身前瞻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90–100 </t>
    </r>
    <r>
      <rPr>
        <sz val="11"/>
        <color theme="1"/>
        <rFont val="Noto Sans CJK SC"/>
        <family val="2"/>
      </rPr>
      <t xml:space="preserve">倍，遠高於同業，同業法偏向低估市場對創意的定價。主要偏誤：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顆數綁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顆數與配比，未含一般運算 </t>
    </r>
    <r>
      <rPr>
        <sz val="11"/>
        <color theme="1"/>
        <rFont val="Calibri"/>
        <family val="2"/>
        <charset val="1"/>
      </rPr>
      <t xml:space="preserve">Axion </t>
    </r>
    <r>
      <rPr>
        <sz val="11"/>
        <color theme="1"/>
        <rFont val="Noto Sans CJK SC"/>
        <family val="2"/>
      </rPr>
      <t xml:space="preserve">的獨立成長；車用、其他營收為簡化成長率；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起只用收斂法，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偏低估；單一客戶集中（</t>
    </r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約一半營收）的下行只反映在情境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、配比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、配比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、配比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</si>
  <si>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</si>
  <si>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</si>
  <si>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</si>
  <si>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</si>
  <si>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</si>
  <si>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</si>
  <si>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</si>
  <si>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</si>
  <si>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配比、其他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份額、車用與其他營收（顆數情境係數從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</si>
  <si>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</si>
  <si>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</si>
  <si>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</si>
  <si>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</si>
  <si>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</si>
  <si>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</si>
  <si>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</si>
  <si>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</si>
  <si>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</si>
  <si>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</si>
  <si>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</si>
  <si>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</si>
  <si>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</si>
  <si>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</si>
  <si>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</si>
  <si>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</si>
  <si>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</si>
  <si>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</si>
  <si>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</si>
  <si>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</si>
  <si>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</si>
  <si>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</si>
  <si>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</si>
  <si>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</si>
  <si>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</si>
  <si>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</si>
  <si>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</si>
  <si>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年底；兩來源平均，分位排名用；無負值或 </t>
    </r>
    <r>
      <rPr>
        <b val="true"/>
        <sz val="11"/>
        <rFont val="Cambria"/>
        <family val="0"/>
        <charset val="1"/>
      </rPr>
      <t xml:space="preserve">&gt;200 </t>
    </r>
    <r>
      <rPr>
        <b val="true"/>
        <sz val="11"/>
        <rFont val="Noto Sans CJK SC"/>
        <family val="2"/>
      </rPr>
      <t xml:space="preserve">需剔除）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</si>
  <si>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</si>
  <si>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</si>
  <si>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</si>
  <si>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自算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</si>
  <si>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</si>
  <si>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</si>
  <si>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</si>
  <si>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</si>
  <si>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</si>
  <si>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</si>
  <si>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</si>
  <si>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</si>
  <si>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</si>
  <si>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</si>
  <si>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</si>
  <si>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</si>
  <si>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53.78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66.47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52.82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75.55</t>
    </r>
    <r>
      <rPr>
        <sz val="11"/>
        <color theme="1"/>
        <rFont val="Noto Sans CJK SC"/>
        <family val="2"/>
      </rPr>
      <t xml:space="preserve">）與自算相近，只作核對。十年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多為 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比重高、營收規模小的時期（中位數約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倍），創意轉為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量產為主後，倍數未必適用。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</si>
  <si>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</si>
  <si>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</si>
  <si>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HiStock 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</si>
  <si>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</si>
  <si>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HiStock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HiStock 2018–2025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2016–2017 EPS </t>
    </r>
    <r>
      <rPr>
        <sz val="11"/>
        <color theme="1"/>
        <rFont val="Noto Sans CJK SC"/>
        <family val="2"/>
      </rPr>
      <t xml:space="preserve">未找到）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</si>
  <si>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</si>
  <si>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</si>
  <si>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</si>
  <si>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</si>
  <si>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</si>
  <si>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</si>
  <si>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</si>
  <si>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</si>
  <si>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</si>
  <si>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</si>
  <si>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</si>
  <si>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</si>
  <si>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</si>
  <si>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</si>
  <si>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</si>
  <si>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</si>
  <si>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</si>
  <si>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</si>
  <si>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</si>
  <si>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</si>
  <si>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</si>
  <si>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</si>
  <si>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</si>
  <si>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</si>
  <si>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</si>
  <si>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</t>
    </r>
    <r>
      <rPr>
        <sz val="11"/>
        <color theme="1"/>
        <rFont val="Calibri"/>
        <family val="2"/>
        <charset val="1"/>
      </rPr>
      <t xml:space="preserve">B42</t>
    </r>
    <r>
      <rPr>
        <sz val="11"/>
        <color theme="1"/>
        <rFont val="Noto Sans CJK SC"/>
        <family val="2"/>
      </rPr>
      <t xml:space="preserve">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</si>
  <si>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</si>
  <si>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</si>
  <si>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</si>
  <si>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</si>
  <si>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</si>
  <si>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</si>
  <si>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</si>
  <si>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</si>
  <si>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</si>
  <si>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</si>
  <si>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</si>
  <si>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</si>
  <si>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</si>
  <si>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</si>
  <si>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</si>
  <si>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</si>
  <si>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</si>
  <si>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</si>
  <si>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</si>
  <si>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創意</t>
  </si>
  <si>
    <t xml:space="preserve">3443.TW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</si>
  <si>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</si>
  <si>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3443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</si>
  <si>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</si>
  <si>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3661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</si>
  <si>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2454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</si>
  <si>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AVGO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</si>
  <si>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MRVL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</si>
  <si>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</si>
  <si>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</si>
  <si>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</si>
  <si>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</si>
  <si>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</si>
  <si>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</si>
  <si>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</si>
  <si>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</si>
  <si>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</si>
  <si>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</si>
  <si>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</si>
  <si>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</si>
  <si>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</si>
  <si>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</si>
  <si>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公司說法、共識、券商。只作事後對照，不為對上數字而調參數。券商 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估計與法人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出貨估計為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</si>
  <si>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</si>
  <si>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</si>
  <si>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</si>
  <si>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</si>
  <si>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</si>
  <si>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</si>
  <si>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</si>
  <si>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</si>
  <si>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公司說法與共識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</si>
  <si>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</si>
  <si>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位；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</si>
  <si>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共識資料日在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營收公布前；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 </t>
    </r>
    <r>
      <rPr>
        <sz val="11"/>
        <color theme="1"/>
        <rFont val="Calibri"/>
        <family val="2"/>
        <charset val="1"/>
      </rPr>
      <t xml:space="preserve">34.9%</t>
    </r>
    <r>
      <rPr>
        <sz val="11"/>
        <color theme="1"/>
        <rFont val="Noto Sans CJK SC"/>
        <family val="2"/>
      </rPr>
      <t xml:space="preserve">，遠高於公司說的高個位數至低雙位數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</si>
  <si>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</si>
  <si>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</si>
  <si>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共識區間 </t>
    </r>
    <r>
      <rPr>
        <sz val="11"/>
        <color theme="1"/>
        <rFont val="Calibri"/>
        <family val="2"/>
        <charset val="1"/>
      </rPr>
      <t xml:space="preserve">45.73–60.51</t>
    </r>
    <r>
      <rPr>
        <sz val="11"/>
        <color theme="1"/>
        <rFont val="Noto Sans CJK SC"/>
        <family val="2"/>
      </rPr>
      <t xml:space="preserve">；外資 </t>
    </r>
    <r>
      <rPr>
        <sz val="11"/>
        <color theme="1"/>
        <rFont val="Calibri"/>
        <family val="2"/>
        <charset val="1"/>
      </rPr>
      <t xml:space="preserve">52.96</t>
    </r>
    <r>
      <rPr>
        <sz val="11"/>
        <color theme="1"/>
        <rFont val="Noto Sans CJK SC"/>
        <family val="2"/>
      </rPr>
      <t xml:space="preserve">；優分析 </t>
    </r>
    <r>
      <rPr>
        <sz val="11"/>
        <color theme="1"/>
        <rFont val="Calibri"/>
        <family val="2"/>
        <charset val="1"/>
      </rPr>
      <t xml:space="preserve">58.23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</si>
  <si>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以上（百分點）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</si>
  <si>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</si>
  <si>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公司雙位數下限（百分點）</t>
    </r>
  </si>
  <si>
    <r>
      <rPr>
        <b val="true"/>
        <sz val="11"/>
        <rFont val="Cambria"/>
        <family val="0"/>
        <charset val="1"/>
      </rPr>
      <t xml:space="preserve">B. CPU </t>
    </r>
    <r>
      <rPr>
        <b val="true"/>
        <sz val="11"/>
        <rFont val="Noto Sans CJK SC"/>
        <family val="2"/>
      </rPr>
      <t xml:space="preserve">與車用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法人（市場層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配比口徑）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</si>
  <si>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法人約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萬顆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</si>
  <si>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</si>
  <si>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Noto Sans CJK SC"/>
        <family val="2"/>
      </rPr>
      <t xml:space="preserve">法人另一說 </t>
    </r>
    <r>
      <rPr>
        <sz val="11"/>
        <color theme="1"/>
        <rFont val="Calibri"/>
        <family val="2"/>
        <charset val="1"/>
      </rPr>
      <t xml:space="preserve">350 </t>
    </r>
    <r>
      <rPr>
        <sz val="11"/>
        <color theme="1"/>
        <rFont val="Noto Sans CJK SC"/>
        <family val="2"/>
      </rPr>
      <t xml:space="preserve">萬顆（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）；達到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萬顆需配比約 </t>
    </r>
    <r>
      <rPr>
        <sz val="11"/>
        <color theme="1"/>
        <rFont val="Calibri"/>
        <family val="2"/>
        <charset val="1"/>
      </rPr>
      <t xml:space="preserve">0.73</t>
    </r>
    <r>
      <rPr>
        <sz val="11"/>
        <color theme="1"/>
        <rFont val="Noto Sans CJK SC"/>
        <family val="2"/>
      </rPr>
      <t xml:space="preserve">（含一般運算 </t>
    </r>
    <r>
      <rPr>
        <sz val="11"/>
        <color theme="1"/>
        <rFont val="Calibri"/>
        <family val="2"/>
        <charset val="1"/>
      </rPr>
      <t xml:space="preserve">Axion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</si>
  <si>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達到法人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顆數所需配比（＝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÷ TPU </t>
    </r>
    <r>
      <rPr>
        <sz val="11"/>
        <color theme="1"/>
        <rFont val="Noto Sans CJK SC"/>
        <family val="2"/>
      </rPr>
      <t xml:space="preserve">顆數）</t>
    </r>
  </si>
  <si>
    <t xml:space="preserve">推導</t>
  </si>
  <si>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CY2027 TPU 5.5 </t>
    </r>
    <r>
      <rPr>
        <sz val="11"/>
        <color theme="1"/>
        <rFont val="Noto Sans CJK SC"/>
        <family val="2"/>
      </rPr>
      <t xml:space="preserve">百萬顆</t>
    </r>
  </si>
  <si>
    <r>
      <rPr>
        <sz val="11"/>
        <color theme="1"/>
        <rFont val="Calibri"/>
        <family val="2"/>
        <charset val="1"/>
      </rPr>
      <t xml:space="preserve">FY2027 CPU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本國投顧 </t>
    </r>
    <r>
      <rPr>
        <sz val="11"/>
        <color theme="1"/>
        <rFont val="Calibri"/>
        <family val="2"/>
        <charset val="1"/>
      </rPr>
      <t xml:space="preserve">50.3%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</si>
  <si>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</si>
  <si>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公司雙位數下限（百分點）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</si>
  <si>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車用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本國投顧北美車用 </t>
    </r>
    <r>
      <rPr>
        <sz val="11"/>
        <color theme="1"/>
        <rFont val="Calibri"/>
        <family val="2"/>
        <charset val="1"/>
      </rPr>
      <t xml:space="preserve">34.9%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</si>
  <si>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本國投顧比重遠高於公司說法；北美專案主要在 </t>
    </r>
    <r>
      <rPr>
        <sz val="11"/>
        <color theme="1"/>
        <rFont val="Calibri"/>
        <family val="2"/>
        <charset val="1"/>
      </rPr>
      <t xml:space="preserve">2H27 </t>
    </r>
    <r>
      <rPr>
        <sz val="11"/>
        <color theme="1"/>
        <rFont val="Noto Sans CJK SC"/>
        <family val="2"/>
      </rPr>
      <t xml:space="preserve">後貢獻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</si>
  <si>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每顆創意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營收（校準後）</t>
    </r>
  </si>
  <si>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k_c × </t>
    </r>
    <r>
      <rPr>
        <sz val="11"/>
        <color theme="1"/>
        <rFont val="Noto Sans CJK SC"/>
        <family val="2"/>
      </rPr>
      <t xml:space="preserve">每顆營收</t>
    </r>
  </si>
  <si>
    <r>
      <rPr>
        <b val="true"/>
        <sz val="11"/>
        <rFont val="Cambria"/>
        <family val="0"/>
        <charset val="1"/>
      </rPr>
      <t xml:space="preserve">C. EPS vs </t>
    </r>
    <r>
      <rPr>
        <b val="true"/>
        <sz val="11"/>
        <rFont val="Noto Sans CJK SC"/>
        <family val="2"/>
      </rPr>
      <t xml:space="preserve">券商與共識（校準未使用）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</si>
  <si>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市場共識（</t>
    </r>
    <r>
      <rPr>
        <sz val="11"/>
        <color theme="1"/>
        <rFont val="Calibri"/>
        <family val="2"/>
        <charset val="1"/>
      </rPr>
      <t xml:space="preserve">Visible Alpha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</si>
  <si>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2026-07-31</t>
    </r>
  </si>
  <si>
    <r>
      <rPr>
        <sz val="11"/>
        <color theme="1"/>
        <rFont val="Noto Sans CJK SC"/>
        <family val="2"/>
      </rPr>
      <t xml:space="preserve">資料日在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營收公布前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</si>
  <si>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外資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</si>
  <si>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優分析資料庫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</si>
  <si>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2026-09-22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</si>
  <si>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外資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</si>
  <si>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模型（情境加權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</si>
  <si>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推得</t>
    </r>
  </si>
  <si>
    <t xml:space="preserve">三欄同值（情境加權）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</si>
  <si>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校準與份額</t>
    </r>
  </si>
  <si>
    <r>
      <rPr>
        <sz val="11"/>
        <color theme="1"/>
        <rFont val="Calibri"/>
        <family val="2"/>
        <charset val="1"/>
      </rPr>
      <t xml:space="preserve">k_c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</si>
  <si>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</si>
  <si>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＝法人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美元與 </t>
    </r>
    <r>
      <rPr>
        <sz val="11"/>
        <color theme="1"/>
        <rFont val="Calibri"/>
        <family val="2"/>
        <charset val="1"/>
      </rPr>
      <t xml:space="preserve">FY2026 CPU </t>
    </r>
    <r>
      <rPr>
        <sz val="11"/>
        <color theme="1"/>
        <rFont val="Noto Sans CJK SC"/>
        <family val="2"/>
      </rPr>
      <t xml:space="preserve">拆分一致</t>
    </r>
  </si>
  <si>
    <r>
      <rPr>
        <sz val="11"/>
        <color theme="1"/>
        <rFont val="Calibri"/>
        <family val="2"/>
        <charset val="1"/>
      </rPr>
      <t xml:space="preserve">k_o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ASIC </t>
    </r>
    <r>
      <rPr>
        <sz val="11"/>
        <color theme="1"/>
        <rFont val="Noto Sans CJK SC"/>
        <family val="2"/>
      </rPr>
      <t xml:space="preserve">校準係數）</t>
    </r>
  </si>
  <si>
    <r>
      <rPr>
        <sz val="11"/>
        <color theme="1"/>
        <rFont val="Calibri"/>
        <family val="2"/>
        <charset val="1"/>
      </rPr>
      <t xml:space="preserve">FY2026 AI ASIC ÷ </t>
    </r>
    <r>
      <rPr>
        <sz val="11"/>
        <color theme="1"/>
        <rFont val="Noto Sans CJK SC"/>
        <family val="2"/>
      </rPr>
      <t xml:space="preserve">未校準</t>
    </r>
  </si>
  <si>
    <r>
      <rPr>
        <sz val="11"/>
        <color theme="1"/>
        <rFont val="Calibri"/>
        <family val="2"/>
        <charset val="1"/>
      </rPr>
      <t xml:space="preserve">&lt; 1</t>
    </r>
    <r>
      <rPr>
        <sz val="11"/>
        <color theme="1"/>
        <rFont val="Noto Sans CJK SC"/>
        <family val="2"/>
      </rPr>
      <t xml:space="preserve">：創意 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只含晶圓與封裝轉售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</si>
  <si>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毛利殘差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</si>
  <si>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（毛利率高）；</t>
    </r>
    <r>
      <rPr>
        <sz val="11"/>
        <color theme="1"/>
        <rFont val="Calibri"/>
        <family val="2"/>
        <charset val="1"/>
      </rPr>
      <t xml:space="preserve">FY2025 NRE </t>
    </r>
    <r>
      <rPr>
        <sz val="11"/>
        <color theme="1"/>
        <rFont val="Noto Sans CJK SC"/>
        <family val="2"/>
      </rPr>
      <t xml:space="preserve">約占營收 </t>
    </r>
    <r>
      <rPr>
        <sz val="11"/>
        <color theme="1"/>
        <rFont val="Calibri"/>
        <family val="2"/>
        <charset val="1"/>
      </rPr>
      <t xml:space="preserve">34%</t>
    </r>
  </si>
  <si>
    <r>
      <rPr>
        <sz val="11"/>
        <color theme="1"/>
        <rFont val="Calibri"/>
        <family val="2"/>
        <charset val="1"/>
      </rPr>
      <t xml:space="preserve">CY2028 Broadcom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＋聯發科（高）＋創意 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</si>
  <si>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</si>
  <si>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</si>
  <si>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</si>
  <si>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，尚未建立）：上線後以創意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量產營收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加速器比例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</si>
  <si>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</si>
  <si>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</t>
    </r>
    <r>
      <rPr>
        <sz val="11"/>
        <color theme="1"/>
        <rFont val="Calibri"/>
        <family val="2"/>
        <charset val="1"/>
      </rPr>
      <t xml:space="preserve">k_c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k_o </t>
    </r>
    <r>
      <rPr>
        <sz val="11"/>
        <color theme="1"/>
        <rFont val="Noto Sans CJK SC"/>
        <family val="2"/>
      </rPr>
      <t xml:space="preserve">與其他營收毛利率在每個案例內重算）：對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</si>
  <si>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</si>
  <si>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</si>
  <si>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</si>
  <si>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</si>
  <si>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</si>
  <si>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</si>
  <si>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</si>
  <si>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</si>
  <si>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</si>
  <si>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</si>
  <si>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</si>
  <si>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 −</t>
    </r>
    <r>
      <rPr>
        <sz val="11"/>
        <color theme="1"/>
        <rFont val="Calibri"/>
        <family val="2"/>
        <charset val="1"/>
      </rPr>
      <t xml:space="preserve">0.2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</si>
  <si>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起配比 </t>
    </r>
    <r>
      <rPr>
        <sz val="11"/>
        <color theme="1"/>
        <rFont val="Calibri"/>
        <family val="2"/>
        <charset val="1"/>
      </rPr>
      <t xml:space="preserve">0.6 → 0.4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</si>
  <si>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 </t>
    </r>
    <r>
      <rPr>
        <sz val="11"/>
        <color theme="1"/>
        <rFont val="Calibri"/>
        <family val="2"/>
        <charset val="1"/>
      </rPr>
      <t xml:space="preserve">+0.15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</si>
  <si>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（含一般運算 </t>
    </r>
    <r>
      <rPr>
        <sz val="11"/>
        <color theme="1"/>
        <rFont val="Calibri"/>
        <family val="2"/>
        <charset val="1"/>
      </rPr>
      <t xml:space="preserve">Axion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</si>
  <si>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</si>
  <si>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起（基準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</si>
  <si>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</si>
  <si>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</si>
  <si>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×1.2</t>
    </r>
  </si>
  <si>
    <r>
      <rPr>
        <sz val="11"/>
        <color theme="1"/>
        <rFont val="Noto Sans CJK SC"/>
        <family val="2"/>
      </rPr>
      <t xml:space="preserve">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×1.5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</si>
  <si>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起（基準 </t>
    </r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</si>
  <si>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</si>
  <si>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</si>
  <si>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+4pt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</si>
  <si>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等放量）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</si>
  <si>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</si>
  <si>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量產毛利率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</si>
  <si>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（＋情境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調整 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</si>
  <si>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量產毛利率 </t>
    </r>
    <r>
      <rPr>
        <sz val="11"/>
        <color theme="1"/>
        <rFont val="Calibri"/>
        <family val="2"/>
        <charset val="1"/>
      </rPr>
      <t xml:space="preserve">16%</t>
    </r>
  </si>
  <si>
    <r>
      <rPr>
        <sz val="11"/>
        <color theme="1"/>
        <rFont val="Noto Sans CJK SC"/>
        <family val="2"/>
      </rPr>
      <t xml:space="preserve">車用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</si>
  <si>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×2.0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×1.2</t>
    </r>
  </si>
  <si>
    <r>
      <rPr>
        <sz val="11"/>
        <color theme="1"/>
        <rFont val="Noto Sans CJK SC"/>
        <family val="2"/>
      </rPr>
      <t xml:space="preserve">其他營收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</si>
  <si>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FY2027 −5%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</si>
  <si>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其他營收毛利率 −</t>
    </r>
    <r>
      <rPr>
        <sz val="11"/>
        <color theme="1"/>
        <rFont val="Calibri"/>
        <family val="2"/>
        <charset val="1"/>
      </rPr>
      <t xml:space="preserve">3pt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</si>
  <si>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</si>
  <si>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</si>
  <si>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</si>
  <si>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</si>
  <si>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</si>
  <si>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</si>
  <si>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美元營收換算）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</si>
  <si>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</si>
  <si>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</si>
  <si>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</si>
  <si>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；配比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；其他營收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</si>
  <si>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</si>
  <si>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；配比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；下一代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；量產毛利率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</si>
  <si>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最大的單一變數是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配比（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顆數）與量產毛利率；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再加上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顆數情境與下一代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份額。車用與其他營收的情境差異較小。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</si>
  <si>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</si>
  <si>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</si>
  <si>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</si>
  <si>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</si>
  <si>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</si>
  <si>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</si>
  <si>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</si>
  <si>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</si>
  <si>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</si>
  <si>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</si>
  <si>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</si>
  <si>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</si>
  <si>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</si>
  <si>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</si>
  <si>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</si>
  <si>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 −</t>
    </r>
    <r>
      <rPr>
        <b val="true"/>
        <sz val="11"/>
        <rFont val="Cambria"/>
        <family val="0"/>
        <charset val="1"/>
      </rPr>
      <t xml:space="preserve">0.2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</si>
  <si>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TPU </t>
    </r>
    <r>
      <rPr>
        <b val="true"/>
        <sz val="11"/>
        <rFont val="Noto Sans CJK SC"/>
        <family val="2"/>
      </rPr>
      <t xml:space="preserve">配比 </t>
    </r>
    <r>
      <rPr>
        <b val="true"/>
        <sz val="11"/>
        <rFont val="Cambria"/>
        <family val="0"/>
        <charset val="1"/>
      </rPr>
      <t xml:space="preserve">+0.15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</si>
  <si>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</si>
  <si>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</si>
  <si>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</si>
  <si>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單價 </t>
    </r>
    <r>
      <rPr>
        <b val="true"/>
        <sz val="11"/>
        <rFont val="Cambria"/>
        <family val="0"/>
        <charset val="1"/>
      </rPr>
      <t xml:space="preserve">×1.5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</si>
  <si>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案例區塊：下一代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單價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</si>
  <si>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+4pt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</si>
  <si>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</si>
  <si>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案例區塊：量產毛利率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</si>
  <si>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案例區塊：量產毛利率 </t>
    </r>
    <r>
      <rPr>
        <b val="true"/>
        <sz val="11"/>
        <rFont val="Cambria"/>
        <family val="0"/>
        <charset val="1"/>
      </rPr>
      <t xml:space="preserve">16%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</si>
  <si>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案例區塊：車用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</si>
  <si>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案例區塊：其他營收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</si>
  <si>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案例區塊：其他營收毛利率 −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</si>
  <si>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</si>
  <si>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</si>
  <si>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案例區塊：匯率 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</si>
  <si>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</si>
  <si>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來源（公司財報與法說內容多為媒體轉述；券商、資料商、媒體皆為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</si>
  <si>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、毛利率、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83%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</si>
  <si>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t xml:space="preserve">https://udn.com/news/story/7252/9661575</t>
  </si>
  <si>
    <r>
      <rPr>
        <sz val="11"/>
        <color theme="1"/>
        <rFont val="Noto Sans CJK SC"/>
        <family val="2"/>
      </rPr>
      <t xml:space="preserve">媒體：工商時報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；外資 </t>
    </r>
    <r>
      <rPr>
        <sz val="11"/>
        <color theme="1"/>
        <rFont val="Calibri"/>
        <family val="2"/>
        <charset val="1"/>
      </rPr>
      <t xml:space="preserve">FY2026–28 EPS</t>
    </r>
    <r>
      <rPr>
        <sz val="11"/>
        <color theme="1"/>
        <rFont val="Noto Sans CJK SC"/>
        <family val="2"/>
      </rPr>
      <t xml:space="preserve">、目標價 </t>
    </r>
    <r>
      <rPr>
        <sz val="11"/>
        <color theme="1"/>
        <rFont val="Calibri"/>
        <family val="2"/>
        <charset val="1"/>
      </rPr>
      <t xml:space="preserve">6,500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Visible Alpha </t>
    </r>
    <r>
      <rPr>
        <sz val="11"/>
        <color theme="1"/>
        <rFont val="Noto Sans CJK SC"/>
        <family val="2"/>
      </rPr>
      <t xml:space="preserve">共識）</t>
    </r>
  </si>
  <si>
    <t xml:space="preserve">https://www.ctee.com.tw/news/20260731701051-430201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</si>
  <si>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2026-09-22</t>
    </r>
    <r>
      <rPr>
        <sz val="11"/>
        <color theme="1"/>
        <rFont val="Noto Sans CJK SC"/>
        <family val="2"/>
      </rPr>
      <t xml:space="preserve">（法說轉述：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營收、毛利率、費用方向；全年毛利率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以上；</t>
    </r>
    <r>
      <rPr>
        <sz val="11"/>
        <color theme="1"/>
        <rFont val="Calibri"/>
        <family val="2"/>
        <charset val="1"/>
      </rPr>
      <t xml:space="preserve">NRE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成長；車用占比）</t>
    </r>
  </si>
  <si>
    <t xml:space="preserve">https://uanalyze.com.tw/articles/3528855768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</si>
  <si>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2026-01-30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法說：不再給季度區間指引；北美 </t>
    </r>
    <r>
      <rPr>
        <sz val="11"/>
        <color theme="1"/>
        <rFont val="Calibri"/>
        <family val="2"/>
        <charset val="1"/>
      </rPr>
      <t xml:space="preserve">68%</t>
    </r>
    <r>
      <rPr>
        <sz val="11"/>
        <color theme="1"/>
        <rFont val="Noto Sans CJK SC"/>
        <family val="2"/>
      </rPr>
      <t xml:space="preserve">；加密貨幣降為個位數）</t>
    </r>
  </si>
  <si>
    <t xml:space="preserve">https://uanalyze.com.tw/articles/5074646989</t>
  </si>
  <si>
    <r>
      <rPr>
        <sz val="11"/>
        <color theme="1"/>
        <rFont val="Noto Sans CJK SC"/>
        <family val="2"/>
      </rPr>
      <t xml:space="preserve">媒體：科技新報（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</t>
    </r>
  </si>
  <si>
    <t xml:space="preserve">https://finance.technews.tw/2026/10/05/guc-3443-202609-financial-report/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</si>
  <si>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187.5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125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萬顆；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TPU 1:2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</si>
  <si>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https://money.udn.com/money/amp/story/5607/9800312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</si>
  <si>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2027 </t>
    </r>
    <r>
      <rPr>
        <sz val="11"/>
        <color theme="1"/>
        <rFont val="Noto Sans CJK SC"/>
        <family val="2"/>
      </rPr>
      <t xml:space="preserve">出貨由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萬上修至 </t>
    </r>
    <r>
      <rPr>
        <sz val="11"/>
        <color theme="1"/>
        <rFont val="Calibri"/>
        <family val="2"/>
        <charset val="1"/>
      </rPr>
      <t xml:space="preserve">350 </t>
    </r>
    <r>
      <rPr>
        <sz val="11"/>
        <color theme="1"/>
        <rFont val="Noto Sans CJK SC"/>
        <family val="2"/>
      </rPr>
      <t xml:space="preserve">萬顆；</t>
    </r>
    <r>
      <rPr>
        <sz val="11"/>
        <color theme="1"/>
        <rFont val="Calibri"/>
        <family val="2"/>
        <charset val="1"/>
      </rPr>
      <t xml:space="preserve">HBM4 PHY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COUPE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</si>
  <si>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https://money.udn.com/money/amp/story/5607/9741296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</si>
  <si>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（本國投顧：</t>
    </r>
    <r>
      <rPr>
        <sz val="11"/>
        <color theme="1"/>
        <rFont val="Calibri"/>
        <family val="2"/>
        <charset val="1"/>
      </rPr>
      <t xml:space="preserve">2027 CSP CPU 50.3%</t>
    </r>
    <r>
      <rPr>
        <sz val="11"/>
        <color theme="1"/>
        <rFont val="Noto Sans CJK SC"/>
        <family val="2"/>
      </rPr>
      <t xml:space="preserve">、北美車用 </t>
    </r>
    <r>
      <rPr>
        <sz val="11"/>
        <color theme="1"/>
        <rFont val="Calibri"/>
        <family val="2"/>
        <charset val="1"/>
      </rPr>
      <t xml:space="preserve">34.9%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Arm CPU </t>
    </r>
    <r>
      <rPr>
        <sz val="11"/>
        <color theme="1"/>
        <rFont val="Noto Sans CJK SC"/>
        <family val="2"/>
      </rPr>
      <t xml:space="preserve">配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</si>
  <si>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https://money.udn.com/money/amp/story/5607/9468975</t>
  </si>
  <si>
    <r>
      <rPr>
        <sz val="11"/>
        <color theme="1"/>
        <rFont val="Noto Sans CJK SC"/>
        <family val="2"/>
      </rPr>
      <t xml:space="preserve">媒體：經濟日報 </t>
    </r>
    <r>
      <rPr>
        <sz val="11"/>
        <color theme="1"/>
        <rFont val="Calibri"/>
        <family val="2"/>
        <charset val="1"/>
      </rPr>
      <t xml:space="preserve">2026-01-31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341.4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turnkey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NRE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</si>
  <si>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https://money.udn.com/money/story/5607/9296878</t>
  </si>
  <si>
    <r>
      <rPr>
        <sz val="11"/>
        <color theme="1"/>
        <rFont val="Noto Sans CJK SC"/>
        <family val="2"/>
      </rPr>
      <t xml:space="preserve">券商轉述：科技新報 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（摩根士丹利：</t>
    </r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占營收約一半、北美車用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晶片毛利率高於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</t>
    </r>
  </si>
  <si>
    <t xml:space="preserve">https://technews.tw/2026/05/05/ms-see-guc-2026-q1/</t>
  </si>
  <si>
    <r>
      <rPr>
        <sz val="11"/>
        <color theme="1"/>
        <rFont val="Noto Sans CJK SC"/>
        <family val="2"/>
      </rPr>
      <t xml:space="preserve">券商轉述：科技新報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（美銀：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營收與淨利、</t>
    </r>
    <r>
      <rPr>
        <sz val="11"/>
        <color theme="1"/>
        <rFont val="Calibri"/>
        <family val="2"/>
        <charset val="1"/>
      </rPr>
      <t xml:space="preserve">Maia 200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Axion 3 </t>
    </r>
    <r>
      <rPr>
        <sz val="11"/>
        <color theme="1"/>
        <rFont val="Noto Sans CJK SC"/>
        <family val="2"/>
      </rPr>
      <t xml:space="preserve">奈米）</t>
    </r>
  </si>
  <si>
    <t xml:space="preserve">https://technews.tw/2026/05/08/bofa-see-guc-2026/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</si>
  <si>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（股數、近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、共識目標價）</t>
    </r>
  </si>
  <si>
    <t xml:space="preserve">https://stockanalysis.com/quote/tpe/3443/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</si>
  <si>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共識頁（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共識，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</si>
  <si>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https://stockanalysis.com/quote/tpe/3443/forecast/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</si>
  <si>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財報與比率頁（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</si>
  <si>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https://stockanalysis.com/quote/tpe/3443/financials/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https://stockanalysis.com/quote/tpe/3443/financials/ratios/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</si>
  <si>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股價歷史（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7,585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</si>
  <si>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https://stockanalysis.com/quote/tpe/3443/history/</t>
  </si>
  <si>
    <r>
      <rPr>
        <sz val="11"/>
        <color theme="1"/>
        <rFont val="Noto Sans CJK SC"/>
        <family val="2"/>
      </rPr>
      <t xml:space="preserve">資料商：財報狗（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收盤核對、近四季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</si>
  <si>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https://statementdog.com/analysis/3443/eps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</si>
  <si>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3661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</si>
  <si>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https://stockanalysis.com/quote/tpe/3661/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https://stockanalysis.com/quote/tpe/2454/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https://stockanalysis.com/stocks/avgo/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https://stockanalysis.com/stocks/mrvl/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</si>
  <si>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</si>
  <si>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https://companiesmarketcap.com/global-unichip-corp/pe-ratio/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</si>
  <si>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</si>
  <si>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https://www.digrin.com/stocks/detail/3443.TW/price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</si>
  <si>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歷年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2018–2025</t>
    </r>
    <r>
      <rPr>
        <sz val="11"/>
        <color theme="1"/>
        <rFont val="Noto Sans CJK SC"/>
        <family val="2"/>
      </rPr>
      <t xml:space="preserve">）與季 </t>
    </r>
    <r>
      <rPr>
        <sz val="11"/>
        <color theme="1"/>
        <rFont val="Calibri"/>
        <family val="2"/>
        <charset val="1"/>
      </rPr>
      <t xml:space="preserve">EPS</t>
    </r>
  </si>
  <si>
    <t xml:space="preserve">https://histock.tw/stock/3443/%E6%AF%8F%E8%82%A1%E7%9B%88%E9%A4%98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</si>
  <si>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成品與 </t>
    </r>
    <r>
      <rPr>
        <sz val="11"/>
        <color theme="1"/>
        <rFont val="Calibri"/>
        <family val="2"/>
        <charset val="1"/>
      </rPr>
      <t xml:space="preserve">markets/memory UNITS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SCEN_UNITS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</si>
  <si>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avgo/dist/20261030_Broadcom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mrvl/dist/20261030_</t>
    </r>
    <r>
      <rPr>
        <sz val="11"/>
        <color theme="1"/>
        <rFont val="Noto Sans CJK SC"/>
        <family val="2"/>
      </rPr>
      <t xml:space="preserve">邁威爾個股模型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mediatek/dist/20261030_</t>
    </r>
    <r>
      <rPr>
        <sz val="11"/>
        <color theme="1"/>
        <rFont val="Noto Sans CJK SC"/>
        <family val="2"/>
      </rPr>
      <t xml:space="preserve">聯發科個股模型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markets/memory/market.py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</si>
  <si>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）；客戶名稱與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、車用營收金額；每顆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營收；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採購方式；下一代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設計夥伴；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稅前利益；</t>
    </r>
    <r>
      <rPr>
        <sz val="11"/>
        <color theme="1"/>
        <rFont val="Calibri"/>
        <family val="2"/>
        <charset val="1"/>
      </rPr>
      <t xml:space="preserve">2016–2017 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淨利率（十年平均）；前瞻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</si>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</sst>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0.00%"/>
    <numFmt numFmtId="166" formatCode="#,##0.000"/>
    <numFmt numFmtId="167" formatCode="General"/>
    <numFmt numFmtId="168" formatCode="0.0%"/>
    <numFmt numFmtId="169" formatCode="0.00000"/>
    <numFmt numFmtId="170" formatCode="#,##0.00"/>
    <numFmt numFmtId="171" formatCode="0.000"/>
    <numFmt numFmtId="172" formatCode="0.00"/>
    <numFmt numFmtId="173" formatCode="#,##0.0"/>
    <numFmt numFmtId="174" formatCode="0.0000"/>
    <numFmt numFmtId="175" formatCode="0.0"/>
    <numFmt numFmtId="176" formatCode="@"/>
    <numFmt numFmtId="177" formatCode="0%"/>
    <numFmt numFmtId="178" formatCode="#,##0"/>
    <numFmt numFmtId="179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7.15" hidden="false" customHeight="false" outlineLevel="0" collapsed="false">
      <c r="A19" s="1" t="s">
        <v>14</v>
      </c>
    </row>
    <row r="20" customFormat="false" ht="17.15" hidden="false" customHeight="false" outlineLevel="0" collapsed="false">
      <c r="A20" s="2" t="s">
        <v>15</v>
      </c>
    </row>
    <row r="21" customFormat="false" ht="17.15" hidden="false" customHeight="false" outlineLevel="0" collapsed="false">
      <c r="A21" s="2" t="s">
        <v>16</v>
      </c>
    </row>
    <row r="22" customFormat="false" ht="17.15" hidden="false" customHeight="false" outlineLevel="0" collapsed="false">
      <c r="A22" s="0" t="s">
        <v>17</v>
      </c>
    </row>
    <row r="23" customFormat="false" ht="15" hidden="false" customHeight="false" outlineLevel="0" collapsed="false">
      <c r="A23" s="1" t="str">
        <f aca="false">"投資建議："&amp;Val!B135&amp;"（依上檔空間固定規則）"</f>
        <v>投資建議：放空（依上檔空間固定規則）</v>
      </c>
    </row>
    <row r="24" customFormat="false" ht="17.15" hidden="false" customHeight="false" outlineLevel="0" collapsed="false">
      <c r="A24" s="0" t="str">
        <f aca="false">"重點觀察 1：目標價 NT$"&amp;TEXT(Val!$B$39,"#,##0.00")&amp;"（DCF "&amp;TEXT(Val!$B$24,"#,##0.00")&amp;"、Comparable（相對倍數調整後）"&amp;TEXT(tp_comp_adj,"#,##0.00")&amp;"；DCF 權重 "&amp;TEXT(tp_w_dcf,"0%")&amp;"），比現價 "&amp;TEXT(px,"#,##0.00")&amp;"（2026-10-22）"&amp;IF(Val!$B$42&gt;=0,"高 "&amp;TEXT(Val!$B$42,"0.0%"),"低 "&amp;TEXT(-Val!$B$42,"0.0%"))&amp;"，級距 "&amp;Val!$B$134&amp;"、投資建議 "&amp;Val!$B$135&amp;"。相對倍數調整係數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相對倍數調整前撰寫的說明，其中數字為調整前：目標價 NT$3,968（DCF 2,268、Comparable 相對倍數調整後 5,668 各半），比現價 7,585（2026-10-22）低 47.7%，級距 −25%～−50%，投資建議維持放空。v0.2 滾入 3Q26 實績（營收 187.5 億、毛利率 20.58%、EPS 16.95；前三季 EPS 40.8"&amp;"4）：毛利率與營業外收入高於原假設，FY2026 EPS 60.7 → 62.2，加權目標價 3,911 → 3,968（+1.5%）。"</f>
        <v>重點觀察 1：目標價 NT$3,968.04（DCF 2,267.79、Comparable（相對倍數調整後）5,668.29；DCF 權重 50%），比現價 7,585.00（2026-10-22）低 47.7%，級距 −25%～−50%、投資建議 放空。相對倍數調整係數 1.59（本公司 10 年前瞻倍數中位數 ÷ 同業的中位數，夾在 0.5–2.0；Val 第 0.5 節），調整前加權上檔空間 −61.5%；Comparable 單獨（市場主流同業法、未調整）為 −52.9%。以下為 2026-10-29 相對倍數調整前撰寫的說明，其中數字為調整前：目標價 NT$3,968（DCF 2,268、Comparable 相對倍數調整後 5,668 各半），比現價 7,585（2026-10-22）低 47.7%，級距 −25%～−50%，投資建議維持放空。v0.2 滾入 3Q26 實績（營收 187.5 億、毛利率 20.58%、EPS 16.95；前三季 EPS 40.84）：毛利率與營業外收入高於原假設，FY2026 EPS 60.7 → 62.2，加權目標價 3,911 → 3,968（+1.5%）。</v>
      </c>
    </row>
    <row r="25" customFormat="false" ht="17.15" hidden="false" customHeight="false" outlineLevel="0" collapsed="false">
      <c r="A25" s="4" t="s">
        <v>18</v>
      </c>
    </row>
    <row r="26" customFormat="false" ht="17.15" hidden="false" customHeight="false" outlineLevel="0" collapsed="false">
      <c r="A26" s="4" t="s">
        <v>19</v>
      </c>
    </row>
    <row r="27" customFormat="false" ht="17.15" hidden="false" customHeight="false" outlineLevel="0" collapsed="false">
      <c r="A27" s="0" t="s">
        <v>20</v>
      </c>
    </row>
    <row r="29" customFormat="false" ht="17.15" hidden="false" customHeight="false" outlineLevel="0" collapsed="false">
      <c r="A29" s="0" t="s">
        <v>21</v>
      </c>
    </row>
    <row r="31" customFormat="false" ht="17.15" hidden="false" customHeight="false" outlineLevel="0" collapsed="false">
      <c r="A31" s="0" t="s">
        <v>22</v>
      </c>
    </row>
    <row r="33" customFormat="false" ht="17.15" hidden="false" customHeight="false" outlineLevel="0" collapsed="false">
      <c r="A33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24</v>
      </c>
    </row>
    <row r="2" customFormat="false" ht="17.15" hidden="false" customHeight="false" outlineLevel="0" collapsed="false">
      <c r="A2" s="4" t="s">
        <v>25</v>
      </c>
    </row>
    <row r="3" customFormat="false" ht="17.15" hidden="false" customHeight="false" outlineLevel="0" collapsed="false">
      <c r="A3" s="5" t="s">
        <v>26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</row>
    <row r="4" customFormat="false" ht="17.15" hidden="false" customHeight="false" outlineLevel="0" collapsed="false">
      <c r="A4" s="6" t="s">
        <v>35</v>
      </c>
    </row>
    <row r="5" customFormat="false" ht="17.15" hidden="false" customHeight="false" outlineLevel="0" collapsed="false">
      <c r="A5" s="0" t="s">
        <v>36</v>
      </c>
      <c r="B5" s="0" t="s">
        <v>37</v>
      </c>
      <c r="C5" s="4" t="s">
        <v>38</v>
      </c>
      <c r="E5" s="7" t="n">
        <v>3.85</v>
      </c>
      <c r="G5" s="8" t="s">
        <v>39</v>
      </c>
      <c r="H5" s="8" t="s">
        <v>40</v>
      </c>
      <c r="I5" s="8" t="s">
        <v>41</v>
      </c>
    </row>
    <row r="6" customFormat="false" ht="17.15" hidden="false" customHeight="false" outlineLevel="0" collapsed="false">
      <c r="A6" s="0" t="s">
        <v>42</v>
      </c>
      <c r="B6" s="0" t="s">
        <v>43</v>
      </c>
      <c r="C6" s="4" t="s">
        <v>38</v>
      </c>
      <c r="E6" s="7" t="n">
        <v>5.5</v>
      </c>
      <c r="G6" s="8" t="s">
        <v>39</v>
      </c>
      <c r="H6" s="8" t="s">
        <v>44</v>
      </c>
      <c r="I6" s="4" t="s">
        <v>45</v>
      </c>
    </row>
    <row r="7" customFormat="false" ht="17.15" hidden="false" customHeight="false" outlineLevel="0" collapsed="false">
      <c r="A7" s="0" t="s">
        <v>46</v>
      </c>
      <c r="B7" s="0" t="s">
        <v>47</v>
      </c>
      <c r="C7" s="4" t="s">
        <v>38</v>
      </c>
      <c r="E7" s="7" t="n">
        <v>7</v>
      </c>
      <c r="G7" s="8" t="s">
        <v>39</v>
      </c>
      <c r="H7" s="8" t="s">
        <v>48</v>
      </c>
      <c r="I7" s="4" t="s">
        <v>45</v>
      </c>
    </row>
    <row r="8" customFormat="false" ht="17.15" hidden="false" customHeight="false" outlineLevel="0" collapsed="false">
      <c r="A8" s="0" t="s">
        <v>49</v>
      </c>
      <c r="B8" s="0" t="s">
        <v>50</v>
      </c>
      <c r="C8" s="0" t="s">
        <v>51</v>
      </c>
      <c r="E8" s="7" t="n">
        <v>0.15</v>
      </c>
      <c r="G8" s="8" t="s">
        <v>52</v>
      </c>
      <c r="H8" s="8" t="s">
        <v>53</v>
      </c>
      <c r="I8" s="8" t="s">
        <v>54</v>
      </c>
    </row>
    <row r="9" customFormat="false" ht="17.15" hidden="false" customHeight="false" outlineLevel="0" collapsed="false">
      <c r="A9" s="0" t="s">
        <v>55</v>
      </c>
      <c r="B9" s="4" t="s">
        <v>56</v>
      </c>
      <c r="C9" s="4" t="s">
        <v>38</v>
      </c>
      <c r="E9" s="7" t="n">
        <v>1</v>
      </c>
      <c r="G9" s="8" t="s">
        <v>57</v>
      </c>
      <c r="H9" s="8" t="s">
        <v>58</v>
      </c>
      <c r="I9" s="8" t="s">
        <v>41</v>
      </c>
    </row>
    <row r="10" customFormat="false" ht="17.15" hidden="false" customHeight="false" outlineLevel="0" collapsed="false">
      <c r="A10" s="0" t="s">
        <v>59</v>
      </c>
      <c r="B10" s="4" t="s">
        <v>60</v>
      </c>
      <c r="C10" s="4" t="s">
        <v>38</v>
      </c>
      <c r="E10" s="7" t="n">
        <v>4.5</v>
      </c>
      <c r="G10" s="8" t="s">
        <v>57</v>
      </c>
      <c r="H10" s="8" t="s">
        <v>61</v>
      </c>
      <c r="I10" s="4" t="s">
        <v>45</v>
      </c>
    </row>
    <row r="11" customFormat="false" ht="17.15" hidden="false" customHeight="false" outlineLevel="0" collapsed="false">
      <c r="A11" s="0" t="s">
        <v>62</v>
      </c>
      <c r="B11" s="4" t="s">
        <v>63</v>
      </c>
      <c r="C11" s="4" t="s">
        <v>38</v>
      </c>
      <c r="E11" s="7" t="n">
        <v>5</v>
      </c>
      <c r="G11" s="8" t="s">
        <v>57</v>
      </c>
      <c r="H11" s="8" t="s">
        <v>64</v>
      </c>
      <c r="I11" s="4" t="s">
        <v>45</v>
      </c>
    </row>
    <row r="12" customFormat="false" ht="17.15" hidden="false" customHeight="false" outlineLevel="0" collapsed="false">
      <c r="A12" s="0" t="s">
        <v>65</v>
      </c>
      <c r="B12" s="4" t="s">
        <v>66</v>
      </c>
      <c r="C12" s="0" t="s">
        <v>51</v>
      </c>
      <c r="E12" s="7" t="n">
        <v>0.15</v>
      </c>
      <c r="G12" s="8" t="s">
        <v>52</v>
      </c>
      <c r="H12" s="8" t="s">
        <v>67</v>
      </c>
      <c r="I12" s="8" t="s">
        <v>54</v>
      </c>
    </row>
    <row r="13" customFormat="false" ht="17.15" hidden="false" customHeight="false" outlineLevel="0" collapsed="false">
      <c r="A13" s="0" t="s">
        <v>68</v>
      </c>
      <c r="B13" s="4" t="s">
        <v>69</v>
      </c>
      <c r="C13" s="0" t="s">
        <v>70</v>
      </c>
      <c r="E13" s="7" t="n">
        <v>1</v>
      </c>
      <c r="G13" s="8" t="s">
        <v>52</v>
      </c>
      <c r="H13" s="8" t="s">
        <v>71</v>
      </c>
      <c r="I13" s="8" t="s">
        <v>72</v>
      </c>
    </row>
    <row r="14" customFormat="false" ht="17.15" hidden="false" customHeight="false" outlineLevel="0" collapsed="false">
      <c r="A14" s="0" t="s">
        <v>73</v>
      </c>
      <c r="B14" s="4" t="s">
        <v>74</v>
      </c>
      <c r="C14" s="0" t="s">
        <v>70</v>
      </c>
      <c r="E14" s="7" t="n">
        <v>1</v>
      </c>
      <c r="G14" s="8" t="s">
        <v>52</v>
      </c>
      <c r="H14" s="8" t="s">
        <v>75</v>
      </c>
      <c r="I14" s="4" t="s">
        <v>45</v>
      </c>
    </row>
    <row r="15" customFormat="false" ht="17.15" hidden="false" customHeight="false" outlineLevel="0" collapsed="false">
      <c r="A15" s="0" t="s">
        <v>76</v>
      </c>
      <c r="B15" s="4" t="s">
        <v>77</v>
      </c>
      <c r="C15" s="0" t="s">
        <v>70</v>
      </c>
      <c r="E15" s="7" t="n">
        <v>0.8</v>
      </c>
      <c r="G15" s="8" t="s">
        <v>52</v>
      </c>
      <c r="H15" s="8" t="s">
        <v>78</v>
      </c>
      <c r="I15" s="4" t="s">
        <v>45</v>
      </c>
    </row>
    <row r="16" customFormat="false" ht="17.15" hidden="false" customHeight="false" outlineLevel="0" collapsed="false">
      <c r="A16" s="0" t="s">
        <v>79</v>
      </c>
      <c r="B16" s="4" t="s">
        <v>80</v>
      </c>
      <c r="C16" s="0" t="s">
        <v>70</v>
      </c>
      <c r="E16" s="7" t="n">
        <v>0.85</v>
      </c>
      <c r="G16" s="8" t="s">
        <v>52</v>
      </c>
      <c r="H16" s="8" t="s">
        <v>81</v>
      </c>
      <c r="I16" s="4" t="s">
        <v>45</v>
      </c>
    </row>
    <row r="17" customFormat="false" ht="17.15" hidden="false" customHeight="false" outlineLevel="0" collapsed="false">
      <c r="A17" s="0" t="s">
        <v>82</v>
      </c>
      <c r="B17" s="4" t="s">
        <v>83</v>
      </c>
      <c r="C17" s="0" t="s">
        <v>70</v>
      </c>
      <c r="E17" s="7" t="n">
        <v>0.6</v>
      </c>
      <c r="G17" s="8" t="s">
        <v>52</v>
      </c>
      <c r="H17" s="8" t="s">
        <v>84</v>
      </c>
      <c r="I17" s="4" t="s">
        <v>45</v>
      </c>
    </row>
    <row r="18" customFormat="false" ht="17.15" hidden="false" customHeight="false" outlineLevel="0" collapsed="false">
      <c r="A18" s="0" t="s">
        <v>85</v>
      </c>
      <c r="B18" s="4" t="s">
        <v>86</v>
      </c>
      <c r="C18" s="0" t="s">
        <v>70</v>
      </c>
      <c r="E18" s="7" t="n">
        <v>0.6</v>
      </c>
      <c r="G18" s="8" t="s">
        <v>52</v>
      </c>
      <c r="H18" s="8" t="s">
        <v>87</v>
      </c>
      <c r="I18" s="4" t="s">
        <v>45</v>
      </c>
    </row>
    <row r="19" customFormat="false" ht="17.15" hidden="false" customHeight="false" outlineLevel="0" collapsed="false">
      <c r="A19" s="6" t="s">
        <v>88</v>
      </c>
    </row>
    <row r="20" customFormat="false" ht="17.15" hidden="false" customHeight="false" outlineLevel="0" collapsed="false">
      <c r="A20" s="0" t="s">
        <v>89</v>
      </c>
      <c r="B20" s="0" t="s">
        <v>90</v>
      </c>
      <c r="C20" s="0" t="s">
        <v>70</v>
      </c>
      <c r="D20" s="7" t="n">
        <v>0.25</v>
      </c>
      <c r="E20" s="7" t="n">
        <v>0.325</v>
      </c>
      <c r="F20" s="7" t="n">
        <v>0.4</v>
      </c>
      <c r="G20" s="8" t="s">
        <v>39</v>
      </c>
      <c r="H20" s="4" t="s">
        <v>91</v>
      </c>
      <c r="I20" s="8" t="s">
        <v>92</v>
      </c>
    </row>
    <row r="21" customFormat="false" ht="17.15" hidden="false" customHeight="false" outlineLevel="0" collapsed="false">
      <c r="A21" s="0" t="s">
        <v>93</v>
      </c>
      <c r="B21" s="0" t="s">
        <v>94</v>
      </c>
      <c r="C21" s="0" t="s">
        <v>70</v>
      </c>
      <c r="D21" s="7" t="n">
        <v>0.25</v>
      </c>
      <c r="E21" s="7" t="n">
        <v>0.6</v>
      </c>
      <c r="F21" s="7" t="n">
        <v>0.75</v>
      </c>
      <c r="G21" s="8" t="s">
        <v>52</v>
      </c>
      <c r="H21" s="4" t="s">
        <v>95</v>
      </c>
      <c r="I21" s="4" t="s">
        <v>96</v>
      </c>
    </row>
    <row r="22" customFormat="false" ht="17.15" hidden="false" customHeight="false" outlineLevel="0" collapsed="false">
      <c r="A22" s="0" t="s">
        <v>97</v>
      </c>
      <c r="B22" s="0" t="s">
        <v>98</v>
      </c>
      <c r="C22" s="0" t="s">
        <v>70</v>
      </c>
      <c r="E22" s="7" t="n">
        <v>0.5</v>
      </c>
      <c r="G22" s="8" t="s">
        <v>52</v>
      </c>
      <c r="H22" s="4" t="s">
        <v>45</v>
      </c>
      <c r="I22" s="8" t="s">
        <v>99</v>
      </c>
    </row>
    <row r="23" customFormat="false" ht="17.15" hidden="false" customHeight="false" outlineLevel="0" collapsed="false">
      <c r="A23" s="0" t="s">
        <v>100</v>
      </c>
      <c r="B23" s="0" t="s">
        <v>101</v>
      </c>
      <c r="C23" s="0" t="s">
        <v>70</v>
      </c>
      <c r="E23" s="7" t="n">
        <v>0.4</v>
      </c>
      <c r="G23" s="8" t="s">
        <v>52</v>
      </c>
      <c r="H23" s="4" t="s">
        <v>45</v>
      </c>
      <c r="I23" s="8" t="s">
        <v>99</v>
      </c>
    </row>
    <row r="24" customFormat="false" ht="17.15" hidden="false" customHeight="false" outlineLevel="0" collapsed="false">
      <c r="A24" s="0" t="s">
        <v>102</v>
      </c>
      <c r="B24" s="4" t="s">
        <v>103</v>
      </c>
      <c r="C24" s="0" t="s">
        <v>51</v>
      </c>
      <c r="D24" s="7" t="n">
        <v>0.8</v>
      </c>
      <c r="E24" s="7" t="n">
        <v>1</v>
      </c>
      <c r="F24" s="7" t="n">
        <v>1</v>
      </c>
      <c r="G24" s="8" t="s">
        <v>52</v>
      </c>
      <c r="H24" s="4" t="s">
        <v>104</v>
      </c>
      <c r="I24" s="4" t="s">
        <v>105</v>
      </c>
    </row>
    <row r="25" customFormat="false" ht="17.15" hidden="false" customHeight="false" outlineLevel="0" collapsed="false">
      <c r="A25" s="0" t="s">
        <v>106</v>
      </c>
      <c r="B25" s="4" t="s">
        <v>107</v>
      </c>
      <c r="C25" s="0" t="s">
        <v>51</v>
      </c>
      <c r="D25" s="7" t="n">
        <v>0.5</v>
      </c>
      <c r="E25" s="7" t="n">
        <v>1</v>
      </c>
      <c r="F25" s="7" t="n">
        <v>1</v>
      </c>
      <c r="G25" s="8" t="s">
        <v>52</v>
      </c>
      <c r="H25" s="4" t="s">
        <v>108</v>
      </c>
      <c r="I25" s="8" t="s">
        <v>109</v>
      </c>
    </row>
    <row r="26" customFormat="false" ht="17.15" hidden="false" customHeight="false" outlineLevel="0" collapsed="false">
      <c r="A26" s="0" t="s">
        <v>110</v>
      </c>
      <c r="B26" s="4" t="s">
        <v>111</v>
      </c>
      <c r="C26" s="0" t="s">
        <v>51</v>
      </c>
      <c r="E26" s="7" t="n">
        <v>0.9</v>
      </c>
      <c r="G26" s="8" t="s">
        <v>52</v>
      </c>
      <c r="H26" s="4" t="s">
        <v>45</v>
      </c>
      <c r="I26" s="8" t="s">
        <v>99</v>
      </c>
    </row>
    <row r="27" customFormat="false" ht="17.15" hidden="false" customHeight="false" outlineLevel="0" collapsed="false">
      <c r="A27" s="0" t="s">
        <v>112</v>
      </c>
      <c r="B27" s="4" t="s">
        <v>113</v>
      </c>
      <c r="C27" s="0" t="s">
        <v>51</v>
      </c>
      <c r="E27" s="7" t="n">
        <v>0.7</v>
      </c>
      <c r="G27" s="8" t="s">
        <v>52</v>
      </c>
      <c r="H27" s="4" t="s">
        <v>45</v>
      </c>
      <c r="I27" s="8" t="s">
        <v>99</v>
      </c>
    </row>
    <row r="28" customFormat="false" ht="17.15" hidden="false" customHeight="false" outlineLevel="0" collapsed="false">
      <c r="A28" s="0" t="s">
        <v>114</v>
      </c>
      <c r="B28" s="4" t="s">
        <v>115</v>
      </c>
      <c r="C28" s="0" t="s">
        <v>116</v>
      </c>
      <c r="D28" s="7" t="n">
        <v>0.7</v>
      </c>
      <c r="E28" s="7" t="n">
        <v>1</v>
      </c>
      <c r="F28" s="7" t="n">
        <v>1.5</v>
      </c>
      <c r="G28" s="8" t="s">
        <v>52</v>
      </c>
      <c r="H28" s="4" t="s">
        <v>117</v>
      </c>
      <c r="I28" s="4" t="s">
        <v>118</v>
      </c>
    </row>
    <row r="29" customFormat="false" ht="17.15" hidden="false" customHeight="false" outlineLevel="0" collapsed="false">
      <c r="A29" s="0" t="s">
        <v>119</v>
      </c>
      <c r="B29" s="0" t="s">
        <v>120</v>
      </c>
      <c r="C29" s="0" t="s">
        <v>70</v>
      </c>
      <c r="D29" s="7" t="n">
        <v>0.8</v>
      </c>
      <c r="E29" s="7" t="n">
        <v>1.2</v>
      </c>
      <c r="F29" s="7" t="n">
        <v>1.5</v>
      </c>
      <c r="G29" s="8" t="s">
        <v>52</v>
      </c>
      <c r="H29" s="4" t="s">
        <v>121</v>
      </c>
      <c r="I29" s="4" t="s">
        <v>122</v>
      </c>
    </row>
    <row r="30" customFormat="false" ht="17.15" hidden="false" customHeight="false" outlineLevel="0" collapsed="false">
      <c r="A30" s="0" t="s">
        <v>123</v>
      </c>
      <c r="B30" s="0" t="s">
        <v>124</v>
      </c>
      <c r="C30" s="0" t="s">
        <v>70</v>
      </c>
      <c r="E30" s="7" t="n">
        <v>1.1</v>
      </c>
      <c r="G30" s="8" t="s">
        <v>52</v>
      </c>
      <c r="H30" s="4" t="s">
        <v>45</v>
      </c>
      <c r="I30" s="8" t="s">
        <v>99</v>
      </c>
    </row>
    <row r="31" customFormat="false" ht="17.15" hidden="false" customHeight="false" outlineLevel="0" collapsed="false">
      <c r="A31" s="0" t="s">
        <v>125</v>
      </c>
      <c r="B31" s="0" t="s">
        <v>126</v>
      </c>
      <c r="C31" s="0" t="s">
        <v>70</v>
      </c>
      <c r="E31" s="7" t="n">
        <v>1</v>
      </c>
      <c r="G31" s="8" t="s">
        <v>52</v>
      </c>
      <c r="H31" s="4" t="s">
        <v>45</v>
      </c>
      <c r="I31" s="8" t="s">
        <v>99</v>
      </c>
    </row>
    <row r="32" customFormat="false" ht="17.15" hidden="false" customHeight="false" outlineLevel="0" collapsed="false">
      <c r="A32" s="0" t="s">
        <v>127</v>
      </c>
      <c r="B32" s="4" t="s">
        <v>128</v>
      </c>
      <c r="C32" s="0" t="s">
        <v>70</v>
      </c>
      <c r="D32" s="7" t="n">
        <v>0.8</v>
      </c>
      <c r="E32" s="7" t="n">
        <v>1</v>
      </c>
      <c r="F32" s="7" t="n">
        <v>1.2</v>
      </c>
      <c r="G32" s="8" t="s">
        <v>52</v>
      </c>
      <c r="H32" s="4" t="s">
        <v>129</v>
      </c>
      <c r="I32" s="8" t="s">
        <v>130</v>
      </c>
    </row>
    <row r="33" customFormat="false" ht="17.15" hidden="false" customHeight="false" outlineLevel="0" collapsed="false">
      <c r="A33" s="6" t="s">
        <v>131</v>
      </c>
    </row>
    <row r="34" customFormat="false" ht="17.15" hidden="false" customHeight="false" outlineLevel="0" collapsed="false">
      <c r="A34" s="0" t="s">
        <v>132</v>
      </c>
      <c r="B34" s="4" t="s">
        <v>133</v>
      </c>
      <c r="C34" s="0" t="s">
        <v>116</v>
      </c>
      <c r="D34" s="7" t="n">
        <v>4</v>
      </c>
      <c r="E34" s="7" t="n">
        <v>6</v>
      </c>
      <c r="F34" s="7" t="n">
        <v>9</v>
      </c>
      <c r="G34" s="8" t="s">
        <v>52</v>
      </c>
      <c r="H34" s="8" t="s">
        <v>134</v>
      </c>
      <c r="I34" s="8" t="s">
        <v>135</v>
      </c>
    </row>
    <row r="35" customFormat="false" ht="17.15" hidden="false" customHeight="false" outlineLevel="0" collapsed="false">
      <c r="A35" s="0" t="s">
        <v>136</v>
      </c>
      <c r="B35" s="0" t="s">
        <v>137</v>
      </c>
      <c r="C35" s="0" t="s">
        <v>51</v>
      </c>
      <c r="E35" s="7" t="n">
        <v>0.35</v>
      </c>
      <c r="G35" s="8" t="s">
        <v>52</v>
      </c>
      <c r="H35" s="8" t="s">
        <v>138</v>
      </c>
      <c r="I35" s="8" t="s">
        <v>139</v>
      </c>
    </row>
    <row r="36" customFormat="false" ht="17.15" hidden="false" customHeight="false" outlineLevel="0" collapsed="false">
      <c r="A36" s="0" t="s">
        <v>140</v>
      </c>
      <c r="B36" s="0" t="s">
        <v>141</v>
      </c>
      <c r="C36" s="0" t="s">
        <v>51</v>
      </c>
      <c r="E36" s="7" t="n">
        <v>0.05</v>
      </c>
      <c r="G36" s="8" t="s">
        <v>52</v>
      </c>
      <c r="H36" s="8" t="s">
        <v>142</v>
      </c>
      <c r="I36" s="8" t="s">
        <v>143</v>
      </c>
    </row>
    <row r="37" customFormat="false" ht="17.15" hidden="false" customHeight="false" outlineLevel="0" collapsed="false">
      <c r="A37" s="0" t="s">
        <v>144</v>
      </c>
      <c r="B37" s="4" t="s">
        <v>145</v>
      </c>
      <c r="C37" s="0" t="s">
        <v>51</v>
      </c>
      <c r="E37" s="7" t="n">
        <v>0.02</v>
      </c>
      <c r="G37" s="8" t="s">
        <v>52</v>
      </c>
      <c r="H37" s="8" t="s">
        <v>146</v>
      </c>
      <c r="I37" s="4" t="s">
        <v>147</v>
      </c>
    </row>
    <row r="38" customFormat="false" ht="17.15" hidden="false" customHeight="false" outlineLevel="0" collapsed="false">
      <c r="A38" s="0" t="s">
        <v>148</v>
      </c>
      <c r="B38" s="0" t="s">
        <v>149</v>
      </c>
      <c r="C38" s="0" t="s">
        <v>51</v>
      </c>
      <c r="E38" s="7" t="n">
        <v>0.55</v>
      </c>
      <c r="G38" s="8" t="s">
        <v>52</v>
      </c>
      <c r="H38" s="8" t="s">
        <v>150</v>
      </c>
      <c r="I38" s="8" t="s">
        <v>139</v>
      </c>
    </row>
    <row r="39" customFormat="false" ht="17.15" hidden="false" customHeight="false" outlineLevel="0" collapsed="false">
      <c r="A39" s="0" t="s">
        <v>151</v>
      </c>
      <c r="B39" s="0" t="s">
        <v>152</v>
      </c>
      <c r="C39" s="0" t="s">
        <v>51</v>
      </c>
      <c r="E39" s="7" t="n">
        <v>0.06</v>
      </c>
      <c r="G39" s="8" t="s">
        <v>52</v>
      </c>
      <c r="H39" s="8" t="s">
        <v>153</v>
      </c>
      <c r="I39" s="8" t="s">
        <v>143</v>
      </c>
    </row>
    <row r="40" customFormat="false" ht="17.15" hidden="false" customHeight="false" outlineLevel="0" collapsed="false">
      <c r="A40" s="0" t="s">
        <v>154</v>
      </c>
      <c r="B40" s="4" t="s">
        <v>155</v>
      </c>
      <c r="C40" s="0" t="s">
        <v>51</v>
      </c>
      <c r="E40" s="7" t="n">
        <v>0.03</v>
      </c>
      <c r="G40" s="8" t="s">
        <v>52</v>
      </c>
      <c r="H40" s="8" t="s">
        <v>156</v>
      </c>
      <c r="I40" s="4" t="s">
        <v>147</v>
      </c>
    </row>
    <row r="41" customFormat="false" ht="17.15" hidden="false" customHeight="false" outlineLevel="0" collapsed="false">
      <c r="A41" s="0" t="s">
        <v>157</v>
      </c>
      <c r="B41" s="0" t="s">
        <v>158</v>
      </c>
      <c r="C41" s="0" t="s">
        <v>51</v>
      </c>
      <c r="E41" s="7" t="n">
        <v>0.55</v>
      </c>
      <c r="G41" s="8" t="s">
        <v>52</v>
      </c>
      <c r="H41" s="8" t="s">
        <v>159</v>
      </c>
      <c r="I41" s="8" t="s">
        <v>139</v>
      </c>
    </row>
    <row r="42" customFormat="false" ht="17.15" hidden="false" customHeight="false" outlineLevel="0" collapsed="false">
      <c r="A42" s="0" t="s">
        <v>160</v>
      </c>
      <c r="B42" s="0" t="s">
        <v>161</v>
      </c>
      <c r="C42" s="0" t="s">
        <v>51</v>
      </c>
      <c r="E42" s="7" t="n">
        <v>0.15</v>
      </c>
      <c r="G42" s="8" t="s">
        <v>52</v>
      </c>
      <c r="H42" s="8" t="s">
        <v>162</v>
      </c>
      <c r="I42" s="8" t="s">
        <v>143</v>
      </c>
    </row>
    <row r="43" customFormat="false" ht="17.15" hidden="false" customHeight="false" outlineLevel="0" collapsed="false">
      <c r="A43" s="0" t="s">
        <v>163</v>
      </c>
      <c r="B43" s="4" t="s">
        <v>164</v>
      </c>
      <c r="C43" s="0" t="s">
        <v>51</v>
      </c>
      <c r="E43" s="7" t="n">
        <v>0.05</v>
      </c>
      <c r="G43" s="8" t="s">
        <v>52</v>
      </c>
      <c r="H43" s="8" t="s">
        <v>165</v>
      </c>
      <c r="I43" s="4" t="s">
        <v>147</v>
      </c>
    </row>
    <row r="44" customFormat="false" ht="17.15" hidden="false" customHeight="false" outlineLevel="0" collapsed="false">
      <c r="A44" s="0" t="s">
        <v>166</v>
      </c>
      <c r="B44" s="0" t="s">
        <v>167</v>
      </c>
      <c r="C44" s="0" t="s">
        <v>51</v>
      </c>
      <c r="E44" s="7" t="n">
        <v>0.95</v>
      </c>
      <c r="G44" s="8" t="s">
        <v>168</v>
      </c>
      <c r="H44" s="8" t="s">
        <v>169</v>
      </c>
      <c r="I44" s="4" t="s">
        <v>170</v>
      </c>
    </row>
    <row r="45" customFormat="false" ht="17.15" hidden="false" customHeight="false" outlineLevel="0" collapsed="false">
      <c r="A45" s="0" t="s">
        <v>171</v>
      </c>
      <c r="B45" s="0" t="s">
        <v>172</v>
      </c>
      <c r="C45" s="0" t="s">
        <v>51</v>
      </c>
      <c r="E45" s="7" t="n">
        <v>0.95</v>
      </c>
      <c r="G45" s="8" t="s">
        <v>168</v>
      </c>
      <c r="H45" s="8" t="s">
        <v>169</v>
      </c>
      <c r="I45" s="4" t="s">
        <v>170</v>
      </c>
    </row>
    <row r="46" customFormat="false" ht="17.15" hidden="false" customHeight="false" outlineLevel="0" collapsed="false">
      <c r="A46" s="0" t="s">
        <v>173</v>
      </c>
      <c r="B46" s="0" t="s">
        <v>174</v>
      </c>
      <c r="C46" s="0" t="s">
        <v>51</v>
      </c>
      <c r="E46" s="7" t="n">
        <v>0.98</v>
      </c>
      <c r="G46" s="8" t="s">
        <v>168</v>
      </c>
      <c r="H46" s="8" t="s">
        <v>169</v>
      </c>
      <c r="I46" s="4" t="s">
        <v>170</v>
      </c>
    </row>
    <row r="47" customFormat="false" ht="17.15" hidden="false" customHeight="false" outlineLevel="0" collapsed="false">
      <c r="A47" s="0" t="s">
        <v>175</v>
      </c>
      <c r="B47" s="4" t="s">
        <v>176</v>
      </c>
      <c r="C47" s="0" t="s">
        <v>51</v>
      </c>
      <c r="D47" s="7" t="n">
        <v>0.01</v>
      </c>
      <c r="E47" s="7" t="n">
        <v>0.03</v>
      </c>
      <c r="F47" s="7" t="n">
        <v>0.06</v>
      </c>
      <c r="G47" s="8" t="s">
        <v>52</v>
      </c>
      <c r="H47" s="4" t="s">
        <v>177</v>
      </c>
      <c r="I47" s="8" t="s">
        <v>178</v>
      </c>
    </row>
    <row r="48" customFormat="false" ht="17.15" hidden="false" customHeight="false" outlineLevel="0" collapsed="false">
      <c r="A48" s="0" t="s">
        <v>179</v>
      </c>
      <c r="B48" s="4" t="s">
        <v>180</v>
      </c>
      <c r="C48" s="0" t="s">
        <v>51</v>
      </c>
      <c r="D48" s="7" t="n">
        <v>0</v>
      </c>
      <c r="E48" s="7" t="n">
        <v>0.06</v>
      </c>
      <c r="F48" s="7" t="n">
        <v>0.1</v>
      </c>
      <c r="G48" s="8" t="s">
        <v>52</v>
      </c>
      <c r="H48" s="4" t="s">
        <v>45</v>
      </c>
      <c r="I48" s="8" t="s">
        <v>181</v>
      </c>
    </row>
    <row r="49" customFormat="false" ht="17.15" hidden="false" customHeight="false" outlineLevel="0" collapsed="false">
      <c r="A49" s="0" t="s">
        <v>182</v>
      </c>
      <c r="B49" s="4" t="s">
        <v>183</v>
      </c>
      <c r="C49" s="0" t="s">
        <v>51</v>
      </c>
      <c r="D49" s="7" t="n">
        <v>0</v>
      </c>
      <c r="E49" s="7" t="n">
        <v>0.04</v>
      </c>
      <c r="F49" s="7" t="n">
        <v>0.1</v>
      </c>
      <c r="G49" s="8" t="s">
        <v>52</v>
      </c>
      <c r="H49" s="4" t="s">
        <v>45</v>
      </c>
      <c r="I49" s="8" t="s">
        <v>184</v>
      </c>
    </row>
    <row r="50" customFormat="false" ht="17.15" hidden="false" customHeight="false" outlineLevel="0" collapsed="false">
      <c r="A50" s="0" t="s">
        <v>185</v>
      </c>
      <c r="B50" s="4" t="s">
        <v>186</v>
      </c>
      <c r="C50" s="0" t="s">
        <v>51</v>
      </c>
      <c r="D50" s="7" t="n">
        <v>0</v>
      </c>
      <c r="E50" s="7" t="n">
        <v>0.02</v>
      </c>
      <c r="F50" s="7" t="n">
        <v>0.1</v>
      </c>
      <c r="G50" s="8" t="s">
        <v>52</v>
      </c>
      <c r="H50" s="4" t="s">
        <v>45</v>
      </c>
      <c r="I50" s="8" t="s">
        <v>184</v>
      </c>
    </row>
    <row r="51" customFormat="false" ht="17.15" hidden="false" customHeight="false" outlineLevel="0" collapsed="false">
      <c r="A51" s="0" t="s">
        <v>187</v>
      </c>
      <c r="B51" s="4" t="s">
        <v>188</v>
      </c>
      <c r="C51" s="0" t="s">
        <v>51</v>
      </c>
      <c r="D51" s="7" t="n">
        <v>0</v>
      </c>
      <c r="E51" s="7" t="n">
        <v>0.08</v>
      </c>
      <c r="F51" s="7" t="n">
        <v>0.12</v>
      </c>
      <c r="G51" s="8" t="s">
        <v>52</v>
      </c>
      <c r="H51" s="4" t="s">
        <v>45</v>
      </c>
      <c r="I51" s="8" t="s">
        <v>181</v>
      </c>
    </row>
    <row r="52" customFormat="false" ht="17.15" hidden="false" customHeight="false" outlineLevel="0" collapsed="false">
      <c r="A52" s="0" t="s">
        <v>189</v>
      </c>
      <c r="B52" s="4" t="s">
        <v>190</v>
      </c>
      <c r="C52" s="0" t="s">
        <v>51</v>
      </c>
      <c r="D52" s="7" t="n">
        <v>0</v>
      </c>
      <c r="E52" s="7" t="n">
        <v>0.05</v>
      </c>
      <c r="F52" s="7" t="n">
        <v>0.12</v>
      </c>
      <c r="G52" s="8" t="s">
        <v>52</v>
      </c>
      <c r="H52" s="4" t="s">
        <v>45</v>
      </c>
      <c r="I52" s="8" t="s">
        <v>184</v>
      </c>
    </row>
    <row r="53" customFormat="false" ht="17.15" hidden="false" customHeight="false" outlineLevel="0" collapsed="false">
      <c r="A53" s="0" t="s">
        <v>191</v>
      </c>
      <c r="B53" s="4" t="s">
        <v>192</v>
      </c>
      <c r="C53" s="0" t="s">
        <v>51</v>
      </c>
      <c r="D53" s="7" t="n">
        <v>0</v>
      </c>
      <c r="E53" s="7" t="n">
        <v>0.02</v>
      </c>
      <c r="F53" s="7" t="n">
        <v>0.12</v>
      </c>
      <c r="G53" s="8" t="s">
        <v>52</v>
      </c>
      <c r="H53" s="4" t="s">
        <v>45</v>
      </c>
      <c r="I53" s="8" t="s">
        <v>184</v>
      </c>
    </row>
    <row r="54" customFormat="false" ht="17.15" hidden="false" customHeight="false" outlineLevel="0" collapsed="false">
      <c r="A54" s="0" t="s">
        <v>193</v>
      </c>
      <c r="B54" s="0" t="s">
        <v>194</v>
      </c>
      <c r="C54" s="0" t="s">
        <v>70</v>
      </c>
      <c r="D54" s="7" t="n">
        <v>0.1</v>
      </c>
      <c r="E54" s="7" t="n">
        <v>0.13</v>
      </c>
      <c r="F54" s="7" t="n">
        <v>0.16</v>
      </c>
      <c r="G54" s="8" t="s">
        <v>52</v>
      </c>
      <c r="H54" s="4" t="s">
        <v>195</v>
      </c>
      <c r="I54" s="8" t="s">
        <v>196</v>
      </c>
    </row>
    <row r="55" customFormat="false" ht="17.15" hidden="false" customHeight="false" outlineLevel="0" collapsed="false">
      <c r="A55" s="0" t="s">
        <v>197</v>
      </c>
      <c r="B55" s="0" t="s">
        <v>198</v>
      </c>
      <c r="C55" s="0" t="s">
        <v>199</v>
      </c>
      <c r="E55" s="7" t="n">
        <v>0.01</v>
      </c>
      <c r="G55" s="8" t="s">
        <v>52</v>
      </c>
      <c r="H55" s="4" t="s">
        <v>200</v>
      </c>
      <c r="I55" s="8" t="s">
        <v>99</v>
      </c>
    </row>
    <row r="56" customFormat="false" ht="17.15" hidden="false" customHeight="false" outlineLevel="0" collapsed="false">
      <c r="A56" s="0" t="s">
        <v>201</v>
      </c>
      <c r="B56" s="0" t="s">
        <v>202</v>
      </c>
      <c r="C56" s="0" t="s">
        <v>199</v>
      </c>
      <c r="E56" s="7" t="n">
        <v>0</v>
      </c>
      <c r="G56" s="8" t="s">
        <v>52</v>
      </c>
      <c r="H56" s="4" t="s">
        <v>45</v>
      </c>
      <c r="I56" s="8" t="s">
        <v>99</v>
      </c>
    </row>
    <row r="57" customFormat="false" ht="17.15" hidden="false" customHeight="false" outlineLevel="0" collapsed="false">
      <c r="A57" s="0" t="s">
        <v>203</v>
      </c>
      <c r="B57" s="0" t="s">
        <v>204</v>
      </c>
      <c r="C57" s="0" t="s">
        <v>199</v>
      </c>
      <c r="E57" s="7" t="n">
        <v>-0.02</v>
      </c>
      <c r="G57" s="8" t="s">
        <v>52</v>
      </c>
      <c r="H57" s="4" t="s">
        <v>45</v>
      </c>
      <c r="I57" s="8" t="s">
        <v>99</v>
      </c>
    </row>
    <row r="58" customFormat="false" ht="17.15" hidden="false" customHeight="false" outlineLevel="0" collapsed="false">
      <c r="A58" s="6" t="s">
        <v>205</v>
      </c>
    </row>
    <row r="59" customFormat="false" ht="17.15" hidden="false" customHeight="false" outlineLevel="0" collapsed="false">
      <c r="A59" s="0" t="s">
        <v>206</v>
      </c>
      <c r="B59" s="4" t="s">
        <v>207</v>
      </c>
      <c r="C59" s="0" t="s">
        <v>70</v>
      </c>
      <c r="D59" s="7" t="n">
        <v>1.5</v>
      </c>
      <c r="E59" s="7" t="n">
        <v>4</v>
      </c>
      <c r="F59" s="7" t="n">
        <v>5</v>
      </c>
      <c r="G59" s="8" t="s">
        <v>52</v>
      </c>
      <c r="H59" s="4" t="s">
        <v>208</v>
      </c>
      <c r="I59" s="4" t="s">
        <v>209</v>
      </c>
    </row>
    <row r="60" customFormat="false" ht="17.15" hidden="false" customHeight="false" outlineLevel="0" collapsed="false">
      <c r="A60" s="0" t="s">
        <v>210</v>
      </c>
      <c r="B60" s="4" t="s">
        <v>211</v>
      </c>
      <c r="C60" s="0" t="s">
        <v>70</v>
      </c>
      <c r="E60" s="7" t="n">
        <v>2</v>
      </c>
      <c r="G60" s="8" t="s">
        <v>52</v>
      </c>
      <c r="H60" s="8" t="s">
        <v>212</v>
      </c>
      <c r="I60" s="8" t="s">
        <v>184</v>
      </c>
    </row>
    <row r="61" customFormat="false" ht="17.15" hidden="false" customHeight="false" outlineLevel="0" collapsed="false">
      <c r="A61" s="0" t="s">
        <v>213</v>
      </c>
      <c r="B61" s="4" t="s">
        <v>214</v>
      </c>
      <c r="C61" s="0" t="s">
        <v>51</v>
      </c>
      <c r="E61" s="7" t="n">
        <v>0.2</v>
      </c>
      <c r="G61" s="8" t="s">
        <v>52</v>
      </c>
      <c r="H61" s="4" t="s">
        <v>45</v>
      </c>
      <c r="I61" s="8" t="s">
        <v>184</v>
      </c>
    </row>
    <row r="62" customFormat="false" ht="17.15" hidden="false" customHeight="false" outlineLevel="0" collapsed="false">
      <c r="A62" s="0" t="s">
        <v>215</v>
      </c>
      <c r="B62" s="4" t="s">
        <v>216</v>
      </c>
      <c r="C62" s="0" t="s">
        <v>70</v>
      </c>
      <c r="E62" s="7" t="n">
        <v>3</v>
      </c>
      <c r="G62" s="8" t="s">
        <v>52</v>
      </c>
      <c r="H62" s="4" t="s">
        <v>45</v>
      </c>
      <c r="I62" s="8" t="s">
        <v>184</v>
      </c>
    </row>
    <row r="63" customFormat="false" ht="17.15" hidden="false" customHeight="false" outlineLevel="0" collapsed="false">
      <c r="A63" s="0" t="s">
        <v>217</v>
      </c>
      <c r="B63" s="4" t="s">
        <v>218</v>
      </c>
      <c r="C63" s="0" t="s">
        <v>70</v>
      </c>
      <c r="E63" s="7" t="n">
        <v>1.6</v>
      </c>
      <c r="G63" s="8" t="s">
        <v>52</v>
      </c>
      <c r="H63" s="4" t="s">
        <v>45</v>
      </c>
      <c r="I63" s="8" t="s">
        <v>184</v>
      </c>
    </row>
    <row r="64" customFormat="false" ht="17.15" hidden="false" customHeight="false" outlineLevel="0" collapsed="false">
      <c r="A64" s="0" t="s">
        <v>219</v>
      </c>
      <c r="B64" s="4" t="s">
        <v>220</v>
      </c>
      <c r="C64" s="0" t="s">
        <v>51</v>
      </c>
      <c r="E64" s="7" t="n">
        <v>0.1</v>
      </c>
      <c r="G64" s="8" t="s">
        <v>52</v>
      </c>
      <c r="H64" s="4" t="s">
        <v>45</v>
      </c>
      <c r="I64" s="8" t="s">
        <v>184</v>
      </c>
    </row>
    <row r="65" customFormat="false" ht="17.15" hidden="false" customHeight="false" outlineLevel="0" collapsed="false">
      <c r="A65" s="0" t="s">
        <v>221</v>
      </c>
      <c r="B65" s="4" t="s">
        <v>222</v>
      </c>
      <c r="C65" s="0" t="s">
        <v>70</v>
      </c>
      <c r="E65" s="7" t="n">
        <v>2</v>
      </c>
      <c r="G65" s="8" t="s">
        <v>52</v>
      </c>
      <c r="H65" s="4" t="s">
        <v>45</v>
      </c>
      <c r="I65" s="8" t="s">
        <v>184</v>
      </c>
    </row>
    <row r="66" customFormat="false" ht="17.15" hidden="false" customHeight="false" outlineLevel="0" collapsed="false">
      <c r="A66" s="0" t="s">
        <v>223</v>
      </c>
      <c r="B66" s="4" t="s">
        <v>224</v>
      </c>
      <c r="C66" s="0" t="s">
        <v>70</v>
      </c>
      <c r="E66" s="7" t="n">
        <v>1.2</v>
      </c>
      <c r="G66" s="8" t="s">
        <v>52</v>
      </c>
      <c r="H66" s="4" t="s">
        <v>45</v>
      </c>
      <c r="I66" s="8" t="s">
        <v>184</v>
      </c>
    </row>
    <row r="67" customFormat="false" ht="17.15" hidden="false" customHeight="false" outlineLevel="0" collapsed="false">
      <c r="A67" s="0" t="s">
        <v>225</v>
      </c>
      <c r="B67" s="4" t="s">
        <v>226</v>
      </c>
      <c r="C67" s="0" t="s">
        <v>51</v>
      </c>
      <c r="E67" s="7" t="n">
        <v>0</v>
      </c>
      <c r="G67" s="8" t="s">
        <v>52</v>
      </c>
      <c r="H67" s="4" t="s">
        <v>45</v>
      </c>
      <c r="I67" s="8" t="s">
        <v>184</v>
      </c>
    </row>
    <row r="68" customFormat="false" ht="17.15" hidden="false" customHeight="false" outlineLevel="0" collapsed="false">
      <c r="A68" s="0" t="s">
        <v>227</v>
      </c>
      <c r="B68" s="4" t="s">
        <v>228</v>
      </c>
      <c r="C68" s="0" t="s">
        <v>70</v>
      </c>
      <c r="D68" s="7" t="n">
        <v>0.13</v>
      </c>
      <c r="E68" s="7" t="n">
        <v>0.16</v>
      </c>
      <c r="F68" s="7" t="n">
        <v>0.2</v>
      </c>
      <c r="G68" s="8" t="s">
        <v>52</v>
      </c>
      <c r="H68" s="4" t="s">
        <v>229</v>
      </c>
      <c r="I68" s="4" t="s">
        <v>230</v>
      </c>
    </row>
    <row r="69" customFormat="false" ht="17.15" hidden="false" customHeight="false" outlineLevel="0" collapsed="false">
      <c r="A69" s="0" t="s">
        <v>231</v>
      </c>
      <c r="B69" s="4" t="s">
        <v>232</v>
      </c>
      <c r="C69" s="0" t="s">
        <v>51</v>
      </c>
      <c r="D69" s="7" t="n">
        <v>-0.15</v>
      </c>
      <c r="E69" s="7" t="n">
        <v>0.15</v>
      </c>
      <c r="F69" s="7" t="n">
        <v>0.25</v>
      </c>
      <c r="G69" s="8" t="s">
        <v>52</v>
      </c>
      <c r="H69" s="4" t="s">
        <v>233</v>
      </c>
      <c r="I69" s="4" t="s">
        <v>234</v>
      </c>
    </row>
    <row r="70" customFormat="false" ht="17.15" hidden="false" customHeight="false" outlineLevel="0" collapsed="false">
      <c r="A70" s="0" t="s">
        <v>235</v>
      </c>
      <c r="B70" s="4" t="s">
        <v>236</v>
      </c>
      <c r="C70" s="0" t="s">
        <v>51</v>
      </c>
      <c r="D70" s="7" t="n">
        <v>-0.15</v>
      </c>
      <c r="E70" s="7" t="n">
        <v>0.1</v>
      </c>
      <c r="F70" s="7" t="n">
        <v>0.25</v>
      </c>
      <c r="G70" s="8" t="s">
        <v>52</v>
      </c>
      <c r="H70" s="4" t="s">
        <v>45</v>
      </c>
      <c r="I70" s="8" t="s">
        <v>184</v>
      </c>
    </row>
    <row r="71" customFormat="false" ht="17.15" hidden="false" customHeight="false" outlineLevel="0" collapsed="false">
      <c r="A71" s="0" t="s">
        <v>237</v>
      </c>
      <c r="B71" s="4" t="s">
        <v>238</v>
      </c>
      <c r="C71" s="0" t="s">
        <v>51</v>
      </c>
      <c r="D71" s="7" t="n">
        <v>-0.15</v>
      </c>
      <c r="E71" s="7" t="n">
        <v>0.08</v>
      </c>
      <c r="F71" s="7" t="n">
        <v>0.25</v>
      </c>
      <c r="G71" s="8" t="s">
        <v>52</v>
      </c>
      <c r="H71" s="4" t="s">
        <v>45</v>
      </c>
      <c r="I71" s="8" t="s">
        <v>184</v>
      </c>
    </row>
    <row r="72" customFormat="false" ht="17.15" hidden="false" customHeight="false" outlineLevel="0" collapsed="false">
      <c r="A72" s="0" t="s">
        <v>239</v>
      </c>
      <c r="B72" s="4" t="s">
        <v>240</v>
      </c>
      <c r="C72" s="0" t="s">
        <v>51</v>
      </c>
      <c r="D72" s="7" t="n">
        <v>-0.15</v>
      </c>
      <c r="E72" s="7" t="n">
        <v>0.05</v>
      </c>
      <c r="F72" s="7" t="n">
        <v>0.25</v>
      </c>
      <c r="G72" s="8" t="s">
        <v>52</v>
      </c>
      <c r="H72" s="4" t="s">
        <v>45</v>
      </c>
      <c r="I72" s="8" t="s">
        <v>184</v>
      </c>
    </row>
    <row r="73" customFormat="false" ht="17.15" hidden="false" customHeight="false" outlineLevel="0" collapsed="false">
      <c r="A73" s="0" t="s">
        <v>241</v>
      </c>
      <c r="B73" s="4" t="s">
        <v>242</v>
      </c>
      <c r="C73" s="0" t="s">
        <v>51</v>
      </c>
      <c r="D73" s="7" t="n">
        <v>-0.15</v>
      </c>
      <c r="E73" s="7" t="n">
        <v>-0.05</v>
      </c>
      <c r="F73" s="7" t="n">
        <v>0.25</v>
      </c>
      <c r="G73" s="8" t="s">
        <v>52</v>
      </c>
      <c r="H73" s="4" t="s">
        <v>45</v>
      </c>
      <c r="I73" s="8" t="s">
        <v>184</v>
      </c>
    </row>
    <row r="74" customFormat="false" ht="17.15" hidden="false" customHeight="false" outlineLevel="0" collapsed="false">
      <c r="A74" s="0" t="s">
        <v>243</v>
      </c>
      <c r="B74" s="4" t="s">
        <v>244</v>
      </c>
      <c r="C74" s="0" t="s">
        <v>51</v>
      </c>
      <c r="D74" s="7" t="n">
        <v>-0.15</v>
      </c>
      <c r="E74" s="7" t="n">
        <v>0</v>
      </c>
      <c r="F74" s="7" t="n">
        <v>0.25</v>
      </c>
      <c r="G74" s="8" t="s">
        <v>52</v>
      </c>
      <c r="H74" s="4" t="s">
        <v>45</v>
      </c>
      <c r="I74" s="8" t="s">
        <v>184</v>
      </c>
    </row>
    <row r="75" customFormat="false" ht="17.15" hidden="false" customHeight="false" outlineLevel="0" collapsed="false">
      <c r="A75" s="0" t="s">
        <v>245</v>
      </c>
      <c r="B75" s="4" t="s">
        <v>246</v>
      </c>
      <c r="C75" s="0" t="s">
        <v>199</v>
      </c>
      <c r="D75" s="7" t="n">
        <v>-0.03</v>
      </c>
      <c r="E75" s="7" t="n">
        <v>0</v>
      </c>
      <c r="F75" s="7" t="n">
        <v>0.03</v>
      </c>
      <c r="G75" s="8" t="s">
        <v>52</v>
      </c>
      <c r="H75" s="4" t="s">
        <v>129</v>
      </c>
      <c r="I75" s="4" t="s">
        <v>247</v>
      </c>
    </row>
    <row r="76" customFormat="false" ht="17.15" hidden="false" customHeight="false" outlineLevel="0" collapsed="false">
      <c r="A76" s="6" t="s">
        <v>248</v>
      </c>
    </row>
    <row r="77" customFormat="false" ht="17.15" hidden="false" customHeight="false" outlineLevel="0" collapsed="false">
      <c r="A77" s="0" t="s">
        <v>249</v>
      </c>
      <c r="B77" s="0" t="s">
        <v>250</v>
      </c>
      <c r="C77" s="0" t="s">
        <v>51</v>
      </c>
      <c r="D77" s="7" t="n">
        <v>0.35</v>
      </c>
      <c r="E77" s="7" t="n">
        <v>0.48</v>
      </c>
      <c r="F77" s="7" t="n">
        <v>0.55</v>
      </c>
      <c r="G77" s="8" t="s">
        <v>52</v>
      </c>
      <c r="H77" s="4" t="s">
        <v>251</v>
      </c>
      <c r="I77" s="4" t="s">
        <v>252</v>
      </c>
    </row>
    <row r="78" customFormat="false" ht="17.15" hidden="false" customHeight="false" outlineLevel="0" collapsed="false">
      <c r="A78" s="0" t="s">
        <v>253</v>
      </c>
      <c r="B78" s="0" t="s">
        <v>254</v>
      </c>
      <c r="C78" s="0" t="s">
        <v>51</v>
      </c>
      <c r="D78" s="7" t="n">
        <v>0.01</v>
      </c>
      <c r="E78" s="7" t="n">
        <v>0.03</v>
      </c>
      <c r="F78" s="7" t="n">
        <v>0.06</v>
      </c>
      <c r="G78" s="8" t="s">
        <v>52</v>
      </c>
      <c r="H78" s="4" t="s">
        <v>255</v>
      </c>
      <c r="I78" s="4" t="s">
        <v>256</v>
      </c>
    </row>
    <row r="79" customFormat="false" ht="17.15" hidden="false" customHeight="false" outlineLevel="0" collapsed="false">
      <c r="A79" s="0" t="s">
        <v>257</v>
      </c>
      <c r="B79" s="0" t="s">
        <v>258</v>
      </c>
      <c r="C79" s="0" t="s">
        <v>51</v>
      </c>
      <c r="D79" s="7" t="n">
        <v>0.03</v>
      </c>
      <c r="E79" s="7" t="n">
        <v>0.05</v>
      </c>
      <c r="F79" s="7" t="n">
        <v>0.08</v>
      </c>
      <c r="G79" s="8" t="s">
        <v>39</v>
      </c>
      <c r="H79" s="4" t="s">
        <v>259</v>
      </c>
      <c r="I79" s="4" t="s">
        <v>260</v>
      </c>
    </row>
    <row r="80" customFormat="false" ht="17.15" hidden="false" customHeight="false" outlineLevel="0" collapsed="false">
      <c r="A80" s="0" t="s">
        <v>261</v>
      </c>
      <c r="B80" s="0" t="s">
        <v>262</v>
      </c>
      <c r="C80" s="0" t="s">
        <v>51</v>
      </c>
      <c r="D80" s="7" t="n">
        <v>0.1</v>
      </c>
      <c r="E80" s="7" t="n">
        <v>0.18</v>
      </c>
      <c r="F80" s="7" t="n">
        <v>0.25</v>
      </c>
      <c r="G80" s="8" t="s">
        <v>52</v>
      </c>
      <c r="H80" s="4" t="s">
        <v>263</v>
      </c>
      <c r="I80" s="4" t="s">
        <v>264</v>
      </c>
    </row>
    <row r="81" customFormat="false" ht="17.15" hidden="false" customHeight="false" outlineLevel="0" collapsed="false">
      <c r="A81" s="0" t="s">
        <v>265</v>
      </c>
      <c r="B81" s="0" t="s">
        <v>266</v>
      </c>
      <c r="C81" s="0" t="s">
        <v>51</v>
      </c>
      <c r="E81" s="7" t="n">
        <v>0.05</v>
      </c>
      <c r="G81" s="8" t="s">
        <v>52</v>
      </c>
      <c r="H81" s="8" t="s">
        <v>267</v>
      </c>
      <c r="I81" s="8" t="s">
        <v>184</v>
      </c>
    </row>
    <row r="82" customFormat="false" ht="17.15" hidden="false" customHeight="false" outlineLevel="0" collapsed="false">
      <c r="A82" s="0" t="s">
        <v>268</v>
      </c>
      <c r="B82" s="0" t="s">
        <v>269</v>
      </c>
      <c r="C82" s="0" t="s">
        <v>51</v>
      </c>
      <c r="E82" s="7" t="n">
        <v>0.03</v>
      </c>
      <c r="G82" s="8" t="s">
        <v>52</v>
      </c>
      <c r="H82" s="4" t="s">
        <v>270</v>
      </c>
      <c r="I82" s="8" t="s">
        <v>184</v>
      </c>
    </row>
    <row r="83" customFormat="false" ht="17.15" hidden="false" customHeight="false" outlineLevel="0" collapsed="false">
      <c r="A83" s="0" t="s">
        <v>271</v>
      </c>
      <c r="B83" s="0" t="s">
        <v>272</v>
      </c>
      <c r="C83" s="0" t="s">
        <v>273</v>
      </c>
      <c r="D83" s="7" t="n">
        <v>30.5</v>
      </c>
      <c r="E83" s="7" t="n">
        <v>31.6</v>
      </c>
      <c r="F83" s="7" t="n">
        <v>33</v>
      </c>
      <c r="G83" s="8" t="s">
        <v>52</v>
      </c>
      <c r="H83" s="4" t="s">
        <v>274</v>
      </c>
      <c r="I83" s="4" t="s">
        <v>275</v>
      </c>
    </row>
    <row r="84" customFormat="false" ht="17.15" hidden="false" customHeight="false" outlineLevel="0" collapsed="false">
      <c r="A84" s="0" t="s">
        <v>276</v>
      </c>
      <c r="B84" s="0" t="s">
        <v>277</v>
      </c>
      <c r="C84" s="0" t="s">
        <v>278</v>
      </c>
      <c r="E84" s="0" t="n">
        <f aca="false">44.099-11.448-13.897</f>
        <v>18.754</v>
      </c>
      <c r="G84" s="0" t="s">
        <v>279</v>
      </c>
      <c r="H84" s="4" t="s">
        <v>280</v>
      </c>
      <c r="I84" s="4" t="s">
        <v>281</v>
      </c>
    </row>
    <row r="85" customFormat="false" ht="17.15" hidden="false" customHeight="false" outlineLevel="0" collapsed="false">
      <c r="A85" s="0" t="s">
        <v>282</v>
      </c>
      <c r="B85" s="0" t="s">
        <v>283</v>
      </c>
      <c r="C85" s="0" t="s">
        <v>51</v>
      </c>
      <c r="E85" s="9" t="n">
        <f aca="false">Q!E10</f>
        <v>0.205796843340088</v>
      </c>
      <c r="G85" s="8" t="s">
        <v>168</v>
      </c>
      <c r="H85" s="4" t="s">
        <v>284</v>
      </c>
      <c r="I85" s="4" t="s">
        <v>285</v>
      </c>
    </row>
    <row r="86" customFormat="false" ht="17.15" hidden="false" customHeight="false" outlineLevel="0" collapsed="false">
      <c r="A86" s="0" t="s">
        <v>286</v>
      </c>
      <c r="B86" s="0" t="s">
        <v>287</v>
      </c>
      <c r="C86" s="0" t="s">
        <v>278</v>
      </c>
      <c r="E86" s="10" t="n">
        <f aca="false">Q!E11</f>
        <v>1.305437</v>
      </c>
      <c r="G86" s="8" t="s">
        <v>168</v>
      </c>
      <c r="H86" s="4" t="s">
        <v>284</v>
      </c>
      <c r="I86" s="4" t="s">
        <v>288</v>
      </c>
    </row>
    <row r="87" customFormat="false" ht="17.15" hidden="false" customHeight="false" outlineLevel="0" collapsed="false">
      <c r="A87" s="0" t="s">
        <v>289</v>
      </c>
      <c r="B87" s="0" t="s">
        <v>290</v>
      </c>
      <c r="C87" s="0" t="s">
        <v>51</v>
      </c>
      <c r="D87" s="7" t="n">
        <v>0.15</v>
      </c>
      <c r="E87" s="7" t="n">
        <v>0.35</v>
      </c>
      <c r="F87" s="7" t="n">
        <v>0.5</v>
      </c>
      <c r="G87" s="8" t="s">
        <v>52</v>
      </c>
      <c r="H87" s="4" t="s">
        <v>291</v>
      </c>
      <c r="I87" s="4" t="s">
        <v>292</v>
      </c>
    </row>
    <row r="88" customFormat="false" ht="17.15" hidden="false" customHeight="false" outlineLevel="0" collapsed="false">
      <c r="A88" s="0" t="s">
        <v>293</v>
      </c>
      <c r="B88" s="0" t="s">
        <v>294</v>
      </c>
      <c r="C88" s="0" t="s">
        <v>51</v>
      </c>
      <c r="D88" s="7" t="n">
        <v>0.17</v>
      </c>
      <c r="E88" s="7" t="n">
        <v>0.185</v>
      </c>
      <c r="F88" s="7" t="n">
        <v>0.2</v>
      </c>
      <c r="G88" s="8" t="s">
        <v>52</v>
      </c>
      <c r="H88" s="4" t="s">
        <v>295</v>
      </c>
      <c r="I88" s="8" t="s">
        <v>296</v>
      </c>
    </row>
    <row r="89" customFormat="false" ht="17.15" hidden="false" customHeight="false" outlineLevel="0" collapsed="false">
      <c r="A89" s="0" t="s">
        <v>297</v>
      </c>
      <c r="B89" s="0" t="s">
        <v>298</v>
      </c>
      <c r="C89" s="0" t="s">
        <v>278</v>
      </c>
      <c r="D89" s="7" t="n">
        <v>1.35</v>
      </c>
      <c r="E89" s="7" t="n">
        <v>1.45</v>
      </c>
      <c r="F89" s="7" t="n">
        <v>1.6</v>
      </c>
      <c r="G89" s="8" t="s">
        <v>52</v>
      </c>
      <c r="H89" s="8" t="s">
        <v>299</v>
      </c>
      <c r="I89" s="8" t="s">
        <v>184</v>
      </c>
    </row>
    <row r="90" customFormat="false" ht="17.15" hidden="false" customHeight="false" outlineLevel="0" collapsed="false">
      <c r="A90" s="0" t="s">
        <v>300</v>
      </c>
      <c r="B90" s="0" t="s">
        <v>301</v>
      </c>
      <c r="C90" s="0" t="s">
        <v>51</v>
      </c>
      <c r="E90" s="0" t="n">
        <f aca="false">1-5.228/6.049</f>
        <v>0.135724913208795</v>
      </c>
      <c r="G90" s="0" t="s">
        <v>168</v>
      </c>
      <c r="H90" s="0" t="s">
        <v>302</v>
      </c>
      <c r="I90" s="0" t="s">
        <v>303</v>
      </c>
    </row>
    <row r="91" customFormat="false" ht="17.15" hidden="false" customHeight="false" outlineLevel="0" collapsed="false">
      <c r="A91" s="0" t="s">
        <v>304</v>
      </c>
      <c r="B91" s="0" t="s">
        <v>305</v>
      </c>
      <c r="C91" s="0" t="s">
        <v>278</v>
      </c>
      <c r="D91" s="7" t="n">
        <v>0.05</v>
      </c>
      <c r="E91" s="7" t="n">
        <v>0.13</v>
      </c>
      <c r="F91" s="7" t="n">
        <v>0.2</v>
      </c>
      <c r="G91" s="8" t="s">
        <v>52</v>
      </c>
      <c r="H91" s="8" t="s">
        <v>306</v>
      </c>
      <c r="I91" s="8" t="s">
        <v>307</v>
      </c>
    </row>
    <row r="92" customFormat="false" ht="17.15" hidden="false" customHeight="false" outlineLevel="0" collapsed="false">
      <c r="A92" s="0" t="s">
        <v>308</v>
      </c>
      <c r="B92" s="0" t="s">
        <v>309</v>
      </c>
      <c r="C92" s="0" t="s">
        <v>51</v>
      </c>
      <c r="D92" s="7" t="n">
        <v>0.12</v>
      </c>
      <c r="E92" s="7" t="n">
        <v>0.15</v>
      </c>
      <c r="F92" s="7" t="n">
        <v>0.18</v>
      </c>
      <c r="G92" s="8" t="s">
        <v>52</v>
      </c>
      <c r="H92" s="8" t="s">
        <v>310</v>
      </c>
      <c r="I92" s="8" t="s">
        <v>184</v>
      </c>
    </row>
    <row r="93" customFormat="false" ht="17.15" hidden="false" customHeight="false" outlineLevel="0" collapsed="false">
      <c r="A93" s="0" t="s">
        <v>311</v>
      </c>
      <c r="B93" s="4" t="s">
        <v>312</v>
      </c>
      <c r="C93" s="4" t="s">
        <v>313</v>
      </c>
      <c r="E93" s="7" t="n">
        <v>0.13401</v>
      </c>
      <c r="G93" s="8" t="s">
        <v>39</v>
      </c>
      <c r="H93" s="8" t="s">
        <v>314</v>
      </c>
      <c r="I93" s="8" t="s">
        <v>315</v>
      </c>
    </row>
    <row r="94" customFormat="false" ht="17.15" hidden="false" customHeight="false" outlineLevel="0" collapsed="false">
      <c r="A94" s="6" t="s">
        <v>316</v>
      </c>
    </row>
    <row r="95" customFormat="false" ht="17.15" hidden="false" customHeight="false" outlineLevel="0" collapsed="false">
      <c r="A95" s="0" t="s">
        <v>317</v>
      </c>
      <c r="B95" s="4" t="s">
        <v>318</v>
      </c>
      <c r="C95" s="0" t="s">
        <v>70</v>
      </c>
      <c r="D95" s="7" t="n">
        <v>0.2</v>
      </c>
      <c r="E95" s="7" t="n">
        <v>0.3</v>
      </c>
      <c r="F95" s="7" t="n">
        <v>0.6</v>
      </c>
      <c r="G95" s="8" t="s">
        <v>52</v>
      </c>
      <c r="H95" s="4" t="s">
        <v>319</v>
      </c>
      <c r="I95" s="8" t="s">
        <v>320</v>
      </c>
    </row>
    <row r="96" customFormat="false" ht="17.15" hidden="false" customHeight="false" outlineLevel="0" collapsed="false">
      <c r="A96" s="0" t="s">
        <v>321</v>
      </c>
      <c r="B96" s="4" t="s">
        <v>322</v>
      </c>
      <c r="C96" s="0" t="s">
        <v>51</v>
      </c>
      <c r="D96" s="7" t="n">
        <v>0.05</v>
      </c>
      <c r="E96" s="7" t="n">
        <v>0.08</v>
      </c>
      <c r="F96" s="7" t="n">
        <v>0.12</v>
      </c>
      <c r="G96" s="8" t="s">
        <v>52</v>
      </c>
      <c r="H96" s="4" t="s">
        <v>323</v>
      </c>
      <c r="I96" s="8" t="s">
        <v>184</v>
      </c>
    </row>
    <row r="97" customFormat="false" ht="17.15" hidden="false" customHeight="false" outlineLevel="0" collapsed="false">
      <c r="A97" s="0" t="s">
        <v>324</v>
      </c>
      <c r="B97" s="4" t="s">
        <v>325</v>
      </c>
      <c r="C97" s="0" t="s">
        <v>199</v>
      </c>
      <c r="D97" s="7" t="n">
        <v>-0.02</v>
      </c>
      <c r="E97" s="7" t="n">
        <v>0</v>
      </c>
      <c r="F97" s="7" t="n">
        <v>0.02</v>
      </c>
      <c r="G97" s="8" t="s">
        <v>52</v>
      </c>
      <c r="H97" s="4" t="s">
        <v>129</v>
      </c>
      <c r="I97" s="8" t="s">
        <v>326</v>
      </c>
    </row>
    <row r="98" customFormat="false" ht="17.15" hidden="false" customHeight="false" outlineLevel="0" collapsed="false">
      <c r="A98" s="0" t="s">
        <v>327</v>
      </c>
      <c r="B98" s="4" t="s">
        <v>328</v>
      </c>
      <c r="C98" s="0" t="s">
        <v>278</v>
      </c>
      <c r="D98" s="7" t="n">
        <v>0.2</v>
      </c>
      <c r="E98" s="7" t="n">
        <v>0.5</v>
      </c>
      <c r="F98" s="7" t="n">
        <v>0.8</v>
      </c>
      <c r="G98" s="8" t="s">
        <v>52</v>
      </c>
      <c r="H98" s="8" t="s">
        <v>329</v>
      </c>
      <c r="I98" s="4" t="s">
        <v>330</v>
      </c>
    </row>
    <row r="99" customFormat="false" ht="17.15" hidden="false" customHeight="false" outlineLevel="0" collapsed="false">
      <c r="A99" s="0" t="s">
        <v>331</v>
      </c>
      <c r="B99" s="4" t="s">
        <v>332</v>
      </c>
      <c r="C99" s="0" t="s">
        <v>51</v>
      </c>
      <c r="D99" s="7" t="n">
        <v>0.12</v>
      </c>
      <c r="E99" s="7" t="n">
        <v>0.15</v>
      </c>
      <c r="F99" s="7" t="n">
        <v>0.2</v>
      </c>
      <c r="G99" s="8" t="s">
        <v>52</v>
      </c>
      <c r="H99" s="8" t="s">
        <v>333</v>
      </c>
      <c r="I99" s="8" t="s">
        <v>184</v>
      </c>
    </row>
    <row r="100" customFormat="false" ht="17.15" hidden="false" customHeight="false" outlineLevel="0" collapsed="false">
      <c r="A100" s="0" t="s">
        <v>334</v>
      </c>
      <c r="B100" s="4" t="s">
        <v>335</v>
      </c>
      <c r="C100" s="0" t="s">
        <v>51</v>
      </c>
      <c r="D100" s="7" t="n">
        <v>-0.005</v>
      </c>
      <c r="E100" s="7" t="n">
        <v>0</v>
      </c>
      <c r="F100" s="7" t="n">
        <v>0.005</v>
      </c>
      <c r="G100" s="8" t="s">
        <v>52</v>
      </c>
      <c r="H100" s="8" t="s">
        <v>336</v>
      </c>
      <c r="I100" s="8" t="s">
        <v>184</v>
      </c>
    </row>
    <row r="101" customFormat="false" ht="17.15" hidden="false" customHeight="false" outlineLevel="0" collapsed="false">
      <c r="A101" s="0" t="s">
        <v>337</v>
      </c>
      <c r="B101" s="4" t="s">
        <v>338</v>
      </c>
      <c r="C101" s="0" t="s">
        <v>273</v>
      </c>
      <c r="D101" s="7" t="n">
        <v>30</v>
      </c>
      <c r="E101" s="7" t="n">
        <v>32</v>
      </c>
      <c r="F101" s="7" t="n">
        <v>34</v>
      </c>
      <c r="G101" s="8" t="s">
        <v>52</v>
      </c>
      <c r="H101" s="4" t="s">
        <v>339</v>
      </c>
      <c r="I101" s="4" t="s">
        <v>340</v>
      </c>
    </row>
    <row r="102" customFormat="false" ht="17.15" hidden="false" customHeight="false" outlineLevel="0" collapsed="false">
      <c r="A102" s="6" t="s">
        <v>341</v>
      </c>
    </row>
    <row r="103" customFormat="false" ht="17.15" hidden="false" customHeight="false" outlineLevel="0" collapsed="false">
      <c r="A103" s="0" t="s">
        <v>342</v>
      </c>
      <c r="B103" s="4" t="s">
        <v>343</v>
      </c>
      <c r="C103" s="0" t="s">
        <v>51</v>
      </c>
      <c r="E103" s="7" t="n">
        <v>0.2</v>
      </c>
      <c r="G103" s="8" t="s">
        <v>39</v>
      </c>
      <c r="H103" s="4" t="s">
        <v>344</v>
      </c>
      <c r="I103" s="4" t="s">
        <v>345</v>
      </c>
    </row>
    <row r="104" customFormat="false" ht="17.15" hidden="false" customHeight="false" outlineLevel="0" collapsed="false">
      <c r="A104" s="0" t="s">
        <v>346</v>
      </c>
      <c r="B104" s="4" t="s">
        <v>347</v>
      </c>
      <c r="C104" s="0" t="s">
        <v>51</v>
      </c>
      <c r="E104" s="7" t="n">
        <v>0.1</v>
      </c>
      <c r="G104" s="8" t="s">
        <v>39</v>
      </c>
      <c r="H104" s="4" t="s">
        <v>344</v>
      </c>
      <c r="I104" s="4" t="s">
        <v>345</v>
      </c>
    </row>
    <row r="105" customFormat="false" ht="17.15" hidden="false" customHeight="false" outlineLevel="0" collapsed="false">
      <c r="A105" s="0" t="s">
        <v>348</v>
      </c>
      <c r="B105" s="4" t="s">
        <v>349</v>
      </c>
      <c r="C105" s="0" t="s">
        <v>51</v>
      </c>
      <c r="E105" s="7" t="n">
        <v>0.1</v>
      </c>
      <c r="G105" s="8" t="s">
        <v>39</v>
      </c>
      <c r="H105" s="4" t="s">
        <v>344</v>
      </c>
      <c r="I105" s="4" t="s">
        <v>345</v>
      </c>
    </row>
    <row r="106" customFormat="false" ht="17.15" hidden="false" customHeight="false" outlineLevel="0" collapsed="false">
      <c r="A106" s="0" t="s">
        <v>350</v>
      </c>
      <c r="B106" s="4" t="s">
        <v>351</v>
      </c>
      <c r="C106" s="0" t="s">
        <v>278</v>
      </c>
      <c r="D106" s="7" t="n">
        <v>51.4</v>
      </c>
      <c r="E106" s="7" t="n">
        <v>59.5</v>
      </c>
      <c r="F106" s="7" t="n">
        <v>65</v>
      </c>
      <c r="G106" s="8" t="s">
        <v>39</v>
      </c>
      <c r="H106" s="8" t="s">
        <v>352</v>
      </c>
      <c r="I106" s="8" t="s">
        <v>353</v>
      </c>
    </row>
    <row r="107" customFormat="false" ht="17.15" hidden="false" customHeight="false" outlineLevel="0" collapsed="false">
      <c r="A107" s="0" t="s">
        <v>354</v>
      </c>
      <c r="B107" s="4" t="s">
        <v>355</v>
      </c>
      <c r="C107" s="0" t="s">
        <v>356</v>
      </c>
      <c r="D107" s="7" t="n">
        <v>45.73</v>
      </c>
      <c r="E107" s="7" t="n">
        <v>51.74</v>
      </c>
      <c r="F107" s="7" t="n">
        <v>60.51</v>
      </c>
      <c r="G107" s="8" t="s">
        <v>39</v>
      </c>
      <c r="H107" s="8" t="s">
        <v>357</v>
      </c>
      <c r="I107" s="4" t="s">
        <v>358</v>
      </c>
    </row>
    <row r="108" customFormat="false" ht="17.15" hidden="false" customHeight="false" outlineLevel="0" collapsed="false">
      <c r="A108" s="0" t="s">
        <v>359</v>
      </c>
      <c r="B108" s="4" t="s">
        <v>360</v>
      </c>
      <c r="C108" s="0" t="s">
        <v>356</v>
      </c>
      <c r="E108" s="7" t="n">
        <v>94.24</v>
      </c>
      <c r="G108" s="8" t="s">
        <v>39</v>
      </c>
      <c r="H108" s="4" t="s">
        <v>361</v>
      </c>
      <c r="I108" s="4" t="s">
        <v>362</v>
      </c>
    </row>
    <row r="109" customFormat="false" ht="17.15" hidden="false" customHeight="false" outlineLevel="0" collapsed="false">
      <c r="A109" s="0" t="s">
        <v>363</v>
      </c>
      <c r="B109" s="4" t="s">
        <v>364</v>
      </c>
      <c r="C109" s="0" t="s">
        <v>356</v>
      </c>
      <c r="E109" s="7" t="n">
        <v>52.96</v>
      </c>
      <c r="G109" s="8" t="s">
        <v>39</v>
      </c>
      <c r="H109" s="4" t="s">
        <v>361</v>
      </c>
      <c r="I109" s="4" t="s">
        <v>365</v>
      </c>
    </row>
    <row r="110" customFormat="false" ht="17.15" hidden="false" customHeight="false" outlineLevel="0" collapsed="false">
      <c r="A110" s="0" t="s">
        <v>366</v>
      </c>
      <c r="B110" s="4" t="s">
        <v>367</v>
      </c>
      <c r="C110" s="0" t="s">
        <v>356</v>
      </c>
      <c r="E110" s="7" t="n">
        <v>104.14</v>
      </c>
      <c r="G110" s="8" t="s">
        <v>39</v>
      </c>
      <c r="H110" s="4" t="s">
        <v>361</v>
      </c>
      <c r="I110" s="8" t="s">
        <v>184</v>
      </c>
    </row>
    <row r="111" customFormat="false" ht="17.15" hidden="false" customHeight="false" outlineLevel="0" collapsed="false">
      <c r="A111" s="0" t="s">
        <v>368</v>
      </c>
      <c r="B111" s="4" t="s">
        <v>369</v>
      </c>
      <c r="C111" s="0" t="s">
        <v>356</v>
      </c>
      <c r="E111" s="7" t="n">
        <v>155.25</v>
      </c>
      <c r="G111" s="8" t="s">
        <v>39</v>
      </c>
      <c r="H111" s="4" t="s">
        <v>361</v>
      </c>
      <c r="I111" s="8" t="s">
        <v>184</v>
      </c>
    </row>
    <row r="112" customFormat="false" ht="17.15" hidden="false" customHeight="false" outlineLevel="0" collapsed="false">
      <c r="A112" s="0" t="s">
        <v>370</v>
      </c>
      <c r="B112" s="4" t="s">
        <v>371</v>
      </c>
      <c r="C112" s="0" t="s">
        <v>356</v>
      </c>
      <c r="E112" s="7" t="n">
        <v>139.12</v>
      </c>
      <c r="G112" s="8" t="s">
        <v>39</v>
      </c>
      <c r="H112" s="4" t="s">
        <v>344</v>
      </c>
      <c r="I112" s="8" t="s">
        <v>184</v>
      </c>
    </row>
    <row r="113" customFormat="false" ht="17.15" hidden="false" customHeight="false" outlineLevel="0" collapsed="false">
      <c r="A113" s="0" t="s">
        <v>372</v>
      </c>
      <c r="B113" s="4" t="s">
        <v>373</v>
      </c>
      <c r="C113" s="4" t="s">
        <v>38</v>
      </c>
      <c r="D113" s="7" t="n">
        <v>3.5</v>
      </c>
      <c r="E113" s="7" t="n">
        <v>4</v>
      </c>
      <c r="F113" s="7" t="n">
        <v>4</v>
      </c>
      <c r="G113" s="8" t="s">
        <v>39</v>
      </c>
      <c r="H113" s="4" t="s">
        <v>374</v>
      </c>
      <c r="I113" s="4" t="s">
        <v>375</v>
      </c>
    </row>
    <row r="114" customFormat="false" ht="17.15" hidden="false" customHeight="false" outlineLevel="0" collapsed="false">
      <c r="A114" s="0" t="s">
        <v>376</v>
      </c>
      <c r="B114" s="4" t="s">
        <v>377</v>
      </c>
      <c r="C114" s="0" t="s">
        <v>51</v>
      </c>
      <c r="E114" s="7" t="n">
        <v>0.503</v>
      </c>
      <c r="G114" s="8" t="s">
        <v>39</v>
      </c>
      <c r="H114" s="4" t="s">
        <v>378</v>
      </c>
      <c r="I114" s="8" t="s">
        <v>184</v>
      </c>
    </row>
    <row r="115" customFormat="false" ht="17.15" hidden="false" customHeight="false" outlineLevel="0" collapsed="false">
      <c r="A115" s="0" t="s">
        <v>379</v>
      </c>
      <c r="B115" s="4" t="s">
        <v>380</v>
      </c>
      <c r="C115" s="0" t="s">
        <v>51</v>
      </c>
      <c r="E115" s="7" t="n">
        <v>0.349</v>
      </c>
      <c r="G115" s="8" t="s">
        <v>39</v>
      </c>
      <c r="H115" s="4" t="s">
        <v>378</v>
      </c>
      <c r="I115" s="4" t="s">
        <v>381</v>
      </c>
    </row>
    <row r="116" customFormat="false" ht="17.15" hidden="false" customHeight="false" outlineLevel="0" collapsed="false">
      <c r="A116" s="6" t="s">
        <v>382</v>
      </c>
    </row>
    <row r="117" customFormat="false" ht="17.15" hidden="false" customHeight="false" outlineLevel="0" collapsed="false">
      <c r="A117" s="0" t="s">
        <v>383</v>
      </c>
      <c r="B117" s="4" t="s">
        <v>384</v>
      </c>
      <c r="C117" s="0" t="s">
        <v>356</v>
      </c>
      <c r="E117" s="7" t="n">
        <v>7585</v>
      </c>
      <c r="G117" s="8" t="s">
        <v>39</v>
      </c>
      <c r="H117" s="8" t="s">
        <v>385</v>
      </c>
      <c r="I117" s="4" t="s">
        <v>386</v>
      </c>
    </row>
    <row r="118" customFormat="false" ht="17.15" hidden="false" customHeight="false" outlineLevel="0" collapsed="false">
      <c r="A118" s="0" t="s">
        <v>387</v>
      </c>
      <c r="B118" s="4" t="s">
        <v>388</v>
      </c>
      <c r="C118" s="0" t="s">
        <v>70</v>
      </c>
      <c r="E118" s="0" t="n">
        <f aca="false">px/38.9</f>
        <v>194.987146529563</v>
      </c>
      <c r="G118" s="0" t="s">
        <v>168</v>
      </c>
      <c r="H118" s="0" t="s">
        <v>389</v>
      </c>
      <c r="I118" s="4" t="s">
        <v>390</v>
      </c>
    </row>
    <row r="119" customFormat="false" ht="17.15" hidden="false" customHeight="false" outlineLevel="0" collapsed="false">
      <c r="A119" s="0" t="s">
        <v>391</v>
      </c>
      <c r="B119" s="4" t="s">
        <v>392</v>
      </c>
      <c r="C119" s="0" t="s">
        <v>70</v>
      </c>
      <c r="E119" s="7" t="n">
        <v>102.85</v>
      </c>
      <c r="G119" s="8" t="s">
        <v>39</v>
      </c>
      <c r="H119" s="8" t="s">
        <v>393</v>
      </c>
      <c r="I119" s="8" t="s">
        <v>184</v>
      </c>
    </row>
    <row r="120" customFormat="false" ht="17.15" hidden="false" customHeight="false" outlineLevel="0" collapsed="false">
      <c r="A120" s="0" t="s">
        <v>394</v>
      </c>
      <c r="B120" s="4" t="s">
        <v>395</v>
      </c>
      <c r="C120" s="0" t="s">
        <v>356</v>
      </c>
      <c r="E120" s="0" t="n">
        <f aca="false">8360/fpe</f>
        <v>81.2834224598931</v>
      </c>
      <c r="G120" s="0" t="s">
        <v>168</v>
      </c>
      <c r="H120" s="0" t="s">
        <v>396</v>
      </c>
      <c r="I120" s="4" t="s">
        <v>397</v>
      </c>
    </row>
    <row r="121" customFormat="false" ht="17.15" hidden="false" customHeight="false" outlineLevel="0" collapsed="false">
      <c r="A121" s="0" t="s">
        <v>398</v>
      </c>
      <c r="B121" s="4" t="s">
        <v>399</v>
      </c>
      <c r="C121" s="0" t="s">
        <v>356</v>
      </c>
      <c r="D121" s="7" t="n">
        <v>2500</v>
      </c>
      <c r="E121" s="7" t="n">
        <v>6722.37</v>
      </c>
      <c r="F121" s="7" t="n">
        <v>8000</v>
      </c>
      <c r="G121" s="8" t="s">
        <v>39</v>
      </c>
      <c r="H121" s="8" t="s">
        <v>400</v>
      </c>
      <c r="I121" s="4" t="s">
        <v>401</v>
      </c>
    </row>
    <row r="122" customFormat="false" ht="17.15" hidden="false" customHeight="false" outlineLevel="0" collapsed="false">
      <c r="A122" s="0" t="s">
        <v>402</v>
      </c>
      <c r="B122" s="4" t="s">
        <v>403</v>
      </c>
      <c r="C122" s="0" t="s">
        <v>51</v>
      </c>
      <c r="E122" s="0" t="n">
        <f aca="false">AVERAGE(1460/15108,3710/24040,3508/26241,3451/25044,3770/34141)</f>
        <v>0.126573897742457</v>
      </c>
      <c r="G122" s="0" t="s">
        <v>168</v>
      </c>
      <c r="H122" s="0" t="s">
        <v>404</v>
      </c>
      <c r="I122" s="4" t="s">
        <v>405</v>
      </c>
    </row>
    <row r="123" customFormat="false" ht="17.15" hidden="false" customHeight="false" outlineLevel="0" collapsed="false">
      <c r="A123" s="6" t="s">
        <v>406</v>
      </c>
    </row>
    <row r="124" customFormat="false" ht="17.15" hidden="false" customHeight="false" outlineLevel="0" collapsed="false">
      <c r="A124" s="11" t="s">
        <v>407</v>
      </c>
      <c r="B124" s="12" t="s">
        <v>408</v>
      </c>
      <c r="C124" s="11" t="s">
        <v>51</v>
      </c>
      <c r="D124" s="11"/>
      <c r="E124" s="13" t="n">
        <v>0.3</v>
      </c>
      <c r="F124" s="11"/>
      <c r="G124" s="11" t="s">
        <v>52</v>
      </c>
      <c r="H124" s="11" t="s">
        <v>409</v>
      </c>
      <c r="I124" s="12" t="s">
        <v>410</v>
      </c>
    </row>
    <row r="125" customFormat="false" ht="17.15" hidden="false" customHeight="false" outlineLevel="0" collapsed="false">
      <c r="A125" s="11" t="s">
        <v>411</v>
      </c>
      <c r="B125" s="12" t="s">
        <v>412</v>
      </c>
      <c r="C125" s="11" t="s">
        <v>51</v>
      </c>
      <c r="D125" s="11"/>
      <c r="E125" s="13" t="n">
        <v>0.5</v>
      </c>
      <c r="F125" s="11"/>
      <c r="G125" s="11" t="s">
        <v>52</v>
      </c>
      <c r="H125" s="11" t="s">
        <v>409</v>
      </c>
      <c r="I125" s="12" t="s">
        <v>410</v>
      </c>
    </row>
    <row r="126" customFormat="false" ht="17.15" hidden="false" customHeight="false" outlineLevel="0" collapsed="false">
      <c r="A126" s="11" t="s">
        <v>413</v>
      </c>
      <c r="B126" s="12" t="s">
        <v>414</v>
      </c>
      <c r="C126" s="11" t="s">
        <v>51</v>
      </c>
      <c r="D126" s="11"/>
      <c r="E126" s="13" t="n">
        <v>0.2</v>
      </c>
      <c r="F126" s="11"/>
      <c r="G126" s="11" t="s">
        <v>52</v>
      </c>
      <c r="H126" s="11" t="s">
        <v>409</v>
      </c>
      <c r="I126" s="12" t="s">
        <v>410</v>
      </c>
    </row>
    <row r="127" customFormat="false" ht="17.15" hidden="false" customHeight="false" outlineLevel="0" collapsed="false">
      <c r="A127" s="11" t="s">
        <v>415</v>
      </c>
      <c r="B127" s="12" t="s">
        <v>416</v>
      </c>
      <c r="C127" s="11" t="s">
        <v>51</v>
      </c>
      <c r="D127" s="11"/>
      <c r="E127" s="13" t="n">
        <v>0.1</v>
      </c>
      <c r="F127" s="11"/>
      <c r="G127" s="11" t="s">
        <v>52</v>
      </c>
      <c r="H127" s="11" t="s">
        <v>417</v>
      </c>
      <c r="I127" s="12" t="s">
        <v>418</v>
      </c>
    </row>
    <row r="128" customFormat="false" ht="17.15" hidden="false" customHeight="false" outlineLevel="0" collapsed="false">
      <c r="A128" s="11" t="s">
        <v>419</v>
      </c>
      <c r="B128" s="12" t="s">
        <v>420</v>
      </c>
      <c r="C128" s="11" t="s">
        <v>51</v>
      </c>
      <c r="D128" s="11"/>
      <c r="E128" s="13" t="n">
        <v>0.04</v>
      </c>
      <c r="F128" s="11"/>
      <c r="G128" s="11" t="s">
        <v>52</v>
      </c>
      <c r="H128" s="11" t="s">
        <v>421</v>
      </c>
      <c r="I128" s="12" t="s">
        <v>422</v>
      </c>
    </row>
    <row r="129" customFormat="false" ht="17.15" hidden="false" customHeight="false" outlineLevel="0" collapsed="false">
      <c r="A129" s="11" t="s">
        <v>423</v>
      </c>
      <c r="B129" s="11" t="s">
        <v>424</v>
      </c>
      <c r="C129" s="11" t="s">
        <v>51</v>
      </c>
      <c r="D129" s="11"/>
      <c r="E129" s="11" t="n">
        <f aca="false">AVERAGE(0.3954,0.329,0.3114)</f>
        <v>0.345266666666667</v>
      </c>
      <c r="F129" s="11"/>
      <c r="G129" s="11" t="s">
        <v>168</v>
      </c>
      <c r="H129" s="11" t="s">
        <v>425</v>
      </c>
      <c r="I129" s="12" t="s">
        <v>426</v>
      </c>
    </row>
    <row r="130" customFormat="false" ht="17.15" hidden="false" customHeight="false" outlineLevel="0" collapsed="false">
      <c r="A130" s="11" t="s">
        <v>427</v>
      </c>
      <c r="B130" s="12" t="s">
        <v>428</v>
      </c>
      <c r="C130" s="11" t="s">
        <v>51</v>
      </c>
      <c r="D130" s="11"/>
      <c r="E130" s="13" t="n">
        <v>0.5</v>
      </c>
      <c r="F130" s="11"/>
      <c r="G130" s="11" t="s">
        <v>52</v>
      </c>
      <c r="H130" s="11" t="s">
        <v>429</v>
      </c>
      <c r="I130" s="11" t="s">
        <v>184</v>
      </c>
    </row>
    <row r="131" customFormat="false" ht="17.15" hidden="false" customHeight="false" outlineLevel="0" collapsed="false">
      <c r="A131" s="11" t="s">
        <v>430</v>
      </c>
      <c r="B131" s="12" t="s">
        <v>431</v>
      </c>
      <c r="C131" s="11" t="s">
        <v>51</v>
      </c>
      <c r="D131" s="11"/>
      <c r="E131" s="11" t="n">
        <f aca="false">tp_g+0.02</f>
        <v>0.06</v>
      </c>
      <c r="F131" s="11"/>
      <c r="G131" s="11" t="s">
        <v>52</v>
      </c>
      <c r="H131" s="12" t="s">
        <v>432</v>
      </c>
      <c r="I131" s="11" t="s">
        <v>433</v>
      </c>
    </row>
    <row r="132" customFormat="false" ht="17.15" hidden="false" customHeight="false" outlineLevel="0" collapsed="false">
      <c r="A132" s="11" t="s">
        <v>434</v>
      </c>
      <c r="B132" s="12" t="s">
        <v>435</v>
      </c>
      <c r="C132" s="11" t="s">
        <v>51</v>
      </c>
      <c r="D132" s="11"/>
      <c r="E132" s="11" t="n">
        <f aca="false">tp_g</f>
        <v>0.04</v>
      </c>
      <c r="F132" s="11"/>
      <c r="G132" s="11" t="s">
        <v>52</v>
      </c>
      <c r="H132" s="12" t="s">
        <v>45</v>
      </c>
      <c r="I132" s="11" t="s">
        <v>184</v>
      </c>
    </row>
    <row r="133" customFormat="false" ht="17.15" hidden="false" customHeight="false" outlineLevel="0" collapsed="false">
      <c r="A133" s="11" t="s">
        <v>436</v>
      </c>
      <c r="B133" s="12" t="s">
        <v>437</v>
      </c>
      <c r="C133" s="11" t="s">
        <v>51</v>
      </c>
      <c r="D133" s="11"/>
      <c r="E133" s="11" t="n">
        <f aca="false">tp_g-0.02</f>
        <v>0.02</v>
      </c>
      <c r="F133" s="11"/>
      <c r="G133" s="11" t="s">
        <v>52</v>
      </c>
      <c r="H133" s="12" t="s">
        <v>45</v>
      </c>
      <c r="I133" s="11" t="s">
        <v>184</v>
      </c>
    </row>
    <row r="134" customFormat="false" ht="17.15" hidden="false" customHeight="false" outlineLevel="0" collapsed="false">
      <c r="A134" s="11" t="s">
        <v>438</v>
      </c>
      <c r="B134" s="12" t="s">
        <v>439</v>
      </c>
      <c r="C134" s="11" t="s">
        <v>51</v>
      </c>
      <c r="D134" s="11"/>
      <c r="E134" s="14" t="n">
        <f aca="false">PL!G14</f>
        <v>0.116805373387519</v>
      </c>
      <c r="F134" s="11"/>
      <c r="G134" s="11" t="s">
        <v>168</v>
      </c>
      <c r="H134" s="11" t="s">
        <v>440</v>
      </c>
      <c r="I134" s="11" t="s">
        <v>184</v>
      </c>
    </row>
    <row r="135" customFormat="false" ht="17.15" hidden="false" customHeight="false" outlineLevel="0" collapsed="false">
      <c r="A135" s="11" t="s">
        <v>441</v>
      </c>
      <c r="B135" s="12" t="s">
        <v>442</v>
      </c>
      <c r="C135" s="11" t="s">
        <v>51</v>
      </c>
      <c r="D135" s="11"/>
      <c r="E135" s="15" t="n">
        <f aca="false">PL!G28*0.9</f>
        <v>0.0981512233588045</v>
      </c>
      <c r="F135" s="11"/>
      <c r="G135" s="11" t="s">
        <v>52</v>
      </c>
      <c r="H135" s="12" t="s">
        <v>443</v>
      </c>
      <c r="I135" s="11" t="s">
        <v>184</v>
      </c>
    </row>
    <row r="136" customFormat="false" ht="17.15" hidden="false" customHeight="false" outlineLevel="0" collapsed="false">
      <c r="A136" s="11" t="s">
        <v>444</v>
      </c>
      <c r="B136" s="12" t="s">
        <v>445</v>
      </c>
      <c r="C136" s="11" t="s">
        <v>51</v>
      </c>
      <c r="D136" s="11"/>
      <c r="E136" s="15" t="n">
        <f aca="false">PL!G42*0.8</f>
        <v>0.0714644898050239</v>
      </c>
      <c r="F136" s="11"/>
      <c r="G136" s="11" t="s">
        <v>52</v>
      </c>
      <c r="H136" s="12" t="s">
        <v>45</v>
      </c>
      <c r="I136" s="11" t="s">
        <v>184</v>
      </c>
    </row>
    <row r="138" customFormat="false" ht="17.15" hidden="false" customHeight="false" outlineLevel="0" collapsed="false">
      <c r="A138" s="1" t="s">
        <v>446</v>
      </c>
    </row>
    <row r="139" customFormat="false" ht="17.15" hidden="false" customHeight="false" outlineLevel="0" collapsed="false">
      <c r="A139" s="1" t="s">
        <v>26</v>
      </c>
      <c r="B139" s="1" t="s">
        <v>27</v>
      </c>
      <c r="C139" s="1" t="s">
        <v>28</v>
      </c>
      <c r="D139" s="1" t="s">
        <v>447</v>
      </c>
      <c r="E139" s="1" t="s">
        <v>448</v>
      </c>
      <c r="F139" s="1" t="s">
        <v>449</v>
      </c>
      <c r="G139" s="1" t="s">
        <v>32</v>
      </c>
      <c r="H139" s="1" t="s">
        <v>450</v>
      </c>
    </row>
    <row r="140" customFormat="false" ht="17.15" hidden="false" customHeight="false" outlineLevel="0" collapsed="false">
      <c r="A140" s="0" t="s">
        <v>451</v>
      </c>
      <c r="B140" s="0" t="s">
        <v>452</v>
      </c>
      <c r="C140" s="0" t="s">
        <v>70</v>
      </c>
      <c r="D140" s="0" t="n">
        <f aca="false">E13</f>
        <v>1</v>
      </c>
      <c r="E140" s="0" t="n">
        <f aca="false">E15</f>
        <v>0.8</v>
      </c>
      <c r="F140" s="0" t="n">
        <f aca="false">E17</f>
        <v>0.6</v>
      </c>
      <c r="G140" s="0" t="s">
        <v>168</v>
      </c>
      <c r="H140" s="4" t="s">
        <v>453</v>
      </c>
    </row>
    <row r="141" customFormat="false" ht="17.15" hidden="false" customHeight="false" outlineLevel="0" collapsed="false">
      <c r="A141" s="0" t="s">
        <v>454</v>
      </c>
      <c r="B141" s="0" t="s">
        <v>455</v>
      </c>
      <c r="C141" s="0" t="s">
        <v>70</v>
      </c>
      <c r="D141" s="0" t="n">
        <f aca="false">E14</f>
        <v>1</v>
      </c>
      <c r="E141" s="0" t="n">
        <f aca="false">E16</f>
        <v>0.85</v>
      </c>
      <c r="F141" s="0" t="n">
        <f aca="false">E18</f>
        <v>0.6</v>
      </c>
      <c r="G141" s="0" t="s">
        <v>168</v>
      </c>
      <c r="H141" s="4" t="s">
        <v>456</v>
      </c>
    </row>
    <row r="142" customFormat="false" ht="17.15" hidden="false" customHeight="false" outlineLevel="0" collapsed="false">
      <c r="A142" s="0" t="s">
        <v>457</v>
      </c>
      <c r="B142" s="0" t="s">
        <v>458</v>
      </c>
      <c r="C142" s="0" t="s">
        <v>70</v>
      </c>
      <c r="D142" s="0" t="n">
        <f aca="false">E21</f>
        <v>0.6</v>
      </c>
      <c r="E142" s="0" t="n">
        <f aca="false">E22</f>
        <v>0.5</v>
      </c>
      <c r="F142" s="0" t="n">
        <f aca="false">E23</f>
        <v>0.4</v>
      </c>
      <c r="G142" s="0" t="s">
        <v>168</v>
      </c>
      <c r="H142" s="4" t="s">
        <v>459</v>
      </c>
    </row>
    <row r="143" customFormat="false" ht="17.15" hidden="false" customHeight="false" outlineLevel="0" collapsed="false">
      <c r="A143" s="0" t="s">
        <v>460</v>
      </c>
      <c r="B143" s="4" t="s">
        <v>113</v>
      </c>
      <c r="C143" s="0" t="s">
        <v>51</v>
      </c>
      <c r="D143" s="0" t="n">
        <f aca="false">E25</f>
        <v>1</v>
      </c>
      <c r="E143" s="0" t="n">
        <f aca="false">E26</f>
        <v>0.9</v>
      </c>
      <c r="F143" s="0" t="n">
        <f aca="false">E27</f>
        <v>0.7</v>
      </c>
      <c r="G143" s="0" t="s">
        <v>168</v>
      </c>
      <c r="H143" s="4" t="s">
        <v>461</v>
      </c>
    </row>
    <row r="144" customFormat="false" ht="17.15" hidden="false" customHeight="false" outlineLevel="0" collapsed="false">
      <c r="A144" s="0" t="s">
        <v>462</v>
      </c>
      <c r="B144" s="0" t="s">
        <v>126</v>
      </c>
      <c r="C144" s="0" t="s">
        <v>70</v>
      </c>
      <c r="D144" s="0" t="n">
        <f aca="false">E29</f>
        <v>1.2</v>
      </c>
      <c r="E144" s="0" t="n">
        <f aca="false">E30</f>
        <v>1.1</v>
      </c>
      <c r="F144" s="0" t="n">
        <f aca="false">E31</f>
        <v>1</v>
      </c>
      <c r="G144" s="0" t="s">
        <v>168</v>
      </c>
      <c r="H144" s="4" t="s">
        <v>463</v>
      </c>
    </row>
    <row r="145" customFormat="false" ht="17.15" hidden="false" customHeight="false" outlineLevel="0" collapsed="false">
      <c r="A145" s="0" t="s">
        <v>464</v>
      </c>
      <c r="B145" s="4" t="s">
        <v>465</v>
      </c>
      <c r="C145" s="0" t="s">
        <v>51</v>
      </c>
      <c r="D145" s="0" t="n">
        <f aca="false">E48</f>
        <v>0.06</v>
      </c>
      <c r="E145" s="0" t="n">
        <f aca="false">E49</f>
        <v>0.04</v>
      </c>
      <c r="F145" s="0" t="n">
        <f aca="false">E50</f>
        <v>0.02</v>
      </c>
      <c r="G145" s="0" t="s">
        <v>168</v>
      </c>
      <c r="H145" s="4" t="s">
        <v>466</v>
      </c>
    </row>
    <row r="146" customFormat="false" ht="17.15" hidden="false" customHeight="false" outlineLevel="0" collapsed="false">
      <c r="A146" s="0" t="s">
        <v>467</v>
      </c>
      <c r="B146" s="4" t="s">
        <v>192</v>
      </c>
      <c r="C146" s="0" t="s">
        <v>51</v>
      </c>
      <c r="D146" s="0" t="n">
        <f aca="false">E51</f>
        <v>0.08</v>
      </c>
      <c r="E146" s="0" t="n">
        <f aca="false">E52</f>
        <v>0.05</v>
      </c>
      <c r="F146" s="0" t="n">
        <f aca="false">E53</f>
        <v>0.02</v>
      </c>
      <c r="G146" s="0" t="s">
        <v>168</v>
      </c>
      <c r="H146" s="4" t="s">
        <v>468</v>
      </c>
    </row>
    <row r="147" customFormat="false" ht="17.15" hidden="false" customHeight="false" outlineLevel="0" collapsed="false">
      <c r="A147" s="0" t="s">
        <v>469</v>
      </c>
      <c r="B147" s="0" t="s">
        <v>204</v>
      </c>
      <c r="C147" s="0" t="s">
        <v>199</v>
      </c>
      <c r="D147" s="0" t="n">
        <f aca="false">E55</f>
        <v>0.01</v>
      </c>
      <c r="E147" s="0" t="n">
        <f aca="false">E56</f>
        <v>0</v>
      </c>
      <c r="F147" s="0" t="n">
        <f aca="false">E57</f>
        <v>-0.02</v>
      </c>
      <c r="G147" s="0" t="s">
        <v>168</v>
      </c>
      <c r="H147" s="4" t="s">
        <v>470</v>
      </c>
    </row>
    <row r="148" customFormat="false" ht="17.15" hidden="false" customHeight="false" outlineLevel="0" collapsed="false">
      <c r="A148" s="0" t="s">
        <v>471</v>
      </c>
      <c r="B148" s="4" t="s">
        <v>472</v>
      </c>
      <c r="C148" s="0" t="s">
        <v>70</v>
      </c>
      <c r="D148" s="0" t="n">
        <f aca="false">E59</f>
        <v>4</v>
      </c>
      <c r="E148" s="0" t="n">
        <f aca="false">E62</f>
        <v>3</v>
      </c>
      <c r="F148" s="0" t="n">
        <f aca="false">E65</f>
        <v>2</v>
      </c>
      <c r="G148" s="0" t="s">
        <v>168</v>
      </c>
      <c r="H148" s="4" t="s">
        <v>473</v>
      </c>
    </row>
    <row r="149" customFormat="false" ht="17.15" hidden="false" customHeight="false" outlineLevel="0" collapsed="false">
      <c r="A149" s="0" t="s">
        <v>474</v>
      </c>
      <c r="B149" s="4" t="s">
        <v>475</v>
      </c>
      <c r="C149" s="0" t="s">
        <v>70</v>
      </c>
      <c r="D149" s="0" t="n">
        <f aca="false">E60</f>
        <v>2</v>
      </c>
      <c r="E149" s="0" t="n">
        <f aca="false">E63</f>
        <v>1.6</v>
      </c>
      <c r="F149" s="0" t="n">
        <f aca="false">E66</f>
        <v>1.2</v>
      </c>
      <c r="G149" s="0" t="s">
        <v>168</v>
      </c>
      <c r="H149" s="4" t="s">
        <v>476</v>
      </c>
    </row>
    <row r="150" customFormat="false" ht="17.15" hidden="false" customHeight="false" outlineLevel="0" collapsed="false">
      <c r="A150" s="0" t="s">
        <v>477</v>
      </c>
      <c r="B150" s="4" t="s">
        <v>478</v>
      </c>
      <c r="C150" s="0" t="s">
        <v>51</v>
      </c>
      <c r="D150" s="0" t="n">
        <f aca="false">E61</f>
        <v>0.2</v>
      </c>
      <c r="E150" s="0" t="n">
        <f aca="false">E64</f>
        <v>0.1</v>
      </c>
      <c r="F150" s="0" t="n">
        <f aca="false">E67</f>
        <v>0</v>
      </c>
      <c r="G150" s="0" t="s">
        <v>168</v>
      </c>
      <c r="H150" s="4" t="s">
        <v>479</v>
      </c>
    </row>
    <row r="151" customFormat="false" ht="17.15" hidden="false" customHeight="false" outlineLevel="0" collapsed="false">
      <c r="A151" s="0" t="s">
        <v>480</v>
      </c>
      <c r="B151" s="4" t="s">
        <v>481</v>
      </c>
      <c r="C151" s="0" t="s">
        <v>51</v>
      </c>
      <c r="D151" s="0" t="n">
        <f aca="false">E69</f>
        <v>0.15</v>
      </c>
      <c r="E151" s="0" t="n">
        <f aca="false">E71</f>
        <v>0.08</v>
      </c>
      <c r="F151" s="0" t="n">
        <f aca="false">E73</f>
        <v>-0.05</v>
      </c>
      <c r="G151" s="0" t="s">
        <v>168</v>
      </c>
      <c r="H151" s="4" t="s">
        <v>482</v>
      </c>
    </row>
    <row r="152" customFormat="false" ht="17.15" hidden="false" customHeight="false" outlineLevel="0" collapsed="false">
      <c r="A152" s="0" t="s">
        <v>483</v>
      </c>
      <c r="B152" s="4" t="s">
        <v>484</v>
      </c>
      <c r="C152" s="0" t="s">
        <v>51</v>
      </c>
      <c r="D152" s="0" t="n">
        <f aca="false">E70</f>
        <v>0.1</v>
      </c>
      <c r="E152" s="0" t="n">
        <f aca="false">E72</f>
        <v>0.05</v>
      </c>
      <c r="F152" s="0" t="n">
        <f aca="false">E74</f>
        <v>0</v>
      </c>
      <c r="G152" s="0" t="s">
        <v>168</v>
      </c>
      <c r="H152" s="4" t="s">
        <v>485</v>
      </c>
    </row>
    <row r="153" customFormat="false" ht="17.15" hidden="false" customHeight="false" outlineLevel="0" collapsed="false">
      <c r="A153" s="0" t="s">
        <v>486</v>
      </c>
      <c r="B153" s="0" t="s">
        <v>487</v>
      </c>
      <c r="C153" s="0" t="s">
        <v>51</v>
      </c>
      <c r="D153" s="0" t="n">
        <f aca="false">E131</f>
        <v>0.06</v>
      </c>
      <c r="E153" s="0" t="n">
        <f aca="false">E132</f>
        <v>0.04</v>
      </c>
      <c r="F153" s="0" t="n">
        <f aca="false">E133</f>
        <v>0.02</v>
      </c>
      <c r="G153" s="0" t="s">
        <v>168</v>
      </c>
      <c r="H153" s="4" t="s">
        <v>488</v>
      </c>
    </row>
    <row r="154" customFormat="false" ht="17.15" hidden="false" customHeight="false" outlineLevel="0" collapsed="false">
      <c r="A154" s="0" t="s">
        <v>489</v>
      </c>
      <c r="B154" s="0" t="s">
        <v>490</v>
      </c>
      <c r="C154" s="0" t="s">
        <v>51</v>
      </c>
      <c r="D154" s="9" t="n">
        <f aca="false">E134</f>
        <v>0.116805373387519</v>
      </c>
      <c r="E154" s="8" t="n">
        <f aca="false">E135</f>
        <v>0.0981512233588045</v>
      </c>
      <c r="F154" s="8" t="n">
        <f aca="false">E136</f>
        <v>0.0714644898050239</v>
      </c>
      <c r="G154" s="8" t="s">
        <v>168</v>
      </c>
      <c r="H154" s="4" t="s">
        <v>491</v>
      </c>
    </row>
    <row r="155" customFormat="false" ht="17.15" hidden="false" customHeight="false" outlineLevel="0" collapsed="false">
      <c r="A155" s="0" t="s">
        <v>492</v>
      </c>
      <c r="B155" s="4" t="s">
        <v>493</v>
      </c>
      <c r="C155" s="0" t="s">
        <v>51</v>
      </c>
      <c r="D155" s="0" t="n">
        <f aca="false">E124</f>
        <v>0.3</v>
      </c>
      <c r="E155" s="0" t="n">
        <f aca="false">E125</f>
        <v>0.5</v>
      </c>
      <c r="F155" s="0" t="n">
        <f aca="false">E126</f>
        <v>0.2</v>
      </c>
      <c r="G155" s="0" t="s">
        <v>168</v>
      </c>
      <c r="H155" s="4" t="s">
        <v>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7" min="2" style="0" width="14"/>
    <col collapsed="false" customWidth="true" hidden="false" outlineLevel="0" max="8" min="8" style="0" width="30"/>
    <col collapsed="false" customWidth="true" hidden="false" outlineLevel="0" max="9" min="9" style="0" width="5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495</v>
      </c>
    </row>
    <row r="2" customFormat="false" ht="17.15" hidden="false" customHeight="false" outlineLevel="0" collapsed="false">
      <c r="A2" s="0" t="s">
        <v>496</v>
      </c>
    </row>
    <row r="3" customFormat="false" ht="17.15" hidden="false" customHeight="false" outlineLevel="0" collapsed="false">
      <c r="A3" s="5" t="s">
        <v>27</v>
      </c>
      <c r="B3" s="16" t="s">
        <v>497</v>
      </c>
      <c r="C3" s="16" t="s">
        <v>498</v>
      </c>
      <c r="D3" s="16" t="s">
        <v>499</v>
      </c>
      <c r="E3" s="16" t="s">
        <v>500</v>
      </c>
      <c r="F3" s="16" t="s">
        <v>501</v>
      </c>
      <c r="G3" s="16" t="s">
        <v>502</v>
      </c>
      <c r="H3" s="5" t="s">
        <v>32</v>
      </c>
      <c r="I3" s="5" t="s">
        <v>33</v>
      </c>
      <c r="J3" s="5" t="s">
        <v>34</v>
      </c>
    </row>
    <row r="4" customFormat="false" ht="17.15" hidden="false" customHeight="false" outlineLevel="0" collapsed="false">
      <c r="A4" s="4" t="s">
        <v>503</v>
      </c>
      <c r="B4" s="17" t="n">
        <v>34.141</v>
      </c>
      <c r="C4" s="17" t="n">
        <v>11.448</v>
      </c>
      <c r="D4" s="17" t="n">
        <v>13.897</v>
      </c>
      <c r="E4" s="10" t="n">
        <f aca="false">q3_rev</f>
        <v>18.754</v>
      </c>
      <c r="F4" s="10" t="n">
        <f aca="false">E4*(1+q4_g)</f>
        <v>25.3179</v>
      </c>
      <c r="G4" s="10" t="n">
        <f aca="false">SUM(C4:F4)</f>
        <v>69.4169</v>
      </c>
      <c r="H4" s="8" t="s">
        <v>504</v>
      </c>
      <c r="I4" s="8" t="s">
        <v>505</v>
      </c>
      <c r="J4" s="8" t="s">
        <v>506</v>
      </c>
    </row>
    <row r="5" customFormat="false" ht="17.15" hidden="false" customHeight="false" outlineLevel="0" collapsed="false">
      <c r="A5" s="0" t="s">
        <v>507</v>
      </c>
      <c r="B5" s="10" t="n">
        <f aca="false">B4*cpu_sh25</f>
        <v>6.14538</v>
      </c>
      <c r="G5" s="10" t="n">
        <f aca="false">G4*cpu_sh26</f>
        <v>33.320112</v>
      </c>
      <c r="H5" s="8" t="s">
        <v>52</v>
      </c>
      <c r="I5" s="8" t="s">
        <v>508</v>
      </c>
      <c r="J5" s="4" t="s">
        <v>509</v>
      </c>
    </row>
    <row r="6" customFormat="false" ht="17.15" hidden="false" customHeight="false" outlineLevel="0" collapsed="false">
      <c r="A6" s="0" t="s">
        <v>510</v>
      </c>
      <c r="B6" s="10" t="n">
        <f aca="false">B4*asic_sh25</f>
        <v>1.70705</v>
      </c>
      <c r="G6" s="10" t="n">
        <f aca="false">G4*asic_sh26</f>
        <v>2.082507</v>
      </c>
      <c r="H6" s="8" t="s">
        <v>52</v>
      </c>
      <c r="I6" s="8" t="s">
        <v>508</v>
      </c>
      <c r="J6" s="8" t="s">
        <v>184</v>
      </c>
    </row>
    <row r="7" customFormat="false" ht="17.15" hidden="false" customHeight="false" outlineLevel="0" collapsed="false">
      <c r="A7" s="4" t="s">
        <v>511</v>
      </c>
      <c r="B7" s="10" t="n">
        <f aca="false">B4*auto_sh25</f>
        <v>1.02423</v>
      </c>
      <c r="G7" s="10" t="n">
        <f aca="false">G4*auto_sh26</f>
        <v>3.470845</v>
      </c>
      <c r="H7" s="8" t="s">
        <v>512</v>
      </c>
      <c r="I7" s="8" t="s">
        <v>508</v>
      </c>
      <c r="J7" s="4" t="s">
        <v>513</v>
      </c>
    </row>
    <row r="8" customFormat="false" ht="17.15" hidden="false" customHeight="false" outlineLevel="0" collapsed="false">
      <c r="A8" s="4" t="s">
        <v>514</v>
      </c>
      <c r="B8" s="10" t="n">
        <f aca="false">B4-B5-B6-B7</f>
        <v>25.26434</v>
      </c>
      <c r="G8" s="10" t="n">
        <f aca="false">G4-G5-G6-G7</f>
        <v>30.543436</v>
      </c>
      <c r="H8" s="8" t="s">
        <v>168</v>
      </c>
      <c r="I8" s="8" t="s">
        <v>184</v>
      </c>
      <c r="J8" s="8" t="s">
        <v>515</v>
      </c>
    </row>
    <row r="9" customFormat="false" ht="17.15" hidden="false" customHeight="false" outlineLevel="0" collapsed="false">
      <c r="A9" s="4" t="s">
        <v>516</v>
      </c>
      <c r="B9" s="17" t="n">
        <v>8.454</v>
      </c>
      <c r="C9" s="10" t="n">
        <f aca="false">25.345*0.241-D9</f>
        <v>3.106393</v>
      </c>
      <c r="D9" s="10" t="n">
        <f aca="false">13.897*0.216</f>
        <v>3.001752</v>
      </c>
      <c r="E9" s="10" t="n">
        <f aca="false">9.967659-C9-D9</f>
        <v>3.859514</v>
      </c>
      <c r="F9" s="10" t="n">
        <f aca="false">F4*q4_gm</f>
        <v>4.6838115</v>
      </c>
      <c r="G9" s="10" t="n">
        <f aca="false">SUM(C9:F9)</f>
        <v>14.6514705</v>
      </c>
      <c r="H9" s="8" t="s">
        <v>517</v>
      </c>
      <c r="I9" s="8" t="s">
        <v>505</v>
      </c>
      <c r="J9" s="8" t="s">
        <v>518</v>
      </c>
    </row>
    <row r="10" customFormat="false" ht="17.15" hidden="false" customHeight="false" outlineLevel="0" collapsed="false">
      <c r="A10" s="4" t="s">
        <v>519</v>
      </c>
      <c r="B10" s="9" t="n">
        <f aca="false">B9/B4</f>
        <v>0.247620163439852</v>
      </c>
      <c r="C10" s="9" t="n">
        <f aca="false">C9/C4</f>
        <v>0.271348095737247</v>
      </c>
      <c r="D10" s="9" t="n">
        <f aca="false">D9/D4</f>
        <v>0.216</v>
      </c>
      <c r="E10" s="9" t="n">
        <f aca="false">E9/E4</f>
        <v>0.205796843340088</v>
      </c>
      <c r="F10" s="9" t="n">
        <f aca="false">F9/F4</f>
        <v>0.185</v>
      </c>
      <c r="G10" s="9" t="n">
        <f aca="false">G9/G4</f>
        <v>0.211064891978754</v>
      </c>
      <c r="H10" s="8" t="s">
        <v>168</v>
      </c>
      <c r="I10" s="8" t="s">
        <v>184</v>
      </c>
      <c r="J10" s="4" t="s">
        <v>520</v>
      </c>
    </row>
    <row r="11" customFormat="false" ht="17.15" hidden="false" customHeight="false" outlineLevel="0" collapsed="false">
      <c r="A11" s="4" t="s">
        <v>521</v>
      </c>
      <c r="B11" s="10" t="n">
        <f aca="false">B9-B12</f>
        <v>4.104</v>
      </c>
      <c r="C11" s="10" t="n">
        <f aca="false">C9-C12</f>
        <v>1.284783</v>
      </c>
      <c r="D11" s="10" t="n">
        <f aca="false">D9-D12</f>
        <v>1.325752</v>
      </c>
      <c r="E11" s="10" t="n">
        <f aca="false">E9-E12</f>
        <v>1.305437</v>
      </c>
      <c r="F11" s="10" t="n">
        <f aca="false">q4_opx</f>
        <v>1.45</v>
      </c>
      <c r="G11" s="10" t="n">
        <f aca="false">SUM(C11:F11)</f>
        <v>5.365972</v>
      </c>
      <c r="H11" s="8" t="s">
        <v>522</v>
      </c>
      <c r="I11" s="8" t="s">
        <v>505</v>
      </c>
      <c r="J11" s="4" t="s">
        <v>523</v>
      </c>
    </row>
    <row r="12" customFormat="false" ht="17.15" hidden="false" customHeight="false" outlineLevel="0" collapsed="false">
      <c r="A12" s="4" t="s">
        <v>524</v>
      </c>
      <c r="B12" s="17" t="n">
        <v>4.35</v>
      </c>
      <c r="C12" s="10" t="n">
        <f aca="false">25.345*0.138-D12</f>
        <v>1.82161</v>
      </c>
      <c r="D12" s="17" t="n">
        <v>1.676</v>
      </c>
      <c r="E12" s="10" t="n">
        <f aca="false">6.051687-C12-D12</f>
        <v>2.554077</v>
      </c>
      <c r="F12" s="10" t="n">
        <f aca="false">F9-F11</f>
        <v>3.2338115</v>
      </c>
      <c r="G12" s="10" t="n">
        <f aca="false">SUM(C12:F12)</f>
        <v>9.2854985</v>
      </c>
      <c r="H12" s="8" t="s">
        <v>525</v>
      </c>
      <c r="I12" s="8" t="s">
        <v>505</v>
      </c>
      <c r="J12" s="8" t="s">
        <v>526</v>
      </c>
    </row>
    <row r="13" customFormat="false" ht="17.15" hidden="false" customHeight="false" outlineLevel="0" collapsed="false">
      <c r="A13" s="4" t="s">
        <v>527</v>
      </c>
      <c r="B13" s="10" t="n">
        <f aca="false">B14-B12</f>
        <v>0.0920000000000005</v>
      </c>
      <c r="C13" s="10" t="n">
        <f aca="false">C14-C12</f>
        <v>0.0828762280030602</v>
      </c>
      <c r="D13" s="10" t="n">
        <f aca="false">D14-D12</f>
        <v>0.123195677123183</v>
      </c>
      <c r="E13" s="10" t="n">
        <f aca="false">6.306235-6.051687-C13-D13</f>
        <v>0.0484760948737564</v>
      </c>
      <c r="F13" s="10" t="n">
        <f aca="false">q_nonop</f>
        <v>0.13</v>
      </c>
      <c r="G13" s="10" t="n">
        <f aca="false">SUM(C13:F13)</f>
        <v>0.384548</v>
      </c>
      <c r="H13" s="8" t="s">
        <v>57</v>
      </c>
      <c r="I13" s="8" t="s">
        <v>505</v>
      </c>
      <c r="J13" s="4" t="s">
        <v>528</v>
      </c>
    </row>
    <row r="14" customFormat="false" ht="17.15" hidden="false" customHeight="false" outlineLevel="0" collapsed="false">
      <c r="A14" s="4" t="s">
        <v>529</v>
      </c>
      <c r="B14" s="17" t="n">
        <v>4.442</v>
      </c>
      <c r="C14" s="10" t="n">
        <f aca="false">C17/(1-t_h1)</f>
        <v>1.90448622800306</v>
      </c>
      <c r="D14" s="10" t="n">
        <f aca="false">D17/(1-t_h1)</f>
        <v>1.79919567712318</v>
      </c>
      <c r="E14" s="10" t="n">
        <f aca="false">E12+E13</f>
        <v>2.60255309487376</v>
      </c>
      <c r="F14" s="10" t="n">
        <f aca="false">F12+F13</f>
        <v>3.3638115</v>
      </c>
      <c r="G14" s="10" t="n">
        <f aca="false">SUM(C14:F14)</f>
        <v>9.6700465</v>
      </c>
      <c r="H14" s="8" t="s">
        <v>168</v>
      </c>
      <c r="I14" s="8" t="s">
        <v>505</v>
      </c>
      <c r="J14" s="8" t="s">
        <v>530</v>
      </c>
    </row>
    <row r="15" customFormat="false" ht="17.15" hidden="false" customHeight="false" outlineLevel="0" collapsed="false">
      <c r="A15" s="4" t="s">
        <v>531</v>
      </c>
      <c r="B15" s="10" t="n">
        <f aca="false">B14-B17</f>
        <v>0.672</v>
      </c>
      <c r="C15" s="10" t="n">
        <f aca="false">C14-C17</f>
        <v>0.258486228003061</v>
      </c>
      <c r="D15" s="10" t="n">
        <f aca="false">D14-D17</f>
        <v>0.244195677123183</v>
      </c>
      <c r="E15" s="10" t="n">
        <f aca="false">E14-E17</f>
        <v>0.330108094873756</v>
      </c>
      <c r="F15" s="10" t="n">
        <f aca="false">F14*q_tax</f>
        <v>0.504571725</v>
      </c>
      <c r="G15" s="10" t="n">
        <f aca="false">SUM(C15:F15)</f>
        <v>1.337361725</v>
      </c>
      <c r="H15" s="8" t="s">
        <v>57</v>
      </c>
      <c r="I15" s="8" t="s">
        <v>505</v>
      </c>
      <c r="J15" s="4" t="s">
        <v>532</v>
      </c>
    </row>
    <row r="16" customFormat="false" ht="15" hidden="false" customHeight="false" outlineLevel="0" collapsed="false">
      <c r="A16" s="4" t="s">
        <v>533</v>
      </c>
      <c r="B16" s="18" t="n">
        <f aca="false">B15/B14</f>
        <v>0.15128320576317</v>
      </c>
      <c r="C16" s="18" t="n">
        <f aca="false">C15/C14</f>
        <v>0.135724913208795</v>
      </c>
      <c r="D16" s="18" t="n">
        <f aca="false">D15/D14</f>
        <v>0.135724913208795</v>
      </c>
      <c r="E16" s="18" t="n">
        <f aca="false">E15/E14</f>
        <v>0.126840100024844</v>
      </c>
      <c r="F16" s="18" t="n">
        <f aca="false">F15/F14</f>
        <v>0.15</v>
      </c>
      <c r="G16" s="18" t="n">
        <f aca="false">G15/G14</f>
        <v>0.138299409935619</v>
      </c>
      <c r="H16" s="8" t="s">
        <v>168</v>
      </c>
      <c r="I16" s="8" t="s">
        <v>184</v>
      </c>
      <c r="J16" s="8" t="s">
        <v>184</v>
      </c>
    </row>
    <row r="17" customFormat="false" ht="17.15" hidden="false" customHeight="false" outlineLevel="0" collapsed="false">
      <c r="A17" s="4" t="s">
        <v>534</v>
      </c>
      <c r="B17" s="17" t="n">
        <v>3.77</v>
      </c>
      <c r="C17" s="17" t="n">
        <v>1.646</v>
      </c>
      <c r="D17" s="17" t="n">
        <v>1.555</v>
      </c>
      <c r="E17" s="10" t="n">
        <f aca="false">5.473445-C17-D17</f>
        <v>2.272445</v>
      </c>
      <c r="F17" s="10" t="n">
        <f aca="false">F14-F15</f>
        <v>2.859239775</v>
      </c>
      <c r="G17" s="10" t="n">
        <f aca="false">SUM(C17:F17)</f>
        <v>8.332684775</v>
      </c>
      <c r="H17" s="8" t="s">
        <v>525</v>
      </c>
      <c r="I17" s="8" t="s">
        <v>505</v>
      </c>
      <c r="J17" s="4" t="s">
        <v>535</v>
      </c>
    </row>
    <row r="18" customFormat="false" ht="17.15" hidden="false" customHeight="false" outlineLevel="0" collapsed="false">
      <c r="A18" s="4" t="s">
        <v>536</v>
      </c>
      <c r="B18" s="19" t="n">
        <f aca="false">3.77/28.13</f>
        <v>0.134020618556701</v>
      </c>
      <c r="C18" s="19" t="n">
        <f aca="false">1.646/12.28</f>
        <v>0.134039087947883</v>
      </c>
      <c r="D18" s="19" t="n">
        <f aca="false">1.555/11.61</f>
        <v>0.133936261843239</v>
      </c>
      <c r="E18" s="19" t="n">
        <f aca="false">q_sh</f>
        <v>0.13401</v>
      </c>
      <c r="F18" s="19" t="n">
        <f aca="false">q_sh</f>
        <v>0.13401</v>
      </c>
      <c r="G18" s="19" t="n">
        <f aca="false">AVERAGE(C18:F18)</f>
        <v>0.13399883744778</v>
      </c>
      <c r="H18" s="8" t="s">
        <v>168</v>
      </c>
      <c r="I18" s="4" t="s">
        <v>537</v>
      </c>
      <c r="J18" s="8" t="s">
        <v>184</v>
      </c>
    </row>
    <row r="19" customFormat="false" ht="17.15" hidden="false" customHeight="false" outlineLevel="0" collapsed="false">
      <c r="A19" s="0" t="s">
        <v>538</v>
      </c>
      <c r="B19" s="20" t="n">
        <f aca="false">B17/B18</f>
        <v>28.13</v>
      </c>
      <c r="C19" s="20" t="n">
        <f aca="false">C17/C18</f>
        <v>12.28</v>
      </c>
      <c r="D19" s="20" t="n">
        <f aca="false">D17/D18</f>
        <v>11.61</v>
      </c>
      <c r="E19" s="20" t="n">
        <f aca="false">E17/E18</f>
        <v>16.9572793075144</v>
      </c>
      <c r="F19" s="20" t="n">
        <f aca="false">F17/F18</f>
        <v>21.3360180210432</v>
      </c>
      <c r="G19" s="20" t="n">
        <f aca="false">G17/G18</f>
        <v>62.1847542389856</v>
      </c>
      <c r="H19" s="8" t="s">
        <v>168</v>
      </c>
      <c r="I19" s="4" t="s">
        <v>539</v>
      </c>
      <c r="J19" s="8" t="s">
        <v>184</v>
      </c>
    </row>
    <row r="20" customFormat="false" ht="17.15" hidden="false" customHeight="false" outlineLevel="0" collapsed="false">
      <c r="A20" s="4" t="s">
        <v>540</v>
      </c>
      <c r="B20" s="21" t="n">
        <v>28.13</v>
      </c>
      <c r="C20" s="21" t="n">
        <v>12.28</v>
      </c>
      <c r="D20" s="21" t="n">
        <v>11.61</v>
      </c>
      <c r="E20" s="20" t="n">
        <f aca="false">40.84-C20-D20</f>
        <v>16.95</v>
      </c>
      <c r="H20" s="8" t="s">
        <v>279</v>
      </c>
      <c r="I20" s="8" t="s">
        <v>505</v>
      </c>
      <c r="J20" s="8" t="s">
        <v>541</v>
      </c>
    </row>
    <row r="22" customFormat="false" ht="17.15" hidden="false" customHeight="false" outlineLevel="0" collapsed="false">
      <c r="A22" s="6" t="s">
        <v>542</v>
      </c>
    </row>
    <row r="23" customFormat="false" ht="17.15" hidden="false" customHeight="false" outlineLevel="0" collapsed="false">
      <c r="A23" s="0" t="s">
        <v>543</v>
      </c>
      <c r="B23" s="18" t="n">
        <f aca="false">G4/B4-1</f>
        <v>1.03324155707214</v>
      </c>
    </row>
    <row r="24" customFormat="false" ht="17.15" hidden="false" customHeight="false" outlineLevel="0" collapsed="false">
      <c r="A24" s="0" t="s">
        <v>544</v>
      </c>
      <c r="B24" s="18" t="n">
        <f aca="false">E4/D4-1</f>
        <v>0.349499892063035</v>
      </c>
    </row>
    <row r="25" customFormat="false" ht="17.15" hidden="false" customHeight="false" outlineLevel="0" collapsed="false">
      <c r="A25" s="0" t="s">
        <v>545</v>
      </c>
      <c r="B25" s="18" t="n">
        <f aca="false">G10</f>
        <v>0.211064891978754</v>
      </c>
    </row>
    <row r="26" customFormat="false" ht="17.15" hidden="false" customHeight="false" outlineLevel="0" collapsed="false">
      <c r="A26" s="0" t="s">
        <v>546</v>
      </c>
      <c r="B26" s="18" t="n">
        <f aca="false">G12/G4</f>
        <v>0.13376423464603</v>
      </c>
    </row>
    <row r="27" customFormat="false" ht="17.15" hidden="false" customHeight="false" outlineLevel="0" collapsed="false">
      <c r="A27" s="0" t="s">
        <v>547</v>
      </c>
      <c r="B27" s="18" t="n">
        <f aca="false">G8/B8-1</f>
        <v>0.208954439340193</v>
      </c>
    </row>
    <row r="28" customFormat="false" ht="17.15" hidden="false" customHeight="false" outlineLevel="0" collapsed="false">
      <c r="A28" s="4" t="s">
        <v>548</v>
      </c>
      <c r="B28" s="18" t="n">
        <f aca="false">(G9-m_tk*(G5+G6)-m_auto*G7)/G8</f>
        <v>0.310829299951715</v>
      </c>
    </row>
    <row r="29" customFormat="false" ht="17.15" hidden="false" customHeight="false" outlineLevel="0" collapsed="false">
      <c r="A29" s="4" t="s">
        <v>549</v>
      </c>
      <c r="B29" s="22" t="n">
        <f aca="false">C4+D4-25.34</f>
        <v>0.00499999999999901</v>
      </c>
    </row>
    <row r="30" customFormat="false" ht="17.15" hidden="false" customHeight="false" outlineLevel="0" collapsed="false">
      <c r="A30" s="4" t="s">
        <v>550</v>
      </c>
      <c r="B30" s="22" t="n">
        <f aca="false">C17+D17-3.2</f>
        <v>0.000999999999999446</v>
      </c>
    </row>
    <row r="31" customFormat="false" ht="17.15" hidden="false" customHeight="false" outlineLevel="0" collapsed="false">
      <c r="A31" s="4" t="s">
        <v>551</v>
      </c>
      <c r="B31" s="18" t="n">
        <f aca="false">B11/B4</f>
        <v>0.120207375296564</v>
      </c>
    </row>
    <row r="33" customFormat="false" ht="17.15" hidden="false" customHeight="false" outlineLevel="0" collapsed="false">
      <c r="A33" s="1" t="s">
        <v>552</v>
      </c>
    </row>
    <row r="34" customFormat="false" ht="17.15" hidden="false" customHeight="false" outlineLevel="0" collapsed="false">
      <c r="A34" s="4" t="s">
        <v>553</v>
      </c>
      <c r="B34" s="17" t="n">
        <v>34.141</v>
      </c>
      <c r="H34" s="8" t="s">
        <v>279</v>
      </c>
      <c r="I34" s="4" t="s">
        <v>554</v>
      </c>
      <c r="J34" s="4" t="s">
        <v>555</v>
      </c>
    </row>
    <row r="35" customFormat="false" ht="17.15" hidden="false" customHeight="false" outlineLevel="0" collapsed="false">
      <c r="A35" s="4" t="s">
        <v>556</v>
      </c>
      <c r="B35" s="10" t="n">
        <f aca="false">B34*0.34</f>
        <v>11.60794</v>
      </c>
      <c r="H35" s="8" t="s">
        <v>39</v>
      </c>
      <c r="I35" s="4" t="s">
        <v>557</v>
      </c>
      <c r="J35" s="4" t="s">
        <v>558</v>
      </c>
    </row>
    <row r="36" customFormat="false" ht="17.15" hidden="false" customHeight="false" outlineLevel="0" collapsed="false">
      <c r="A36" s="4" t="s">
        <v>559</v>
      </c>
      <c r="B36" s="10" t="n">
        <f aca="false">B34*0.64</f>
        <v>21.85024</v>
      </c>
      <c r="H36" s="8" t="s">
        <v>39</v>
      </c>
      <c r="I36" s="4" t="s">
        <v>560</v>
      </c>
      <c r="J36" s="4" t="s">
        <v>561</v>
      </c>
    </row>
    <row r="37" customFormat="false" ht="17.15" hidden="false" customHeight="false" outlineLevel="0" collapsed="false">
      <c r="A37" s="4" t="s">
        <v>562</v>
      </c>
      <c r="B37" s="10" t="n">
        <f aca="false">B34-B35-B36</f>
        <v>0.68282</v>
      </c>
      <c r="H37" s="8" t="s">
        <v>168</v>
      </c>
      <c r="I37" s="8" t="s">
        <v>184</v>
      </c>
      <c r="J37" s="4" t="s">
        <v>563</v>
      </c>
    </row>
    <row r="38" customFormat="false" ht="17.15" hidden="false" customHeight="false" outlineLevel="0" collapsed="false">
      <c r="A38" s="4" t="s">
        <v>564</v>
      </c>
      <c r="B38" s="10" t="n">
        <f aca="false">B34-B4</f>
        <v>0</v>
      </c>
      <c r="H38" s="8" t="s">
        <v>168</v>
      </c>
      <c r="I38" s="8" t="s">
        <v>184</v>
      </c>
      <c r="J38" s="4" t="s">
        <v>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56"/>
  </cols>
  <sheetData>
    <row r="1" customFormat="false" ht="17.15" hidden="false" customHeight="false" outlineLevel="0" collapsed="false">
      <c r="A1" s="0" t="s">
        <v>566</v>
      </c>
    </row>
    <row r="3" customFormat="false" ht="15" hidden="false" customHeight="false" outlineLevel="0" collapsed="false">
      <c r="A3" s="5" t="s">
        <v>27</v>
      </c>
      <c r="B3" s="5" t="s">
        <v>28</v>
      </c>
      <c r="C3" s="16" t="s">
        <v>567</v>
      </c>
      <c r="D3" s="16" t="s">
        <v>568</v>
      </c>
      <c r="E3" s="16" t="s">
        <v>569</v>
      </c>
      <c r="F3" s="16" t="s">
        <v>570</v>
      </c>
      <c r="G3" s="5" t="s">
        <v>450</v>
      </c>
    </row>
    <row r="4" customFormat="false" ht="17.15" hidden="false" customHeight="false" outlineLevel="0" collapsed="false">
      <c r="A4" s="6" t="s">
        <v>571</v>
      </c>
    </row>
    <row r="5" customFormat="false" ht="17.15" hidden="false" customHeight="false" outlineLevel="0" collapsed="false">
      <c r="A5" s="0" t="s">
        <v>572</v>
      </c>
      <c r="B5" s="4" t="s">
        <v>38</v>
      </c>
      <c r="C5" s="23" t="n">
        <f aca="false">PL!D63</f>
        <v>3.85</v>
      </c>
      <c r="D5" s="23" t="n">
        <f aca="false">PL!E63</f>
        <v>5.5</v>
      </c>
      <c r="E5" s="23" t="n">
        <f aca="false">PL!F63</f>
        <v>7</v>
      </c>
      <c r="F5" s="23" t="n">
        <f aca="false">PL!G63</f>
        <v>8.05</v>
      </c>
      <c r="G5" s="8" t="s">
        <v>573</v>
      </c>
    </row>
    <row r="6" customFormat="false" ht="17.15" hidden="false" customHeight="false" outlineLevel="0" collapsed="false">
      <c r="A6" s="0" t="s">
        <v>574</v>
      </c>
      <c r="B6" s="0" t="s">
        <v>70</v>
      </c>
      <c r="C6" s="23" t="n">
        <f aca="false">PL!D64</f>
        <v>0.325</v>
      </c>
      <c r="D6" s="23" t="n">
        <f aca="false">PL!E64</f>
        <v>0.6</v>
      </c>
      <c r="E6" s="23" t="n">
        <f aca="false">PL!F64</f>
        <v>0.6</v>
      </c>
      <c r="F6" s="23" t="n">
        <f aca="false">PL!G64</f>
        <v>0.6</v>
      </c>
      <c r="G6" s="8" t="s">
        <v>575</v>
      </c>
    </row>
    <row r="7" customFormat="false" ht="17.15" hidden="false" customHeight="false" outlineLevel="0" collapsed="false">
      <c r="A7" s="4" t="s">
        <v>576</v>
      </c>
      <c r="B7" s="4" t="s">
        <v>38</v>
      </c>
      <c r="C7" s="22" t="n">
        <f aca="false">PL!D66</f>
        <v>1.25125</v>
      </c>
      <c r="D7" s="22" t="n">
        <f aca="false">PL!E66</f>
        <v>3.3</v>
      </c>
      <c r="E7" s="22" t="n">
        <f aca="false">PL!F66</f>
        <v>4.2</v>
      </c>
      <c r="F7" s="22" t="n">
        <f aca="false">PL!G66</f>
        <v>4.83</v>
      </c>
      <c r="G7" s="8" t="s">
        <v>577</v>
      </c>
    </row>
    <row r="8" customFormat="false" ht="17.15" hidden="false" customHeight="false" outlineLevel="0" collapsed="false">
      <c r="A8" s="4" t="s">
        <v>578</v>
      </c>
      <c r="B8" s="0" t="s">
        <v>116</v>
      </c>
      <c r="C8" s="23" t="n">
        <f aca="false">PL!D73</f>
        <v>0.842704434805701</v>
      </c>
      <c r="D8" s="23" t="n">
        <f aca="false">PL!E73</f>
        <v>0.842704434805701</v>
      </c>
      <c r="E8" s="23" t="n">
        <f aca="false">PL!F73</f>
        <v>1.01124532176684</v>
      </c>
      <c r="F8" s="23" t="n">
        <f aca="false">PL!G73</f>
        <v>1.01124532176684</v>
      </c>
      <c r="G8" s="4" t="s">
        <v>579</v>
      </c>
    </row>
    <row r="9" customFormat="false" ht="17.15" hidden="false" customHeight="false" outlineLevel="0" collapsed="false">
      <c r="A9" s="4" t="s">
        <v>580</v>
      </c>
      <c r="B9" s="0" t="s">
        <v>581</v>
      </c>
      <c r="C9" s="23" t="n">
        <f aca="false">PL!D70</f>
        <v>1.05443392405063</v>
      </c>
      <c r="D9" s="23" t="n">
        <f aca="false">PL!E70</f>
        <v>2.78092463485881</v>
      </c>
      <c r="E9" s="23" t="n">
        <f aca="false">PL!F70</f>
        <v>4.24723035142073</v>
      </c>
      <c r="F9" s="23" t="n">
        <f aca="false">PL!G70</f>
        <v>4.88431490413384</v>
      </c>
      <c r="G9" s="8" t="s">
        <v>184</v>
      </c>
    </row>
    <row r="10" customFormat="false" ht="17.15" hidden="false" customHeight="false" outlineLevel="0" collapsed="false">
      <c r="A10" s="4" t="s">
        <v>582</v>
      </c>
      <c r="B10" s="4" t="s">
        <v>38</v>
      </c>
      <c r="C10" s="23" t="n">
        <f aca="false">PL!D75</f>
        <v>1</v>
      </c>
      <c r="D10" s="23" t="n">
        <f aca="false">PL!E75</f>
        <v>4.5</v>
      </c>
      <c r="E10" s="23" t="n">
        <f aca="false">PL!F75</f>
        <v>5</v>
      </c>
      <c r="F10" s="23" t="n">
        <f aca="false">PL!G75</f>
        <v>5.75</v>
      </c>
      <c r="G10" s="8" t="s">
        <v>583</v>
      </c>
    </row>
    <row r="11" customFormat="false" ht="17.15" hidden="false" customHeight="false" outlineLevel="0" collapsed="false">
      <c r="A11" s="4" t="s">
        <v>584</v>
      </c>
      <c r="B11" s="0" t="s">
        <v>51</v>
      </c>
      <c r="C11" s="18" t="n">
        <f aca="false">PL!D76</f>
        <v>0.03</v>
      </c>
      <c r="D11" s="18" t="n">
        <f aca="false">PL!E76</f>
        <v>0.06</v>
      </c>
      <c r="E11" s="18" t="n">
        <f aca="false">PL!F76</f>
        <v>0.08</v>
      </c>
      <c r="F11" s="18" t="n">
        <f aca="false">PL!G76</f>
        <v>0.08</v>
      </c>
      <c r="G11" s="8" t="s">
        <v>585</v>
      </c>
    </row>
    <row r="12" customFormat="false" ht="17.15" hidden="false" customHeight="false" outlineLevel="0" collapsed="false">
      <c r="A12" s="4" t="s">
        <v>586</v>
      </c>
      <c r="B12" s="4" t="s">
        <v>38</v>
      </c>
      <c r="C12" s="22" t="n">
        <f aca="false">PL!D77</f>
        <v>0.03</v>
      </c>
      <c r="D12" s="22" t="n">
        <f aca="false">PL!E77</f>
        <v>0.27</v>
      </c>
      <c r="E12" s="22" t="n">
        <f aca="false">PL!F77</f>
        <v>0.4</v>
      </c>
      <c r="F12" s="22" t="n">
        <f aca="false">PL!G77</f>
        <v>0.46</v>
      </c>
      <c r="G12" s="4" t="s">
        <v>587</v>
      </c>
    </row>
    <row r="13" customFormat="false" ht="17.15" hidden="false" customHeight="false" outlineLevel="0" collapsed="false">
      <c r="A13" s="4" t="s">
        <v>588</v>
      </c>
      <c r="B13" s="0" t="s">
        <v>581</v>
      </c>
      <c r="C13" s="23" t="n">
        <f aca="false">PL!D80</f>
        <v>0.0659021202531645</v>
      </c>
      <c r="D13" s="23" t="n">
        <f aca="false">PL!E80</f>
        <v>0.593119082278481</v>
      </c>
      <c r="E13" s="23" t="n">
        <f aca="false">PL!F80</f>
        <v>0.878694936708861</v>
      </c>
      <c r="F13" s="23" t="n">
        <f aca="false">PL!G80</f>
        <v>1.01049917721519</v>
      </c>
      <c r="G13" s="4" t="s">
        <v>589</v>
      </c>
    </row>
    <row r="15" customFormat="false" ht="17.15" hidden="false" customHeight="false" outlineLevel="0" collapsed="false">
      <c r="A15" s="6" t="s">
        <v>590</v>
      </c>
    </row>
    <row r="16" customFormat="false" ht="17.15" hidden="false" customHeight="false" outlineLevel="0" collapsed="false">
      <c r="A16" s="0" t="s">
        <v>591</v>
      </c>
      <c r="B16" s="0" t="s">
        <v>51</v>
      </c>
      <c r="C16" s="18" t="n">
        <f aca="false">av_oth_26+mv_oth_26+mk_oth_26+PL!D76</f>
        <v>0.45</v>
      </c>
      <c r="D16" s="18" t="n">
        <f aca="false">av_oth_27+mv_oth_27+mk_oth_27+PL!E76</f>
        <v>0.7</v>
      </c>
      <c r="E16" s="18" t="n">
        <f aca="false">av_oth_28+mv_oth_28+mk_oth_28+PL!F76</f>
        <v>0.83</v>
      </c>
      <c r="F16" s="18" t="n">
        <f aca="false">av_oth_28+mv_oth_28+mk_oth_28+PL!G76</f>
        <v>0.83</v>
      </c>
      <c r="G16" s="4" t="s">
        <v>592</v>
      </c>
    </row>
    <row r="17" customFormat="false" ht="17.15" hidden="false" customHeight="false" outlineLevel="0" collapsed="false">
      <c r="A17" s="0" t="s">
        <v>593</v>
      </c>
      <c r="B17" s="0" t="s">
        <v>51</v>
      </c>
      <c r="C17" s="18" t="n">
        <f aca="false">av_oth_26+mv_oth_26+mk_oth_26+PL!D124</f>
        <v>0.45</v>
      </c>
      <c r="D17" s="18" t="n">
        <f aca="false">av_oth_27+mv_oth_27+mk_oth_27+PL!E124</f>
        <v>0.68</v>
      </c>
      <c r="E17" s="18" t="n">
        <f aca="false">av_oth_28+mv_oth_28+mk_oth_28+PL!F124</f>
        <v>0.8</v>
      </c>
      <c r="F17" s="18" t="n">
        <f aca="false">av_oth_28+mv_oth_28+mk_oth_28+PL!G124</f>
        <v>0.8</v>
      </c>
      <c r="G17" s="4" t="s">
        <v>45</v>
      </c>
    </row>
    <row r="18" customFormat="false" ht="17.15" hidden="false" customHeight="false" outlineLevel="0" collapsed="false">
      <c r="A18" s="0" t="s">
        <v>594</v>
      </c>
      <c r="B18" s="0" t="s">
        <v>51</v>
      </c>
      <c r="C18" s="18" t="n">
        <f aca="false">av_oth_26+mv_oth_26+mk_oth_26+PL!D172</f>
        <v>0.45</v>
      </c>
      <c r="D18" s="18" t="n">
        <f aca="false">av_oth_27+mv_oth_27+mk_oth_27+PL!E172</f>
        <v>0.66</v>
      </c>
      <c r="E18" s="18" t="n">
        <f aca="false">av_oth_28+mv_oth_28+mk_oth_28+PL!F172</f>
        <v>0.77</v>
      </c>
      <c r="F18" s="18" t="n">
        <f aca="false">av_oth_28+mv_oth_28+mk_oth_28+PL!G172</f>
        <v>0.77</v>
      </c>
      <c r="G18" s="4" t="s">
        <v>45</v>
      </c>
    </row>
    <row r="19" customFormat="false" ht="17.15" hidden="false" customHeight="false" outlineLevel="0" collapsed="false">
      <c r="A19" s="4" t="s">
        <v>595</v>
      </c>
      <c r="B19" s="0" t="s">
        <v>51</v>
      </c>
      <c r="C19" s="18" t="n">
        <f aca="false">1-av_oth_26-mv_oth_26-mk_oth_26</f>
        <v>0.58</v>
      </c>
      <c r="D19" s="18" t="n">
        <f aca="false">1-av_oth_27-mv_oth_27-mk_oth_27</f>
        <v>0.36</v>
      </c>
      <c r="E19" s="18" t="n">
        <f aca="false">1-av_oth_28-mv_oth_28-mk_oth_28</f>
        <v>0.25</v>
      </c>
      <c r="F19" s="18" t="n">
        <f aca="false">1-av_oth_28-mv_oth_28-mk_oth_28</f>
        <v>0.25</v>
      </c>
      <c r="G19" s="8" t="s">
        <v>596</v>
      </c>
    </row>
    <row r="20" customFormat="false" ht="17.15" hidden="false" customHeight="false" outlineLevel="0" collapsed="false">
      <c r="A20" s="0" t="s">
        <v>597</v>
      </c>
      <c r="B20" s="0" t="s">
        <v>51</v>
      </c>
      <c r="C20" s="18" t="n">
        <f aca="false">av_tpu_26</f>
        <v>0.95</v>
      </c>
      <c r="D20" s="18" t="n">
        <f aca="false">av_tpu_27</f>
        <v>0.95</v>
      </c>
      <c r="E20" s="18" t="n">
        <f aca="false">av_tpu_28</f>
        <v>0.98</v>
      </c>
      <c r="F20" s="18" t="n">
        <f aca="false">av_tpu_28</f>
        <v>0.98</v>
      </c>
      <c r="G20" s="4" t="s">
        <v>598</v>
      </c>
    </row>
    <row r="22" customFormat="false" ht="17.15" hidden="false" customHeight="false" outlineLevel="0" collapsed="false">
      <c r="A22" s="6" t="s">
        <v>599</v>
      </c>
    </row>
    <row r="23" customFormat="false" ht="17.15" hidden="false" customHeight="false" outlineLevel="0" collapsed="false">
      <c r="A23" s="0" t="s">
        <v>600</v>
      </c>
      <c r="C23" s="22" t="n">
        <f aca="false">PL!D69</f>
        <v>0.842704434805701</v>
      </c>
      <c r="G23" s="8" t="s">
        <v>601</v>
      </c>
    </row>
    <row r="24" customFormat="false" ht="17.15" hidden="false" customHeight="false" outlineLevel="0" collapsed="false">
      <c r="A24" s="0" t="s">
        <v>602</v>
      </c>
      <c r="C24" s="22" t="n">
        <f aca="false">PL!D79</f>
        <v>0.366122890295359</v>
      </c>
      <c r="G24" s="8" t="s">
        <v>603</v>
      </c>
    </row>
    <row r="25" customFormat="false" ht="17.15" hidden="false" customHeight="false" outlineLevel="0" collapsed="false">
      <c r="A25" s="4" t="s">
        <v>604</v>
      </c>
      <c r="C25" s="9" t="n">
        <f aca="false">PL!D92</f>
        <v>0.310829299951715</v>
      </c>
      <c r="G25" s="4" t="s">
        <v>605</v>
      </c>
    </row>
    <row r="27" customFormat="false" ht="17.15" hidden="false" customHeight="false" outlineLevel="0" collapsed="false">
      <c r="A27" s="1" t="s">
        <v>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607</v>
      </c>
    </row>
    <row r="2" customFormat="false" ht="17.15" hidden="false" customHeight="false" outlineLevel="0" collapsed="false">
      <c r="A2" s="4" t="s">
        <v>608</v>
      </c>
    </row>
    <row r="3" customFormat="false" ht="17.15" hidden="false" customHeight="false" outlineLevel="0" collapsed="false">
      <c r="A3" s="5" t="s">
        <v>609</v>
      </c>
      <c r="B3" s="5" t="s">
        <v>28</v>
      </c>
      <c r="C3" s="16" t="s">
        <v>497</v>
      </c>
      <c r="D3" s="16" t="s">
        <v>610</v>
      </c>
      <c r="E3" s="16" t="s">
        <v>611</v>
      </c>
      <c r="F3" s="16" t="s">
        <v>612</v>
      </c>
      <c r="G3" s="16" t="s">
        <v>613</v>
      </c>
      <c r="H3" s="16" t="s">
        <v>614</v>
      </c>
      <c r="I3" s="16" t="s">
        <v>615</v>
      </c>
      <c r="J3" s="16" t="s">
        <v>616</v>
      </c>
      <c r="K3" s="5" t="s">
        <v>450</v>
      </c>
    </row>
    <row r="4" customFormat="false" ht="17.15" hidden="false" customHeight="false" outlineLevel="0" collapsed="false">
      <c r="A4" s="1" t="s">
        <v>617</v>
      </c>
    </row>
    <row r="5" customFormat="false" ht="15" hidden="false" customHeight="false" outlineLevel="0" collapsed="false">
      <c r="A5" s="4" t="s">
        <v>503</v>
      </c>
      <c r="B5" s="0" t="s">
        <v>278</v>
      </c>
      <c r="C5" s="24" t="n">
        <f aca="false">C85</f>
        <v>34.141</v>
      </c>
      <c r="D5" s="24" t="n">
        <f aca="false">D85</f>
        <v>69.4169</v>
      </c>
      <c r="E5" s="24" t="n">
        <f aca="false">E85</f>
        <v>156.977730348393</v>
      </c>
      <c r="F5" s="24" t="n">
        <f aca="false">F85</f>
        <v>230.433815760147</v>
      </c>
      <c r="G5" s="24" t="n">
        <f aca="false">G85</f>
        <v>264.455353797169</v>
      </c>
      <c r="H5" s="25" t="n">
        <f aca="false">H85</f>
        <v>295.7741413076</v>
      </c>
      <c r="I5" s="25" t="n">
        <f aca="false">I85</f>
        <v>322.161262221043</v>
      </c>
      <c r="J5" s="25" t="n">
        <f aca="false">J85</f>
        <v>341.490937954306</v>
      </c>
    </row>
    <row r="6" customFormat="false" ht="15" hidden="false" customHeight="false" outlineLevel="0" collapsed="false">
      <c r="A6" s="4" t="s">
        <v>618</v>
      </c>
      <c r="B6" s="0" t="s">
        <v>51</v>
      </c>
      <c r="D6" s="18" t="n">
        <f aca="false">D86</f>
        <v>1.03324155707214</v>
      </c>
      <c r="E6" s="18" t="n">
        <f aca="false">E86</f>
        <v>1.26137626930032</v>
      </c>
      <c r="F6" s="18" t="n">
        <f aca="false">F86</f>
        <v>0.467939530331637</v>
      </c>
      <c r="G6" s="18" t="n">
        <f aca="false">G86</f>
        <v>0.147641256231395</v>
      </c>
      <c r="H6" s="26" t="n">
        <f aca="false">H86</f>
        <v>0.118427504154264</v>
      </c>
      <c r="I6" s="26" t="n">
        <f aca="false">I86</f>
        <v>0.0892137520771318</v>
      </c>
      <c r="J6" s="26" t="n">
        <f aca="false">J86</f>
        <v>0.06</v>
      </c>
    </row>
    <row r="7" customFormat="false" ht="17.15" hidden="false" customHeight="false" outlineLevel="0" collapsed="false">
      <c r="A7" s="0" t="s">
        <v>619</v>
      </c>
      <c r="B7" s="0" t="s">
        <v>278</v>
      </c>
      <c r="C7" s="24" t="n">
        <f aca="false">C72</f>
        <v>6.14538</v>
      </c>
      <c r="D7" s="24" t="n">
        <f aca="false">D72</f>
        <v>33.320112</v>
      </c>
      <c r="E7" s="24" t="n">
        <f aca="false">E72</f>
        <v>88.989588315482</v>
      </c>
      <c r="F7" s="24" t="n">
        <f aca="false">F72</f>
        <v>135.911371245463</v>
      </c>
      <c r="G7" s="24" t="n">
        <f aca="false">G72</f>
        <v>156.298076932283</v>
      </c>
    </row>
    <row r="8" customFormat="false" ht="17.15" hidden="false" customHeight="false" outlineLevel="0" collapsed="false">
      <c r="A8" s="0" t="s">
        <v>510</v>
      </c>
      <c r="B8" s="0" t="s">
        <v>278</v>
      </c>
      <c r="C8" s="24" t="n">
        <f aca="false">C81</f>
        <v>1.70705</v>
      </c>
      <c r="D8" s="24" t="n">
        <f aca="false">D81</f>
        <v>2.082507</v>
      </c>
      <c r="E8" s="24" t="n">
        <f aca="false">E81</f>
        <v>18.9798106329114</v>
      </c>
      <c r="F8" s="24" t="n">
        <f aca="false">F81</f>
        <v>28.1182379746835</v>
      </c>
      <c r="G8" s="24" t="n">
        <f aca="false">G81</f>
        <v>32.3359736708861</v>
      </c>
    </row>
    <row r="9" customFormat="false" ht="15" hidden="false" customHeight="false" outlineLevel="0" collapsed="false">
      <c r="A9" s="4" t="s">
        <v>511</v>
      </c>
      <c r="B9" s="0" t="s">
        <v>278</v>
      </c>
      <c r="C9" s="24" t="n">
        <f aca="false">C83</f>
        <v>1.02423</v>
      </c>
      <c r="D9" s="24" t="n">
        <f aca="false">D83</f>
        <v>3.470845</v>
      </c>
      <c r="E9" s="24" t="n">
        <f aca="false">E83</f>
        <v>13.88338</v>
      </c>
      <c r="F9" s="24" t="n">
        <f aca="false">F83</f>
        <v>27.76676</v>
      </c>
      <c r="G9" s="24" t="n">
        <f aca="false">G83</f>
        <v>33.320112</v>
      </c>
    </row>
    <row r="10" customFormat="false" ht="17.15" hidden="false" customHeight="false" outlineLevel="0" collapsed="false">
      <c r="A10" s="4" t="s">
        <v>620</v>
      </c>
      <c r="B10" s="0" t="s">
        <v>278</v>
      </c>
      <c r="C10" s="24" t="n">
        <f aca="false">C84</f>
        <v>25.26434</v>
      </c>
      <c r="D10" s="24" t="n">
        <f aca="false">D84</f>
        <v>30.543436</v>
      </c>
      <c r="E10" s="24" t="n">
        <f aca="false">E84</f>
        <v>35.1249514</v>
      </c>
      <c r="F10" s="24" t="n">
        <f aca="false">F84</f>
        <v>38.63744654</v>
      </c>
      <c r="G10" s="24" t="n">
        <f aca="false">G84</f>
        <v>42.501191194</v>
      </c>
    </row>
    <row r="11" customFormat="false" ht="15" hidden="false" customHeight="false" outlineLevel="0" collapsed="false">
      <c r="A11" s="4" t="s">
        <v>519</v>
      </c>
      <c r="B11" s="0" t="s">
        <v>51</v>
      </c>
      <c r="C11" s="9" t="n">
        <f aca="false">C94</f>
        <v>0.247620163439852</v>
      </c>
      <c r="D11" s="9" t="n">
        <f aca="false">D94</f>
        <v>0.211064891978754</v>
      </c>
      <c r="E11" s="9" t="n">
        <f aca="false">E94</f>
        <v>0.17999317893415</v>
      </c>
      <c r="F11" s="9" t="n">
        <f aca="false">F94</f>
        <v>0.171053355258406</v>
      </c>
      <c r="G11" s="9" t="n">
        <f aca="false">G94</f>
        <v>0.169974250341193</v>
      </c>
    </row>
    <row r="12" customFormat="false" ht="15" hidden="false" customHeight="false" outlineLevel="0" collapsed="false">
      <c r="A12" s="4" t="s">
        <v>621</v>
      </c>
      <c r="B12" s="0" t="s">
        <v>51</v>
      </c>
      <c r="C12" s="9" t="n">
        <f aca="false">C97</f>
        <v>0.127412788143288</v>
      </c>
      <c r="D12" s="9" t="n">
        <f aca="false">D97</f>
        <v>0.13376423464603</v>
      </c>
      <c r="E12" s="9" t="n">
        <f aca="false">E97</f>
        <v>0.132874871730043</v>
      </c>
      <c r="F12" s="9" t="n">
        <f aca="false">F97</f>
        <v>0.134449079907295</v>
      </c>
      <c r="G12" s="9" t="n">
        <f aca="false">G97</f>
        <v>0.135527408033505</v>
      </c>
    </row>
    <row r="13" customFormat="false" ht="15" hidden="false" customHeight="false" outlineLevel="0" collapsed="false">
      <c r="A13" s="4" t="s">
        <v>534</v>
      </c>
      <c r="B13" s="0" t="s">
        <v>278</v>
      </c>
      <c r="C13" s="24" t="n">
        <f aca="false">C101</f>
        <v>3.77</v>
      </c>
      <c r="D13" s="24" t="n">
        <f aca="false">D101</f>
        <v>8.332684775</v>
      </c>
      <c r="E13" s="24" t="n">
        <f aca="false">E101</f>
        <v>18.1546364168387</v>
      </c>
      <c r="F13" s="24" t="n">
        <f aca="false">F101</f>
        <v>26.7593723322071</v>
      </c>
      <c r="G13" s="24" t="n">
        <f aca="false">G101</f>
        <v>30.8898063446067</v>
      </c>
      <c r="H13" s="25" t="n">
        <f aca="false">H101</f>
        <v>34.548009013807</v>
      </c>
      <c r="I13" s="25" t="n">
        <f aca="false">I101</f>
        <v>37.6301665247232</v>
      </c>
      <c r="J13" s="25" t="n">
        <f aca="false">J101</f>
        <v>39.8879765162066</v>
      </c>
    </row>
    <row r="14" customFormat="false" ht="15" hidden="false" customHeight="false" outlineLevel="0" collapsed="false">
      <c r="A14" s="4" t="s">
        <v>622</v>
      </c>
      <c r="B14" s="0" t="s">
        <v>51</v>
      </c>
      <c r="C14" s="9" t="n">
        <f aca="false">C105</f>
        <v>0.11042441639085</v>
      </c>
      <c r="D14" s="9" t="n">
        <f aca="false">D105</f>
        <v>0.1200382727405</v>
      </c>
      <c r="E14" s="9" t="n">
        <f aca="false">E105</f>
        <v>0.115651031369524</v>
      </c>
      <c r="F14" s="9" t="n">
        <f aca="false">F105</f>
        <v>0.116126065282277</v>
      </c>
      <c r="G14" s="9" t="n">
        <f aca="false">G105</f>
        <v>0.116805373387519</v>
      </c>
      <c r="H14" s="27" t="n">
        <f aca="false">H105</f>
        <v>0.116805373387519</v>
      </c>
      <c r="I14" s="27" t="n">
        <f aca="false">I105</f>
        <v>0.116805373387519</v>
      </c>
      <c r="J14" s="27" t="n">
        <f aca="false">J105</f>
        <v>0.116805373387519</v>
      </c>
    </row>
    <row r="15" customFormat="false" ht="15" hidden="false" customHeight="false" outlineLevel="0" collapsed="false">
      <c r="A15" s="0" t="s">
        <v>623</v>
      </c>
      <c r="B15" s="0" t="s">
        <v>356</v>
      </c>
      <c r="C15" s="20" t="n">
        <f aca="false">C103</f>
        <v>28.13</v>
      </c>
      <c r="D15" s="20" t="n">
        <f aca="false">D103</f>
        <v>62.1847542389856</v>
      </c>
      <c r="E15" s="20" t="n">
        <f aca="false">E103</f>
        <v>135.47225145018</v>
      </c>
      <c r="F15" s="20" t="n">
        <f aca="false">F103</f>
        <v>199.68190681447</v>
      </c>
      <c r="G15" s="20" t="n">
        <f aca="false">G103</f>
        <v>230.503741098475</v>
      </c>
      <c r="H15" s="28" t="n">
        <f aca="false">H103</f>
        <v>257.801723854988</v>
      </c>
      <c r="I15" s="28" t="n">
        <f aca="false">I103</f>
        <v>280.801182932044</v>
      </c>
      <c r="J15" s="28" t="n">
        <f aca="false">J103</f>
        <v>297.649253907967</v>
      </c>
    </row>
    <row r="16" customFormat="false" ht="17.15" hidden="false" customHeight="false" outlineLevel="0" collapsed="false">
      <c r="A16" s="0" t="s">
        <v>624</v>
      </c>
      <c r="B16" s="0" t="s">
        <v>51</v>
      </c>
      <c r="D16" s="18" t="n">
        <f aca="false">D104</f>
        <v>1.21062048485551</v>
      </c>
      <c r="E16" s="18" t="n">
        <f aca="false">E104</f>
        <v>1.1785444536701</v>
      </c>
      <c r="F16" s="18" t="n">
        <f aca="false">F104</f>
        <v>0.473969057699631</v>
      </c>
      <c r="G16" s="18" t="n">
        <f aca="false">G104</f>
        <v>0.154354667259076</v>
      </c>
      <c r="H16" s="26" t="n">
        <f aca="false">H104</f>
        <v>0.118427504154263</v>
      </c>
      <c r="I16" s="26" t="n">
        <f aca="false">I104</f>
        <v>0.0892137520771317</v>
      </c>
      <c r="J16" s="26" t="n">
        <f aca="false">J104</f>
        <v>0.0600000000000001</v>
      </c>
    </row>
    <row r="18" customFormat="false" ht="17.15" hidden="false" customHeight="false" outlineLevel="0" collapsed="false">
      <c r="A18" s="1" t="s">
        <v>625</v>
      </c>
    </row>
    <row r="19" customFormat="false" ht="15" hidden="false" customHeight="false" outlineLevel="0" collapsed="false">
      <c r="A19" s="4" t="s">
        <v>503</v>
      </c>
      <c r="B19" s="0" t="s">
        <v>278</v>
      </c>
      <c r="C19" s="24" t="n">
        <f aca="false">C133</f>
        <v>34.141</v>
      </c>
      <c r="D19" s="24" t="n">
        <f aca="false">D133</f>
        <v>69.4169</v>
      </c>
      <c r="E19" s="24" t="n">
        <f aca="false">E133</f>
        <v>130.210643231509</v>
      </c>
      <c r="F19" s="24" t="n">
        <f aca="false">F133</f>
        <v>140.106685596347</v>
      </c>
      <c r="G19" s="24" t="n">
        <f aca="false">G133</f>
        <v>163.209305565161</v>
      </c>
      <c r="H19" s="25" t="n">
        <f aca="false">H133</f>
        <v>183.326817403014</v>
      </c>
      <c r="I19" s="25" t="n">
        <f aca="false">I133</f>
        <v>198.29197243746</v>
      </c>
      <c r="J19" s="25" t="n">
        <f aca="false">J133</f>
        <v>206.223651334959</v>
      </c>
    </row>
    <row r="20" customFormat="false" ht="15" hidden="false" customHeight="false" outlineLevel="0" collapsed="false">
      <c r="A20" s="4" t="s">
        <v>618</v>
      </c>
      <c r="B20" s="0" t="s">
        <v>51</v>
      </c>
      <c r="D20" s="18" t="n">
        <f aca="false">D134</f>
        <v>1.03324155707214</v>
      </c>
      <c r="E20" s="18" t="n">
        <f aca="false">E134</f>
        <v>0.875777270830435</v>
      </c>
      <c r="F20" s="18" t="n">
        <f aca="false">F134</f>
        <v>0.0760002571160228</v>
      </c>
      <c r="G20" s="18" t="n">
        <f aca="false">G134</f>
        <v>0.164893058960612</v>
      </c>
      <c r="H20" s="26" t="n">
        <f aca="false">H134</f>
        <v>0.123262039307075</v>
      </c>
      <c r="I20" s="26" t="n">
        <f aca="false">I134</f>
        <v>0.0816310196535375</v>
      </c>
      <c r="J20" s="26" t="n">
        <f aca="false">J134</f>
        <v>0.04</v>
      </c>
    </row>
    <row r="21" customFormat="false" ht="17.15" hidden="false" customHeight="false" outlineLevel="0" collapsed="false">
      <c r="A21" s="0" t="s">
        <v>619</v>
      </c>
      <c r="B21" s="0" t="s">
        <v>278</v>
      </c>
      <c r="C21" s="24" t="n">
        <f aca="false">C120</f>
        <v>6.14538</v>
      </c>
      <c r="D21" s="24" t="n">
        <f aca="false">D120</f>
        <v>33.320112</v>
      </c>
      <c r="E21" s="24" t="n">
        <f aca="false">E120</f>
        <v>74.1579902629016</v>
      </c>
      <c r="F21" s="24" t="n">
        <f aca="false">F120</f>
        <v>74.7512541850049</v>
      </c>
      <c r="G21" s="24" t="n">
        <f aca="false">G120</f>
        <v>91.3366887073028</v>
      </c>
    </row>
    <row r="22" customFormat="false" ht="17.15" hidden="false" customHeight="false" outlineLevel="0" collapsed="false">
      <c r="A22" s="0" t="s">
        <v>510</v>
      </c>
      <c r="B22" s="0" t="s">
        <v>278</v>
      </c>
      <c r="C22" s="24" t="n">
        <f aca="false">C129</f>
        <v>1.70705</v>
      </c>
      <c r="D22" s="24" t="n">
        <f aca="false">D129</f>
        <v>2.082507</v>
      </c>
      <c r="E22" s="24" t="n">
        <f aca="false">E129</f>
        <v>12.6532070886076</v>
      </c>
      <c r="F22" s="24" t="n">
        <f aca="false">F129</f>
        <v>14.0591189873418</v>
      </c>
      <c r="G22" s="24" t="n">
        <f aca="false">G129</f>
        <v>17.1784860126582</v>
      </c>
    </row>
    <row r="23" customFormat="false" ht="15" hidden="false" customHeight="false" outlineLevel="0" collapsed="false">
      <c r="A23" s="4" t="s">
        <v>511</v>
      </c>
      <c r="B23" s="0" t="s">
        <v>278</v>
      </c>
      <c r="C23" s="24" t="n">
        <f aca="false">C131</f>
        <v>1.02423</v>
      </c>
      <c r="D23" s="24" t="n">
        <f aca="false">D131</f>
        <v>3.470845</v>
      </c>
      <c r="E23" s="24" t="n">
        <f aca="false">E131</f>
        <v>10.412535</v>
      </c>
      <c r="F23" s="24" t="n">
        <f aca="false">F131</f>
        <v>16.660056</v>
      </c>
      <c r="G23" s="24" t="n">
        <f aca="false">G131</f>
        <v>18.3260616</v>
      </c>
    </row>
    <row r="24" customFormat="false" ht="17.15" hidden="false" customHeight="false" outlineLevel="0" collapsed="false">
      <c r="A24" s="4" t="s">
        <v>620</v>
      </c>
      <c r="B24" s="0" t="s">
        <v>278</v>
      </c>
      <c r="C24" s="24" t="n">
        <f aca="false">C132</f>
        <v>25.26434</v>
      </c>
      <c r="D24" s="24" t="n">
        <f aca="false">D132</f>
        <v>30.543436</v>
      </c>
      <c r="E24" s="24" t="n">
        <f aca="false">E132</f>
        <v>32.98691088</v>
      </c>
      <c r="F24" s="24" t="n">
        <f aca="false">F132</f>
        <v>34.636256424</v>
      </c>
      <c r="G24" s="24" t="n">
        <f aca="false">G132</f>
        <v>36.3680692452</v>
      </c>
    </row>
    <row r="25" customFormat="false" ht="15" hidden="false" customHeight="false" outlineLevel="0" collapsed="false">
      <c r="A25" s="4" t="s">
        <v>519</v>
      </c>
      <c r="B25" s="0" t="s">
        <v>51</v>
      </c>
      <c r="C25" s="9" t="n">
        <f aca="false">C142</f>
        <v>0.247620163439852</v>
      </c>
      <c r="D25" s="9" t="n">
        <f aca="false">D142</f>
        <v>0.211064891978754</v>
      </c>
      <c r="E25" s="9" t="n">
        <f aca="false">E142</f>
        <v>0.178209392843864</v>
      </c>
      <c r="F25" s="9" t="n">
        <f aca="false">F142</f>
        <v>0.178270727790854</v>
      </c>
      <c r="G25" s="9" t="n">
        <f aca="false">G142</f>
        <v>0.173662916924549</v>
      </c>
    </row>
    <row r="26" customFormat="false" ht="15" hidden="false" customHeight="false" outlineLevel="0" collapsed="false">
      <c r="A26" s="4" t="s">
        <v>621</v>
      </c>
      <c r="B26" s="0" t="s">
        <v>51</v>
      </c>
      <c r="C26" s="9" t="n">
        <f aca="false">C145</f>
        <v>0.127412788143288</v>
      </c>
      <c r="D26" s="9" t="n">
        <f aca="false">D145</f>
        <v>0.13376423464603</v>
      </c>
      <c r="E26" s="9" t="n">
        <f aca="false">E145</f>
        <v>0.126172241917524</v>
      </c>
      <c r="F26" s="9" t="n">
        <f aca="false">F145</f>
        <v>0.126040142687577</v>
      </c>
      <c r="G26" s="9" t="n">
        <f aca="false">G145</f>
        <v>0.125238701948223</v>
      </c>
    </row>
    <row r="27" customFormat="false" ht="15" hidden="false" customHeight="false" outlineLevel="0" collapsed="false">
      <c r="A27" s="4" t="s">
        <v>534</v>
      </c>
      <c r="B27" s="0" t="s">
        <v>278</v>
      </c>
      <c r="C27" s="24" t="n">
        <f aca="false">C149</f>
        <v>3.77</v>
      </c>
      <c r="D27" s="24" t="n">
        <f aca="false">D149</f>
        <v>8.332684775</v>
      </c>
      <c r="E27" s="24" t="n">
        <f aca="false">E149</f>
        <v>14.3896234613361</v>
      </c>
      <c r="F27" s="24" t="n">
        <f aca="false">F149</f>
        <v>15.43520664744</v>
      </c>
      <c r="G27" s="24" t="n">
        <f aca="false">G149</f>
        <v>17.7991033386239</v>
      </c>
      <c r="H27" s="25" t="n">
        <f aca="false">H149</f>
        <v>19.3266218768474</v>
      </c>
      <c r="I27" s="25" t="n">
        <f aca="false">I149</f>
        <v>20.1834367020399</v>
      </c>
      <c r="J27" s="25" t="n">
        <f aca="false">J149</f>
        <v>20.2411036640458</v>
      </c>
    </row>
    <row r="28" customFormat="false" ht="15" hidden="false" customHeight="false" outlineLevel="0" collapsed="false">
      <c r="A28" s="4" t="s">
        <v>622</v>
      </c>
      <c r="B28" s="0" t="s">
        <v>51</v>
      </c>
      <c r="C28" s="9" t="n">
        <f aca="false">C153</f>
        <v>0.11042441639085</v>
      </c>
      <c r="D28" s="9" t="n">
        <f aca="false">D153</f>
        <v>0.1200382727405</v>
      </c>
      <c r="E28" s="9" t="n">
        <f aca="false">E153</f>
        <v>0.110510347727504</v>
      </c>
      <c r="F28" s="9" t="n">
        <f aca="false">F153</f>
        <v>0.110167523996031</v>
      </c>
      <c r="G28" s="9" t="n">
        <f aca="false">G153</f>
        <v>0.109056914843116</v>
      </c>
      <c r="H28" s="27" t="n">
        <f aca="false">H153</f>
        <v>0.105421684348346</v>
      </c>
      <c r="I28" s="27" t="n">
        <f aca="false">I153</f>
        <v>0.101786453853575</v>
      </c>
      <c r="J28" s="27" t="n">
        <f aca="false">J153</f>
        <v>0.0981512233588045</v>
      </c>
    </row>
    <row r="29" customFormat="false" ht="15" hidden="false" customHeight="false" outlineLevel="0" collapsed="false">
      <c r="A29" s="0" t="s">
        <v>623</v>
      </c>
      <c r="B29" s="0" t="s">
        <v>356</v>
      </c>
      <c r="C29" s="20" t="n">
        <f aca="false">C151</f>
        <v>28.13</v>
      </c>
      <c r="D29" s="20" t="n">
        <f aca="false">D151</f>
        <v>62.1847542389856</v>
      </c>
      <c r="E29" s="20" t="n">
        <f aca="false">E151</f>
        <v>107.37723648486</v>
      </c>
      <c r="F29" s="20" t="n">
        <f aca="false">F151</f>
        <v>115.179513823147</v>
      </c>
      <c r="G29" s="20" t="n">
        <f aca="false">G151</f>
        <v>132.819217510812</v>
      </c>
      <c r="H29" s="28" t="n">
        <f aca="false">H151</f>
        <v>144.217758949686</v>
      </c>
      <c r="I29" s="28" t="n">
        <f aca="false">I151</f>
        <v>150.611422297141</v>
      </c>
      <c r="J29" s="28" t="n">
        <f aca="false">J151</f>
        <v>151.041740646562</v>
      </c>
    </row>
    <row r="30" customFormat="false" ht="17.15" hidden="false" customHeight="false" outlineLevel="0" collapsed="false">
      <c r="A30" s="0" t="s">
        <v>624</v>
      </c>
      <c r="B30" s="0" t="s">
        <v>51</v>
      </c>
      <c r="D30" s="18" t="n">
        <f aca="false">D152</f>
        <v>1.21062048485551</v>
      </c>
      <c r="E30" s="18" t="n">
        <f aca="false">E152</f>
        <v>0.726745370291126</v>
      </c>
      <c r="F30" s="18" t="n">
        <f aca="false">F152</f>
        <v>0.0726623034239424</v>
      </c>
      <c r="G30" s="18" t="n">
        <f aca="false">G152</f>
        <v>0.153149662662664</v>
      </c>
      <c r="H30" s="26" t="n">
        <f aca="false">H152</f>
        <v>0.0858199713301724</v>
      </c>
      <c r="I30" s="26" t="n">
        <f aca="false">I152</f>
        <v>0.044333398286174</v>
      </c>
      <c r="J30" s="26" t="n">
        <f aca="false">J152</f>
        <v>0.00285714285714289</v>
      </c>
    </row>
    <row r="32" customFormat="false" ht="17.15" hidden="false" customHeight="false" outlineLevel="0" collapsed="false">
      <c r="A32" s="1" t="s">
        <v>626</v>
      </c>
    </row>
    <row r="33" customFormat="false" ht="15" hidden="false" customHeight="false" outlineLevel="0" collapsed="false">
      <c r="A33" s="4" t="s">
        <v>503</v>
      </c>
      <c r="B33" s="0" t="s">
        <v>278</v>
      </c>
      <c r="C33" s="24" t="n">
        <f aca="false">C181</f>
        <v>34.141</v>
      </c>
      <c r="D33" s="24" t="n">
        <f aca="false">D181</f>
        <v>69.4169</v>
      </c>
      <c r="E33" s="24" t="n">
        <f aca="false">E181</f>
        <v>101.610949954625</v>
      </c>
      <c r="F33" s="24" t="n">
        <f aca="false">F181</f>
        <v>73.2766811868107</v>
      </c>
      <c r="G33" s="24" t="n">
        <f aca="false">G181</f>
        <v>78.6662395348322</v>
      </c>
      <c r="H33" s="25" t="n">
        <f aca="false">H181</f>
        <v>83.0479909072793</v>
      </c>
      <c r="I33" s="25" t="n">
        <f aca="false">I181</f>
        <v>86.1913794432849</v>
      </c>
      <c r="J33" s="25" t="n">
        <f aca="false">J181</f>
        <v>87.9152070321506</v>
      </c>
    </row>
    <row r="34" customFormat="false" ht="15" hidden="false" customHeight="false" outlineLevel="0" collapsed="false">
      <c r="A34" s="4" t="s">
        <v>618</v>
      </c>
      <c r="B34" s="0" t="s">
        <v>51</v>
      </c>
      <c r="D34" s="18" t="n">
        <f aca="false">D182</f>
        <v>1.03324155707214</v>
      </c>
      <c r="E34" s="18" t="n">
        <f aca="false">E182</f>
        <v>0.463778272360551</v>
      </c>
      <c r="F34" s="18" t="n">
        <f aca="false">F182</f>
        <v>-0.278850544950788</v>
      </c>
      <c r="G34" s="18" t="n">
        <f aca="false">G182</f>
        <v>0.0735507976170691</v>
      </c>
      <c r="H34" s="26" t="n">
        <f aca="false">H182</f>
        <v>0.0557005317447127</v>
      </c>
      <c r="I34" s="26" t="n">
        <f aca="false">I182</f>
        <v>0.0378502658723564</v>
      </c>
      <c r="J34" s="26" t="n">
        <f aca="false">J182</f>
        <v>0.02</v>
      </c>
    </row>
    <row r="35" customFormat="false" ht="17.15" hidden="false" customHeight="false" outlineLevel="0" collapsed="false">
      <c r="A35" s="0" t="s">
        <v>619</v>
      </c>
      <c r="B35" s="0" t="s">
        <v>278</v>
      </c>
      <c r="C35" s="24" t="n">
        <f aca="false">C168</f>
        <v>6.14538</v>
      </c>
      <c r="D35" s="24" t="n">
        <f aca="false">D168</f>
        <v>33.320112</v>
      </c>
      <c r="E35" s="24" t="n">
        <f aca="false">E168</f>
        <v>59.3263922103213</v>
      </c>
      <c r="F35" s="24" t="n">
        <f aca="false">F168</f>
        <v>31.7126532906081</v>
      </c>
      <c r="G35" s="24" t="n">
        <f aca="false">G168</f>
        <v>36.4695512841993</v>
      </c>
    </row>
    <row r="36" customFormat="false" ht="17.15" hidden="false" customHeight="false" outlineLevel="0" collapsed="false">
      <c r="A36" s="0" t="s">
        <v>510</v>
      </c>
      <c r="B36" s="0" t="s">
        <v>278</v>
      </c>
      <c r="C36" s="24" t="n">
        <f aca="false">C177</f>
        <v>1.70705</v>
      </c>
      <c r="D36" s="24" t="n">
        <f aca="false">D177</f>
        <v>2.082507</v>
      </c>
      <c r="E36" s="24" t="n">
        <f aca="false">E177</f>
        <v>6.3266035443038</v>
      </c>
      <c r="F36" s="24" t="n">
        <f aca="false">F177</f>
        <v>4.21773569620253</v>
      </c>
      <c r="G36" s="24" t="n">
        <f aca="false">G177</f>
        <v>4.85039605063291</v>
      </c>
    </row>
    <row r="37" customFormat="false" ht="15" hidden="false" customHeight="false" outlineLevel="0" collapsed="false">
      <c r="A37" s="4" t="s">
        <v>511</v>
      </c>
      <c r="B37" s="0" t="s">
        <v>278</v>
      </c>
      <c r="C37" s="24" t="n">
        <f aca="false">C179</f>
        <v>1.02423</v>
      </c>
      <c r="D37" s="24" t="n">
        <f aca="false">D179</f>
        <v>3.470845</v>
      </c>
      <c r="E37" s="24" t="n">
        <f aca="false">E179</f>
        <v>6.94169</v>
      </c>
      <c r="F37" s="24" t="n">
        <f aca="false">F179</f>
        <v>8.330028</v>
      </c>
      <c r="G37" s="24" t="n">
        <f aca="false">G179</f>
        <v>8.330028</v>
      </c>
    </row>
    <row r="38" customFormat="false" ht="17.15" hidden="false" customHeight="false" outlineLevel="0" collapsed="false">
      <c r="A38" s="4" t="s">
        <v>620</v>
      </c>
      <c r="B38" s="0" t="s">
        <v>278</v>
      </c>
      <c r="C38" s="24" t="n">
        <f aca="false">C180</f>
        <v>25.26434</v>
      </c>
      <c r="D38" s="24" t="n">
        <f aca="false">D180</f>
        <v>30.543436</v>
      </c>
      <c r="E38" s="24" t="n">
        <f aca="false">E180</f>
        <v>29.0162642</v>
      </c>
      <c r="F38" s="24" t="n">
        <f aca="false">F180</f>
        <v>29.0162642</v>
      </c>
      <c r="G38" s="24" t="n">
        <f aca="false">G180</f>
        <v>29.0162642</v>
      </c>
    </row>
    <row r="39" customFormat="false" ht="15" hidden="false" customHeight="false" outlineLevel="0" collapsed="false">
      <c r="A39" s="4" t="s">
        <v>519</v>
      </c>
      <c r="B39" s="0" t="s">
        <v>51</v>
      </c>
      <c r="C39" s="9" t="n">
        <f aca="false">C190</f>
        <v>0.247620163439852</v>
      </c>
      <c r="D39" s="9" t="n">
        <f aca="false">D190</f>
        <v>0.211064891978754</v>
      </c>
      <c r="E39" s="9" t="n">
        <f aca="false">E190</f>
        <v>0.170765109756943</v>
      </c>
      <c r="F39" s="9" t="n">
        <f aca="false">F190</f>
        <v>0.195208791192141</v>
      </c>
      <c r="G39" s="9" t="n">
        <f aca="false">G190</f>
        <v>0.189370991462422</v>
      </c>
    </row>
    <row r="40" customFormat="false" ht="15" hidden="false" customHeight="false" outlineLevel="0" collapsed="false">
      <c r="A40" s="4" t="s">
        <v>621</v>
      </c>
      <c r="B40" s="0" t="s">
        <v>51</v>
      </c>
      <c r="C40" s="9" t="n">
        <f aca="false">C193</f>
        <v>0.127412788143288</v>
      </c>
      <c r="D40" s="9" t="n">
        <f aca="false">D193</f>
        <v>0.13376423464603</v>
      </c>
      <c r="E40" s="9" t="n">
        <f aca="false">E193</f>
        <v>0.110608617077383</v>
      </c>
      <c r="F40" s="9" t="n">
        <f aca="false">F193</f>
        <v>0.10511787919181</v>
      </c>
      <c r="G40" s="9" t="n">
        <f aca="false">G193</f>
        <v>0.0987388712345511</v>
      </c>
    </row>
    <row r="41" customFormat="false" ht="15" hidden="false" customHeight="false" outlineLevel="0" collapsed="false">
      <c r="A41" s="4" t="s">
        <v>534</v>
      </c>
      <c r="B41" s="0" t="s">
        <v>278</v>
      </c>
      <c r="C41" s="24" t="n">
        <f aca="false">C197</f>
        <v>3.77</v>
      </c>
      <c r="D41" s="24" t="n">
        <f aca="false">D197</f>
        <v>8.332684775</v>
      </c>
      <c r="E41" s="24" t="n">
        <f aca="false">E197</f>
        <v>9.9781896562402</v>
      </c>
      <c r="F41" s="24" t="n">
        <f aca="false">F197</f>
        <v>6.97228592248617</v>
      </c>
      <c r="G41" s="24" t="n">
        <f aca="false">G197</f>
        <v>7.02730334154573</v>
      </c>
      <c r="H41" s="25" t="n">
        <f aca="false">H197</f>
        <v>6.92414601610781</v>
      </c>
      <c r="I41" s="25" t="n">
        <f aca="false">I197</f>
        <v>6.67292487063104</v>
      </c>
      <c r="J41" s="25" t="n">
        <f aca="false">J197</f>
        <v>6.28281541665569</v>
      </c>
    </row>
    <row r="42" customFormat="false" ht="15" hidden="false" customHeight="false" outlineLevel="0" collapsed="false">
      <c r="A42" s="4" t="s">
        <v>622</v>
      </c>
      <c r="B42" s="0" t="s">
        <v>51</v>
      </c>
      <c r="C42" s="9" t="n">
        <f aca="false">C201</f>
        <v>0.11042441639085</v>
      </c>
      <c r="D42" s="9" t="n">
        <f aca="false">D201</f>
        <v>0.1200382727405</v>
      </c>
      <c r="E42" s="9" t="n">
        <f aca="false">E201</f>
        <v>0.0981999445994355</v>
      </c>
      <c r="F42" s="9" t="n">
        <f aca="false">F201</f>
        <v>0.0951501324781769</v>
      </c>
      <c r="G42" s="9" t="n">
        <f aca="false">G201</f>
        <v>0.0893306122562799</v>
      </c>
      <c r="H42" s="27" t="n">
        <f aca="false">H201</f>
        <v>0.0833752381058612</v>
      </c>
      <c r="I42" s="27" t="n">
        <f aca="false">I201</f>
        <v>0.0774198639554426</v>
      </c>
      <c r="J42" s="27" t="n">
        <f aca="false">J201</f>
        <v>0.0714644898050239</v>
      </c>
    </row>
    <row r="43" customFormat="false" ht="15" hidden="false" customHeight="false" outlineLevel="0" collapsed="false">
      <c r="A43" s="0" t="s">
        <v>623</v>
      </c>
      <c r="B43" s="0" t="s">
        <v>356</v>
      </c>
      <c r="C43" s="20" t="n">
        <f aca="false">C199</f>
        <v>28.13</v>
      </c>
      <c r="D43" s="20" t="n">
        <f aca="false">D199</f>
        <v>62.1847542389856</v>
      </c>
      <c r="E43" s="20" t="n">
        <f aca="false">E199</f>
        <v>74.4585453043818</v>
      </c>
      <c r="F43" s="20" t="n">
        <f aca="false">F199</f>
        <v>52.0281018020011</v>
      </c>
      <c r="G43" s="20" t="n">
        <f aca="false">G199</f>
        <v>52.4386489183325</v>
      </c>
      <c r="H43" s="28" t="n">
        <f aca="false">H199</f>
        <v>51.668875577254</v>
      </c>
      <c r="I43" s="28" t="n">
        <f aca="false">I199</f>
        <v>49.7942308083803</v>
      </c>
      <c r="J43" s="28" t="n">
        <f aca="false">J199</f>
        <v>46.8831834688135</v>
      </c>
    </row>
    <row r="44" customFormat="false" ht="17.15" hidden="false" customHeight="false" outlineLevel="0" collapsed="false">
      <c r="A44" s="0" t="s">
        <v>624</v>
      </c>
      <c r="B44" s="0" t="s">
        <v>51</v>
      </c>
      <c r="D44" s="18" t="n">
        <f aca="false">D200</f>
        <v>1.21062048485551</v>
      </c>
      <c r="E44" s="18" t="n">
        <f aca="false">E200</f>
        <v>0.197376209259043</v>
      </c>
      <c r="F44" s="18" t="n">
        <f aca="false">F200</f>
        <v>-0.3012474043199</v>
      </c>
      <c r="G44" s="18" t="n">
        <f aca="false">G200</f>
        <v>0.0078908724729907</v>
      </c>
      <c r="H44" s="26" t="n">
        <f aca="false">H200</f>
        <v>-0.0146795037049349</v>
      </c>
      <c r="I44" s="26" t="n">
        <f aca="false">I200</f>
        <v>-0.0362818959756691</v>
      </c>
      <c r="J44" s="26" t="n">
        <f aca="false">J200</f>
        <v>-0.0584615384615385</v>
      </c>
    </row>
    <row r="46" customFormat="false" ht="17.15" hidden="false" customHeight="false" outlineLevel="0" collapsed="false">
      <c r="A46" s="1" t="s">
        <v>627</v>
      </c>
    </row>
    <row r="47" customFormat="false" ht="17.15" hidden="false" customHeight="false" outlineLevel="0" collapsed="false">
      <c r="A47" s="4" t="s">
        <v>628</v>
      </c>
      <c r="D47" s="29" t="n">
        <f aca="false">ABS(D85-a26_rev)+ABS(D133-a26_rev)+ABS(D181-a26_rev)</f>
        <v>0</v>
      </c>
    </row>
    <row r="48" customFormat="false" ht="17.15" hidden="false" customHeight="false" outlineLevel="0" collapsed="false">
      <c r="A48" s="4" t="s">
        <v>629</v>
      </c>
      <c r="D48" s="29" t="n">
        <f aca="false">ABS(D103-a26_eps)+ABS(D151-a26_eps)+ABS(D199-a26_eps)</f>
        <v>0</v>
      </c>
    </row>
    <row r="49" customFormat="false" ht="17.15" hidden="false" customHeight="false" outlineLevel="0" collapsed="false">
      <c r="A49" s="4" t="s">
        <v>630</v>
      </c>
      <c r="D49" s="29" t="n">
        <f aca="false">D72-a26_cpu</f>
        <v>0</v>
      </c>
    </row>
    <row r="60" customFormat="false" ht="17.15" hidden="false" customHeight="false" outlineLevel="0" collapsed="false">
      <c r="A60" s="1" t="s">
        <v>631</v>
      </c>
    </row>
    <row r="61" customFormat="false" ht="17.15" hidden="false" customHeight="false" outlineLevel="0" collapsed="false">
      <c r="A61" s="5" t="s">
        <v>27</v>
      </c>
      <c r="B61" s="5" t="s">
        <v>28</v>
      </c>
      <c r="C61" s="16" t="s">
        <v>497</v>
      </c>
      <c r="D61" s="16" t="s">
        <v>610</v>
      </c>
      <c r="E61" s="16" t="s">
        <v>611</v>
      </c>
      <c r="F61" s="16" t="s">
        <v>612</v>
      </c>
      <c r="G61" s="16" t="s">
        <v>613</v>
      </c>
      <c r="H61" s="16" t="s">
        <v>614</v>
      </c>
      <c r="I61" s="16" t="s">
        <v>615</v>
      </c>
      <c r="J61" s="16" t="s">
        <v>616</v>
      </c>
      <c r="K61" s="5" t="s">
        <v>450</v>
      </c>
    </row>
    <row r="62" customFormat="false" ht="17.15" hidden="false" customHeight="false" outlineLevel="0" collapsed="false">
      <c r="A62" s="6" t="s">
        <v>632</v>
      </c>
    </row>
    <row r="63" customFormat="false" ht="17.15" hidden="false" customHeight="false" outlineLevel="0" collapsed="false">
      <c r="A63" s="0" t="s">
        <v>633</v>
      </c>
      <c r="B63" s="4" t="s">
        <v>38</v>
      </c>
      <c r="D63" s="22" t="n">
        <f aca="false">u_tpu_26</f>
        <v>3.85</v>
      </c>
      <c r="E63" s="22" t="n">
        <f aca="false">u_tpu_27</f>
        <v>5.5</v>
      </c>
      <c r="F63" s="22" t="n">
        <f aca="false">u_tpu_28*um28_A</f>
        <v>7</v>
      </c>
      <c r="G63" s="22" t="n">
        <f aca="false">u_tpu_28*(1+g29_tpu)*um29_A</f>
        <v>8.05</v>
      </c>
    </row>
    <row r="64" customFormat="false" ht="17.15" hidden="false" customHeight="false" outlineLevel="0" collapsed="false">
      <c r="A64" s="0" t="s">
        <v>574</v>
      </c>
      <c r="B64" s="0" t="s">
        <v>70</v>
      </c>
      <c r="D64" s="22" t="n">
        <f aca="false">att26</f>
        <v>0.325</v>
      </c>
      <c r="E64" s="22" t="n">
        <f aca="false">MAX(0,att_A+0)</f>
        <v>0.6</v>
      </c>
      <c r="F64" s="22" t="n">
        <f aca="false">MAX(0,att_A+0)</f>
        <v>0.6</v>
      </c>
      <c r="G64" s="22" t="n">
        <f aca="false">MAX(0,att_A+0)</f>
        <v>0.6</v>
      </c>
    </row>
    <row r="65" customFormat="false" ht="17.15" hidden="false" customHeight="false" outlineLevel="0" collapsed="false">
      <c r="A65" s="4" t="s">
        <v>634</v>
      </c>
      <c r="B65" s="0" t="s">
        <v>51</v>
      </c>
      <c r="D65" s="18" t="n">
        <f aca="false">gsh26</f>
        <v>1</v>
      </c>
      <c r="E65" s="18" t="n">
        <f aca="false">gsh26</f>
        <v>1</v>
      </c>
      <c r="F65" s="18" t="n">
        <f aca="false">MIN(1,gsh28_A)</f>
        <v>1</v>
      </c>
      <c r="G65" s="18" t="n">
        <f aca="false">MIN(1,gsh28_A)</f>
        <v>1</v>
      </c>
    </row>
    <row r="66" customFormat="false" ht="17.15" hidden="false" customHeight="false" outlineLevel="0" collapsed="false">
      <c r="A66" s="4" t="s">
        <v>576</v>
      </c>
      <c r="B66" s="4" t="s">
        <v>38</v>
      </c>
      <c r="D66" s="22" t="n">
        <f aca="false">D63*D64*D65</f>
        <v>1.25125</v>
      </c>
      <c r="E66" s="22" t="n">
        <f aca="false">E63*E64*E65*1</f>
        <v>3.3</v>
      </c>
      <c r="F66" s="22" t="n">
        <f aca="false">F63*F64*F65*1</f>
        <v>4.2</v>
      </c>
      <c r="G66" s="22" t="n">
        <f aca="false">G63*G64*G65*1</f>
        <v>4.83</v>
      </c>
    </row>
    <row r="67" customFormat="false" ht="17.15" hidden="false" customHeight="false" outlineLevel="0" collapsed="false">
      <c r="A67" s="4" t="s">
        <v>635</v>
      </c>
      <c r="B67" s="0" t="s">
        <v>116</v>
      </c>
      <c r="D67" s="20" t="n">
        <f aca="false">pc_cpu</f>
        <v>1</v>
      </c>
      <c r="E67" s="20" t="n">
        <f aca="false">pc_cpu</f>
        <v>1</v>
      </c>
      <c r="F67" s="20" t="n">
        <f aca="false">pc_cpu*pfc_A</f>
        <v>1.2</v>
      </c>
      <c r="G67" s="20" t="n">
        <f aca="false">pc_cpu*pfc_A</f>
        <v>1.2</v>
      </c>
    </row>
    <row r="68" customFormat="false" ht="17.15" hidden="false" customHeight="false" outlineLevel="0" collapsed="false">
      <c r="A68" s="0" t="s">
        <v>636</v>
      </c>
      <c r="B68" s="0" t="s">
        <v>581</v>
      </c>
      <c r="D68" s="20" t="n">
        <f aca="false">D66*D67</f>
        <v>1.25125</v>
      </c>
      <c r="E68" s="20" t="n">
        <f aca="false">E66*E67</f>
        <v>3.3</v>
      </c>
      <c r="F68" s="20" t="n">
        <f aca="false">F66*F67</f>
        <v>5.04</v>
      </c>
      <c r="G68" s="20" t="n">
        <f aca="false">G66*G67</f>
        <v>5.796</v>
      </c>
    </row>
    <row r="69" customFormat="false" ht="17.15" hidden="false" customHeight="false" outlineLevel="0" collapsed="false">
      <c r="A69" s="0" t="s">
        <v>637</v>
      </c>
      <c r="B69" s="0" t="s">
        <v>70</v>
      </c>
      <c r="D69" s="22" t="n">
        <f aca="false">a26_cpu/fx26/D68</f>
        <v>0.842704434805701</v>
      </c>
      <c r="K69" s="8" t="s">
        <v>638</v>
      </c>
    </row>
    <row r="70" customFormat="false" ht="17.15" hidden="false" customHeight="false" outlineLevel="0" collapsed="false">
      <c r="A70" s="0" t="s">
        <v>639</v>
      </c>
      <c r="B70" s="0" t="s">
        <v>581</v>
      </c>
      <c r="D70" s="20" t="n">
        <f aca="false">D68*$D$69</f>
        <v>1.05443392405063</v>
      </c>
      <c r="E70" s="20" t="n">
        <f aca="false">E68*$D$69</f>
        <v>2.78092463485881</v>
      </c>
      <c r="F70" s="20" t="n">
        <f aca="false">F68*$D$69</f>
        <v>4.24723035142073</v>
      </c>
      <c r="G70" s="20" t="n">
        <f aca="false">G68*$D$69</f>
        <v>4.88431490413384</v>
      </c>
    </row>
    <row r="71" customFormat="false" ht="15" hidden="false" customHeight="false" outlineLevel="0" collapsed="false">
      <c r="A71" s="4" t="s">
        <v>640</v>
      </c>
      <c r="B71" s="0" t="s">
        <v>273</v>
      </c>
      <c r="D71" s="20" t="n">
        <f aca="false">fx26</f>
        <v>31.6</v>
      </c>
      <c r="E71" s="20" t="n">
        <f aca="false">fx</f>
        <v>32</v>
      </c>
      <c r="F71" s="20" t="n">
        <f aca="false">fx</f>
        <v>32</v>
      </c>
      <c r="G71" s="20" t="n">
        <f aca="false">fx</f>
        <v>32</v>
      </c>
    </row>
    <row r="72" customFormat="false" ht="17.15" hidden="false" customHeight="false" outlineLevel="0" collapsed="false">
      <c r="A72" s="0" t="s">
        <v>641</v>
      </c>
      <c r="B72" s="0" t="s">
        <v>278</v>
      </c>
      <c r="C72" s="20" t="n">
        <f aca="false">a25_cpu</f>
        <v>6.14538</v>
      </c>
      <c r="D72" s="20" t="n">
        <f aca="false">D70*D71</f>
        <v>33.320112</v>
      </c>
      <c r="E72" s="20" t="n">
        <f aca="false">E70*E71</f>
        <v>88.989588315482</v>
      </c>
      <c r="F72" s="20" t="n">
        <f aca="false">F70*F71</f>
        <v>135.911371245463</v>
      </c>
      <c r="G72" s="20" t="n">
        <f aca="false">G70*G71</f>
        <v>156.298076932283</v>
      </c>
    </row>
    <row r="73" customFormat="false" ht="17.15" hidden="false" customHeight="false" outlineLevel="0" collapsed="false">
      <c r="A73" s="4" t="s">
        <v>578</v>
      </c>
      <c r="B73" s="0" t="s">
        <v>116</v>
      </c>
      <c r="D73" s="20" t="n">
        <f aca="false">IF(D66&gt;0,D70/D66,0)</f>
        <v>0.842704434805701</v>
      </c>
      <c r="E73" s="20" t="n">
        <f aca="false">IF(E66&gt;0,E70/E66,0)</f>
        <v>0.842704434805701</v>
      </c>
      <c r="F73" s="20" t="n">
        <f aca="false">IF(F66&gt;0,F70/F66,0)</f>
        <v>1.01124532176684</v>
      </c>
      <c r="G73" s="20" t="n">
        <f aca="false">IF(G66&gt;0,G70/G66,0)</f>
        <v>1.01124532176684</v>
      </c>
    </row>
    <row r="74" customFormat="false" ht="17.15" hidden="false" customHeight="false" outlineLevel="0" collapsed="false">
      <c r="A74" s="6" t="s">
        <v>642</v>
      </c>
    </row>
    <row r="75" customFormat="false" ht="17.15" hidden="false" customHeight="false" outlineLevel="0" collapsed="false">
      <c r="A75" s="4" t="s">
        <v>643</v>
      </c>
      <c r="B75" s="4" t="s">
        <v>38</v>
      </c>
      <c r="D75" s="22" t="n">
        <f aca="false">u_oth_26</f>
        <v>1</v>
      </c>
      <c r="E75" s="22" t="n">
        <f aca="false">u_oth_27</f>
        <v>4.5</v>
      </c>
      <c r="F75" s="22" t="n">
        <f aca="false">u_oth_28*um28_A</f>
        <v>5</v>
      </c>
      <c r="G75" s="22" t="n">
        <f aca="false">u_oth_28*(1+g29_oth)*um29_A</f>
        <v>5.75</v>
      </c>
    </row>
    <row r="76" customFormat="false" ht="17.15" hidden="false" customHeight="false" outlineLevel="0" collapsed="false">
      <c r="A76" s="4" t="s">
        <v>584</v>
      </c>
      <c r="B76" s="0" t="s">
        <v>51</v>
      </c>
      <c r="D76" s="18" t="n">
        <f aca="false">guc_oth_26</f>
        <v>0.03</v>
      </c>
      <c r="E76" s="18" t="n">
        <f aca="false">MIN(1,MAX(0,go27_A+0))</f>
        <v>0.06</v>
      </c>
      <c r="F76" s="18" t="n">
        <f aca="false">MIN(1,MAX(0,go28_A+0))</f>
        <v>0.08</v>
      </c>
      <c r="G76" s="18" t="n">
        <f aca="false">MIN(1,MAX(0,go28_A+0))</f>
        <v>0.08</v>
      </c>
    </row>
    <row r="77" customFormat="false" ht="17.15" hidden="false" customHeight="false" outlineLevel="0" collapsed="false">
      <c r="A77" s="4" t="s">
        <v>586</v>
      </c>
      <c r="B77" s="4" t="s">
        <v>38</v>
      </c>
      <c r="D77" s="22" t="n">
        <f aca="false">D75*D76</f>
        <v>0.03</v>
      </c>
      <c r="E77" s="22" t="n">
        <f aca="false">E75*E76*1</f>
        <v>0.27</v>
      </c>
      <c r="F77" s="22" t="n">
        <f aca="false">F75*F76*1</f>
        <v>0.4</v>
      </c>
      <c r="G77" s="22" t="n">
        <f aca="false">G75*G76*1</f>
        <v>0.46</v>
      </c>
    </row>
    <row r="78" customFormat="false" ht="17.15" hidden="false" customHeight="false" outlineLevel="0" collapsed="false">
      <c r="A78" s="0" t="s">
        <v>644</v>
      </c>
      <c r="B78" s="0" t="s">
        <v>581</v>
      </c>
      <c r="D78" s="20" t="n">
        <f aca="false">D77*core_oth</f>
        <v>0.18</v>
      </c>
      <c r="E78" s="20" t="n">
        <f aca="false">E77*core_oth</f>
        <v>1.62</v>
      </c>
      <c r="F78" s="20" t="n">
        <f aca="false">F77*core_oth</f>
        <v>2.4</v>
      </c>
      <c r="G78" s="20" t="n">
        <f aca="false">G77*core_oth</f>
        <v>2.76</v>
      </c>
    </row>
    <row r="79" customFormat="false" ht="17.15" hidden="false" customHeight="false" outlineLevel="0" collapsed="false">
      <c r="A79" s="0" t="s">
        <v>645</v>
      </c>
      <c r="B79" s="0" t="s">
        <v>70</v>
      </c>
      <c r="D79" s="22" t="n">
        <f aca="false">a26_asic/fx26/D78</f>
        <v>0.366122890295359</v>
      </c>
      <c r="K79" s="8" t="s">
        <v>646</v>
      </c>
    </row>
    <row r="80" customFormat="false" ht="17.15" hidden="false" customHeight="false" outlineLevel="0" collapsed="false">
      <c r="A80" s="0" t="s">
        <v>647</v>
      </c>
      <c r="B80" s="0" t="s">
        <v>581</v>
      </c>
      <c r="D80" s="20" t="n">
        <f aca="false">D78*$D$79</f>
        <v>0.0659021202531645</v>
      </c>
      <c r="E80" s="20" t="n">
        <f aca="false">E78*$D$79</f>
        <v>0.593119082278481</v>
      </c>
      <c r="F80" s="20" t="n">
        <f aca="false">F78*$D$79</f>
        <v>0.878694936708861</v>
      </c>
      <c r="G80" s="20" t="n">
        <f aca="false">G78*$D$79</f>
        <v>1.01049917721519</v>
      </c>
    </row>
    <row r="81" customFormat="false" ht="17.15" hidden="false" customHeight="false" outlineLevel="0" collapsed="false">
      <c r="A81" s="0" t="s">
        <v>648</v>
      </c>
      <c r="B81" s="0" t="s">
        <v>278</v>
      </c>
      <c r="C81" s="20" t="n">
        <f aca="false">a25_asic</f>
        <v>1.70705</v>
      </c>
      <c r="D81" s="20" t="n">
        <f aca="false">D80*D71</f>
        <v>2.082507</v>
      </c>
      <c r="E81" s="20" t="n">
        <f aca="false">E80*E71</f>
        <v>18.9798106329114</v>
      </c>
      <c r="F81" s="20" t="n">
        <f aca="false">F80*F71</f>
        <v>28.1182379746835</v>
      </c>
      <c r="G81" s="20" t="n">
        <f aca="false">G80*G71</f>
        <v>32.3359736708861</v>
      </c>
    </row>
    <row r="82" customFormat="false" ht="17.15" hidden="false" customHeight="false" outlineLevel="0" collapsed="false">
      <c r="A82" s="6" t="s">
        <v>649</v>
      </c>
    </row>
    <row r="83" customFormat="false" ht="17.15" hidden="false" customHeight="false" outlineLevel="0" collapsed="false">
      <c r="A83" s="4" t="s">
        <v>650</v>
      </c>
      <c r="B83" s="0" t="s">
        <v>278</v>
      </c>
      <c r="C83" s="20" t="n">
        <f aca="false">a25_auto</f>
        <v>1.02423</v>
      </c>
      <c r="D83" s="20" t="n">
        <f aca="false">a26_auto</f>
        <v>3.470845</v>
      </c>
      <c r="E83" s="20" t="n">
        <f aca="false">D83*am27_A</f>
        <v>13.88338</v>
      </c>
      <c r="F83" s="20" t="n">
        <f aca="false">E83*am28_A</f>
        <v>27.76676</v>
      </c>
      <c r="G83" s="20" t="n">
        <f aca="false">F83*(1+ag29_A)</f>
        <v>33.320112</v>
      </c>
    </row>
    <row r="84" customFormat="false" ht="17.15" hidden="false" customHeight="false" outlineLevel="0" collapsed="false">
      <c r="A84" s="4" t="s">
        <v>651</v>
      </c>
      <c r="B84" s="0" t="s">
        <v>278</v>
      </c>
      <c r="C84" s="20" t="n">
        <f aca="false">a25_oth</f>
        <v>25.26434</v>
      </c>
      <c r="D84" s="20" t="n">
        <f aca="false">a26_oth</f>
        <v>30.543436</v>
      </c>
      <c r="E84" s="20" t="n">
        <f aca="false">D84*(1+g_o27_A)</f>
        <v>35.1249514</v>
      </c>
      <c r="F84" s="20" t="n">
        <f aca="false">E84*(1+g_oL_A)</f>
        <v>38.63744654</v>
      </c>
      <c r="G84" s="20" t="n">
        <f aca="false">F84*(1+g_oL_A)</f>
        <v>42.501191194</v>
      </c>
    </row>
    <row r="85" customFormat="false" ht="17.15" hidden="false" customHeight="false" outlineLevel="0" collapsed="false">
      <c r="A85" s="4" t="s">
        <v>503</v>
      </c>
      <c r="B85" s="0" t="s">
        <v>278</v>
      </c>
      <c r="C85" s="20" t="n">
        <f aca="false">C72+C81+C83+C84</f>
        <v>34.141</v>
      </c>
      <c r="D85" s="20" t="n">
        <f aca="false">D72+D81+D83+D84</f>
        <v>69.4169</v>
      </c>
      <c r="E85" s="20" t="n">
        <f aca="false">E72+E81+E83+E84</f>
        <v>156.977730348393</v>
      </c>
      <c r="F85" s="20" t="n">
        <f aca="false">F72+F81+F83+F84</f>
        <v>230.433815760147</v>
      </c>
      <c r="G85" s="20" t="n">
        <f aca="false">G72+G81+G83+G84</f>
        <v>264.455353797169</v>
      </c>
      <c r="H85" s="28" t="n">
        <f aca="false">G85*(1+H86)</f>
        <v>295.7741413076</v>
      </c>
      <c r="I85" s="28" t="n">
        <f aca="false">H85*(1+I86)</f>
        <v>322.161262221043</v>
      </c>
      <c r="J85" s="28" t="n">
        <f aca="false">I85*(1+J86)</f>
        <v>341.490937954306</v>
      </c>
      <c r="K85" s="8" t="s">
        <v>652</v>
      </c>
    </row>
    <row r="86" customFormat="false" ht="15" hidden="false" customHeight="false" outlineLevel="0" collapsed="false">
      <c r="A86" s="4" t="s">
        <v>653</v>
      </c>
      <c r="B86" s="0" t="s">
        <v>51</v>
      </c>
      <c r="D86" s="18" t="n">
        <f aca="false">D85/C85-1</f>
        <v>1.03324155707214</v>
      </c>
      <c r="E86" s="18" t="n">
        <f aca="false">E85/D85-1</f>
        <v>1.26137626930032</v>
      </c>
      <c r="F86" s="18" t="n">
        <f aca="false">F85/E85-1</f>
        <v>0.467939530331637</v>
      </c>
      <c r="G86" s="18" t="n">
        <f aca="false">G85/F85-1</f>
        <v>0.147641256231395</v>
      </c>
      <c r="H86" s="26" t="n">
        <f aca="false">$G86+(fade_gA-$G86)*1/3</f>
        <v>0.118427504154264</v>
      </c>
      <c r="I86" s="26" t="n">
        <f aca="false">$G86+(fade_gA-$G86)*2/3</f>
        <v>0.0892137520771318</v>
      </c>
      <c r="J86" s="26" t="n">
        <f aca="false">$G86+(fade_gA-$G86)*3/3</f>
        <v>0.06</v>
      </c>
    </row>
    <row r="87" customFormat="false" ht="17.15" hidden="false" customHeight="false" outlineLevel="0" collapsed="false">
      <c r="A87" s="0" t="s">
        <v>654</v>
      </c>
      <c r="B87" s="0" t="s">
        <v>51</v>
      </c>
      <c r="C87" s="18" t="n">
        <f aca="false">C72/C85</f>
        <v>0.18</v>
      </c>
      <c r="D87" s="18" t="n">
        <f aca="false">D72/D85</f>
        <v>0.48</v>
      </c>
      <c r="E87" s="18" t="n">
        <f aca="false">E72/E85</f>
        <v>0.566893075329731</v>
      </c>
      <c r="F87" s="18" t="n">
        <f aca="false">F72/F85</f>
        <v>0.589806538580823</v>
      </c>
      <c r="G87" s="18" t="n">
        <f aca="false">G72/G85</f>
        <v>0.591018766260863</v>
      </c>
    </row>
    <row r="88" customFormat="false" ht="17.15" hidden="false" customHeight="false" outlineLevel="0" collapsed="false">
      <c r="A88" s="4" t="s">
        <v>655</v>
      </c>
      <c r="B88" s="0" t="s">
        <v>51</v>
      </c>
      <c r="C88" s="18" t="n">
        <f aca="false">C83/C85</f>
        <v>0.03</v>
      </c>
      <c r="D88" s="18" t="n">
        <f aca="false">D83/D85</f>
        <v>0.05</v>
      </c>
      <c r="E88" s="18" t="n">
        <f aca="false">E83/E85</f>
        <v>0.0884417169823229</v>
      </c>
      <c r="F88" s="18" t="n">
        <f aca="false">F83/F85</f>
        <v>0.120497765956806</v>
      </c>
      <c r="G88" s="18" t="n">
        <f aca="false">G83/G85</f>
        <v>0.125995225740658</v>
      </c>
    </row>
    <row r="89" customFormat="false" ht="17.15" hidden="false" customHeight="false" outlineLevel="0" collapsed="false">
      <c r="A89" s="6" t="s">
        <v>656</v>
      </c>
    </row>
    <row r="90" customFormat="false" ht="17.15" hidden="false" customHeight="false" outlineLevel="0" collapsed="false">
      <c r="A90" s="0" t="s">
        <v>657</v>
      </c>
      <c r="B90" s="0" t="s">
        <v>278</v>
      </c>
      <c r="D90" s="20" t="n">
        <f aca="false">m_tk*(D72+D81)</f>
        <v>4.60234047</v>
      </c>
      <c r="E90" s="20" t="n">
        <f aca="false">(m_tk+gta_A)*(E72+E81)</f>
        <v>15.1157158527751</v>
      </c>
      <c r="F90" s="20" t="n">
        <f aca="false">(m_tk+gta_A)*(F72+F81)</f>
        <v>22.9641452908206</v>
      </c>
      <c r="G90" s="20" t="n">
        <f aca="false">(m_tk+gta_A)*(G72+G81)</f>
        <v>26.4087670844437</v>
      </c>
    </row>
    <row r="91" customFormat="false" ht="17.15" hidden="false" customHeight="false" outlineLevel="0" collapsed="false">
      <c r="A91" s="4" t="s">
        <v>658</v>
      </c>
      <c r="B91" s="0" t="s">
        <v>278</v>
      </c>
      <c r="D91" s="20" t="n">
        <f aca="false">m_auto*D83</f>
        <v>0.5553352</v>
      </c>
      <c r="E91" s="20" t="n">
        <f aca="false">m_auto*E83</f>
        <v>2.2213408</v>
      </c>
      <c r="F91" s="20" t="n">
        <f aca="false">m_auto*F83</f>
        <v>4.4426816</v>
      </c>
      <c r="G91" s="20" t="n">
        <f aca="false">m_auto*G83</f>
        <v>5.33121792</v>
      </c>
    </row>
    <row r="92" customFormat="false" ht="17.15" hidden="false" customHeight="false" outlineLevel="0" collapsed="false">
      <c r="A92" s="4" t="s">
        <v>659</v>
      </c>
      <c r="B92" s="0" t="s">
        <v>51</v>
      </c>
      <c r="C92" s="9" t="n">
        <f aca="false">(a25_gp-m_tk*(C72+C81)-m_auto*C83)/C84</f>
        <v>0.287729950594395</v>
      </c>
      <c r="D92" s="9" t="n">
        <f aca="false">(a26_gp-D90-D91)/D84</f>
        <v>0.310829299951715</v>
      </c>
      <c r="E92" s="9" t="n">
        <f aca="false">$D92+0</f>
        <v>0.310829299951715</v>
      </c>
      <c r="F92" s="9" t="n">
        <f aca="false">$D92+0</f>
        <v>0.310829299951715</v>
      </c>
      <c r="G92" s="9" t="n">
        <f aca="false">$D92+0</f>
        <v>0.310829299951715</v>
      </c>
      <c r="K92" s="8" t="s">
        <v>660</v>
      </c>
    </row>
    <row r="93" customFormat="false" ht="15" hidden="false" customHeight="false" outlineLevel="0" collapsed="false">
      <c r="A93" s="4" t="s">
        <v>516</v>
      </c>
      <c r="B93" s="0" t="s">
        <v>278</v>
      </c>
      <c r="C93" s="20" t="n">
        <f aca="false">a25_gp</f>
        <v>8.454</v>
      </c>
      <c r="D93" s="20" t="n">
        <f aca="false">a26_gp</f>
        <v>14.6514705</v>
      </c>
      <c r="E93" s="20" t="n">
        <f aca="false">E92*E84+E90+E91</f>
        <v>28.2549207072751</v>
      </c>
      <c r="F93" s="20" t="n">
        <f aca="false">F92*F84+F90+F91</f>
        <v>39.4164773507706</v>
      </c>
      <c r="G93" s="20" t="n">
        <f aca="false">G92*G84+G90+G91</f>
        <v>44.9506005103887</v>
      </c>
    </row>
    <row r="94" customFormat="false" ht="15" hidden="false" customHeight="false" outlineLevel="0" collapsed="false">
      <c r="A94" s="4" t="s">
        <v>519</v>
      </c>
      <c r="B94" s="0" t="s">
        <v>51</v>
      </c>
      <c r="C94" s="9" t="n">
        <f aca="false">C93/C85</f>
        <v>0.247620163439852</v>
      </c>
      <c r="D94" s="9" t="n">
        <f aca="false">D93/D85</f>
        <v>0.211064891978754</v>
      </c>
      <c r="E94" s="9" t="n">
        <f aca="false">E93/E85</f>
        <v>0.17999317893415</v>
      </c>
      <c r="F94" s="9" t="n">
        <f aca="false">F93/F85</f>
        <v>0.171053355258406</v>
      </c>
      <c r="G94" s="9" t="n">
        <f aca="false">G93/G85</f>
        <v>0.169974250341193</v>
      </c>
    </row>
    <row r="95" customFormat="false" ht="15" hidden="false" customHeight="false" outlineLevel="0" collapsed="false">
      <c r="A95" s="4" t="s">
        <v>521</v>
      </c>
      <c r="B95" s="0" t="s">
        <v>278</v>
      </c>
      <c r="C95" s="20" t="n">
        <f aca="false">a25_opx</f>
        <v>4.104</v>
      </c>
      <c r="D95" s="20" t="n">
        <f aca="false">a26_opx</f>
        <v>5.365972</v>
      </c>
      <c r="E95" s="20" t="n">
        <f aca="false">D95*(1+MAX(g_opx_min,phi*E86))+0*E85</f>
        <v>7.39652492275899</v>
      </c>
      <c r="F95" s="20" t="n">
        <f aca="false">E95*(1+MAX(g_opx_min,phi*F86))+0*F85</f>
        <v>8.43486284229162</v>
      </c>
      <c r="G95" s="20" t="n">
        <f aca="false">F95*(1+MAX(g_opx_min,phi*G86))+0*G85</f>
        <v>9.10965186967495</v>
      </c>
    </row>
    <row r="96" customFormat="false" ht="15" hidden="false" customHeight="false" outlineLevel="0" collapsed="false">
      <c r="A96" s="4" t="s">
        <v>524</v>
      </c>
      <c r="B96" s="0" t="s">
        <v>278</v>
      </c>
      <c r="C96" s="20" t="n">
        <f aca="false">C93-C95</f>
        <v>4.35</v>
      </c>
      <c r="D96" s="20" t="n">
        <f aca="false">D93-D95</f>
        <v>9.2854985</v>
      </c>
      <c r="E96" s="20" t="n">
        <f aca="false">E93-E95</f>
        <v>20.8583957845161</v>
      </c>
      <c r="F96" s="20" t="n">
        <f aca="false">F93-F95</f>
        <v>30.9816145084789</v>
      </c>
      <c r="G96" s="20" t="n">
        <f aca="false">G93-G95</f>
        <v>35.8409486407137</v>
      </c>
    </row>
    <row r="97" customFormat="false" ht="15" hidden="false" customHeight="false" outlineLevel="0" collapsed="false">
      <c r="A97" s="4" t="s">
        <v>621</v>
      </c>
      <c r="B97" s="0" t="s">
        <v>51</v>
      </c>
      <c r="C97" s="9" t="n">
        <f aca="false">C96/C85</f>
        <v>0.127412788143288</v>
      </c>
      <c r="D97" s="9" t="n">
        <f aca="false">D96/D85</f>
        <v>0.13376423464603</v>
      </c>
      <c r="E97" s="9" t="n">
        <f aca="false">E96/E85</f>
        <v>0.132874871730043</v>
      </c>
      <c r="F97" s="9" t="n">
        <f aca="false">F96/F85</f>
        <v>0.134449079907295</v>
      </c>
      <c r="G97" s="9" t="n">
        <f aca="false">G96/G85</f>
        <v>0.135527408033505</v>
      </c>
    </row>
    <row r="98" customFormat="false" ht="15" hidden="false" customHeight="false" outlineLevel="0" collapsed="false">
      <c r="A98" s="4" t="s">
        <v>527</v>
      </c>
      <c r="B98" s="0" t="s">
        <v>278</v>
      </c>
      <c r="C98" s="20" t="n">
        <f aca="false">a25_nonop</f>
        <v>0.0920000000000005</v>
      </c>
      <c r="D98" s="20" t="n">
        <f aca="false">a26_nonop</f>
        <v>0.384548</v>
      </c>
      <c r="E98" s="20" t="n">
        <f aca="false">nonop_f</f>
        <v>0.5</v>
      </c>
      <c r="F98" s="20" t="n">
        <f aca="false">nonop_f</f>
        <v>0.5</v>
      </c>
      <c r="G98" s="20" t="n">
        <f aca="false">nonop_f</f>
        <v>0.5</v>
      </c>
    </row>
    <row r="99" customFormat="false" ht="15" hidden="false" customHeight="false" outlineLevel="0" collapsed="false">
      <c r="A99" s="4" t="s">
        <v>529</v>
      </c>
      <c r="B99" s="0" t="s">
        <v>278</v>
      </c>
      <c r="C99" s="20" t="n">
        <f aca="false">C96+C98</f>
        <v>4.442</v>
      </c>
      <c r="D99" s="20" t="n">
        <f aca="false">D96+D98</f>
        <v>9.6700465</v>
      </c>
      <c r="E99" s="20" t="n">
        <f aca="false">E96+E98</f>
        <v>21.3583957845161</v>
      </c>
      <c r="F99" s="20" t="n">
        <f aca="false">F96+F98</f>
        <v>31.4816145084789</v>
      </c>
      <c r="G99" s="20" t="n">
        <f aca="false">G96+G98</f>
        <v>36.3409486407137</v>
      </c>
    </row>
    <row r="100" customFormat="false" ht="15" hidden="false" customHeight="false" outlineLevel="0" collapsed="false">
      <c r="A100" s="4" t="s">
        <v>531</v>
      </c>
      <c r="B100" s="0" t="s">
        <v>278</v>
      </c>
      <c r="C100" s="20" t="n">
        <f aca="false">a25_tax</f>
        <v>0.672</v>
      </c>
      <c r="D100" s="20" t="n">
        <f aca="false">a26_tax</f>
        <v>1.337361725</v>
      </c>
      <c r="E100" s="20" t="n">
        <f aca="false">E99*tax</f>
        <v>3.20375936767741</v>
      </c>
      <c r="F100" s="20" t="n">
        <f aca="false">F99*tax</f>
        <v>4.72224217627184</v>
      </c>
      <c r="G100" s="20" t="n">
        <f aca="false">G99*tax</f>
        <v>5.45114229610706</v>
      </c>
    </row>
    <row r="101" customFormat="false" ht="15" hidden="false" customHeight="false" outlineLevel="0" collapsed="false">
      <c r="A101" s="4" t="s">
        <v>534</v>
      </c>
      <c r="B101" s="0" t="s">
        <v>278</v>
      </c>
      <c r="C101" s="20" t="n">
        <f aca="false">C99-C100</f>
        <v>3.77</v>
      </c>
      <c r="D101" s="20" t="n">
        <f aca="false">D99-D100</f>
        <v>8.332684775</v>
      </c>
      <c r="E101" s="20" t="n">
        <f aca="false">E99-E100</f>
        <v>18.1546364168387</v>
      </c>
      <c r="F101" s="20" t="n">
        <f aca="false">F99-F100</f>
        <v>26.7593723322071</v>
      </c>
      <c r="G101" s="20" t="n">
        <f aca="false">G99-G100</f>
        <v>30.8898063446067</v>
      </c>
      <c r="H101" s="28" t="n">
        <f aca="false">H85*H105</f>
        <v>34.548009013807</v>
      </c>
      <c r="I101" s="28" t="n">
        <f aca="false">I85*I105</f>
        <v>37.6301665247232</v>
      </c>
      <c r="J101" s="28" t="n">
        <f aca="false">J85*J105</f>
        <v>39.8879765162066</v>
      </c>
    </row>
    <row r="102" customFormat="false" ht="15" hidden="false" customHeight="false" outlineLevel="0" collapsed="false">
      <c r="A102" s="4" t="s">
        <v>312</v>
      </c>
      <c r="B102" s="4" t="s">
        <v>313</v>
      </c>
      <c r="C102" s="19" t="n">
        <f aca="false">a25_sh</f>
        <v>0.134020618556701</v>
      </c>
      <c r="D102" s="19" t="n">
        <f aca="false">a26_sh</f>
        <v>0.13399883744778</v>
      </c>
      <c r="E102" s="19" t="n">
        <f aca="false">q_sh*(1+sh_g)</f>
        <v>0.13401</v>
      </c>
      <c r="F102" s="19" t="n">
        <f aca="false">E102*(1+sh_g)</f>
        <v>0.13401</v>
      </c>
      <c r="G102" s="19" t="n">
        <f aca="false">F102*(1+sh_g)</f>
        <v>0.13401</v>
      </c>
      <c r="H102" s="30" t="n">
        <f aca="false">G102*(1+sh_g)</f>
        <v>0.13401</v>
      </c>
      <c r="I102" s="30" t="n">
        <f aca="false">H102*(1+sh_g)</f>
        <v>0.13401</v>
      </c>
      <c r="J102" s="30" t="n">
        <f aca="false">I102*(1+sh_g)</f>
        <v>0.13401</v>
      </c>
    </row>
    <row r="103" customFormat="false" ht="17.15" hidden="false" customHeight="false" outlineLevel="0" collapsed="false">
      <c r="A103" s="0" t="s">
        <v>538</v>
      </c>
      <c r="B103" s="0" t="s">
        <v>356</v>
      </c>
      <c r="C103" s="20" t="n">
        <f aca="false">C101/C102</f>
        <v>28.13</v>
      </c>
      <c r="D103" s="20" t="n">
        <f aca="false">D101/D102</f>
        <v>62.1847542389856</v>
      </c>
      <c r="E103" s="20" t="n">
        <f aca="false">E101/E102</f>
        <v>135.47225145018</v>
      </c>
      <c r="F103" s="20" t="n">
        <f aca="false">F101/F102</f>
        <v>199.68190681447</v>
      </c>
      <c r="G103" s="20" t="n">
        <f aca="false">G101/G102</f>
        <v>230.503741098475</v>
      </c>
      <c r="H103" s="28" t="n">
        <f aca="false">H101/H102</f>
        <v>257.801723854988</v>
      </c>
      <c r="I103" s="28" t="n">
        <f aca="false">I101/I102</f>
        <v>280.801182932044</v>
      </c>
      <c r="J103" s="28" t="n">
        <f aca="false">J101/J102</f>
        <v>297.649253907967</v>
      </c>
    </row>
    <row r="104" customFormat="false" ht="17.15" hidden="false" customHeight="false" outlineLevel="0" collapsed="false">
      <c r="A104" s="0" t="s">
        <v>661</v>
      </c>
      <c r="B104" s="0" t="s">
        <v>51</v>
      </c>
      <c r="D104" s="18" t="n">
        <f aca="false">D103/C103-1</f>
        <v>1.21062048485551</v>
      </c>
      <c r="E104" s="18" t="n">
        <f aca="false">E103/D103-1</f>
        <v>1.1785444536701</v>
      </c>
      <c r="F104" s="18" t="n">
        <f aca="false">F103/E103-1</f>
        <v>0.473969057699631</v>
      </c>
      <c r="G104" s="18" t="n">
        <f aca="false">G103/F103-1</f>
        <v>0.154354667259076</v>
      </c>
      <c r="H104" s="26" t="n">
        <f aca="false">H103/G103-1</f>
        <v>0.118427504154263</v>
      </c>
      <c r="I104" s="26" t="n">
        <f aca="false">I103/H103-1</f>
        <v>0.0892137520771317</v>
      </c>
      <c r="J104" s="26" t="n">
        <f aca="false">J103/I103-1</f>
        <v>0.0600000000000001</v>
      </c>
    </row>
    <row r="105" customFormat="false" ht="17.15" hidden="false" customHeight="false" outlineLevel="0" collapsed="false">
      <c r="A105" s="4" t="s">
        <v>662</v>
      </c>
      <c r="B105" s="0" t="s">
        <v>51</v>
      </c>
      <c r="C105" s="9" t="n">
        <f aca="false">C101/C85</f>
        <v>0.11042441639085</v>
      </c>
      <c r="D105" s="9" t="n">
        <f aca="false">D101/D85</f>
        <v>0.1200382727405</v>
      </c>
      <c r="E105" s="9" t="n">
        <f aca="false">E101/E85</f>
        <v>0.115651031369524</v>
      </c>
      <c r="F105" s="9" t="n">
        <f aca="false">F101/F85</f>
        <v>0.116126065282277</v>
      </c>
      <c r="G105" s="9" t="n">
        <f aca="false">G101/G85</f>
        <v>0.116805373387519</v>
      </c>
      <c r="H105" s="27" t="n">
        <f aca="false">$G105+(fade_mA-$G105)*1/3</f>
        <v>0.116805373387519</v>
      </c>
      <c r="I105" s="27" t="n">
        <f aca="false">$G105+(fade_mA-$G105)*2/3</f>
        <v>0.116805373387519</v>
      </c>
      <c r="J105" s="27" t="n">
        <f aca="false">$G105+(fade_mA-$G105)*3/3</f>
        <v>0.116805373387519</v>
      </c>
    </row>
    <row r="108" customFormat="false" ht="17.15" hidden="false" customHeight="false" outlineLevel="0" collapsed="false">
      <c r="A108" s="1" t="s">
        <v>663</v>
      </c>
    </row>
    <row r="109" customFormat="false" ht="17.15" hidden="false" customHeight="false" outlineLevel="0" collapsed="false">
      <c r="A109" s="5" t="s">
        <v>27</v>
      </c>
      <c r="B109" s="5" t="s">
        <v>28</v>
      </c>
      <c r="C109" s="16" t="s">
        <v>497</v>
      </c>
      <c r="D109" s="16" t="s">
        <v>610</v>
      </c>
      <c r="E109" s="16" t="s">
        <v>611</v>
      </c>
      <c r="F109" s="16" t="s">
        <v>612</v>
      </c>
      <c r="G109" s="16" t="s">
        <v>613</v>
      </c>
      <c r="H109" s="16" t="s">
        <v>614</v>
      </c>
      <c r="I109" s="16" t="s">
        <v>615</v>
      </c>
      <c r="J109" s="16" t="s">
        <v>616</v>
      </c>
      <c r="K109" s="5" t="s">
        <v>450</v>
      </c>
    </row>
    <row r="110" customFormat="false" ht="17.15" hidden="false" customHeight="false" outlineLevel="0" collapsed="false">
      <c r="A110" s="6" t="s">
        <v>632</v>
      </c>
    </row>
    <row r="111" customFormat="false" ht="17.15" hidden="false" customHeight="false" outlineLevel="0" collapsed="false">
      <c r="A111" s="0" t="s">
        <v>633</v>
      </c>
      <c r="B111" s="4" t="s">
        <v>38</v>
      </c>
      <c r="D111" s="22" t="n">
        <f aca="false">u_tpu_26</f>
        <v>3.85</v>
      </c>
      <c r="E111" s="22" t="n">
        <f aca="false">u_tpu_27</f>
        <v>5.5</v>
      </c>
      <c r="F111" s="22" t="n">
        <f aca="false">u_tpu_28*um28_B</f>
        <v>5.6</v>
      </c>
      <c r="G111" s="22" t="n">
        <f aca="false">u_tpu_28*(1+g29_tpu)*um29_B</f>
        <v>6.8425</v>
      </c>
    </row>
    <row r="112" customFormat="false" ht="17.15" hidden="false" customHeight="false" outlineLevel="0" collapsed="false">
      <c r="A112" s="0" t="s">
        <v>574</v>
      </c>
      <c r="B112" s="0" t="s">
        <v>70</v>
      </c>
      <c r="D112" s="22" t="n">
        <f aca="false">att26</f>
        <v>0.325</v>
      </c>
      <c r="E112" s="22" t="n">
        <f aca="false">MAX(0,att_B+0)</f>
        <v>0.5</v>
      </c>
      <c r="F112" s="22" t="n">
        <f aca="false">MAX(0,att_B+0)</f>
        <v>0.5</v>
      </c>
      <c r="G112" s="22" t="n">
        <f aca="false">MAX(0,att_B+0)</f>
        <v>0.5</v>
      </c>
    </row>
    <row r="113" customFormat="false" ht="17.15" hidden="false" customHeight="false" outlineLevel="0" collapsed="false">
      <c r="A113" s="4" t="s">
        <v>634</v>
      </c>
      <c r="B113" s="0" t="s">
        <v>51</v>
      </c>
      <c r="D113" s="18" t="n">
        <f aca="false">gsh26</f>
        <v>1</v>
      </c>
      <c r="E113" s="18" t="n">
        <f aca="false">gsh26</f>
        <v>1</v>
      </c>
      <c r="F113" s="18" t="n">
        <f aca="false">MIN(1,gsh28_B)</f>
        <v>0.9</v>
      </c>
      <c r="G113" s="18" t="n">
        <f aca="false">MIN(1,gsh28_B)</f>
        <v>0.9</v>
      </c>
    </row>
    <row r="114" customFormat="false" ht="17.15" hidden="false" customHeight="false" outlineLevel="0" collapsed="false">
      <c r="A114" s="4" t="s">
        <v>576</v>
      </c>
      <c r="B114" s="4" t="s">
        <v>38</v>
      </c>
      <c r="D114" s="22" t="n">
        <f aca="false">D111*D112*D113</f>
        <v>1.25125</v>
      </c>
      <c r="E114" s="22" t="n">
        <f aca="false">E111*E112*E113*1</f>
        <v>2.75</v>
      </c>
      <c r="F114" s="22" t="n">
        <f aca="false">F111*F112*F113*1</f>
        <v>2.52</v>
      </c>
      <c r="G114" s="22" t="n">
        <f aca="false">G111*G112*G113*1</f>
        <v>3.079125</v>
      </c>
    </row>
    <row r="115" customFormat="false" ht="17.15" hidden="false" customHeight="false" outlineLevel="0" collapsed="false">
      <c r="A115" s="4" t="s">
        <v>635</v>
      </c>
      <c r="B115" s="0" t="s">
        <v>116</v>
      </c>
      <c r="D115" s="20" t="n">
        <f aca="false">pc_cpu</f>
        <v>1</v>
      </c>
      <c r="E115" s="20" t="n">
        <f aca="false">pc_cpu</f>
        <v>1</v>
      </c>
      <c r="F115" s="20" t="n">
        <f aca="false">pc_cpu*pfc_B</f>
        <v>1.1</v>
      </c>
      <c r="G115" s="20" t="n">
        <f aca="false">pc_cpu*pfc_B</f>
        <v>1.1</v>
      </c>
    </row>
    <row r="116" customFormat="false" ht="17.15" hidden="false" customHeight="false" outlineLevel="0" collapsed="false">
      <c r="A116" s="0" t="s">
        <v>636</v>
      </c>
      <c r="B116" s="0" t="s">
        <v>581</v>
      </c>
      <c r="D116" s="20" t="n">
        <f aca="false">D114*D115</f>
        <v>1.25125</v>
      </c>
      <c r="E116" s="20" t="n">
        <f aca="false">E114*E115</f>
        <v>2.75</v>
      </c>
      <c r="F116" s="20" t="n">
        <f aca="false">F114*F115</f>
        <v>2.772</v>
      </c>
      <c r="G116" s="20" t="n">
        <f aca="false">G114*G115</f>
        <v>3.3870375</v>
      </c>
    </row>
    <row r="117" customFormat="false" ht="17.15" hidden="false" customHeight="false" outlineLevel="0" collapsed="false">
      <c r="A117" s="0" t="s">
        <v>637</v>
      </c>
      <c r="B117" s="0" t="s">
        <v>70</v>
      </c>
      <c r="D117" s="22" t="n">
        <f aca="false">a26_cpu/fx26/D116</f>
        <v>0.842704434805701</v>
      </c>
      <c r="K117" s="8" t="s">
        <v>638</v>
      </c>
    </row>
    <row r="118" customFormat="false" ht="17.15" hidden="false" customHeight="false" outlineLevel="0" collapsed="false">
      <c r="A118" s="0" t="s">
        <v>639</v>
      </c>
      <c r="B118" s="0" t="s">
        <v>581</v>
      </c>
      <c r="D118" s="20" t="n">
        <f aca="false">D116*$D$117</f>
        <v>1.05443392405063</v>
      </c>
      <c r="E118" s="20" t="n">
        <f aca="false">E116*$D$117</f>
        <v>2.31743719571568</v>
      </c>
      <c r="F118" s="20" t="n">
        <f aca="false">F116*$D$117</f>
        <v>2.3359766932814</v>
      </c>
      <c r="G118" s="20" t="n">
        <f aca="false">G116*$D$117</f>
        <v>2.85427152210321</v>
      </c>
    </row>
    <row r="119" customFormat="false" ht="15" hidden="false" customHeight="false" outlineLevel="0" collapsed="false">
      <c r="A119" s="4" t="s">
        <v>640</v>
      </c>
      <c r="B119" s="0" t="s">
        <v>273</v>
      </c>
      <c r="D119" s="20" t="n">
        <f aca="false">fx26</f>
        <v>31.6</v>
      </c>
      <c r="E119" s="20" t="n">
        <f aca="false">fx</f>
        <v>32</v>
      </c>
      <c r="F119" s="20" t="n">
        <f aca="false">fx</f>
        <v>32</v>
      </c>
      <c r="G119" s="20" t="n">
        <f aca="false">fx</f>
        <v>32</v>
      </c>
    </row>
    <row r="120" customFormat="false" ht="17.15" hidden="false" customHeight="false" outlineLevel="0" collapsed="false">
      <c r="A120" s="0" t="s">
        <v>641</v>
      </c>
      <c r="B120" s="0" t="s">
        <v>278</v>
      </c>
      <c r="C120" s="20" t="n">
        <f aca="false">a25_cpu</f>
        <v>6.14538</v>
      </c>
      <c r="D120" s="20" t="n">
        <f aca="false">D118*D119</f>
        <v>33.320112</v>
      </c>
      <c r="E120" s="20" t="n">
        <f aca="false">E118*E119</f>
        <v>74.1579902629016</v>
      </c>
      <c r="F120" s="20" t="n">
        <f aca="false">F118*F119</f>
        <v>74.7512541850049</v>
      </c>
      <c r="G120" s="20" t="n">
        <f aca="false">G118*G119</f>
        <v>91.3366887073028</v>
      </c>
    </row>
    <row r="121" customFormat="false" ht="17.15" hidden="false" customHeight="false" outlineLevel="0" collapsed="false">
      <c r="A121" s="4" t="s">
        <v>578</v>
      </c>
      <c r="B121" s="0" t="s">
        <v>116</v>
      </c>
      <c r="D121" s="20" t="n">
        <f aca="false">IF(D114&gt;0,D118/D114,0)</f>
        <v>0.842704434805701</v>
      </c>
      <c r="E121" s="20" t="n">
        <f aca="false">IF(E114&gt;0,E118/E114,0)</f>
        <v>0.8427044348057</v>
      </c>
      <c r="F121" s="20" t="n">
        <f aca="false">IF(F114&gt;0,F118/F114,0)</f>
        <v>0.926974878286271</v>
      </c>
      <c r="G121" s="20" t="n">
        <f aca="false">IF(G114&gt;0,G118/G114,0)</f>
        <v>0.926974878286271</v>
      </c>
    </row>
    <row r="122" customFormat="false" ht="17.15" hidden="false" customHeight="false" outlineLevel="0" collapsed="false">
      <c r="A122" s="6" t="s">
        <v>642</v>
      </c>
    </row>
    <row r="123" customFormat="false" ht="17.15" hidden="false" customHeight="false" outlineLevel="0" collapsed="false">
      <c r="A123" s="4" t="s">
        <v>643</v>
      </c>
      <c r="B123" s="4" t="s">
        <v>38</v>
      </c>
      <c r="D123" s="22" t="n">
        <f aca="false">u_oth_26</f>
        <v>1</v>
      </c>
      <c r="E123" s="22" t="n">
        <f aca="false">u_oth_27</f>
        <v>4.5</v>
      </c>
      <c r="F123" s="22" t="n">
        <f aca="false">u_oth_28*um28_B</f>
        <v>4</v>
      </c>
      <c r="G123" s="22" t="n">
        <f aca="false">u_oth_28*(1+g29_oth)*um29_B</f>
        <v>4.8875</v>
      </c>
    </row>
    <row r="124" customFormat="false" ht="17.15" hidden="false" customHeight="false" outlineLevel="0" collapsed="false">
      <c r="A124" s="4" t="s">
        <v>584</v>
      </c>
      <c r="B124" s="0" t="s">
        <v>51</v>
      </c>
      <c r="D124" s="18" t="n">
        <f aca="false">guc_oth_26</f>
        <v>0.03</v>
      </c>
      <c r="E124" s="18" t="n">
        <f aca="false">MIN(1,MAX(0,go27_B+0))</f>
        <v>0.04</v>
      </c>
      <c r="F124" s="18" t="n">
        <f aca="false">MIN(1,MAX(0,go28_B+0))</f>
        <v>0.05</v>
      </c>
      <c r="G124" s="18" t="n">
        <f aca="false">MIN(1,MAX(0,go28_B+0))</f>
        <v>0.05</v>
      </c>
    </row>
    <row r="125" customFormat="false" ht="17.15" hidden="false" customHeight="false" outlineLevel="0" collapsed="false">
      <c r="A125" s="4" t="s">
        <v>586</v>
      </c>
      <c r="B125" s="4" t="s">
        <v>38</v>
      </c>
      <c r="D125" s="22" t="n">
        <f aca="false">D123*D124</f>
        <v>0.03</v>
      </c>
      <c r="E125" s="22" t="n">
        <f aca="false">E123*E124*1</f>
        <v>0.18</v>
      </c>
      <c r="F125" s="22" t="n">
        <f aca="false">F123*F124*1</f>
        <v>0.2</v>
      </c>
      <c r="G125" s="22" t="n">
        <f aca="false">G123*G124*1</f>
        <v>0.244375</v>
      </c>
    </row>
    <row r="126" customFormat="false" ht="17.15" hidden="false" customHeight="false" outlineLevel="0" collapsed="false">
      <c r="A126" s="0" t="s">
        <v>644</v>
      </c>
      <c r="B126" s="0" t="s">
        <v>581</v>
      </c>
      <c r="D126" s="20" t="n">
        <f aca="false">D125*core_oth</f>
        <v>0.18</v>
      </c>
      <c r="E126" s="20" t="n">
        <f aca="false">E125*core_oth</f>
        <v>1.08</v>
      </c>
      <c r="F126" s="20" t="n">
        <f aca="false">F125*core_oth</f>
        <v>1.2</v>
      </c>
      <c r="G126" s="20" t="n">
        <f aca="false">G125*core_oth</f>
        <v>1.46625</v>
      </c>
    </row>
    <row r="127" customFormat="false" ht="17.15" hidden="false" customHeight="false" outlineLevel="0" collapsed="false">
      <c r="A127" s="0" t="s">
        <v>645</v>
      </c>
      <c r="B127" s="0" t="s">
        <v>70</v>
      </c>
      <c r="D127" s="22" t="n">
        <f aca="false">a26_asic/fx26/D126</f>
        <v>0.366122890295359</v>
      </c>
      <c r="K127" s="8" t="s">
        <v>646</v>
      </c>
    </row>
    <row r="128" customFormat="false" ht="17.15" hidden="false" customHeight="false" outlineLevel="0" collapsed="false">
      <c r="A128" s="0" t="s">
        <v>647</v>
      </c>
      <c r="B128" s="0" t="s">
        <v>581</v>
      </c>
      <c r="D128" s="20" t="n">
        <f aca="false">D126*$D$127</f>
        <v>0.0659021202531645</v>
      </c>
      <c r="E128" s="20" t="n">
        <f aca="false">E126*$D$127</f>
        <v>0.395412721518987</v>
      </c>
      <c r="F128" s="20" t="n">
        <f aca="false">F126*$D$127</f>
        <v>0.43934746835443</v>
      </c>
      <c r="G128" s="20" t="n">
        <f aca="false">G126*$D$127</f>
        <v>0.536827687895569</v>
      </c>
    </row>
    <row r="129" customFormat="false" ht="17.15" hidden="false" customHeight="false" outlineLevel="0" collapsed="false">
      <c r="A129" s="0" t="s">
        <v>648</v>
      </c>
      <c r="B129" s="0" t="s">
        <v>278</v>
      </c>
      <c r="C129" s="20" t="n">
        <f aca="false">a25_asic</f>
        <v>1.70705</v>
      </c>
      <c r="D129" s="20" t="n">
        <f aca="false">D128*D119</f>
        <v>2.082507</v>
      </c>
      <c r="E129" s="20" t="n">
        <f aca="false">E128*E119</f>
        <v>12.6532070886076</v>
      </c>
      <c r="F129" s="20" t="n">
        <f aca="false">F128*F119</f>
        <v>14.0591189873418</v>
      </c>
      <c r="G129" s="20" t="n">
        <f aca="false">G128*G119</f>
        <v>17.1784860126582</v>
      </c>
    </row>
    <row r="130" customFormat="false" ht="17.15" hidden="false" customHeight="false" outlineLevel="0" collapsed="false">
      <c r="A130" s="6" t="s">
        <v>649</v>
      </c>
    </row>
    <row r="131" customFormat="false" ht="17.15" hidden="false" customHeight="false" outlineLevel="0" collapsed="false">
      <c r="A131" s="4" t="s">
        <v>650</v>
      </c>
      <c r="B131" s="0" t="s">
        <v>278</v>
      </c>
      <c r="C131" s="20" t="n">
        <f aca="false">a25_auto</f>
        <v>1.02423</v>
      </c>
      <c r="D131" s="20" t="n">
        <f aca="false">a26_auto</f>
        <v>3.470845</v>
      </c>
      <c r="E131" s="20" t="n">
        <f aca="false">D131*am27_B</f>
        <v>10.412535</v>
      </c>
      <c r="F131" s="20" t="n">
        <f aca="false">E131*am28_B</f>
        <v>16.660056</v>
      </c>
      <c r="G131" s="20" t="n">
        <f aca="false">F131*(1+ag29_B)</f>
        <v>18.3260616</v>
      </c>
    </row>
    <row r="132" customFormat="false" ht="17.15" hidden="false" customHeight="false" outlineLevel="0" collapsed="false">
      <c r="A132" s="4" t="s">
        <v>651</v>
      </c>
      <c r="B132" s="0" t="s">
        <v>278</v>
      </c>
      <c r="C132" s="20" t="n">
        <f aca="false">a25_oth</f>
        <v>25.26434</v>
      </c>
      <c r="D132" s="20" t="n">
        <f aca="false">a26_oth</f>
        <v>30.543436</v>
      </c>
      <c r="E132" s="20" t="n">
        <f aca="false">D132*(1+g_o27_B)</f>
        <v>32.98691088</v>
      </c>
      <c r="F132" s="20" t="n">
        <f aca="false">E132*(1+g_oL_B)</f>
        <v>34.636256424</v>
      </c>
      <c r="G132" s="20" t="n">
        <f aca="false">F132*(1+g_oL_B)</f>
        <v>36.3680692452</v>
      </c>
    </row>
    <row r="133" customFormat="false" ht="17.15" hidden="false" customHeight="false" outlineLevel="0" collapsed="false">
      <c r="A133" s="4" t="s">
        <v>503</v>
      </c>
      <c r="B133" s="0" t="s">
        <v>278</v>
      </c>
      <c r="C133" s="20" t="n">
        <f aca="false">C120+C129+C131+C132</f>
        <v>34.141</v>
      </c>
      <c r="D133" s="20" t="n">
        <f aca="false">D120+D129+D131+D132</f>
        <v>69.4169</v>
      </c>
      <c r="E133" s="20" t="n">
        <f aca="false">E120+E129+E131+E132</f>
        <v>130.210643231509</v>
      </c>
      <c r="F133" s="20" t="n">
        <f aca="false">F120+F129+F131+F132</f>
        <v>140.106685596347</v>
      </c>
      <c r="G133" s="20" t="n">
        <f aca="false">G120+G129+G131+G132</f>
        <v>163.209305565161</v>
      </c>
      <c r="H133" s="28" t="n">
        <f aca="false">G133*(1+H134)</f>
        <v>183.326817403014</v>
      </c>
      <c r="I133" s="28" t="n">
        <f aca="false">H133*(1+I134)</f>
        <v>198.29197243746</v>
      </c>
      <c r="J133" s="28" t="n">
        <f aca="false">I133*(1+J134)</f>
        <v>206.223651334959</v>
      </c>
      <c r="K133" s="8" t="s">
        <v>652</v>
      </c>
    </row>
    <row r="134" customFormat="false" ht="15" hidden="false" customHeight="false" outlineLevel="0" collapsed="false">
      <c r="A134" s="4" t="s">
        <v>653</v>
      </c>
      <c r="B134" s="0" t="s">
        <v>51</v>
      </c>
      <c r="D134" s="18" t="n">
        <f aca="false">D133/C133-1</f>
        <v>1.03324155707214</v>
      </c>
      <c r="E134" s="18" t="n">
        <f aca="false">E133/D133-1</f>
        <v>0.875777270830435</v>
      </c>
      <c r="F134" s="18" t="n">
        <f aca="false">F133/E133-1</f>
        <v>0.0760002571160228</v>
      </c>
      <c r="G134" s="18" t="n">
        <f aca="false">G133/F133-1</f>
        <v>0.164893058960612</v>
      </c>
      <c r="H134" s="26" t="n">
        <f aca="false">$G134+(fade_gB-$G134)*1/3</f>
        <v>0.123262039307075</v>
      </c>
      <c r="I134" s="26" t="n">
        <f aca="false">$G134+(fade_gB-$G134)*2/3</f>
        <v>0.0816310196535375</v>
      </c>
      <c r="J134" s="26" t="n">
        <f aca="false">$G134+(fade_gB-$G134)*3/3</f>
        <v>0.04</v>
      </c>
    </row>
    <row r="135" customFormat="false" ht="17.15" hidden="false" customHeight="false" outlineLevel="0" collapsed="false">
      <c r="A135" s="0" t="s">
        <v>654</v>
      </c>
      <c r="B135" s="0" t="s">
        <v>51</v>
      </c>
      <c r="C135" s="18" t="n">
        <f aca="false">C120/C133</f>
        <v>0.18</v>
      </c>
      <c r="D135" s="18" t="n">
        <f aca="false">D120/D133</f>
        <v>0.48</v>
      </c>
      <c r="E135" s="18" t="n">
        <f aca="false">E120/E133</f>
        <v>0.569523261866173</v>
      </c>
      <c r="F135" s="18" t="n">
        <f aca="false">F120/F133</f>
        <v>0.533530957975599</v>
      </c>
      <c r="G135" s="18" t="n">
        <f aca="false">G120/G133</f>
        <v>0.559629173048817</v>
      </c>
    </row>
    <row r="136" customFormat="false" ht="17.15" hidden="false" customHeight="false" outlineLevel="0" collapsed="false">
      <c r="A136" s="4" t="s">
        <v>655</v>
      </c>
      <c r="B136" s="0" t="s">
        <v>51</v>
      </c>
      <c r="C136" s="18" t="n">
        <f aca="false">C131/C133</f>
        <v>0.03</v>
      </c>
      <c r="D136" s="18" t="n">
        <f aca="false">D131/D133</f>
        <v>0.05</v>
      </c>
      <c r="E136" s="18" t="n">
        <f aca="false">E131/E133</f>
        <v>0.079966850186639</v>
      </c>
      <c r="F136" s="18" t="n">
        <f aca="false">F131/F133</f>
        <v>0.118909785989787</v>
      </c>
      <c r="G136" s="18" t="n">
        <f aca="false">G131/G133</f>
        <v>0.112285641658363</v>
      </c>
    </row>
    <row r="137" customFormat="false" ht="17.15" hidden="false" customHeight="false" outlineLevel="0" collapsed="false">
      <c r="A137" s="6" t="s">
        <v>656</v>
      </c>
    </row>
    <row r="138" customFormat="false" ht="17.15" hidden="false" customHeight="false" outlineLevel="0" collapsed="false">
      <c r="A138" s="0" t="s">
        <v>657</v>
      </c>
      <c r="B138" s="0" t="s">
        <v>278</v>
      </c>
      <c r="D138" s="20" t="n">
        <f aca="false">m_tk*(D120+D129)</f>
        <v>4.60234047</v>
      </c>
      <c r="E138" s="20" t="n">
        <f aca="false">(m_tk+gta_B)*(E120+E129)</f>
        <v>11.2854556556962</v>
      </c>
      <c r="F138" s="20" t="n">
        <f aca="false">(m_tk+gta_B)*(F120+F129)</f>
        <v>11.5453485124051</v>
      </c>
      <c r="G138" s="20" t="n">
        <f aca="false">(m_tk+gta_B)*(G120+G129)</f>
        <v>14.1069727135949</v>
      </c>
    </row>
    <row r="139" customFormat="false" ht="17.15" hidden="false" customHeight="false" outlineLevel="0" collapsed="false">
      <c r="A139" s="4" t="s">
        <v>658</v>
      </c>
      <c r="B139" s="0" t="s">
        <v>278</v>
      </c>
      <c r="D139" s="20" t="n">
        <f aca="false">m_auto*D131</f>
        <v>0.5553352</v>
      </c>
      <c r="E139" s="20" t="n">
        <f aca="false">m_auto*E131</f>
        <v>1.6660056</v>
      </c>
      <c r="F139" s="20" t="n">
        <f aca="false">m_auto*F131</f>
        <v>2.66560896</v>
      </c>
      <c r="G139" s="20" t="n">
        <f aca="false">m_auto*G131</f>
        <v>2.932169856</v>
      </c>
    </row>
    <row r="140" customFormat="false" ht="17.15" hidden="false" customHeight="false" outlineLevel="0" collapsed="false">
      <c r="A140" s="4" t="s">
        <v>659</v>
      </c>
      <c r="B140" s="0" t="s">
        <v>51</v>
      </c>
      <c r="C140" s="9" t="n">
        <f aca="false">(a25_gp-m_tk*(C120+C129)-m_auto*C131)/C132</f>
        <v>0.287729950594395</v>
      </c>
      <c r="D140" s="9" t="n">
        <f aca="false">(a26_gp-D138-D139)/D132</f>
        <v>0.310829299951715</v>
      </c>
      <c r="E140" s="9" t="n">
        <f aca="false">$D140+0</f>
        <v>0.310829299951715</v>
      </c>
      <c r="F140" s="9" t="n">
        <f aca="false">$D140+0</f>
        <v>0.310829299951715</v>
      </c>
      <c r="G140" s="9" t="n">
        <f aca="false">$D140+0</f>
        <v>0.310829299951715</v>
      </c>
      <c r="K140" s="8" t="s">
        <v>660</v>
      </c>
    </row>
    <row r="141" customFormat="false" ht="15" hidden="false" customHeight="false" outlineLevel="0" collapsed="false">
      <c r="A141" s="4" t="s">
        <v>516</v>
      </c>
      <c r="B141" s="0" t="s">
        <v>278</v>
      </c>
      <c r="C141" s="20" t="n">
        <f aca="false">a25_gp</f>
        <v>8.454</v>
      </c>
      <c r="D141" s="20" t="n">
        <f aca="false">a26_gp</f>
        <v>14.6514705</v>
      </c>
      <c r="E141" s="20" t="n">
        <f aca="false">E140*E132+E138+E139</f>
        <v>23.2047596720962</v>
      </c>
      <c r="F141" s="20" t="n">
        <f aca="false">F140*F132+F138+F139</f>
        <v>24.9769208096251</v>
      </c>
      <c r="G141" s="20" t="n">
        <f aca="false">G140*G132+G138+G139</f>
        <v>28.3434040736759</v>
      </c>
    </row>
    <row r="142" customFormat="false" ht="15" hidden="false" customHeight="false" outlineLevel="0" collapsed="false">
      <c r="A142" s="4" t="s">
        <v>519</v>
      </c>
      <c r="B142" s="0" t="s">
        <v>51</v>
      </c>
      <c r="C142" s="9" t="n">
        <f aca="false">C141/C133</f>
        <v>0.247620163439852</v>
      </c>
      <c r="D142" s="9" t="n">
        <f aca="false">D141/D133</f>
        <v>0.211064891978754</v>
      </c>
      <c r="E142" s="9" t="n">
        <f aca="false">E141/E133</f>
        <v>0.178209392843864</v>
      </c>
      <c r="F142" s="9" t="n">
        <f aca="false">F141/F133</f>
        <v>0.178270727790854</v>
      </c>
      <c r="G142" s="9" t="n">
        <f aca="false">G141/G133</f>
        <v>0.173662916924549</v>
      </c>
    </row>
    <row r="143" customFormat="false" ht="15" hidden="false" customHeight="false" outlineLevel="0" collapsed="false">
      <c r="A143" s="4" t="s">
        <v>521</v>
      </c>
      <c r="B143" s="0" t="s">
        <v>278</v>
      </c>
      <c r="C143" s="20" t="n">
        <f aca="false">a25_opx</f>
        <v>4.104</v>
      </c>
      <c r="D143" s="20" t="n">
        <f aca="false">a26_opx</f>
        <v>5.365972</v>
      </c>
      <c r="E143" s="20" t="n">
        <f aca="false">D143*(1+MAX(g_opx_min,phi*E134))+0*E133</f>
        <v>6.77579089405376</v>
      </c>
      <c r="F143" s="20" t="n">
        <f aca="false">E143*(1+MAX(g_opx_min,phi*F134))+0*F133</f>
        <v>7.31785416557806</v>
      </c>
      <c r="G143" s="20" t="n">
        <f aca="false">F143*(1+MAX(g_opx_min,phi*G134))+0*G133</f>
        <v>7.90328249882431</v>
      </c>
    </row>
    <row r="144" customFormat="false" ht="15" hidden="false" customHeight="false" outlineLevel="0" collapsed="false">
      <c r="A144" s="4" t="s">
        <v>524</v>
      </c>
      <c r="B144" s="0" t="s">
        <v>278</v>
      </c>
      <c r="C144" s="20" t="n">
        <f aca="false">C141-C143</f>
        <v>4.35</v>
      </c>
      <c r="D144" s="20" t="n">
        <f aca="false">D141-D143</f>
        <v>9.2854985</v>
      </c>
      <c r="E144" s="20" t="n">
        <f aca="false">E141-E143</f>
        <v>16.4289687780424</v>
      </c>
      <c r="F144" s="20" t="n">
        <f aca="false">F141-F143</f>
        <v>17.659066644047</v>
      </c>
      <c r="G144" s="20" t="n">
        <f aca="false">G141-G143</f>
        <v>20.4401215748516</v>
      </c>
    </row>
    <row r="145" customFormat="false" ht="15" hidden="false" customHeight="false" outlineLevel="0" collapsed="false">
      <c r="A145" s="4" t="s">
        <v>621</v>
      </c>
      <c r="B145" s="0" t="s">
        <v>51</v>
      </c>
      <c r="C145" s="9" t="n">
        <f aca="false">C144/C133</f>
        <v>0.127412788143288</v>
      </c>
      <c r="D145" s="9" t="n">
        <f aca="false">D144/D133</f>
        <v>0.13376423464603</v>
      </c>
      <c r="E145" s="9" t="n">
        <f aca="false">E144/E133</f>
        <v>0.126172241917524</v>
      </c>
      <c r="F145" s="9" t="n">
        <f aca="false">F144/F133</f>
        <v>0.126040142687577</v>
      </c>
      <c r="G145" s="9" t="n">
        <f aca="false">G144/G133</f>
        <v>0.125238701948223</v>
      </c>
    </row>
    <row r="146" customFormat="false" ht="15" hidden="false" customHeight="false" outlineLevel="0" collapsed="false">
      <c r="A146" s="4" t="s">
        <v>527</v>
      </c>
      <c r="B146" s="0" t="s">
        <v>278</v>
      </c>
      <c r="C146" s="20" t="n">
        <f aca="false">a25_nonop</f>
        <v>0.0920000000000005</v>
      </c>
      <c r="D146" s="20" t="n">
        <f aca="false">a26_nonop</f>
        <v>0.384548</v>
      </c>
      <c r="E146" s="20" t="n">
        <f aca="false">nonop_f</f>
        <v>0.5</v>
      </c>
      <c r="F146" s="20" t="n">
        <f aca="false">nonop_f</f>
        <v>0.5</v>
      </c>
      <c r="G146" s="20" t="n">
        <f aca="false">nonop_f</f>
        <v>0.5</v>
      </c>
    </row>
    <row r="147" customFormat="false" ht="15" hidden="false" customHeight="false" outlineLevel="0" collapsed="false">
      <c r="A147" s="4" t="s">
        <v>529</v>
      </c>
      <c r="B147" s="0" t="s">
        <v>278</v>
      </c>
      <c r="C147" s="20" t="n">
        <f aca="false">C144+C146</f>
        <v>4.442</v>
      </c>
      <c r="D147" s="20" t="n">
        <f aca="false">D144+D146</f>
        <v>9.6700465</v>
      </c>
      <c r="E147" s="20" t="n">
        <f aca="false">E144+E146</f>
        <v>16.9289687780424</v>
      </c>
      <c r="F147" s="20" t="n">
        <f aca="false">F144+F146</f>
        <v>18.159066644047</v>
      </c>
      <c r="G147" s="20" t="n">
        <f aca="false">G144+G146</f>
        <v>20.9401215748516</v>
      </c>
    </row>
    <row r="148" customFormat="false" ht="15" hidden="false" customHeight="false" outlineLevel="0" collapsed="false">
      <c r="A148" s="4" t="s">
        <v>531</v>
      </c>
      <c r="B148" s="0" t="s">
        <v>278</v>
      </c>
      <c r="C148" s="20" t="n">
        <f aca="false">a25_tax</f>
        <v>0.672</v>
      </c>
      <c r="D148" s="20" t="n">
        <f aca="false">a26_tax</f>
        <v>1.337361725</v>
      </c>
      <c r="E148" s="20" t="n">
        <f aca="false">E147*tax</f>
        <v>2.53934531670637</v>
      </c>
      <c r="F148" s="20" t="n">
        <f aca="false">F147*tax</f>
        <v>2.72385999660705</v>
      </c>
      <c r="G148" s="20" t="n">
        <f aca="false">G147*tax</f>
        <v>3.14101823622774</v>
      </c>
    </row>
    <row r="149" customFormat="false" ht="15" hidden="false" customHeight="false" outlineLevel="0" collapsed="false">
      <c r="A149" s="4" t="s">
        <v>534</v>
      </c>
      <c r="B149" s="0" t="s">
        <v>278</v>
      </c>
      <c r="C149" s="20" t="n">
        <f aca="false">C147-C148</f>
        <v>3.77</v>
      </c>
      <c r="D149" s="20" t="n">
        <f aca="false">D147-D148</f>
        <v>8.332684775</v>
      </c>
      <c r="E149" s="20" t="n">
        <f aca="false">E147-E148</f>
        <v>14.3896234613361</v>
      </c>
      <c r="F149" s="20" t="n">
        <f aca="false">F147-F148</f>
        <v>15.43520664744</v>
      </c>
      <c r="G149" s="20" t="n">
        <f aca="false">G147-G148</f>
        <v>17.7991033386239</v>
      </c>
      <c r="H149" s="28" t="n">
        <f aca="false">H133*H153</f>
        <v>19.3266218768474</v>
      </c>
      <c r="I149" s="28" t="n">
        <f aca="false">I133*I153</f>
        <v>20.1834367020399</v>
      </c>
      <c r="J149" s="28" t="n">
        <f aca="false">J133*J153</f>
        <v>20.2411036640458</v>
      </c>
    </row>
    <row r="150" customFormat="false" ht="15" hidden="false" customHeight="false" outlineLevel="0" collapsed="false">
      <c r="A150" s="4" t="s">
        <v>312</v>
      </c>
      <c r="B150" s="4" t="s">
        <v>313</v>
      </c>
      <c r="C150" s="19" t="n">
        <f aca="false">a25_sh</f>
        <v>0.134020618556701</v>
      </c>
      <c r="D150" s="19" t="n">
        <f aca="false">a26_sh</f>
        <v>0.13399883744778</v>
      </c>
      <c r="E150" s="19" t="n">
        <f aca="false">q_sh*(1+sh_g)</f>
        <v>0.13401</v>
      </c>
      <c r="F150" s="19" t="n">
        <f aca="false">E150*(1+sh_g)</f>
        <v>0.13401</v>
      </c>
      <c r="G150" s="19" t="n">
        <f aca="false">F150*(1+sh_g)</f>
        <v>0.13401</v>
      </c>
      <c r="H150" s="30" t="n">
        <f aca="false">G150*(1+sh_g)</f>
        <v>0.13401</v>
      </c>
      <c r="I150" s="30" t="n">
        <f aca="false">H150*(1+sh_g)</f>
        <v>0.13401</v>
      </c>
      <c r="J150" s="30" t="n">
        <f aca="false">I150*(1+sh_g)</f>
        <v>0.13401</v>
      </c>
    </row>
    <row r="151" customFormat="false" ht="17.15" hidden="false" customHeight="false" outlineLevel="0" collapsed="false">
      <c r="A151" s="0" t="s">
        <v>538</v>
      </c>
      <c r="B151" s="0" t="s">
        <v>356</v>
      </c>
      <c r="C151" s="20" t="n">
        <f aca="false">C149/C150</f>
        <v>28.13</v>
      </c>
      <c r="D151" s="20" t="n">
        <f aca="false">D149/D150</f>
        <v>62.1847542389856</v>
      </c>
      <c r="E151" s="20" t="n">
        <f aca="false">E149/E150</f>
        <v>107.37723648486</v>
      </c>
      <c r="F151" s="20" t="n">
        <f aca="false">F149/F150</f>
        <v>115.179513823147</v>
      </c>
      <c r="G151" s="20" t="n">
        <f aca="false">G149/G150</f>
        <v>132.819217510812</v>
      </c>
      <c r="H151" s="28" t="n">
        <f aca="false">H149/H150</f>
        <v>144.217758949686</v>
      </c>
      <c r="I151" s="28" t="n">
        <f aca="false">I149/I150</f>
        <v>150.611422297141</v>
      </c>
      <c r="J151" s="28" t="n">
        <f aca="false">J149/J150</f>
        <v>151.041740646562</v>
      </c>
    </row>
    <row r="152" customFormat="false" ht="17.15" hidden="false" customHeight="false" outlineLevel="0" collapsed="false">
      <c r="A152" s="0" t="s">
        <v>661</v>
      </c>
      <c r="B152" s="0" t="s">
        <v>51</v>
      </c>
      <c r="D152" s="18" t="n">
        <f aca="false">D151/C151-1</f>
        <v>1.21062048485551</v>
      </c>
      <c r="E152" s="18" t="n">
        <f aca="false">E151/D151-1</f>
        <v>0.726745370291126</v>
      </c>
      <c r="F152" s="18" t="n">
        <f aca="false">F151/E151-1</f>
        <v>0.0726623034239424</v>
      </c>
      <c r="G152" s="18" t="n">
        <f aca="false">G151/F151-1</f>
        <v>0.153149662662664</v>
      </c>
      <c r="H152" s="26" t="n">
        <f aca="false">H151/G151-1</f>
        <v>0.0858199713301724</v>
      </c>
      <c r="I152" s="26" t="n">
        <f aca="false">I151/H151-1</f>
        <v>0.044333398286174</v>
      </c>
      <c r="J152" s="26" t="n">
        <f aca="false">J151/I151-1</f>
        <v>0.00285714285714289</v>
      </c>
    </row>
    <row r="153" customFormat="false" ht="17.15" hidden="false" customHeight="false" outlineLevel="0" collapsed="false">
      <c r="A153" s="4" t="s">
        <v>662</v>
      </c>
      <c r="B153" s="0" t="s">
        <v>51</v>
      </c>
      <c r="C153" s="9" t="n">
        <f aca="false">C149/C133</f>
        <v>0.11042441639085</v>
      </c>
      <c r="D153" s="9" t="n">
        <f aca="false">D149/D133</f>
        <v>0.1200382727405</v>
      </c>
      <c r="E153" s="9" t="n">
        <f aca="false">E149/E133</f>
        <v>0.110510347727504</v>
      </c>
      <c r="F153" s="9" t="n">
        <f aca="false">F149/F133</f>
        <v>0.110167523996031</v>
      </c>
      <c r="G153" s="9" t="n">
        <f aca="false">G149/G133</f>
        <v>0.109056914843116</v>
      </c>
      <c r="H153" s="27" t="n">
        <f aca="false">$G153+(fade_mB-$G153)*1/3</f>
        <v>0.105421684348346</v>
      </c>
      <c r="I153" s="27" t="n">
        <f aca="false">$G153+(fade_mB-$G153)*2/3</f>
        <v>0.101786453853575</v>
      </c>
      <c r="J153" s="27" t="n">
        <f aca="false">$G153+(fade_mB-$G153)*3/3</f>
        <v>0.0981512233588045</v>
      </c>
    </row>
    <row r="156" customFormat="false" ht="17.15" hidden="false" customHeight="false" outlineLevel="0" collapsed="false">
      <c r="A156" s="1" t="s">
        <v>664</v>
      </c>
    </row>
    <row r="157" customFormat="false" ht="17.15" hidden="false" customHeight="false" outlineLevel="0" collapsed="false">
      <c r="A157" s="5" t="s">
        <v>27</v>
      </c>
      <c r="B157" s="5" t="s">
        <v>28</v>
      </c>
      <c r="C157" s="16" t="s">
        <v>497</v>
      </c>
      <c r="D157" s="16" t="s">
        <v>610</v>
      </c>
      <c r="E157" s="16" t="s">
        <v>611</v>
      </c>
      <c r="F157" s="16" t="s">
        <v>612</v>
      </c>
      <c r="G157" s="16" t="s">
        <v>613</v>
      </c>
      <c r="H157" s="16" t="s">
        <v>614</v>
      </c>
      <c r="I157" s="16" t="s">
        <v>615</v>
      </c>
      <c r="J157" s="16" t="s">
        <v>616</v>
      </c>
      <c r="K157" s="5" t="s">
        <v>450</v>
      </c>
    </row>
    <row r="158" customFormat="false" ht="17.15" hidden="false" customHeight="false" outlineLevel="0" collapsed="false">
      <c r="A158" s="6" t="s">
        <v>632</v>
      </c>
    </row>
    <row r="159" customFormat="false" ht="17.15" hidden="false" customHeight="false" outlineLevel="0" collapsed="false">
      <c r="A159" s="0" t="s">
        <v>633</v>
      </c>
      <c r="B159" s="4" t="s">
        <v>38</v>
      </c>
      <c r="D159" s="22" t="n">
        <f aca="false">u_tpu_26</f>
        <v>3.85</v>
      </c>
      <c r="E159" s="22" t="n">
        <f aca="false">u_tpu_27</f>
        <v>5.5</v>
      </c>
      <c r="F159" s="22" t="n">
        <f aca="false">u_tpu_28*um28_C</f>
        <v>4.2</v>
      </c>
      <c r="G159" s="22" t="n">
        <f aca="false">u_tpu_28*(1+g29_tpu)*um29_C</f>
        <v>4.83</v>
      </c>
    </row>
    <row r="160" customFormat="false" ht="17.15" hidden="false" customHeight="false" outlineLevel="0" collapsed="false">
      <c r="A160" s="0" t="s">
        <v>574</v>
      </c>
      <c r="B160" s="0" t="s">
        <v>70</v>
      </c>
      <c r="D160" s="22" t="n">
        <f aca="false">att26</f>
        <v>0.325</v>
      </c>
      <c r="E160" s="22" t="n">
        <f aca="false">MAX(0,att_C+0)</f>
        <v>0.4</v>
      </c>
      <c r="F160" s="22" t="n">
        <f aca="false">MAX(0,att_C+0)</f>
        <v>0.4</v>
      </c>
      <c r="G160" s="22" t="n">
        <f aca="false">MAX(0,att_C+0)</f>
        <v>0.4</v>
      </c>
    </row>
    <row r="161" customFormat="false" ht="17.15" hidden="false" customHeight="false" outlineLevel="0" collapsed="false">
      <c r="A161" s="4" t="s">
        <v>634</v>
      </c>
      <c r="B161" s="0" t="s">
        <v>51</v>
      </c>
      <c r="D161" s="18" t="n">
        <f aca="false">gsh26</f>
        <v>1</v>
      </c>
      <c r="E161" s="18" t="n">
        <f aca="false">gsh26</f>
        <v>1</v>
      </c>
      <c r="F161" s="18" t="n">
        <f aca="false">MIN(1,gsh28_C)</f>
        <v>0.7</v>
      </c>
      <c r="G161" s="18" t="n">
        <f aca="false">MIN(1,gsh28_C)</f>
        <v>0.7</v>
      </c>
    </row>
    <row r="162" customFormat="false" ht="17.15" hidden="false" customHeight="false" outlineLevel="0" collapsed="false">
      <c r="A162" s="4" t="s">
        <v>576</v>
      </c>
      <c r="B162" s="4" t="s">
        <v>38</v>
      </c>
      <c r="D162" s="22" t="n">
        <f aca="false">D159*D160*D161</f>
        <v>1.25125</v>
      </c>
      <c r="E162" s="22" t="n">
        <f aca="false">E159*E160*E161*1</f>
        <v>2.2</v>
      </c>
      <c r="F162" s="22" t="n">
        <f aca="false">F159*F160*F161*1</f>
        <v>1.176</v>
      </c>
      <c r="G162" s="22" t="n">
        <f aca="false">G159*G160*G161*1</f>
        <v>1.3524</v>
      </c>
    </row>
    <row r="163" customFormat="false" ht="17.15" hidden="false" customHeight="false" outlineLevel="0" collapsed="false">
      <c r="A163" s="4" t="s">
        <v>635</v>
      </c>
      <c r="B163" s="0" t="s">
        <v>116</v>
      </c>
      <c r="D163" s="20" t="n">
        <f aca="false">pc_cpu</f>
        <v>1</v>
      </c>
      <c r="E163" s="20" t="n">
        <f aca="false">pc_cpu</f>
        <v>1</v>
      </c>
      <c r="F163" s="20" t="n">
        <f aca="false">pc_cpu*pfc_C</f>
        <v>1</v>
      </c>
      <c r="G163" s="20" t="n">
        <f aca="false">pc_cpu*pfc_C</f>
        <v>1</v>
      </c>
    </row>
    <row r="164" customFormat="false" ht="17.15" hidden="false" customHeight="false" outlineLevel="0" collapsed="false">
      <c r="A164" s="0" t="s">
        <v>636</v>
      </c>
      <c r="B164" s="0" t="s">
        <v>581</v>
      </c>
      <c r="D164" s="20" t="n">
        <f aca="false">D162*D163</f>
        <v>1.25125</v>
      </c>
      <c r="E164" s="20" t="n">
        <f aca="false">E162*E163</f>
        <v>2.2</v>
      </c>
      <c r="F164" s="20" t="n">
        <f aca="false">F162*F163</f>
        <v>1.176</v>
      </c>
      <c r="G164" s="20" t="n">
        <f aca="false">G162*G163</f>
        <v>1.3524</v>
      </c>
    </row>
    <row r="165" customFormat="false" ht="17.15" hidden="false" customHeight="false" outlineLevel="0" collapsed="false">
      <c r="A165" s="0" t="s">
        <v>637</v>
      </c>
      <c r="B165" s="0" t="s">
        <v>70</v>
      </c>
      <c r="D165" s="22" t="n">
        <f aca="false">a26_cpu/fx26/D164</f>
        <v>0.842704434805701</v>
      </c>
      <c r="K165" s="8" t="s">
        <v>638</v>
      </c>
    </row>
    <row r="166" customFormat="false" ht="17.15" hidden="false" customHeight="false" outlineLevel="0" collapsed="false">
      <c r="A166" s="0" t="s">
        <v>639</v>
      </c>
      <c r="B166" s="0" t="s">
        <v>581</v>
      </c>
      <c r="D166" s="20" t="n">
        <f aca="false">D164*$D$165</f>
        <v>1.05443392405063</v>
      </c>
      <c r="E166" s="20" t="n">
        <f aca="false">E164*$D$165</f>
        <v>1.85394975657254</v>
      </c>
      <c r="F166" s="20" t="n">
        <f aca="false">F164*$D$165</f>
        <v>0.991020415331504</v>
      </c>
      <c r="G166" s="20" t="n">
        <f aca="false">G164*$D$165</f>
        <v>1.13967347763123</v>
      </c>
    </row>
    <row r="167" customFormat="false" ht="15" hidden="false" customHeight="false" outlineLevel="0" collapsed="false">
      <c r="A167" s="4" t="s">
        <v>640</v>
      </c>
      <c r="B167" s="0" t="s">
        <v>273</v>
      </c>
      <c r="D167" s="20" t="n">
        <f aca="false">fx26</f>
        <v>31.6</v>
      </c>
      <c r="E167" s="20" t="n">
        <f aca="false">fx</f>
        <v>32</v>
      </c>
      <c r="F167" s="20" t="n">
        <f aca="false">fx</f>
        <v>32</v>
      </c>
      <c r="G167" s="20" t="n">
        <f aca="false">fx</f>
        <v>32</v>
      </c>
    </row>
    <row r="168" customFormat="false" ht="17.15" hidden="false" customHeight="false" outlineLevel="0" collapsed="false">
      <c r="A168" s="0" t="s">
        <v>641</v>
      </c>
      <c r="B168" s="0" t="s">
        <v>278</v>
      </c>
      <c r="C168" s="20" t="n">
        <f aca="false">a25_cpu</f>
        <v>6.14538</v>
      </c>
      <c r="D168" s="20" t="n">
        <f aca="false">D166*D167</f>
        <v>33.320112</v>
      </c>
      <c r="E168" s="20" t="n">
        <f aca="false">E166*E167</f>
        <v>59.3263922103213</v>
      </c>
      <c r="F168" s="20" t="n">
        <f aca="false">F166*F167</f>
        <v>31.7126532906081</v>
      </c>
      <c r="G168" s="20" t="n">
        <f aca="false">G166*G167</f>
        <v>36.4695512841993</v>
      </c>
    </row>
    <row r="169" customFormat="false" ht="17.15" hidden="false" customHeight="false" outlineLevel="0" collapsed="false">
      <c r="A169" s="4" t="s">
        <v>578</v>
      </c>
      <c r="B169" s="0" t="s">
        <v>116</v>
      </c>
      <c r="D169" s="20" t="n">
        <f aca="false">IF(D162&gt;0,D166/D162,0)</f>
        <v>0.842704434805701</v>
      </c>
      <c r="E169" s="20" t="n">
        <f aca="false">IF(E162&gt;0,E166/E162,0)</f>
        <v>0.842704434805701</v>
      </c>
      <c r="F169" s="20" t="n">
        <f aca="false">IF(F162&gt;0,F166/F162,0)</f>
        <v>0.842704434805701</v>
      </c>
      <c r="G169" s="20" t="n">
        <f aca="false">IF(G162&gt;0,G166/G162,0)</f>
        <v>0.842704434805701</v>
      </c>
    </row>
    <row r="170" customFormat="false" ht="17.15" hidden="false" customHeight="false" outlineLevel="0" collapsed="false">
      <c r="A170" s="6" t="s">
        <v>642</v>
      </c>
    </row>
    <row r="171" customFormat="false" ht="17.15" hidden="false" customHeight="false" outlineLevel="0" collapsed="false">
      <c r="A171" s="4" t="s">
        <v>643</v>
      </c>
      <c r="B171" s="4" t="s">
        <v>38</v>
      </c>
      <c r="D171" s="22" t="n">
        <f aca="false">u_oth_26</f>
        <v>1</v>
      </c>
      <c r="E171" s="22" t="n">
        <f aca="false">u_oth_27</f>
        <v>4.5</v>
      </c>
      <c r="F171" s="22" t="n">
        <f aca="false">u_oth_28*um28_C</f>
        <v>3</v>
      </c>
      <c r="G171" s="22" t="n">
        <f aca="false">u_oth_28*(1+g29_oth)*um29_C</f>
        <v>3.45</v>
      </c>
    </row>
    <row r="172" customFormat="false" ht="17.15" hidden="false" customHeight="false" outlineLevel="0" collapsed="false">
      <c r="A172" s="4" t="s">
        <v>584</v>
      </c>
      <c r="B172" s="0" t="s">
        <v>51</v>
      </c>
      <c r="D172" s="18" t="n">
        <f aca="false">guc_oth_26</f>
        <v>0.03</v>
      </c>
      <c r="E172" s="18" t="n">
        <f aca="false">MIN(1,MAX(0,go27_C+0))</f>
        <v>0.02</v>
      </c>
      <c r="F172" s="18" t="n">
        <f aca="false">MIN(1,MAX(0,go28_C+0))</f>
        <v>0.02</v>
      </c>
      <c r="G172" s="18" t="n">
        <f aca="false">MIN(1,MAX(0,go28_C+0))</f>
        <v>0.02</v>
      </c>
    </row>
    <row r="173" customFormat="false" ht="17.15" hidden="false" customHeight="false" outlineLevel="0" collapsed="false">
      <c r="A173" s="4" t="s">
        <v>586</v>
      </c>
      <c r="B173" s="4" t="s">
        <v>38</v>
      </c>
      <c r="D173" s="22" t="n">
        <f aca="false">D171*D172</f>
        <v>0.03</v>
      </c>
      <c r="E173" s="22" t="n">
        <f aca="false">E171*E172*1</f>
        <v>0.09</v>
      </c>
      <c r="F173" s="22" t="n">
        <f aca="false">F171*F172*1</f>
        <v>0.06</v>
      </c>
      <c r="G173" s="22" t="n">
        <f aca="false">G171*G172*1</f>
        <v>0.069</v>
      </c>
    </row>
    <row r="174" customFormat="false" ht="17.15" hidden="false" customHeight="false" outlineLevel="0" collapsed="false">
      <c r="A174" s="0" t="s">
        <v>644</v>
      </c>
      <c r="B174" s="0" t="s">
        <v>581</v>
      </c>
      <c r="D174" s="20" t="n">
        <f aca="false">D173*core_oth</f>
        <v>0.18</v>
      </c>
      <c r="E174" s="20" t="n">
        <f aca="false">E173*core_oth</f>
        <v>0.54</v>
      </c>
      <c r="F174" s="20" t="n">
        <f aca="false">F173*core_oth</f>
        <v>0.36</v>
      </c>
      <c r="G174" s="20" t="n">
        <f aca="false">G173*core_oth</f>
        <v>0.414</v>
      </c>
    </row>
    <row r="175" customFormat="false" ht="17.15" hidden="false" customHeight="false" outlineLevel="0" collapsed="false">
      <c r="A175" s="0" t="s">
        <v>645</v>
      </c>
      <c r="B175" s="0" t="s">
        <v>70</v>
      </c>
      <c r="D175" s="22" t="n">
        <f aca="false">a26_asic/fx26/D174</f>
        <v>0.366122890295359</v>
      </c>
      <c r="K175" s="8" t="s">
        <v>646</v>
      </c>
    </row>
    <row r="176" customFormat="false" ht="17.15" hidden="false" customHeight="false" outlineLevel="0" collapsed="false">
      <c r="A176" s="0" t="s">
        <v>647</v>
      </c>
      <c r="B176" s="0" t="s">
        <v>581</v>
      </c>
      <c r="D176" s="20" t="n">
        <f aca="false">D174*$D$175</f>
        <v>0.0659021202531645</v>
      </c>
      <c r="E176" s="20" t="n">
        <f aca="false">E174*$D$175</f>
        <v>0.197706360759494</v>
      </c>
      <c r="F176" s="20" t="n">
        <f aca="false">F174*$D$175</f>
        <v>0.131804240506329</v>
      </c>
      <c r="G176" s="20" t="n">
        <f aca="false">G174*$D$175</f>
        <v>0.151574876582278</v>
      </c>
    </row>
    <row r="177" customFormat="false" ht="17.15" hidden="false" customHeight="false" outlineLevel="0" collapsed="false">
      <c r="A177" s="0" t="s">
        <v>648</v>
      </c>
      <c r="B177" s="0" t="s">
        <v>278</v>
      </c>
      <c r="C177" s="20" t="n">
        <f aca="false">a25_asic</f>
        <v>1.70705</v>
      </c>
      <c r="D177" s="20" t="n">
        <f aca="false">D176*D167</f>
        <v>2.082507</v>
      </c>
      <c r="E177" s="20" t="n">
        <f aca="false">E176*E167</f>
        <v>6.3266035443038</v>
      </c>
      <c r="F177" s="20" t="n">
        <f aca="false">F176*F167</f>
        <v>4.21773569620253</v>
      </c>
      <c r="G177" s="20" t="n">
        <f aca="false">G176*G167</f>
        <v>4.85039605063291</v>
      </c>
    </row>
    <row r="178" customFormat="false" ht="17.15" hidden="false" customHeight="false" outlineLevel="0" collapsed="false">
      <c r="A178" s="6" t="s">
        <v>649</v>
      </c>
    </row>
    <row r="179" customFormat="false" ht="17.15" hidden="false" customHeight="false" outlineLevel="0" collapsed="false">
      <c r="A179" s="4" t="s">
        <v>650</v>
      </c>
      <c r="B179" s="0" t="s">
        <v>278</v>
      </c>
      <c r="C179" s="20" t="n">
        <f aca="false">a25_auto</f>
        <v>1.02423</v>
      </c>
      <c r="D179" s="20" t="n">
        <f aca="false">a26_auto</f>
        <v>3.470845</v>
      </c>
      <c r="E179" s="20" t="n">
        <f aca="false">D179*am27_C</f>
        <v>6.94169</v>
      </c>
      <c r="F179" s="20" t="n">
        <f aca="false">E179*am28_C</f>
        <v>8.330028</v>
      </c>
      <c r="G179" s="20" t="n">
        <f aca="false">F179*(1+ag29_C)</f>
        <v>8.330028</v>
      </c>
    </row>
    <row r="180" customFormat="false" ht="17.15" hidden="false" customHeight="false" outlineLevel="0" collapsed="false">
      <c r="A180" s="4" t="s">
        <v>651</v>
      </c>
      <c r="B180" s="0" t="s">
        <v>278</v>
      </c>
      <c r="C180" s="20" t="n">
        <f aca="false">a25_oth</f>
        <v>25.26434</v>
      </c>
      <c r="D180" s="20" t="n">
        <f aca="false">a26_oth</f>
        <v>30.543436</v>
      </c>
      <c r="E180" s="20" t="n">
        <f aca="false">D180*(1+g_o27_C)</f>
        <v>29.0162642</v>
      </c>
      <c r="F180" s="20" t="n">
        <f aca="false">E180*(1+g_oL_C)</f>
        <v>29.0162642</v>
      </c>
      <c r="G180" s="20" t="n">
        <f aca="false">F180*(1+g_oL_C)</f>
        <v>29.0162642</v>
      </c>
    </row>
    <row r="181" customFormat="false" ht="17.15" hidden="false" customHeight="false" outlineLevel="0" collapsed="false">
      <c r="A181" s="4" t="s">
        <v>503</v>
      </c>
      <c r="B181" s="0" t="s">
        <v>278</v>
      </c>
      <c r="C181" s="20" t="n">
        <f aca="false">C168+C177+C179+C180</f>
        <v>34.141</v>
      </c>
      <c r="D181" s="20" t="n">
        <f aca="false">D168+D177+D179+D180</f>
        <v>69.4169</v>
      </c>
      <c r="E181" s="20" t="n">
        <f aca="false">E168+E177+E179+E180</f>
        <v>101.610949954625</v>
      </c>
      <c r="F181" s="20" t="n">
        <f aca="false">F168+F177+F179+F180</f>
        <v>73.2766811868107</v>
      </c>
      <c r="G181" s="20" t="n">
        <f aca="false">G168+G177+G179+G180</f>
        <v>78.6662395348322</v>
      </c>
      <c r="H181" s="28" t="n">
        <f aca="false">G181*(1+H182)</f>
        <v>83.0479909072793</v>
      </c>
      <c r="I181" s="28" t="n">
        <f aca="false">H181*(1+I182)</f>
        <v>86.1913794432849</v>
      </c>
      <c r="J181" s="28" t="n">
        <f aca="false">I181*(1+J182)</f>
        <v>87.9152070321506</v>
      </c>
      <c r="K181" s="8" t="s">
        <v>652</v>
      </c>
    </row>
    <row r="182" customFormat="false" ht="15" hidden="false" customHeight="false" outlineLevel="0" collapsed="false">
      <c r="A182" s="4" t="s">
        <v>653</v>
      </c>
      <c r="B182" s="0" t="s">
        <v>51</v>
      </c>
      <c r="D182" s="18" t="n">
        <f aca="false">D181/C181-1</f>
        <v>1.03324155707214</v>
      </c>
      <c r="E182" s="18" t="n">
        <f aca="false">E181/D181-1</f>
        <v>0.463778272360551</v>
      </c>
      <c r="F182" s="18" t="n">
        <f aca="false">F181/E181-1</f>
        <v>-0.278850544950788</v>
      </c>
      <c r="G182" s="18" t="n">
        <f aca="false">G181/F181-1</f>
        <v>0.0735507976170691</v>
      </c>
      <c r="H182" s="26" t="n">
        <f aca="false">$G182+(fade_gC-$G182)*1/3</f>
        <v>0.0557005317447127</v>
      </c>
      <c r="I182" s="26" t="n">
        <f aca="false">$G182+(fade_gC-$G182)*2/3</f>
        <v>0.0378502658723564</v>
      </c>
      <c r="J182" s="26" t="n">
        <f aca="false">$G182+(fade_gC-$G182)*3/3</f>
        <v>0.02</v>
      </c>
    </row>
    <row r="183" customFormat="false" ht="17.15" hidden="false" customHeight="false" outlineLevel="0" collapsed="false">
      <c r="A183" s="0" t="s">
        <v>654</v>
      </c>
      <c r="B183" s="0" t="s">
        <v>51</v>
      </c>
      <c r="C183" s="18" t="n">
        <f aca="false">C168/C181</f>
        <v>0.18</v>
      </c>
      <c r="D183" s="18" t="n">
        <f aca="false">D168/D181</f>
        <v>0.48</v>
      </c>
      <c r="E183" s="18" t="n">
        <f aca="false">E168/E181</f>
        <v>0.583858257764678</v>
      </c>
      <c r="F183" s="18" t="n">
        <f aca="false">F168/F181</f>
        <v>0.432779607058899</v>
      </c>
      <c r="G183" s="18" t="n">
        <f aca="false">G168/G181</f>
        <v>0.463598508074752</v>
      </c>
    </row>
    <row r="184" customFormat="false" ht="17.15" hidden="false" customHeight="false" outlineLevel="0" collapsed="false">
      <c r="A184" s="4" t="s">
        <v>655</v>
      </c>
      <c r="B184" s="0" t="s">
        <v>51</v>
      </c>
      <c r="C184" s="18" t="n">
        <f aca="false">C179/C181</f>
        <v>0.03</v>
      </c>
      <c r="D184" s="18" t="n">
        <f aca="false">D179/D181</f>
        <v>0.05</v>
      </c>
      <c r="E184" s="18" t="n">
        <f aca="false">E179/E181</f>
        <v>0.0683163576671594</v>
      </c>
      <c r="F184" s="18" t="n">
        <f aca="false">F179/F181</f>
        <v>0.113679111350083</v>
      </c>
      <c r="G184" s="18" t="n">
        <f aca="false">G179/G181</f>
        <v>0.1058907613896</v>
      </c>
    </row>
    <row r="185" customFormat="false" ht="17.15" hidden="false" customHeight="false" outlineLevel="0" collapsed="false">
      <c r="A185" s="6" t="s">
        <v>656</v>
      </c>
    </row>
    <row r="186" customFormat="false" ht="17.15" hidden="false" customHeight="false" outlineLevel="0" collapsed="false">
      <c r="A186" s="0" t="s">
        <v>657</v>
      </c>
      <c r="B186" s="0" t="s">
        <v>278</v>
      </c>
      <c r="D186" s="20" t="n">
        <f aca="false">m_tk*(D168+D177)</f>
        <v>4.60234047</v>
      </c>
      <c r="E186" s="20" t="n">
        <f aca="false">(m_tk+gta_C)*(E168+E177)</f>
        <v>7.22182953300876</v>
      </c>
      <c r="F186" s="20" t="n">
        <f aca="false">(m_tk+gta_C)*(F168+F177)</f>
        <v>3.95234278854917</v>
      </c>
      <c r="G186" s="20" t="n">
        <f aca="false">(m_tk+gta_C)*(G168+G177)</f>
        <v>4.54519420683155</v>
      </c>
    </row>
    <row r="187" customFormat="false" ht="17.15" hidden="false" customHeight="false" outlineLevel="0" collapsed="false">
      <c r="A187" s="4" t="s">
        <v>658</v>
      </c>
      <c r="B187" s="0" t="s">
        <v>278</v>
      </c>
      <c r="D187" s="20" t="n">
        <f aca="false">m_auto*D179</f>
        <v>0.5553352</v>
      </c>
      <c r="E187" s="20" t="n">
        <f aca="false">m_auto*E179</f>
        <v>1.1106704</v>
      </c>
      <c r="F187" s="20" t="n">
        <f aca="false">m_auto*F179</f>
        <v>1.33280448</v>
      </c>
      <c r="G187" s="20" t="n">
        <f aca="false">m_auto*G179</f>
        <v>1.33280448</v>
      </c>
    </row>
    <row r="188" customFormat="false" ht="17.15" hidden="false" customHeight="false" outlineLevel="0" collapsed="false">
      <c r="A188" s="4" t="s">
        <v>659</v>
      </c>
      <c r="B188" s="0" t="s">
        <v>51</v>
      </c>
      <c r="C188" s="9" t="n">
        <f aca="false">(a25_gp-m_tk*(C168+C177)-m_auto*C179)/C180</f>
        <v>0.287729950594395</v>
      </c>
      <c r="D188" s="9" t="n">
        <f aca="false">(a26_gp-D186-D187)/D180</f>
        <v>0.310829299951715</v>
      </c>
      <c r="E188" s="9" t="n">
        <f aca="false">$D188+0</f>
        <v>0.310829299951715</v>
      </c>
      <c r="F188" s="9" t="n">
        <f aca="false">$D188+0</f>
        <v>0.310829299951715</v>
      </c>
      <c r="G188" s="9" t="n">
        <f aca="false">$D188+0</f>
        <v>0.310829299951715</v>
      </c>
      <c r="K188" s="8" t="s">
        <v>660</v>
      </c>
    </row>
    <row r="189" customFormat="false" ht="15" hidden="false" customHeight="false" outlineLevel="0" collapsed="false">
      <c r="A189" s="4" t="s">
        <v>516</v>
      </c>
      <c r="B189" s="0" t="s">
        <v>278</v>
      </c>
      <c r="C189" s="20" t="n">
        <f aca="false">a25_gp</f>
        <v>8.454</v>
      </c>
      <c r="D189" s="20" t="n">
        <f aca="false">a26_gp</f>
        <v>14.6514705</v>
      </c>
      <c r="E189" s="20" t="n">
        <f aca="false">E188*E180+E186+E187</f>
        <v>17.3516050215088</v>
      </c>
      <c r="F189" s="20" t="n">
        <f aca="false">F188*F180+F186+F187</f>
        <v>14.3042523570492</v>
      </c>
      <c r="G189" s="20" t="n">
        <f aca="false">G188*G180+G186+G187</f>
        <v>14.8971037753315</v>
      </c>
    </row>
    <row r="190" customFormat="false" ht="15" hidden="false" customHeight="false" outlineLevel="0" collapsed="false">
      <c r="A190" s="4" t="s">
        <v>519</v>
      </c>
      <c r="B190" s="0" t="s">
        <v>51</v>
      </c>
      <c r="C190" s="9" t="n">
        <f aca="false">C189/C181</f>
        <v>0.247620163439852</v>
      </c>
      <c r="D190" s="9" t="n">
        <f aca="false">D189/D181</f>
        <v>0.211064891978754</v>
      </c>
      <c r="E190" s="9" t="n">
        <f aca="false">E189/E181</f>
        <v>0.170765109756943</v>
      </c>
      <c r="F190" s="9" t="n">
        <f aca="false">F189/F181</f>
        <v>0.195208791192141</v>
      </c>
      <c r="G190" s="9" t="n">
        <f aca="false">G189/G181</f>
        <v>0.189370991462422</v>
      </c>
    </row>
    <row r="191" customFormat="false" ht="15" hidden="false" customHeight="false" outlineLevel="0" collapsed="false">
      <c r="A191" s="4" t="s">
        <v>521</v>
      </c>
      <c r="B191" s="0" t="s">
        <v>278</v>
      </c>
      <c r="C191" s="20" t="n">
        <f aca="false">a25_opx</f>
        <v>4.104</v>
      </c>
      <c r="D191" s="20" t="n">
        <f aca="false">a26_opx</f>
        <v>5.365972</v>
      </c>
      <c r="E191" s="20" t="n">
        <f aca="false">D191*(1+MAX(g_opx_min,phi*E182))+0*E181</f>
        <v>6.11255836710853</v>
      </c>
      <c r="F191" s="20" t="n">
        <f aca="false">E191*(1+MAX(g_opx_min,phi*F182))+0*F181</f>
        <v>6.60156303647721</v>
      </c>
      <c r="G191" s="20" t="n">
        <f aca="false">F191*(1+MAX(g_opx_min,phi*G182))+0*G181</f>
        <v>7.12968807939539</v>
      </c>
    </row>
    <row r="192" customFormat="false" ht="15" hidden="false" customHeight="false" outlineLevel="0" collapsed="false">
      <c r="A192" s="4" t="s">
        <v>524</v>
      </c>
      <c r="B192" s="0" t="s">
        <v>278</v>
      </c>
      <c r="C192" s="20" t="n">
        <f aca="false">C189-C191</f>
        <v>4.35</v>
      </c>
      <c r="D192" s="20" t="n">
        <f aca="false">D189-D191</f>
        <v>9.2854985</v>
      </c>
      <c r="E192" s="20" t="n">
        <f aca="false">E189-E191</f>
        <v>11.2390466544002</v>
      </c>
      <c r="F192" s="20" t="n">
        <f aca="false">F189-F191</f>
        <v>7.70268932057196</v>
      </c>
      <c r="G192" s="20" t="n">
        <f aca="false">G189-G191</f>
        <v>7.76741569593616</v>
      </c>
    </row>
    <row r="193" customFormat="false" ht="15" hidden="false" customHeight="false" outlineLevel="0" collapsed="false">
      <c r="A193" s="4" t="s">
        <v>621</v>
      </c>
      <c r="B193" s="0" t="s">
        <v>51</v>
      </c>
      <c r="C193" s="9" t="n">
        <f aca="false">C192/C181</f>
        <v>0.127412788143288</v>
      </c>
      <c r="D193" s="9" t="n">
        <f aca="false">D192/D181</f>
        <v>0.13376423464603</v>
      </c>
      <c r="E193" s="9" t="n">
        <f aca="false">E192/E181</f>
        <v>0.110608617077383</v>
      </c>
      <c r="F193" s="9" t="n">
        <f aca="false">F192/F181</f>
        <v>0.10511787919181</v>
      </c>
      <c r="G193" s="9" t="n">
        <f aca="false">G192/G181</f>
        <v>0.0987388712345511</v>
      </c>
    </row>
    <row r="194" customFormat="false" ht="15" hidden="false" customHeight="false" outlineLevel="0" collapsed="false">
      <c r="A194" s="4" t="s">
        <v>527</v>
      </c>
      <c r="B194" s="0" t="s">
        <v>278</v>
      </c>
      <c r="C194" s="20" t="n">
        <f aca="false">a25_nonop</f>
        <v>0.0920000000000005</v>
      </c>
      <c r="D194" s="20" t="n">
        <f aca="false">a26_nonop</f>
        <v>0.384548</v>
      </c>
      <c r="E194" s="20" t="n">
        <f aca="false">nonop_f</f>
        <v>0.5</v>
      </c>
      <c r="F194" s="20" t="n">
        <f aca="false">nonop_f</f>
        <v>0.5</v>
      </c>
      <c r="G194" s="20" t="n">
        <f aca="false">nonop_f</f>
        <v>0.5</v>
      </c>
    </row>
    <row r="195" customFormat="false" ht="15" hidden="false" customHeight="false" outlineLevel="0" collapsed="false">
      <c r="A195" s="4" t="s">
        <v>529</v>
      </c>
      <c r="B195" s="0" t="s">
        <v>278</v>
      </c>
      <c r="C195" s="20" t="n">
        <f aca="false">C192+C194</f>
        <v>4.442</v>
      </c>
      <c r="D195" s="20" t="n">
        <f aca="false">D192+D194</f>
        <v>9.6700465</v>
      </c>
      <c r="E195" s="20" t="n">
        <f aca="false">E192+E194</f>
        <v>11.7390466544002</v>
      </c>
      <c r="F195" s="20" t="n">
        <f aca="false">F192+F194</f>
        <v>8.20268932057196</v>
      </c>
      <c r="G195" s="20" t="n">
        <f aca="false">G192+G194</f>
        <v>8.26741569593616</v>
      </c>
    </row>
    <row r="196" customFormat="false" ht="15" hidden="false" customHeight="false" outlineLevel="0" collapsed="false">
      <c r="A196" s="4" t="s">
        <v>531</v>
      </c>
      <c r="B196" s="0" t="s">
        <v>278</v>
      </c>
      <c r="C196" s="20" t="n">
        <f aca="false">a25_tax</f>
        <v>0.672</v>
      </c>
      <c r="D196" s="20" t="n">
        <f aca="false">a26_tax</f>
        <v>1.337361725</v>
      </c>
      <c r="E196" s="20" t="n">
        <f aca="false">E195*tax</f>
        <v>1.76085699816004</v>
      </c>
      <c r="F196" s="20" t="n">
        <f aca="false">F195*tax</f>
        <v>1.23040339808579</v>
      </c>
      <c r="G196" s="20" t="n">
        <f aca="false">G195*tax</f>
        <v>1.24011235439042</v>
      </c>
    </row>
    <row r="197" customFormat="false" ht="15" hidden="false" customHeight="false" outlineLevel="0" collapsed="false">
      <c r="A197" s="4" t="s">
        <v>534</v>
      </c>
      <c r="B197" s="0" t="s">
        <v>278</v>
      </c>
      <c r="C197" s="20" t="n">
        <f aca="false">C195-C196</f>
        <v>3.77</v>
      </c>
      <c r="D197" s="20" t="n">
        <f aca="false">D195-D196</f>
        <v>8.332684775</v>
      </c>
      <c r="E197" s="20" t="n">
        <f aca="false">E195-E196</f>
        <v>9.9781896562402</v>
      </c>
      <c r="F197" s="20" t="n">
        <f aca="false">F195-F196</f>
        <v>6.97228592248617</v>
      </c>
      <c r="G197" s="20" t="n">
        <f aca="false">G195-G196</f>
        <v>7.02730334154573</v>
      </c>
      <c r="H197" s="28" t="n">
        <f aca="false">H181*H201</f>
        <v>6.92414601610781</v>
      </c>
      <c r="I197" s="28" t="n">
        <f aca="false">I181*I201</f>
        <v>6.67292487063104</v>
      </c>
      <c r="J197" s="28" t="n">
        <f aca="false">J181*J201</f>
        <v>6.28281541665569</v>
      </c>
    </row>
    <row r="198" customFormat="false" ht="15" hidden="false" customHeight="false" outlineLevel="0" collapsed="false">
      <c r="A198" s="4" t="s">
        <v>312</v>
      </c>
      <c r="B198" s="4" t="s">
        <v>313</v>
      </c>
      <c r="C198" s="19" t="n">
        <f aca="false">a25_sh</f>
        <v>0.134020618556701</v>
      </c>
      <c r="D198" s="19" t="n">
        <f aca="false">a26_sh</f>
        <v>0.13399883744778</v>
      </c>
      <c r="E198" s="19" t="n">
        <f aca="false">q_sh*(1+sh_g)</f>
        <v>0.13401</v>
      </c>
      <c r="F198" s="19" t="n">
        <f aca="false">E198*(1+sh_g)</f>
        <v>0.13401</v>
      </c>
      <c r="G198" s="19" t="n">
        <f aca="false">F198*(1+sh_g)</f>
        <v>0.13401</v>
      </c>
      <c r="H198" s="30" t="n">
        <f aca="false">G198*(1+sh_g)</f>
        <v>0.13401</v>
      </c>
      <c r="I198" s="30" t="n">
        <f aca="false">H198*(1+sh_g)</f>
        <v>0.13401</v>
      </c>
      <c r="J198" s="30" t="n">
        <f aca="false">I198*(1+sh_g)</f>
        <v>0.13401</v>
      </c>
    </row>
    <row r="199" customFormat="false" ht="17.15" hidden="false" customHeight="false" outlineLevel="0" collapsed="false">
      <c r="A199" s="0" t="s">
        <v>538</v>
      </c>
      <c r="B199" s="0" t="s">
        <v>356</v>
      </c>
      <c r="C199" s="20" t="n">
        <f aca="false">C197/C198</f>
        <v>28.13</v>
      </c>
      <c r="D199" s="20" t="n">
        <f aca="false">D197/D198</f>
        <v>62.1847542389856</v>
      </c>
      <c r="E199" s="20" t="n">
        <f aca="false">E197/E198</f>
        <v>74.4585453043818</v>
      </c>
      <c r="F199" s="20" t="n">
        <f aca="false">F197/F198</f>
        <v>52.0281018020011</v>
      </c>
      <c r="G199" s="20" t="n">
        <f aca="false">G197/G198</f>
        <v>52.4386489183325</v>
      </c>
      <c r="H199" s="28" t="n">
        <f aca="false">H197/H198</f>
        <v>51.668875577254</v>
      </c>
      <c r="I199" s="28" t="n">
        <f aca="false">I197/I198</f>
        <v>49.7942308083803</v>
      </c>
      <c r="J199" s="28" t="n">
        <f aca="false">J197/J198</f>
        <v>46.8831834688135</v>
      </c>
    </row>
    <row r="200" customFormat="false" ht="17.15" hidden="false" customHeight="false" outlineLevel="0" collapsed="false">
      <c r="A200" s="0" t="s">
        <v>661</v>
      </c>
      <c r="B200" s="0" t="s">
        <v>51</v>
      </c>
      <c r="D200" s="18" t="n">
        <f aca="false">D199/C199-1</f>
        <v>1.21062048485551</v>
      </c>
      <c r="E200" s="18" t="n">
        <f aca="false">E199/D199-1</f>
        <v>0.197376209259043</v>
      </c>
      <c r="F200" s="18" t="n">
        <f aca="false">F199/E199-1</f>
        <v>-0.3012474043199</v>
      </c>
      <c r="G200" s="18" t="n">
        <f aca="false">G199/F199-1</f>
        <v>0.0078908724729907</v>
      </c>
      <c r="H200" s="26" t="n">
        <f aca="false">H199/G199-1</f>
        <v>-0.0146795037049349</v>
      </c>
      <c r="I200" s="26" t="n">
        <f aca="false">I199/H199-1</f>
        <v>-0.0362818959756691</v>
      </c>
      <c r="J200" s="26" t="n">
        <f aca="false">J199/I199-1</f>
        <v>-0.0584615384615385</v>
      </c>
    </row>
    <row r="201" customFormat="false" ht="17.15" hidden="false" customHeight="false" outlineLevel="0" collapsed="false">
      <c r="A201" s="4" t="s">
        <v>662</v>
      </c>
      <c r="B201" s="0" t="s">
        <v>51</v>
      </c>
      <c r="C201" s="9" t="n">
        <f aca="false">C197/C181</f>
        <v>0.11042441639085</v>
      </c>
      <c r="D201" s="9" t="n">
        <f aca="false">D197/D181</f>
        <v>0.1200382727405</v>
      </c>
      <c r="E201" s="9" t="n">
        <f aca="false">E197/E181</f>
        <v>0.0981999445994355</v>
      </c>
      <c r="F201" s="9" t="n">
        <f aca="false">F197/F181</f>
        <v>0.0951501324781769</v>
      </c>
      <c r="G201" s="9" t="n">
        <f aca="false">G197/G181</f>
        <v>0.0893306122562799</v>
      </c>
      <c r="H201" s="27" t="n">
        <f aca="false">$G201+(fade_mC-$G201)*1/3</f>
        <v>0.0833752381058612</v>
      </c>
      <c r="I201" s="27" t="n">
        <f aca="false">$G201+(fade_mC-$G201)*2/3</f>
        <v>0.0774198639554426</v>
      </c>
      <c r="J201" s="27" t="n">
        <f aca="false">$G201+(fade_mC-$G201)*3/3</f>
        <v>0.0714644898050239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665</v>
      </c>
    </row>
    <row r="2" customFormat="false" ht="17.15" hidden="false" customHeight="false" outlineLevel="0" collapsed="false">
      <c r="A2" s="4" t="s">
        <v>666</v>
      </c>
    </row>
    <row r="4" customFormat="false" ht="17.15" hidden="false" customHeight="false" outlineLevel="0" collapsed="false">
      <c r="A4" s="6" t="s">
        <v>667</v>
      </c>
    </row>
    <row r="5" customFormat="false" ht="17.15" hidden="false" customHeight="false" outlineLevel="0" collapsed="false">
      <c r="A5" s="6" t="s">
        <v>668</v>
      </c>
    </row>
    <row r="6" customFormat="false" ht="17.15" hidden="false" customHeight="false" outlineLevel="0" collapsed="false">
      <c r="A6" s="5" t="s">
        <v>27</v>
      </c>
      <c r="B6" s="16" t="s">
        <v>669</v>
      </c>
      <c r="C6" s="16" t="s">
        <v>670</v>
      </c>
      <c r="D6" s="16" t="s">
        <v>671</v>
      </c>
      <c r="E6" s="5" t="s">
        <v>450</v>
      </c>
    </row>
    <row r="7" customFormat="false" ht="17.15" hidden="false" customHeight="false" outlineLevel="0" collapsed="false">
      <c r="A7" s="4" t="s">
        <v>672</v>
      </c>
      <c r="E7" s="0" t="s">
        <v>673</v>
      </c>
    </row>
    <row r="8" customFormat="false" ht="15" hidden="false" customHeight="false" outlineLevel="0" collapsed="false">
      <c r="A8" s="0" t="s">
        <v>674</v>
      </c>
      <c r="B8" s="20" t="n">
        <f aca="false">PL!E15</f>
        <v>135.47225145018</v>
      </c>
      <c r="C8" s="20" t="n">
        <f aca="false">PL!E29</f>
        <v>107.37723648486</v>
      </c>
      <c r="D8" s="20" t="n">
        <f aca="false">PL!E43</f>
        <v>74.4585453043818</v>
      </c>
    </row>
    <row r="9" customFormat="false" ht="15" hidden="false" customHeight="false" outlineLevel="0" collapsed="false">
      <c r="A9" s="0" t="s">
        <v>675</v>
      </c>
      <c r="B9" s="20" t="n">
        <f aca="false">PL!F15</f>
        <v>199.68190681447</v>
      </c>
      <c r="C9" s="20" t="n">
        <f aca="false">PL!F29</f>
        <v>115.179513823147</v>
      </c>
      <c r="D9" s="20" t="n">
        <f aca="false">PL!F43</f>
        <v>52.0281018020011</v>
      </c>
    </row>
    <row r="10" customFormat="false" ht="15" hidden="false" customHeight="false" outlineLevel="0" collapsed="false">
      <c r="A10" s="0" t="s">
        <v>676</v>
      </c>
      <c r="B10" s="20" t="n">
        <f aca="false">PL!G15</f>
        <v>230.503741098475</v>
      </c>
      <c r="C10" s="20" t="n">
        <f aca="false">PL!G29</f>
        <v>132.819217510812</v>
      </c>
      <c r="D10" s="20" t="n">
        <f aca="false">PL!G43</f>
        <v>52.4386489183325</v>
      </c>
    </row>
    <row r="11" customFormat="false" ht="15" hidden="false" customHeight="false" outlineLevel="0" collapsed="false">
      <c r="A11" s="0" t="s">
        <v>677</v>
      </c>
      <c r="B11" s="20" t="n">
        <f aca="false">PL!H15</f>
        <v>257.801723854988</v>
      </c>
      <c r="C11" s="20" t="n">
        <f aca="false">PL!H29</f>
        <v>144.217758949686</v>
      </c>
      <c r="D11" s="20" t="n">
        <f aca="false">PL!H43</f>
        <v>51.668875577254</v>
      </c>
    </row>
    <row r="12" customFormat="false" ht="15" hidden="false" customHeight="false" outlineLevel="0" collapsed="false">
      <c r="A12" s="0" t="s">
        <v>678</v>
      </c>
      <c r="B12" s="20" t="n">
        <f aca="false">PL!I15</f>
        <v>280.801182932044</v>
      </c>
      <c r="C12" s="20" t="n">
        <f aca="false">PL!I29</f>
        <v>150.611422297141</v>
      </c>
      <c r="D12" s="20" t="n">
        <f aca="false">PL!I43</f>
        <v>49.7942308083803</v>
      </c>
    </row>
    <row r="13" customFormat="false" ht="15" hidden="false" customHeight="false" outlineLevel="0" collapsed="false">
      <c r="A13" s="0" t="s">
        <v>679</v>
      </c>
      <c r="B13" s="20" t="n">
        <f aca="false">PL!J15</f>
        <v>297.649253907967</v>
      </c>
      <c r="C13" s="20" t="n">
        <f aca="false">PL!J29</f>
        <v>151.041740646562</v>
      </c>
      <c r="D13" s="20" t="n">
        <f aca="false">PL!J43</f>
        <v>46.8831834688135</v>
      </c>
    </row>
    <row r="14" customFormat="false" ht="17.15" hidden="false" customHeight="false" outlineLevel="0" collapsed="false">
      <c r="A14" s="4" t="s">
        <v>680</v>
      </c>
    </row>
    <row r="15" customFormat="false" ht="17.15" hidden="false" customHeight="false" outlineLevel="0" collapsed="false">
      <c r="A15" s="4" t="s">
        <v>681</v>
      </c>
      <c r="B15" s="18" t="n">
        <f aca="false">MIN(tp_g/tp_roe,0.8)</f>
        <v>0.115852481173972</v>
      </c>
      <c r="E15" s="8" t="s">
        <v>682</v>
      </c>
    </row>
    <row r="16" customFormat="false" ht="15" hidden="false" customHeight="false" outlineLevel="0" collapsed="false">
      <c r="A16" s="0" t="s">
        <v>674</v>
      </c>
      <c r="B16" s="20" t="n">
        <f aca="false">B8*(1-$B$15)</f>
        <v>119.777454989453</v>
      </c>
      <c r="C16" s="20" t="n">
        <f aca="false">C8*(1-$B$15)</f>
        <v>94.9373172164845</v>
      </c>
      <c r="D16" s="20" t="n">
        <f aca="false">D8*(1-$B$15)</f>
        <v>65.8323380862645</v>
      </c>
    </row>
    <row r="17" customFormat="false" ht="15" hidden="false" customHeight="false" outlineLevel="0" collapsed="false">
      <c r="A17" s="0" t="s">
        <v>675</v>
      </c>
      <c r="B17" s="20" t="n">
        <f aca="false">B9*(1-$B$15)</f>
        <v>176.548262464464</v>
      </c>
      <c r="C17" s="20" t="n">
        <f aca="false">C9*(1-$B$15)</f>
        <v>101.835681366324</v>
      </c>
      <c r="D17" s="20" t="n">
        <f aca="false">D9*(1-$B$15)</f>
        <v>46.0005171174673</v>
      </c>
    </row>
    <row r="18" customFormat="false" ht="15" hidden="false" customHeight="false" outlineLevel="0" collapsed="false">
      <c r="A18" s="0" t="s">
        <v>676</v>
      </c>
      <c r="B18" s="20" t="n">
        <f aca="false">B10*(1-$B$15)</f>
        <v>203.799310772334</v>
      </c>
      <c r="C18" s="20" t="n">
        <f aca="false">C10*(1-$B$15)</f>
        <v>117.431781614599</v>
      </c>
      <c r="D18" s="20" t="n">
        <f aca="false">D10*(1-$B$15)</f>
        <v>46.3635013317328</v>
      </c>
    </row>
    <row r="19" customFormat="false" ht="15" hidden="false" customHeight="false" outlineLevel="0" collapsed="false">
      <c r="A19" s="0" t="s">
        <v>677</v>
      </c>
      <c r="B19" s="20" t="n">
        <f aca="false">B11*(1-$B$15)</f>
        <v>227.934754495461</v>
      </c>
      <c r="C19" s="20" t="n">
        <f aca="false">C11*(1-$B$15)</f>
        <v>127.509773746015</v>
      </c>
      <c r="D19" s="20" t="n">
        <f aca="false">D11*(1-$B$15)</f>
        <v>45.6829081421599</v>
      </c>
    </row>
    <row r="20" customFormat="false" ht="15" hidden="false" customHeight="false" outlineLevel="0" collapsed="false">
      <c r="A20" s="0" t="s">
        <v>678</v>
      </c>
      <c r="B20" s="20" t="n">
        <f aca="false">B12*(1-$B$15)</f>
        <v>248.26966917278</v>
      </c>
      <c r="C20" s="20" t="n">
        <f aca="false">C12*(1-$B$15)</f>
        <v>133.162715330877</v>
      </c>
      <c r="D20" s="20" t="n">
        <f aca="false">D12*(1-$B$15)</f>
        <v>44.02544562108</v>
      </c>
    </row>
    <row r="21" customFormat="false" ht="15" hidden="false" customHeight="false" outlineLevel="0" collapsed="false">
      <c r="A21" s="0" t="s">
        <v>679</v>
      </c>
      <c r="B21" s="20" t="n">
        <f aca="false">B13*(1-$B$15)</f>
        <v>263.165849323147</v>
      </c>
      <c r="C21" s="20" t="n">
        <f aca="false">C13*(1-$B$15)</f>
        <v>133.543180231822</v>
      </c>
      <c r="D21" s="20" t="n">
        <f aca="false">D13*(1-$B$15)</f>
        <v>41.4516503386169</v>
      </c>
    </row>
    <row r="22" customFormat="false" ht="17.15" hidden="false" customHeight="false" outlineLevel="0" collapsed="false">
      <c r="A22" s="0" t="s">
        <v>683</v>
      </c>
      <c r="B22" s="20" t="n">
        <f aca="false">MAX(0,SUMPRODUCT(B16:B21,1/(1+tp_r)^{1;2;3;4;5;6})+B21*(1+tp_g)/(tp_r-tp_g)/(1+tp_r)^6)</f>
        <v>3441.17358045693</v>
      </c>
      <c r="C22" s="20" t="n">
        <f aca="false">MAX(0,SUMPRODUCT(C16:C21,1/(1+tp_r)^{1;2;3;4;5;6})+C21*(1+tp_g)/(tp_r-tp_g)/(1+tp_r)^6)</f>
        <v>1810.46787090472</v>
      </c>
      <c r="D22" s="20" t="n">
        <f aca="false">MAX(0,SUMPRODUCT(D16:D21,1/(1+tp_r)^{1;2;3;4;5;6})+D21*(1+tp_g)/(tp_r-tp_g)/(1+tp_r)^6)</f>
        <v>620.206726217937</v>
      </c>
      <c r="E22" s="8" t="s">
        <v>684</v>
      </c>
    </row>
    <row r="23" customFormat="false" ht="17.15" hidden="false" customHeight="false" outlineLevel="0" collapsed="false">
      <c r="A23" s="0" t="s">
        <v>685</v>
      </c>
      <c r="B23" s="20" t="n">
        <f aca="false">B22*(1+tp_r)</f>
        <v>3785.29093850262</v>
      </c>
      <c r="C23" s="20" t="n">
        <f aca="false">C22*(1+tp_r)</f>
        <v>1991.51465799519</v>
      </c>
      <c r="D23" s="20" t="n">
        <f aca="false">D22*(1+tp_r)</f>
        <v>682.22739883973</v>
      </c>
    </row>
    <row r="24" customFormat="false" ht="17.15" hidden="false" customHeight="false" outlineLevel="0" collapsed="false">
      <c r="A24" s="0" t="s">
        <v>686</v>
      </c>
      <c r="B24" s="31" t="n">
        <f aca="false">tp_wA*B23+tp_wB*C23+tp_wC*D23</f>
        <v>2267.79009031633</v>
      </c>
      <c r="E24" s="8" t="s">
        <v>687</v>
      </c>
    </row>
    <row r="26" customFormat="false" ht="17.15" hidden="false" customHeight="false" outlineLevel="0" collapsed="false">
      <c r="A26" s="6" t="s">
        <v>688</v>
      </c>
    </row>
    <row r="27" customFormat="false" ht="17.15" hidden="false" customHeight="false" outlineLevel="0" collapsed="false">
      <c r="A27" s="5" t="s">
        <v>689</v>
      </c>
      <c r="B27" s="5" t="s">
        <v>690</v>
      </c>
      <c r="C27" s="5" t="s">
        <v>691</v>
      </c>
      <c r="D27" s="5" t="s">
        <v>692</v>
      </c>
      <c r="E27" s="5" t="s">
        <v>693</v>
      </c>
      <c r="F27" s="5" t="s">
        <v>32</v>
      </c>
    </row>
    <row r="28" customFormat="false" ht="17.15" hidden="false" customHeight="false" outlineLevel="0" collapsed="false">
      <c r="A28" s="4" t="s">
        <v>694</v>
      </c>
      <c r="B28" s="0" t="s">
        <v>695</v>
      </c>
      <c r="C28" s="32" t="n">
        <v>17.15</v>
      </c>
      <c r="D28" s="8" t="s">
        <v>696</v>
      </c>
      <c r="E28" s="8" t="s">
        <v>697</v>
      </c>
      <c r="F28" s="8" t="s">
        <v>39</v>
      </c>
    </row>
    <row r="29" customFormat="false" ht="17.15" hidden="false" customHeight="false" outlineLevel="0" collapsed="false">
      <c r="A29" s="4" t="s">
        <v>698</v>
      </c>
      <c r="B29" s="0" t="s">
        <v>699</v>
      </c>
      <c r="C29" s="32" t="n">
        <v>38.75</v>
      </c>
      <c r="D29" s="8" t="s">
        <v>696</v>
      </c>
      <c r="E29" s="8" t="s">
        <v>697</v>
      </c>
      <c r="F29" s="8" t="s">
        <v>39</v>
      </c>
    </row>
    <row r="30" customFormat="false" ht="17.15" hidden="false" customHeight="false" outlineLevel="0" collapsed="false">
      <c r="A30" s="4" t="s">
        <v>700</v>
      </c>
      <c r="B30" s="0" t="s">
        <v>701</v>
      </c>
      <c r="C30" s="32" t="n">
        <v>18.52</v>
      </c>
      <c r="D30" s="8" t="s">
        <v>702</v>
      </c>
      <c r="E30" s="8" t="s">
        <v>697</v>
      </c>
      <c r="F30" s="8" t="s">
        <v>39</v>
      </c>
    </row>
    <row r="31" customFormat="false" ht="17.15" hidden="false" customHeight="false" outlineLevel="0" collapsed="false">
      <c r="A31" s="4" t="s">
        <v>703</v>
      </c>
      <c r="B31" s="0" t="s">
        <v>704</v>
      </c>
      <c r="C31" s="32" t="n">
        <v>40.44</v>
      </c>
      <c r="D31" s="8" t="s">
        <v>702</v>
      </c>
      <c r="E31" s="8" t="s">
        <v>697</v>
      </c>
      <c r="F31" s="8" t="s">
        <v>39</v>
      </c>
    </row>
    <row r="33" customFormat="false" ht="17.15" hidden="false" customHeight="false" outlineLevel="0" collapsed="false">
      <c r="A33" s="4" t="s">
        <v>705</v>
      </c>
      <c r="B33" s="33" t="n">
        <f aca="false">MEDIAN(C28:C31)</f>
        <v>28.635</v>
      </c>
      <c r="E33" s="8" t="s">
        <v>706</v>
      </c>
    </row>
    <row r="34" customFormat="false" ht="17.15" hidden="false" customHeight="false" outlineLevel="0" collapsed="false">
      <c r="A34" s="0" t="s">
        <v>707</v>
      </c>
      <c r="B34" s="20" t="n">
        <f aca="false">tp_wA*(2/12*B8+10/12*B9)+tp_wB*(2/12*C8+10/12*C9)+tp_wC*(2/12*D8+10/12*D9)</f>
        <v>124.786958219989</v>
      </c>
      <c r="E34" s="4" t="s">
        <v>708</v>
      </c>
    </row>
    <row r="35" customFormat="false" ht="17.15" hidden="false" customHeight="false" outlineLevel="0" collapsed="false">
      <c r="A35" s="0" t="s">
        <v>709</v>
      </c>
      <c r="B35" s="31" t="n">
        <f aca="false">B33*B34</f>
        <v>3573.27454862939</v>
      </c>
      <c r="E35" s="4" t="s">
        <v>710</v>
      </c>
    </row>
    <row r="37" customFormat="false" ht="17.15" hidden="false" customHeight="false" outlineLevel="0" collapsed="false">
      <c r="A37" s="6" t="s">
        <v>711</v>
      </c>
    </row>
    <row r="38" customFormat="false" ht="15" hidden="false" customHeight="false" outlineLevel="0" collapsed="false">
      <c r="A38" s="5" t="s">
        <v>27</v>
      </c>
      <c r="B38" s="5" t="s">
        <v>712</v>
      </c>
      <c r="C38" s="5"/>
      <c r="D38" s="5"/>
      <c r="E38" s="5" t="s">
        <v>450</v>
      </c>
    </row>
    <row r="39" customFormat="false" ht="17.15" hidden="false" customHeight="false" outlineLevel="0" collapsed="false">
      <c r="A39" s="4" t="s">
        <v>713</v>
      </c>
      <c r="B39" s="31" t="n">
        <f aca="false">tp_w_dcf*B24+(1-tp_w_dcf)*tp_comp_adj</f>
        <v>3968.04190837397</v>
      </c>
      <c r="E39" s="8" t="s">
        <v>714</v>
      </c>
    </row>
    <row r="40" customFormat="false" ht="17.15" hidden="false" customHeight="false" outlineLevel="0" collapsed="false">
      <c r="A40" s="0" t="s">
        <v>715</v>
      </c>
      <c r="B40" s="20" t="n">
        <f aca="false">B35</f>
        <v>3573.27454862939</v>
      </c>
    </row>
    <row r="41" customFormat="false" ht="17.15" hidden="false" customHeight="false" outlineLevel="0" collapsed="false">
      <c r="A41" s="4" t="s">
        <v>716</v>
      </c>
      <c r="B41" s="20" t="n">
        <f aca="false">cons_tp</f>
        <v>6722.37</v>
      </c>
      <c r="E41" s="8" t="s">
        <v>717</v>
      </c>
    </row>
    <row r="42" customFormat="false" ht="17.15" hidden="false" customHeight="false" outlineLevel="0" collapsed="false">
      <c r="A42" s="4" t="s">
        <v>718</v>
      </c>
      <c r="B42" s="18" t="n">
        <f aca="false">B39/px-1</f>
        <v>-0.476856702917078</v>
      </c>
      <c r="E42" s="4" t="s">
        <v>719</v>
      </c>
    </row>
    <row r="43" customFormat="false" ht="17.15" hidden="false" customHeight="false" outlineLevel="0" collapsed="false">
      <c r="A43" s="4" t="s">
        <v>720</v>
      </c>
      <c r="B43" s="18" t="n">
        <f aca="false">B40/px-1</f>
        <v>-0.528902498532711</v>
      </c>
    </row>
    <row r="44" customFormat="false" ht="17.15" hidden="false" customHeight="false" outlineLevel="0" collapsed="false">
      <c r="A44" s="4" t="s">
        <v>721</v>
      </c>
      <c r="B44" s="18" t="n">
        <f aca="false">B34/cons_feps-1</f>
        <v>0.535207972838023</v>
      </c>
      <c r="E44" s="4" t="s">
        <v>722</v>
      </c>
    </row>
    <row r="45" customFormat="false" ht="17.15" hidden="false" customHeight="false" outlineLevel="0" collapsed="false">
      <c r="A45" s="4" t="s">
        <v>723</v>
      </c>
      <c r="B45" s="18" t="n">
        <f aca="false">(cons_tp/cons_feps)/B33-1</f>
        <v>1.88817326514295</v>
      </c>
      <c r="E45" s="0" t="str">
        <f aca="false">"共識目標價隱含 "&amp;TEXT(cons_tp/cons_feps,"0.0")&amp;"x，同業中位數 "&amp;TEXT(B33,"0.0")&amp;"x"</f>
        <v>共識目標價隱含 82.7x，同業中位數 28.6x</v>
      </c>
    </row>
    <row r="46" customFormat="false" ht="17.15" hidden="false" customHeight="false" outlineLevel="0" collapsed="false">
      <c r="A46" s="4" t="s">
        <v>724</v>
      </c>
      <c r="B46" s="34" t="str">
        <f aca="false">TEXT(D23,"#,##0")&amp;"～"&amp;TEXT(B23,"#,##0")</f>
        <v>682～3,785</v>
      </c>
      <c r="E46" s="8" t="s">
        <v>725</v>
      </c>
    </row>
    <row r="47" customFormat="false" ht="17.15" hidden="false" customHeight="false" outlineLevel="0" collapsed="false">
      <c r="A47" s="4" t="s">
        <v>726</v>
      </c>
      <c r="B47" s="35" t="n">
        <f aca="false">IF(px/B9&gt;=MAX($B$86:$B$95),1,IF(px/B9&lt;=MIN($B$86:$B$95),0,PERCENTRANK($B$86:$B$95,px/B9)))</f>
        <v>0.355</v>
      </c>
      <c r="C47" s="35" t="n">
        <f aca="false">IF(px/C9&gt;=MAX($B$86:$B$95),1,IF(px/C9&lt;=MIN($B$86:$B$95),0,PERCENTRANK($B$86:$B$95,px/C9)))</f>
        <v>0.891</v>
      </c>
      <c r="D47" s="35" t="n">
        <f aca="false">IF(px/D9&gt;=MAX($B$86:$B$95),1,IF(px/D9&lt;=MIN($B$86:$B$95),0,PERCENTRANK($B$86:$B$95,px/D9)))</f>
        <v>1</v>
      </c>
      <c r="E47" s="4" t="s">
        <v>727</v>
      </c>
    </row>
    <row r="48" customFormat="false" ht="17.15" hidden="false" customHeight="false" outlineLevel="0" collapsed="false">
      <c r="A48" s="4" t="s">
        <v>728</v>
      </c>
      <c r="B48" s="0" t="s">
        <v>729</v>
      </c>
    </row>
    <row r="51" customFormat="false" ht="17.15" hidden="false" customHeight="false" outlineLevel="0" collapsed="false">
      <c r="A51" s="6" t="s">
        <v>730</v>
      </c>
    </row>
    <row r="52" customFormat="false" ht="15" hidden="false" customHeight="false" outlineLevel="0" collapsed="false">
      <c r="A52" s="5" t="s">
        <v>27</v>
      </c>
      <c r="B52" s="16" t="s">
        <v>731</v>
      </c>
      <c r="C52" s="16" t="s">
        <v>732</v>
      </c>
      <c r="D52" s="16" t="s">
        <v>733</v>
      </c>
      <c r="E52" s="5" t="s">
        <v>450</v>
      </c>
    </row>
    <row r="53" customFormat="false" ht="17.15" hidden="false" customHeight="false" outlineLevel="0" collapsed="false">
      <c r="A53" s="4" t="s">
        <v>734</v>
      </c>
      <c r="B53" s="36" t="n">
        <f aca="false">px</f>
        <v>7585</v>
      </c>
    </row>
    <row r="54" customFormat="false" ht="17.15" hidden="false" customHeight="false" outlineLevel="0" collapsed="false">
      <c r="A54" s="4" t="s">
        <v>735</v>
      </c>
      <c r="B54" s="33" t="n">
        <f aca="false">px/PL!D15</f>
        <v>121.975234811569</v>
      </c>
      <c r="C54" s="33" t="n">
        <f aca="false">px/PL!D29</f>
        <v>121.975234811569</v>
      </c>
      <c r="D54" s="33" t="n">
        <f aca="false">px/PL!D43</f>
        <v>121.975234811569</v>
      </c>
      <c r="E54" s="8" t="s">
        <v>736</v>
      </c>
    </row>
    <row r="55" customFormat="false" ht="17.15" hidden="false" customHeight="false" outlineLevel="0" collapsed="false">
      <c r="A55" s="4" t="s">
        <v>737</v>
      </c>
      <c r="B55" s="33" t="n">
        <f aca="false">px/PL!E15</f>
        <v>55.989325627982</v>
      </c>
      <c r="C55" s="33" t="n">
        <f aca="false">px/PL!E29</f>
        <v>70.6388080779997</v>
      </c>
      <c r="D55" s="33" t="n">
        <f aca="false">px/PL!E43</f>
        <v>101.868764276726</v>
      </c>
      <c r="E55" s="8" t="s">
        <v>738</v>
      </c>
    </row>
    <row r="56" customFormat="false" ht="17.15" hidden="false" customHeight="false" outlineLevel="0" collapsed="false">
      <c r="A56" s="4" t="s">
        <v>739</v>
      </c>
      <c r="B56" s="33" t="n">
        <f aca="false">px/PL!F15</f>
        <v>37.9854145075219</v>
      </c>
      <c r="C56" s="33" t="n">
        <f aca="false">px/PL!F29</f>
        <v>65.853724748712</v>
      </c>
      <c r="D56" s="33" t="n">
        <f aca="false">px/PL!F43</f>
        <v>145.786598728233</v>
      </c>
    </row>
    <row r="57" customFormat="false" ht="17.15" hidden="false" customHeight="false" outlineLevel="0" collapsed="false">
      <c r="A57" s="4" t="s">
        <v>740</v>
      </c>
      <c r="B57" s="33" t="n">
        <f aca="false">px/PL!G15</f>
        <v>32.906190432543</v>
      </c>
      <c r="C57" s="33" t="n">
        <f aca="false">px/PL!G29</f>
        <v>57.1076997903753</v>
      </c>
      <c r="D57" s="33" t="n">
        <f aca="false">px/PL!G43</f>
        <v>144.645221729736</v>
      </c>
    </row>
    <row r="58" customFormat="false" ht="17.15" hidden="false" customHeight="false" outlineLevel="0" collapsed="false">
      <c r="A58" s="4" t="s">
        <v>741</v>
      </c>
      <c r="B58" s="23" t="n">
        <f aca="false">0.2*PL!D29+0.8*PL!E29</f>
        <v>98.338740035685</v>
      </c>
    </row>
    <row r="59" customFormat="false" ht="17.15" hidden="false" customHeight="false" outlineLevel="0" collapsed="false">
      <c r="A59" s="4" t="s">
        <v>742</v>
      </c>
      <c r="B59" s="33" t="n">
        <f aca="false">px/B58</f>
        <v>77.131352275284</v>
      </c>
    </row>
    <row r="60" customFormat="false" ht="17.15" hidden="false" customHeight="false" outlineLevel="0" collapsed="false">
      <c r="A60" s="4" t="s">
        <v>743</v>
      </c>
      <c r="B60" s="33" t="n">
        <f aca="false">pe_ttm</f>
        <v>194.987146529563</v>
      </c>
    </row>
    <row r="61" customFormat="false" ht="17.15" hidden="false" customHeight="false" outlineLevel="0" collapsed="false">
      <c r="A61" s="4" t="s">
        <v>744</v>
      </c>
      <c r="B61" s="33" t="n">
        <f aca="false">fpe</f>
        <v>102.85</v>
      </c>
    </row>
    <row r="63" customFormat="false" ht="17.15" hidden="false" customHeight="false" outlineLevel="0" collapsed="false">
      <c r="A63" s="6" t="s">
        <v>745</v>
      </c>
    </row>
    <row r="64" customFormat="false" ht="17.15" hidden="false" customHeight="false" outlineLevel="0" collapsed="false">
      <c r="A64" s="5" t="s">
        <v>746</v>
      </c>
      <c r="B64" s="5" t="s">
        <v>747</v>
      </c>
      <c r="C64" s="16" t="s">
        <v>748</v>
      </c>
      <c r="D64" s="5" t="s">
        <v>749</v>
      </c>
      <c r="E64" s="5" t="s">
        <v>750</v>
      </c>
      <c r="F64" s="5" t="s">
        <v>450</v>
      </c>
    </row>
    <row r="65" customFormat="false" ht="17.15" hidden="false" customHeight="false" outlineLevel="0" collapsed="false">
      <c r="A65" s="0" t="s">
        <v>731</v>
      </c>
      <c r="B65" s="0" t="n">
        <f aca="false">INDEX({2026,2027,2028,2029},MATCH(MAX(PL!D85:G85),PL!D85:G85,0))</f>
        <v>2029</v>
      </c>
      <c r="C65" s="0" t="str">
        <f aca="false">IF(B65=2029,"中段",IF(2027&lt;B65,"中段",IF(2027=B65,"見頂","谷底")))</f>
        <v>中段</v>
      </c>
      <c r="D65" s="33" t="n">
        <f aca="false">IF(C65="見頂",pe_peak,IF(C65="谷底",pe_trough,pe_mid))</f>
        <v>50.77</v>
      </c>
      <c r="E65" s="0" t="str">
        <f aca="false">IF(B65=2029,"是：營收到觀測期末仍在增加","否")</f>
        <v>是：營收到觀測期末仍在增加</v>
      </c>
      <c r="F65" s="8" t="s">
        <v>751</v>
      </c>
    </row>
    <row r="66" customFormat="false" ht="15" hidden="false" customHeight="false" outlineLevel="0" collapsed="false">
      <c r="A66" s="0" t="s">
        <v>732</v>
      </c>
      <c r="B66" s="0" t="n">
        <f aca="false">INDEX({2026,2027,2028,2029},MATCH(MAX(PL!D133:G133),PL!D133:G133,0))</f>
        <v>2029</v>
      </c>
      <c r="C66" s="0" t="str">
        <f aca="false">IF(B66=2029,"中段",IF(2027&lt;B66,"中段",IF(2027=B66,"見頂","谷底")))</f>
        <v>中段</v>
      </c>
      <c r="D66" s="33" t="n">
        <f aca="false">IF(C66="見頂",pe_peak,IF(C66="谷底",pe_trough,pe_mid))</f>
        <v>50.77</v>
      </c>
      <c r="E66" s="0" t="str">
        <f aca="false">IF(B66=2029,"是：營收到觀測期末仍在增加","否")</f>
        <v>是：營收到觀測期末仍在增加</v>
      </c>
      <c r="F66" s="4" t="s">
        <v>45</v>
      </c>
    </row>
    <row r="67" customFormat="false" ht="15" hidden="false" customHeight="false" outlineLevel="0" collapsed="false">
      <c r="A67" s="0" t="s">
        <v>733</v>
      </c>
      <c r="B67" s="0" t="n">
        <f aca="false">INDEX({2026,2027,2028,2029},MATCH(MAX(PL!D181:G181),PL!D181:G181,0))</f>
        <v>2027</v>
      </c>
      <c r="C67" s="0" t="str">
        <f aca="false">IF(B67=2029,"中段",IF(2027&lt;B67,"中段",IF(2027=B67,"見頂","谷底")))</f>
        <v>見頂</v>
      </c>
      <c r="D67" s="33" t="n">
        <f aca="false">IF(C67="見頂",pe_peak,IF(C67="谷底",pe_trough,pe_mid))</f>
        <v>36.35</v>
      </c>
      <c r="E67" s="0" t="str">
        <f aca="false">IF(B67=2029,"是：營收到觀測期末仍在增加","否")</f>
        <v>否</v>
      </c>
      <c r="F67" s="4" t="s">
        <v>45</v>
      </c>
    </row>
    <row r="69" customFormat="false" ht="17.15" hidden="false" customHeight="false" outlineLevel="0" collapsed="false">
      <c r="A69" s="6" t="s">
        <v>752</v>
      </c>
    </row>
    <row r="70" customFormat="false" ht="17.15" hidden="false" customHeight="false" outlineLevel="0" collapsed="false">
      <c r="A70" s="5" t="s">
        <v>746</v>
      </c>
      <c r="B70" s="16" t="s">
        <v>753</v>
      </c>
      <c r="C70" s="5" t="s">
        <v>754</v>
      </c>
      <c r="D70" s="5" t="s">
        <v>755</v>
      </c>
      <c r="E70" s="5" t="s">
        <v>756</v>
      </c>
      <c r="F70" s="5" t="s">
        <v>757</v>
      </c>
      <c r="G70" s="5" t="s">
        <v>758</v>
      </c>
    </row>
    <row r="71" customFormat="false" ht="15" hidden="false" customHeight="false" outlineLevel="0" collapsed="false">
      <c r="A71" s="11" t="s">
        <v>731</v>
      </c>
      <c r="B71" s="37" t="n">
        <f aca="false">PL!E15</f>
        <v>135.47225145018</v>
      </c>
      <c r="C71" s="37" t="n">
        <f aca="false">B71</f>
        <v>135.47225145018</v>
      </c>
      <c r="D71" s="38" t="n">
        <f aca="false">D65</f>
        <v>50.77</v>
      </c>
      <c r="E71" s="39" t="n">
        <f aca="false">C71*D71</f>
        <v>6877.92620612566</v>
      </c>
      <c r="F71" s="40" t="n">
        <f aca="false">E71/px-1</f>
        <v>-0.0932200123763142</v>
      </c>
      <c r="G71" s="38" t="n">
        <f aca="false">px/C71</f>
        <v>55.989325627982</v>
      </c>
    </row>
    <row r="72" customFormat="false" ht="15" hidden="false" customHeight="false" outlineLevel="0" collapsed="false">
      <c r="A72" s="11" t="s">
        <v>732</v>
      </c>
      <c r="B72" s="37" t="n">
        <f aca="false">PL!E29</f>
        <v>107.37723648486</v>
      </c>
      <c r="C72" s="37" t="n">
        <f aca="false">B72</f>
        <v>107.37723648486</v>
      </c>
      <c r="D72" s="38" t="n">
        <f aca="false">D66</f>
        <v>50.77</v>
      </c>
      <c r="E72" s="39" t="n">
        <f aca="false">C72*D72</f>
        <v>5451.54229633634</v>
      </c>
      <c r="F72" s="40" t="n">
        <f aca="false">E72/px-1</f>
        <v>-0.281273263502131</v>
      </c>
      <c r="G72" s="38" t="n">
        <f aca="false">px/C72</f>
        <v>70.6388080779997</v>
      </c>
    </row>
    <row r="73" customFormat="false" ht="15" hidden="false" customHeight="false" outlineLevel="0" collapsed="false">
      <c r="A73" s="11" t="s">
        <v>733</v>
      </c>
      <c r="B73" s="37" t="n">
        <f aca="false">PL!E43</f>
        <v>74.4585453043818</v>
      </c>
      <c r="C73" s="37" t="n">
        <f aca="false">B73</f>
        <v>74.4585453043818</v>
      </c>
      <c r="D73" s="38" t="n">
        <f aca="false">D67</f>
        <v>36.35</v>
      </c>
      <c r="E73" s="39" t="n">
        <f aca="false">C73*D73</f>
        <v>2706.56812181428</v>
      </c>
      <c r="F73" s="40" t="n">
        <f aca="false">E73/px-1</f>
        <v>-0.643168342542613</v>
      </c>
      <c r="G73" s="38" t="n">
        <f aca="false">px/C73</f>
        <v>101.868764276726</v>
      </c>
    </row>
    <row r="75" customFormat="false" ht="17.15" hidden="false" customHeight="false" outlineLevel="0" collapsed="false">
      <c r="A75" s="6" t="s">
        <v>759</v>
      </c>
    </row>
    <row r="76" customFormat="false" ht="17.15" hidden="false" customHeight="false" outlineLevel="0" collapsed="false">
      <c r="A76" s="16" t="s">
        <v>760</v>
      </c>
      <c r="B76" s="5" t="s">
        <v>761</v>
      </c>
      <c r="C76" s="5" t="s">
        <v>762</v>
      </c>
      <c r="D76" s="5" t="s">
        <v>763</v>
      </c>
      <c r="E76" s="5" t="s">
        <v>764</v>
      </c>
    </row>
    <row r="77" customFormat="false" ht="15" hidden="false" customHeight="false" outlineLevel="0" collapsed="false">
      <c r="A77" s="41" t="n">
        <v>1</v>
      </c>
      <c r="B77" s="33" t="n">
        <f aca="false">px*A77/PL!F15</f>
        <v>37.9854145075219</v>
      </c>
      <c r="C77" s="33" t="n">
        <f aca="false">px*A77/PL!F29</f>
        <v>65.853724748712</v>
      </c>
      <c r="D77" s="33" t="n">
        <f aca="false">px*A77/PL!F43</f>
        <v>145.786598728233</v>
      </c>
      <c r="E77" s="33" t="n">
        <f aca="false">pe_mid</f>
        <v>50.77</v>
      </c>
    </row>
    <row r="78" customFormat="false" ht="15" hidden="false" customHeight="false" outlineLevel="0" collapsed="false">
      <c r="A78" s="41" t="n">
        <v>1.1</v>
      </c>
      <c r="B78" s="33" t="n">
        <f aca="false">px*A78/PL!F15</f>
        <v>41.7839559582741</v>
      </c>
      <c r="C78" s="33" t="n">
        <f aca="false">px*A78/PL!F29</f>
        <v>72.4390972235832</v>
      </c>
      <c r="D78" s="33" t="n">
        <f aca="false">px*A78/PL!F43</f>
        <v>160.365258601057</v>
      </c>
      <c r="E78" s="33" t="n">
        <f aca="false">pe_mid</f>
        <v>50.77</v>
      </c>
    </row>
    <row r="79" customFormat="false" ht="15" hidden="false" customHeight="false" outlineLevel="0" collapsed="false">
      <c r="A79" s="41" t="n">
        <v>1.21</v>
      </c>
      <c r="B79" s="33" t="n">
        <f aca="false">px*A79/PL!F15</f>
        <v>45.9623515541015</v>
      </c>
      <c r="C79" s="33" t="n">
        <f aca="false">px*A79/PL!F29</f>
        <v>79.6830069459415</v>
      </c>
      <c r="D79" s="33" t="n">
        <f aca="false">px*A79/PL!F43</f>
        <v>176.401784461162</v>
      </c>
      <c r="E79" s="33" t="n">
        <f aca="false">pe_mid</f>
        <v>50.77</v>
      </c>
    </row>
    <row r="80" customFormat="false" ht="15" hidden="false" customHeight="false" outlineLevel="0" collapsed="false">
      <c r="A80" s="41" t="n">
        <v>1.5</v>
      </c>
      <c r="B80" s="33" t="n">
        <f aca="false">px*A80/PL!F15</f>
        <v>56.9781217612829</v>
      </c>
      <c r="C80" s="33" t="n">
        <f aca="false">px*A80/PL!F29</f>
        <v>98.780587123068</v>
      </c>
      <c r="D80" s="33" t="n">
        <f aca="false">px*A80/PL!F43</f>
        <v>218.67989809235</v>
      </c>
      <c r="E80" s="33" t="n">
        <f aca="false">pe_mid</f>
        <v>50.77</v>
      </c>
    </row>
    <row r="81" customFormat="false" ht="15" hidden="false" customHeight="false" outlineLevel="0" collapsed="false">
      <c r="A81" s="41" t="n">
        <v>2</v>
      </c>
      <c r="B81" s="33" t="n">
        <f aca="false">px*A81/PL!F15</f>
        <v>75.9708290150438</v>
      </c>
      <c r="C81" s="33" t="n">
        <f aca="false">px*A81/PL!F29</f>
        <v>131.707449497424</v>
      </c>
      <c r="D81" s="33" t="n">
        <f aca="false">px*A81/PL!F43</f>
        <v>291.573197456466</v>
      </c>
      <c r="E81" s="33" t="n">
        <f aca="false">pe_mid</f>
        <v>50.77</v>
      </c>
    </row>
    <row r="82" customFormat="false" ht="17.15" hidden="false" customHeight="false" outlineLevel="0" collapsed="false">
      <c r="A82" s="4" t="s">
        <v>765</v>
      </c>
    </row>
    <row r="84" customFormat="false" ht="17.15" hidden="false" customHeight="false" outlineLevel="0" collapsed="false">
      <c r="A84" s="6" t="s">
        <v>766</v>
      </c>
    </row>
    <row r="85" customFormat="false" ht="17.15" hidden="false" customHeight="false" outlineLevel="0" collapsed="false">
      <c r="A85" s="5" t="s">
        <v>767</v>
      </c>
      <c r="B85" s="5" t="s">
        <v>768</v>
      </c>
      <c r="C85" s="16" t="s">
        <v>769</v>
      </c>
      <c r="D85" s="5" t="s">
        <v>770</v>
      </c>
    </row>
    <row r="86" customFormat="false" ht="15" hidden="false" customHeight="false" outlineLevel="0" collapsed="false">
      <c r="A86" s="0" t="s">
        <v>771</v>
      </c>
      <c r="B86" s="23" t="n">
        <f aca="false">IF(COUNT(C86:D86)=0,"",AVERAGE(C86:D86))</f>
        <v>16.9</v>
      </c>
      <c r="C86" s="23" t="n">
        <f aca="false">IF(B105="","",B105)</f>
        <v>16.9</v>
      </c>
      <c r="D86" s="23" t="str">
        <f aca="false">IF(C105="","",C105)</f>
        <v/>
      </c>
    </row>
    <row r="87" customFormat="false" ht="15" hidden="false" customHeight="false" outlineLevel="0" collapsed="false">
      <c r="A87" s="0" t="s">
        <v>772</v>
      </c>
      <c r="B87" s="23" t="n">
        <f aca="false">IF(COUNT(C87:D87)=0,"",AVERAGE(C87:D87))</f>
        <v>35.3</v>
      </c>
      <c r="C87" s="23" t="n">
        <f aca="false">IF(B106="","",B106)</f>
        <v>35.3</v>
      </c>
      <c r="D87" s="23" t="str">
        <f aca="false">IF(C106="","",C106)</f>
        <v/>
      </c>
    </row>
    <row r="88" customFormat="false" ht="15" hidden="false" customHeight="false" outlineLevel="0" collapsed="false">
      <c r="A88" s="0" t="s">
        <v>773</v>
      </c>
      <c r="B88" s="23" t="n">
        <f aca="false">IF(COUNT(C88:D88)=0,"",AVERAGE(C88:D88))</f>
        <v>26.4255766621438</v>
      </c>
      <c r="C88" s="23" t="n">
        <f aca="false">IF(B107="","",B107)</f>
        <v>24.9</v>
      </c>
      <c r="D88" s="23" t="n">
        <f aca="false">IF(C107="","",C107)</f>
        <v>27.9511533242877</v>
      </c>
    </row>
    <row r="89" customFormat="false" ht="15" hidden="false" customHeight="false" outlineLevel="0" collapsed="false">
      <c r="A89" s="0" t="s">
        <v>774</v>
      </c>
      <c r="B89" s="23" t="n">
        <f aca="false">IF(COUNT(C89:D89)=0,"",AVERAGE(C89:D89))</f>
        <v>48.9256871035941</v>
      </c>
      <c r="C89" s="23" t="n">
        <f aca="false">IF(B108="","",B108)</f>
        <v>46.9</v>
      </c>
      <c r="D89" s="23" t="n">
        <f aca="false">IF(C108="","",C108)</f>
        <v>50.9513742071882</v>
      </c>
    </row>
    <row r="90" customFormat="false" ht="15" hidden="false" customHeight="false" outlineLevel="0" collapsed="false">
      <c r="A90" s="0" t="s">
        <v>775</v>
      </c>
      <c r="B90" s="23" t="n">
        <f aca="false">IF(COUNT(C90:D90)=0,"",AVERAGE(C90:D90))</f>
        <v>51.6850157728707</v>
      </c>
      <c r="C90" s="23" t="n">
        <f aca="false">IF(B109="","",B109)</f>
        <v>49.9</v>
      </c>
      <c r="D90" s="23" t="n">
        <f aca="false">IF(C109="","",C109)</f>
        <v>53.4700315457413</v>
      </c>
    </row>
    <row r="91" customFormat="false" ht="15" hidden="false" customHeight="false" outlineLevel="0" collapsed="false">
      <c r="A91" s="0" t="s">
        <v>776</v>
      </c>
      <c r="B91" s="23" t="n">
        <f aca="false">IF(COUNT(C91:D91)=0,"",AVERAGE(C91:D91))</f>
        <v>52.5307339449541</v>
      </c>
      <c r="C91" s="23" t="n">
        <f aca="false">IF(B110="","",B110)</f>
        <v>51.3</v>
      </c>
      <c r="D91" s="23" t="n">
        <f aca="false">IF(C110="","",C110)</f>
        <v>53.7614678899083</v>
      </c>
    </row>
    <row r="92" customFormat="false" ht="15" hidden="false" customHeight="false" outlineLevel="0" collapsed="false">
      <c r="A92" s="0" t="s">
        <v>777</v>
      </c>
      <c r="B92" s="23" t="n">
        <f aca="false">IF(COUNT(C92:D92)=0,"",AVERAGE(C92:D92))</f>
        <v>22.7745756590827</v>
      </c>
      <c r="C92" s="23" t="n">
        <f aca="false">IF(B111="","",B111)</f>
        <v>22.4</v>
      </c>
      <c r="D92" s="23" t="n">
        <f aca="false">IF(C111="","",C111)</f>
        <v>23.1491513181654</v>
      </c>
    </row>
    <row r="93" customFormat="false" ht="15" hidden="false" customHeight="false" outlineLevel="0" collapsed="false">
      <c r="A93" s="0" t="s">
        <v>778</v>
      </c>
      <c r="B93" s="23" t="n">
        <f aca="false">IF(COUNT(C93:D93)=0,"",AVERAGE(C93:D93))</f>
        <v>65.681474407945</v>
      </c>
      <c r="C93" s="23" t="n">
        <f aca="false">IF(B112="","",B112)</f>
        <v>64.9</v>
      </c>
      <c r="D93" s="23" t="n">
        <f aca="false">IF(C112="","",C112)</f>
        <v>66.46294881589</v>
      </c>
    </row>
    <row r="94" customFormat="false" ht="15" hidden="false" customHeight="false" outlineLevel="0" collapsed="false">
      <c r="A94" s="0" t="s">
        <v>779</v>
      </c>
      <c r="B94" s="23" t="n">
        <f aca="false">IF(COUNT(C94:D94)=0,"",AVERAGE(C94:D94))</f>
        <v>51.7577669902913</v>
      </c>
      <c r="C94" s="23" t="n">
        <f aca="false">IF(B113="","",B113)</f>
        <v>50.7</v>
      </c>
      <c r="D94" s="23" t="n">
        <f aca="false">IF(C113="","",C113)</f>
        <v>52.8155339805825</v>
      </c>
    </row>
    <row r="95" customFormat="false" ht="15" hidden="false" customHeight="false" outlineLevel="0" collapsed="false">
      <c r="A95" s="0" t="s">
        <v>780</v>
      </c>
      <c r="B95" s="23" t="n">
        <f aca="false">IF(COUNT(C95:D95)=0,"",AVERAGE(C95:D95))</f>
        <v>74.2210629221472</v>
      </c>
      <c r="C95" s="23" t="n">
        <f aca="false">IF(B114="","",B114)</f>
        <v>72.9</v>
      </c>
      <c r="D95" s="23" t="n">
        <f aca="false">IF(C114="","",C114)</f>
        <v>75.5421258442944</v>
      </c>
    </row>
    <row r="96" customFormat="false" ht="15" hidden="false" customHeight="false" outlineLevel="0" collapsed="false">
      <c r="A96" s="4" t="s">
        <v>781</v>
      </c>
      <c r="B96" s="0" t="n">
        <f aca="false">COUNT($B$86:$B$95)</f>
        <v>10</v>
      </c>
    </row>
    <row r="100" customFormat="false" ht="17.15" hidden="false" customHeight="false" outlineLevel="0" collapsed="false">
      <c r="A100" s="6" t="s">
        <v>782</v>
      </c>
    </row>
    <row r="101" customFormat="false" ht="17.15" hidden="false" customHeight="false" outlineLevel="0" collapsed="false">
      <c r="A101" s="4" t="s">
        <v>783</v>
      </c>
    </row>
    <row r="103" customFormat="false" ht="17.15" hidden="false" customHeight="false" outlineLevel="0" collapsed="false">
      <c r="A103" s="6" t="s">
        <v>784</v>
      </c>
    </row>
    <row r="104" customFormat="false" ht="17.15" hidden="false" customHeight="false" outlineLevel="0" collapsed="false">
      <c r="A104" s="5" t="s">
        <v>767</v>
      </c>
      <c r="B104" s="16" t="s">
        <v>785</v>
      </c>
      <c r="C104" s="5" t="s">
        <v>786</v>
      </c>
      <c r="D104" s="5" t="s">
        <v>787</v>
      </c>
    </row>
    <row r="105" customFormat="false" ht="17.15" hidden="false" customHeight="false" outlineLevel="0" collapsed="false">
      <c r="A105" s="0" t="s">
        <v>771</v>
      </c>
      <c r="B105" s="41" t="n">
        <v>16.9</v>
      </c>
      <c r="D105" s="8" t="s">
        <v>788</v>
      </c>
    </row>
    <row r="106" customFormat="false" ht="15" hidden="false" customHeight="false" outlineLevel="0" collapsed="false">
      <c r="A106" s="0" t="s">
        <v>772</v>
      </c>
      <c r="B106" s="41" t="n">
        <v>35.3</v>
      </c>
    </row>
    <row r="107" customFormat="false" ht="15" hidden="false" customHeight="false" outlineLevel="0" collapsed="false">
      <c r="A107" s="0" t="s">
        <v>773</v>
      </c>
      <c r="B107" s="41" t="n">
        <v>24.9</v>
      </c>
      <c r="C107" s="23" t="n">
        <f aca="false">206/7.37</f>
        <v>27.9511533242877</v>
      </c>
    </row>
    <row r="108" customFormat="false" ht="15" hidden="false" customHeight="false" outlineLevel="0" collapsed="false">
      <c r="A108" s="0" t="s">
        <v>774</v>
      </c>
      <c r="B108" s="41" t="n">
        <v>46.9</v>
      </c>
      <c r="C108" s="23" t="n">
        <f aca="false">241/4.73</f>
        <v>50.9513742071882</v>
      </c>
    </row>
    <row r="109" customFormat="false" ht="15" hidden="false" customHeight="false" outlineLevel="0" collapsed="false">
      <c r="A109" s="0" t="s">
        <v>775</v>
      </c>
      <c r="B109" s="41" t="n">
        <v>49.9</v>
      </c>
      <c r="C109" s="23" t="n">
        <f aca="false">339/6.34</f>
        <v>53.4700315457413</v>
      </c>
    </row>
    <row r="110" customFormat="false" ht="15" hidden="false" customHeight="false" outlineLevel="0" collapsed="false">
      <c r="A110" s="0" t="s">
        <v>776</v>
      </c>
      <c r="B110" s="41" t="n">
        <v>51.3</v>
      </c>
      <c r="C110" s="23" t="n">
        <f aca="false">586/10.9</f>
        <v>53.7614678899083</v>
      </c>
    </row>
    <row r="111" customFormat="false" ht="15" hidden="false" customHeight="false" outlineLevel="0" collapsed="false">
      <c r="A111" s="0" t="s">
        <v>777</v>
      </c>
      <c r="B111" s="41" t="n">
        <v>22.4</v>
      </c>
      <c r="C111" s="23" t="n">
        <f aca="false">641/27.69</f>
        <v>23.1491513181654</v>
      </c>
    </row>
    <row r="112" customFormat="false" ht="15" hidden="false" customHeight="false" outlineLevel="0" collapsed="false">
      <c r="A112" s="0" t="s">
        <v>778</v>
      </c>
      <c r="B112" s="41" t="n">
        <v>64.9</v>
      </c>
      <c r="C112" s="23" t="n">
        <f aca="false">1740/26.18</f>
        <v>66.46294881589</v>
      </c>
    </row>
    <row r="113" customFormat="false" ht="15" hidden="false" customHeight="false" outlineLevel="0" collapsed="false">
      <c r="A113" s="0" t="s">
        <v>779</v>
      </c>
      <c r="B113" s="41" t="n">
        <v>50.7</v>
      </c>
      <c r="C113" s="23" t="n">
        <f aca="false">1360/25.75</f>
        <v>52.8155339805825</v>
      </c>
    </row>
    <row r="114" customFormat="false" ht="15" hidden="false" customHeight="false" outlineLevel="0" collapsed="false">
      <c r="A114" s="0" t="s">
        <v>780</v>
      </c>
      <c r="B114" s="41" t="n">
        <v>72.9</v>
      </c>
      <c r="C114" s="23" t="n">
        <f aca="false">2125/28.13</f>
        <v>75.5421258442944</v>
      </c>
    </row>
    <row r="115" customFormat="false" ht="17.15" hidden="false" customHeight="false" outlineLevel="0" collapsed="false">
      <c r="A115" s="0" t="s">
        <v>789</v>
      </c>
      <c r="B115" s="23" t="n">
        <f aca="false">PERCENTILE(B105:B114,0.25)</f>
        <v>27.5</v>
      </c>
      <c r="C115" s="23" t="n">
        <f aca="false">PERCENTILE(C105:C114,0.25)</f>
        <v>45.201318986463</v>
      </c>
    </row>
    <row r="116" customFormat="false" ht="15" hidden="false" customHeight="false" outlineLevel="0" collapsed="false">
      <c r="A116" s="4" t="s">
        <v>790</v>
      </c>
      <c r="B116" s="23" t="n">
        <f aca="false">MEDIAN(B105:B114)</f>
        <v>48.4</v>
      </c>
      <c r="C116" s="23" t="n">
        <f aca="false">MEDIAN(C105:C114)</f>
        <v>53.1427827631619</v>
      </c>
    </row>
    <row r="117" customFormat="false" ht="17.15" hidden="false" customHeight="false" outlineLevel="0" collapsed="false">
      <c r="A117" s="0" t="s">
        <v>791</v>
      </c>
      <c r="B117" s="23" t="n">
        <f aca="false">PERCENTILE(B105:B114,0.75)</f>
        <v>51.15</v>
      </c>
      <c r="C117" s="23" t="n">
        <f aca="false">PERCENTILE(C105:C114,0.75)</f>
        <v>56.9368381214037</v>
      </c>
    </row>
    <row r="118" customFormat="false" ht="15" hidden="false" customHeight="false" outlineLevel="0" collapsed="false">
      <c r="A118" s="4" t="s">
        <v>792</v>
      </c>
      <c r="B118" s="23" t="n">
        <f aca="false">MIN(B105:B114)</f>
        <v>16.9</v>
      </c>
      <c r="C118" s="23" t="n">
        <f aca="false">MIN(C105:C114)</f>
        <v>23.1491513181654</v>
      </c>
    </row>
    <row r="119" customFormat="false" ht="15" hidden="false" customHeight="false" outlineLevel="0" collapsed="false">
      <c r="A119" s="4" t="s">
        <v>793</v>
      </c>
      <c r="B119" s="23" t="n">
        <f aca="false">MAX(B105:B114)</f>
        <v>72.9</v>
      </c>
      <c r="C119" s="23" t="n">
        <f aca="false">MAX(C105:C114)</f>
        <v>75.5421258442944</v>
      </c>
    </row>
    <row r="120" customFormat="false" ht="17.15" hidden="false" customHeight="false" outlineLevel="0" collapsed="false">
      <c r="A120" s="1" t="s">
        <v>794</v>
      </c>
      <c r="B120" s="23" t="n">
        <f aca="false">ROUND(AVERAGE(B115,C115),2)</f>
        <v>36.35</v>
      </c>
    </row>
    <row r="121" customFormat="false" ht="17.15" hidden="false" customHeight="false" outlineLevel="0" collapsed="false">
      <c r="A121" s="1" t="s">
        <v>795</v>
      </c>
      <c r="B121" s="23" t="n">
        <f aca="false">ROUND(AVERAGE(B116,C116),2)</f>
        <v>50.77</v>
      </c>
    </row>
    <row r="122" customFormat="false" ht="17.15" hidden="false" customHeight="false" outlineLevel="0" collapsed="false">
      <c r="A122" s="1" t="s">
        <v>796</v>
      </c>
      <c r="B122" s="23" t="n">
        <f aca="false">ROUND(AVERAGE(B117,C117),2)</f>
        <v>54.04</v>
      </c>
    </row>
    <row r="123" customFormat="false" ht="17.15" hidden="false" customHeight="false" outlineLevel="0" collapsed="false">
      <c r="A123" s="1" t="s">
        <v>797</v>
      </c>
      <c r="B123" s="23" t="n">
        <f aca="false">ROUND(MIN(B118,C118),2)</f>
        <v>16.9</v>
      </c>
    </row>
    <row r="124" customFormat="false" ht="17.15" hidden="false" customHeight="false" outlineLevel="0" collapsed="false">
      <c r="A124" s="1" t="s">
        <v>798</v>
      </c>
      <c r="B124" s="23" t="n">
        <f aca="false">ROUND(MAX(B119,C119),2)</f>
        <v>75.54</v>
      </c>
    </row>
    <row r="126" customFormat="false" ht="17.15" hidden="false" customHeight="false" outlineLevel="0" collapsed="false">
      <c r="A126" s="6" t="s">
        <v>799</v>
      </c>
    </row>
    <row r="127" customFormat="false" ht="17.15" hidden="false" customHeight="false" outlineLevel="0" collapsed="false">
      <c r="A127" s="5" t="s">
        <v>800</v>
      </c>
      <c r="B127" s="5" t="s">
        <v>801</v>
      </c>
      <c r="C127" s="5" t="s">
        <v>802</v>
      </c>
      <c r="D127" s="5" t="s">
        <v>30</v>
      </c>
      <c r="E127" s="5" t="s">
        <v>803</v>
      </c>
      <c r="F127" s="5" t="s">
        <v>756</v>
      </c>
      <c r="G127" s="5" t="s">
        <v>804</v>
      </c>
      <c r="H127" s="5" t="s">
        <v>805</v>
      </c>
    </row>
    <row r="128" customFormat="false" ht="17.15" hidden="false" customHeight="false" outlineLevel="0" collapsed="false">
      <c r="A128" s="4" t="s">
        <v>806</v>
      </c>
      <c r="B128" s="0" t="s">
        <v>807</v>
      </c>
      <c r="C128" s="23" t="n">
        <f aca="false">B120</f>
        <v>36.35</v>
      </c>
      <c r="D128" s="8" t="s">
        <v>808</v>
      </c>
      <c r="E128" s="23" t="n">
        <f aca="false">C72</f>
        <v>107.37723648486</v>
      </c>
      <c r="F128" s="24" t="n">
        <f aca="false">C128*E128</f>
        <v>3903.16254622466</v>
      </c>
      <c r="G128" s="18" t="n">
        <f aca="false">F128/px-1</f>
        <v>-0.485410343279544</v>
      </c>
      <c r="H128" s="23" t="n">
        <f aca="false">px/E128</f>
        <v>70.6388080779997</v>
      </c>
    </row>
    <row r="129" customFormat="false" ht="17.15" hidden="false" customHeight="false" outlineLevel="0" collapsed="false">
      <c r="A129" s="4" t="s">
        <v>809</v>
      </c>
      <c r="B129" s="4" t="s">
        <v>810</v>
      </c>
      <c r="C129" s="23" t="n">
        <f aca="false">B121</f>
        <v>50.77</v>
      </c>
      <c r="D129" s="8" t="s">
        <v>808</v>
      </c>
      <c r="E129" s="23" t="n">
        <f aca="false">C72</f>
        <v>107.37723648486</v>
      </c>
      <c r="F129" s="24" t="n">
        <f aca="false">C129*E129</f>
        <v>5451.54229633634</v>
      </c>
      <c r="G129" s="18" t="n">
        <f aca="false">F129/px-1</f>
        <v>-0.281273263502131</v>
      </c>
      <c r="H129" s="23" t="n">
        <f aca="false">px/E129</f>
        <v>70.6388080779997</v>
      </c>
    </row>
    <row r="130" customFormat="false" ht="17.15" hidden="false" customHeight="false" outlineLevel="0" collapsed="false">
      <c r="A130" s="4" t="s">
        <v>811</v>
      </c>
      <c r="B130" s="0" t="s">
        <v>812</v>
      </c>
      <c r="C130" s="23" t="n">
        <f aca="false">B122</f>
        <v>54.04</v>
      </c>
      <c r="D130" s="8" t="s">
        <v>808</v>
      </c>
      <c r="E130" s="23" t="n">
        <f aca="false">C72</f>
        <v>107.37723648486</v>
      </c>
      <c r="F130" s="24" t="n">
        <f aca="false">C130*E130</f>
        <v>5802.66585964183</v>
      </c>
      <c r="G130" s="18" t="n">
        <f aca="false">F130/px-1</f>
        <v>-0.234981429183675</v>
      </c>
      <c r="H130" s="23" t="n">
        <f aca="false">px/E130</f>
        <v>70.6388080779997</v>
      </c>
    </row>
    <row r="134" customFormat="false" ht="17.15" hidden="false" customHeight="false" outlineLevel="0" collapsed="false">
      <c r="A134" s="4" t="s">
        <v>813</v>
      </c>
      <c r="B134" s="0" t="str">
        <f aca="false">IF(B42&gt;0.5,"大於 50%",IF(B42&gt;0.25,"25%–50%",IF(B42&gt;=0,"0%–25%",IF(B42&gt;=-0.25,"0%～−25%",IF(B42&gt;=-0.5,"−25%～−50%","小於 −50%")))))</f>
        <v>−25%～−50%</v>
      </c>
      <c r="E134" s="4" t="s">
        <v>814</v>
      </c>
    </row>
    <row r="135" customFormat="false" ht="17.15" hidden="false" customHeight="false" outlineLevel="0" collapsed="false">
      <c r="A135" s="4" t="s">
        <v>815</v>
      </c>
      <c r="B135" s="0" t="str">
        <f aca="false">IF(B42&gt;0.5,"強力買進",IF(B42&gt;0.25,"買進",IF(B42&gt;=-0.25,"中立",IF(B42&gt;=-0.5,"放空","強力放空"))))</f>
        <v>放空</v>
      </c>
      <c r="E135" s="4" t="s">
        <v>816</v>
      </c>
    </row>
    <row r="138" customFormat="false" ht="17.15" hidden="false" customHeight="false" outlineLevel="0" collapsed="false">
      <c r="A138" s="6" t="s">
        <v>817</v>
      </c>
    </row>
    <row r="139" customFormat="false" ht="17.15" hidden="false" customHeight="false" outlineLevel="0" collapsed="false">
      <c r="A139" s="4" t="s">
        <v>818</v>
      </c>
    </row>
    <row r="140" customFormat="false" ht="17.15" hidden="false" customHeight="false" outlineLevel="0" collapsed="false">
      <c r="A140" s="5" t="s">
        <v>819</v>
      </c>
      <c r="B140" s="5" t="s">
        <v>690</v>
      </c>
      <c r="C140" s="5" t="s">
        <v>820</v>
      </c>
      <c r="D140" s="16" t="s">
        <v>821</v>
      </c>
      <c r="E140" s="16" t="s">
        <v>822</v>
      </c>
      <c r="F140" s="16" t="s">
        <v>823</v>
      </c>
      <c r="G140" s="16" t="s">
        <v>824</v>
      </c>
      <c r="H140" s="16" t="s">
        <v>825</v>
      </c>
      <c r="I140" s="16" t="s">
        <v>826</v>
      </c>
      <c r="J140" s="16" t="s">
        <v>827</v>
      </c>
      <c r="K140" s="16" t="s">
        <v>828</v>
      </c>
      <c r="L140" s="16" t="s">
        <v>829</v>
      </c>
      <c r="M140" s="16" t="s">
        <v>830</v>
      </c>
      <c r="N140" s="5" t="s">
        <v>831</v>
      </c>
      <c r="O140" s="16" t="s">
        <v>832</v>
      </c>
      <c r="P140" s="5" t="s">
        <v>833</v>
      </c>
      <c r="Q140" s="5" t="s">
        <v>693</v>
      </c>
    </row>
    <row r="141" customFormat="false" ht="17.15" hidden="false" customHeight="false" outlineLevel="0" collapsed="false">
      <c r="A141" s="4" t="s">
        <v>834</v>
      </c>
      <c r="B141" s="0" t="s">
        <v>835</v>
      </c>
      <c r="C141" s="4" t="s">
        <v>836</v>
      </c>
      <c r="D141" s="41" t="n">
        <v>20.7785</v>
      </c>
      <c r="E141" s="41" t="n">
        <v>30.7305</v>
      </c>
      <c r="F141" s="41" t="n">
        <v>29.6885</v>
      </c>
      <c r="G141" s="41" t="n">
        <v>30.925</v>
      </c>
      <c r="H141" s="41" t="n">
        <v>37.286</v>
      </c>
      <c r="I141" s="41" t="n">
        <v>30.0345</v>
      </c>
      <c r="J141" s="41" t="n">
        <v>38.854</v>
      </c>
      <c r="K141" s="41" t="n">
        <v>44.667</v>
      </c>
      <c r="L141" s="41" t="n">
        <v>38.2385</v>
      </c>
      <c r="M141" s="41" t="n">
        <v>61.091</v>
      </c>
      <c r="N141" s="8" t="n">
        <f aca="false">COUNT(D141:M141)</f>
        <v>10</v>
      </c>
      <c r="O141" s="23" t="n">
        <f aca="false">IF(N141&gt;0,MEDIAN(D141:M141),"")</f>
        <v>34.1055</v>
      </c>
      <c r="P141" s="23" t="n">
        <f aca="false">IF(N141&gt;=7,O141,"")</f>
        <v>34.1055</v>
      </c>
      <c r="Q141" s="8" t="s">
        <v>837</v>
      </c>
    </row>
    <row r="142" customFormat="false" ht="17.15" hidden="false" customHeight="false" outlineLevel="0" collapsed="false">
      <c r="A142" s="4" t="s">
        <v>694</v>
      </c>
      <c r="B142" s="0" t="s">
        <v>695</v>
      </c>
      <c r="C142" s="4" t="s">
        <v>838</v>
      </c>
      <c r="D142" s="41" t="n">
        <v>12.347</v>
      </c>
      <c r="E142" s="41" t="n">
        <v>16.19</v>
      </c>
      <c r="F142" s="41" t="n">
        <v>12.44</v>
      </c>
      <c r="G142" s="41" t="n">
        <v>24.9395</v>
      </c>
      <c r="H142" s="41" t="n">
        <v>31.9255</v>
      </c>
      <c r="I142" s="41" t="n">
        <v>24.8065</v>
      </c>
      <c r="J142" s="41" t="n">
        <v>30.9035</v>
      </c>
      <c r="K142" s="41" t="n">
        <v>34.0265</v>
      </c>
      <c r="L142" s="41" t="n">
        <v>30.0065</v>
      </c>
      <c r="M142" s="41" t="n">
        <v>24.48</v>
      </c>
      <c r="N142" s="8" t="n">
        <f aca="false">COUNT(D142:M142)</f>
        <v>10</v>
      </c>
      <c r="O142" s="23" t="n">
        <f aca="false">IF(N142&gt;0,MEDIAN(D142:M142),"")</f>
        <v>24.873</v>
      </c>
      <c r="P142" s="23" t="n">
        <f aca="false">IF(N142&gt;=7,O142,"")</f>
        <v>24.873</v>
      </c>
      <c r="Q142" s="8" t="s">
        <v>839</v>
      </c>
    </row>
    <row r="143" customFormat="false" ht="17.15" hidden="false" customHeight="false" outlineLevel="0" collapsed="false">
      <c r="A143" s="4" t="s">
        <v>698</v>
      </c>
      <c r="B143" s="0" t="s">
        <v>699</v>
      </c>
      <c r="C143" s="4" t="s">
        <v>838</v>
      </c>
      <c r="D143" s="41" t="n">
        <v>15.594</v>
      </c>
      <c r="E143" s="41" t="n">
        <v>17.036</v>
      </c>
      <c r="F143" s="41" t="n">
        <v>19.596</v>
      </c>
      <c r="G143" s="41" t="n">
        <v>21.0245</v>
      </c>
      <c r="H143" s="41" t="n">
        <v>18.465</v>
      </c>
      <c r="I143" s="41" t="n">
        <v>10.4925</v>
      </c>
      <c r="J143" s="41" t="n">
        <v>13.885</v>
      </c>
      <c r="K143" s="41" t="n">
        <v>18.235</v>
      </c>
      <c r="L143" s="41" t="n">
        <v>18.019</v>
      </c>
      <c r="M143" s="41" t="n">
        <v>32.7315</v>
      </c>
      <c r="N143" s="8" t="n">
        <f aca="false">COUNT(D143:M143)</f>
        <v>10</v>
      </c>
      <c r="O143" s="23" t="n">
        <f aca="false">IF(N143&gt;0,MEDIAN(D143:M143),"")</f>
        <v>18.127</v>
      </c>
      <c r="P143" s="23" t="n">
        <f aca="false">IF(N143&gt;=7,O143,"")</f>
        <v>18.127</v>
      </c>
      <c r="Q143" s="8" t="s">
        <v>840</v>
      </c>
    </row>
    <row r="144" customFormat="false" ht="17.15" hidden="false" customHeight="false" outlineLevel="0" collapsed="false">
      <c r="A144" s="4" t="s">
        <v>700</v>
      </c>
      <c r="B144" s="0" t="s">
        <v>701</v>
      </c>
      <c r="C144" s="4" t="s">
        <v>838</v>
      </c>
      <c r="D144" s="41" t="n">
        <v>14.324</v>
      </c>
      <c r="E144" s="41" t="n">
        <v>11.8025</v>
      </c>
      <c r="F144" s="41" t="n">
        <v>12.0165</v>
      </c>
      <c r="G144" s="41" t="n">
        <v>13.4005</v>
      </c>
      <c r="H144" s="41" t="n">
        <v>16.6275</v>
      </c>
      <c r="I144" s="41" t="n">
        <v>14.926</v>
      </c>
      <c r="J144" s="41" t="n">
        <v>16.6365</v>
      </c>
      <c r="K144" s="41" t="n">
        <v>26.099</v>
      </c>
      <c r="L144" s="41" t="n">
        <v>34.256</v>
      </c>
      <c r="M144" s="41" t="n">
        <v>25.1125</v>
      </c>
      <c r="N144" s="8" t="n">
        <f aca="false">COUNT(D144:M144)</f>
        <v>10</v>
      </c>
      <c r="O144" s="23" t="n">
        <f aca="false">IF(N144&gt;0,MEDIAN(D144:M144),"")</f>
        <v>15.77675</v>
      </c>
      <c r="P144" s="23" t="n">
        <f aca="false">IF(N144&gt;=7,O144,"")</f>
        <v>15.77675</v>
      </c>
      <c r="Q144" s="8" t="s">
        <v>841</v>
      </c>
    </row>
    <row r="145" customFormat="false" ht="17.15" hidden="false" customHeight="false" outlineLevel="0" collapsed="false">
      <c r="A145" s="4" t="s">
        <v>703</v>
      </c>
      <c r="B145" s="0" t="s">
        <v>704</v>
      </c>
      <c r="C145" s="4" t="s">
        <v>838</v>
      </c>
      <c r="D145" s="41" t="n">
        <v>15.149</v>
      </c>
      <c r="E145" s="41" t="n">
        <v>15.2585</v>
      </c>
      <c r="F145" s="41" t="n">
        <v>23.416</v>
      </c>
      <c r="G145" s="41" t="n">
        <v>29.4115</v>
      </c>
      <c r="H145" s="41" t="n">
        <v>35.586</v>
      </c>
      <c r="I145" s="41" t="n">
        <v>23.5535</v>
      </c>
      <c r="J145" s="41" t="n">
        <v>24.969</v>
      </c>
      <c r="K145" s="41" t="n">
        <v>35.5045</v>
      </c>
      <c r="L145" s="41" t="n">
        <v>25.813</v>
      </c>
      <c r="M145" s="41" t="n">
        <v>36.897</v>
      </c>
      <c r="N145" s="8" t="n">
        <f aca="false">COUNT(D145:M145)</f>
        <v>10</v>
      </c>
      <c r="O145" s="23" t="n">
        <f aca="false">IF(N145&gt;0,MEDIAN(D145:M145),"")</f>
        <v>25.391</v>
      </c>
      <c r="P145" s="23" t="n">
        <f aca="false">IF(N145&gt;=7,O145,"")</f>
        <v>25.391</v>
      </c>
      <c r="Q145" s="8" t="s">
        <v>842</v>
      </c>
    </row>
    <row r="147" customFormat="false" ht="17.15" hidden="false" customHeight="false" outlineLevel="0" collapsed="false">
      <c r="A147" s="4" t="s">
        <v>843</v>
      </c>
      <c r="B147" s="23" t="n">
        <f aca="false">P141</f>
        <v>34.1055</v>
      </c>
      <c r="E147" s="4" t="s">
        <v>844</v>
      </c>
    </row>
    <row r="148" customFormat="false" ht="15" hidden="false" customHeight="false" outlineLevel="0" collapsed="false">
      <c r="A148" s="4" t="s">
        <v>845</v>
      </c>
      <c r="B148" s="42" t="n">
        <f aca="false">COUNT(P142:P145)</f>
        <v>4</v>
      </c>
    </row>
    <row r="149" customFormat="false" ht="17.15" hidden="false" customHeight="false" outlineLevel="0" collapsed="false">
      <c r="A149" s="4" t="s">
        <v>846</v>
      </c>
      <c r="B149" s="23" t="n">
        <f aca="false">IF(B148&gt;0,MEDIAN(P142:P145),"")</f>
        <v>21.5</v>
      </c>
    </row>
    <row r="150" customFormat="false" ht="17.15" hidden="false" customHeight="false" outlineLevel="0" collapsed="false">
      <c r="A150" s="4" t="s">
        <v>847</v>
      </c>
      <c r="B150" s="23" t="n">
        <f aca="false">IF(AND(ISNUMBER(B147),B148&gt;=2),B147/B149,"")</f>
        <v>1.5863023255814</v>
      </c>
      <c r="E150" s="4" t="s">
        <v>848</v>
      </c>
    </row>
    <row r="151" customFormat="false" ht="17.15" hidden="false" customHeight="false" outlineLevel="0" collapsed="false">
      <c r="A151" s="4" t="s">
        <v>849</v>
      </c>
      <c r="B151" s="41" t="n">
        <v>0.5</v>
      </c>
      <c r="E151" s="8" t="s">
        <v>850</v>
      </c>
    </row>
    <row r="152" customFormat="false" ht="17.15" hidden="false" customHeight="false" outlineLevel="0" collapsed="false">
      <c r="A152" s="4" t="s">
        <v>851</v>
      </c>
      <c r="B152" s="41" t="n">
        <v>2</v>
      </c>
      <c r="E152" s="8" t="s">
        <v>852</v>
      </c>
    </row>
    <row r="153" customFormat="false" ht="17.15" hidden="false" customHeight="false" outlineLevel="0" collapsed="false">
      <c r="A153" s="1" t="s">
        <v>853</v>
      </c>
      <c r="B153" s="37" t="n">
        <f aca="false">IF(ISNUMBER(B150),MIN(MAX(B150,B151),B152),1)</f>
        <v>1.5863023255814</v>
      </c>
      <c r="E153" s="4" t="s">
        <v>854</v>
      </c>
    </row>
    <row r="154" customFormat="false" ht="17.15" hidden="false" customHeight="false" outlineLevel="0" collapsed="false">
      <c r="A154" s="6" t="s">
        <v>855</v>
      </c>
      <c r="B154" s="31" t="n">
        <f aca="false">Val!$B$35*B153</f>
        <v>5668.29372643161</v>
      </c>
      <c r="E154" s="4" t="s">
        <v>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857</v>
      </c>
    </row>
    <row r="3" customFormat="false" ht="17.15" hidden="false" customHeight="false" outlineLevel="0" collapsed="false">
      <c r="A3" s="5" t="s">
        <v>27</v>
      </c>
      <c r="B3" s="5" t="s">
        <v>858</v>
      </c>
      <c r="C3" s="5" t="s">
        <v>859</v>
      </c>
      <c r="D3" s="5" t="s">
        <v>860</v>
      </c>
      <c r="E3" s="5" t="s">
        <v>861</v>
      </c>
      <c r="F3" s="5" t="s">
        <v>862</v>
      </c>
      <c r="G3" s="5" t="s">
        <v>863</v>
      </c>
      <c r="H3" s="5" t="s">
        <v>864</v>
      </c>
      <c r="I3" s="5" t="s">
        <v>865</v>
      </c>
      <c r="J3" s="5" t="s">
        <v>450</v>
      </c>
    </row>
    <row r="4" customFormat="false" ht="17.15" hidden="false" customHeight="false" outlineLevel="0" collapsed="false">
      <c r="A4" s="6" t="s">
        <v>866</v>
      </c>
    </row>
    <row r="5" customFormat="false" ht="17.15" hidden="false" customHeight="false" outlineLevel="0" collapsed="false">
      <c r="A5" s="0" t="s">
        <v>867</v>
      </c>
      <c r="B5" s="24" t="n">
        <f aca="false">cons_rev26</f>
        <v>59.5</v>
      </c>
      <c r="C5" s="24" t="n">
        <f aca="false">PL!D85</f>
        <v>69.4169</v>
      </c>
      <c r="D5" s="18" t="n">
        <f aca="false">C5/B5-1</f>
        <v>0.166670588235294</v>
      </c>
      <c r="E5" s="24" t="n">
        <f aca="false">PL!D133</f>
        <v>69.4169</v>
      </c>
      <c r="F5" s="18" t="n">
        <f aca="false">E5/B5-1</f>
        <v>0.166670588235294</v>
      </c>
      <c r="G5" s="24" t="n">
        <f aca="false">PL!D181</f>
        <v>69.4169</v>
      </c>
      <c r="H5" s="18" t="n">
        <f aca="false">G5/B5-1</f>
        <v>0.166670588235294</v>
      </c>
      <c r="I5" s="8" t="s">
        <v>868</v>
      </c>
      <c r="J5" s="4" t="s">
        <v>869</v>
      </c>
    </row>
    <row r="6" customFormat="false" ht="17.15" hidden="false" customHeight="false" outlineLevel="0" collapsed="false">
      <c r="A6" s="0" t="s">
        <v>870</v>
      </c>
      <c r="B6" s="20" t="n">
        <f aca="false">cons_eps26</f>
        <v>51.74</v>
      </c>
      <c r="C6" s="20" t="n">
        <f aca="false">PL!D103</f>
        <v>62.1847542389856</v>
      </c>
      <c r="D6" s="18" t="n">
        <f aca="false">C6/B6-1</f>
        <v>0.201870008484453</v>
      </c>
      <c r="E6" s="20" t="n">
        <f aca="false">PL!D151</f>
        <v>62.1847542389856</v>
      </c>
      <c r="F6" s="18" t="n">
        <f aca="false">E6/B6-1</f>
        <v>0.201870008484453</v>
      </c>
      <c r="G6" s="20" t="n">
        <f aca="false">PL!D199</f>
        <v>62.1847542389856</v>
      </c>
      <c r="H6" s="18" t="n">
        <f aca="false">G6/B6-1</f>
        <v>0.201870008484453</v>
      </c>
      <c r="I6" s="8" t="s">
        <v>871</v>
      </c>
      <c r="J6" s="4" t="s">
        <v>872</v>
      </c>
    </row>
    <row r="7" customFormat="false" ht="17.15" hidden="false" customHeight="false" outlineLevel="0" collapsed="false">
      <c r="A7" s="0" t="s">
        <v>873</v>
      </c>
      <c r="B7" s="18" t="n">
        <f aca="false">co_gm26</f>
        <v>0.2</v>
      </c>
      <c r="C7" s="18" t="n">
        <f aca="false">PL!D94</f>
        <v>0.211064891978754</v>
      </c>
      <c r="D7" s="18" t="n">
        <f aca="false">C7-B7</f>
        <v>0.0110648919787544</v>
      </c>
      <c r="E7" s="18" t="n">
        <f aca="false">PL!D142</f>
        <v>0.211064891978754</v>
      </c>
      <c r="F7" s="18" t="n">
        <f aca="false">E7-B7</f>
        <v>0.0110648919787544</v>
      </c>
      <c r="G7" s="18" t="n">
        <f aca="false">PL!D190</f>
        <v>0.211064891978754</v>
      </c>
      <c r="H7" s="18" t="n">
        <f aca="false">G7-B7</f>
        <v>0.0110648919787544</v>
      </c>
      <c r="I7" s="4" t="s">
        <v>874</v>
      </c>
    </row>
    <row r="8" customFormat="false" ht="17.15" hidden="false" customHeight="false" outlineLevel="0" collapsed="false">
      <c r="A8" s="0" t="s">
        <v>875</v>
      </c>
      <c r="B8" s="18" t="n">
        <f aca="false">co_opm26</f>
        <v>0.1</v>
      </c>
      <c r="C8" s="18" t="n">
        <f aca="false">PL!D97</f>
        <v>0.13376423464603</v>
      </c>
      <c r="D8" s="18" t="n">
        <f aca="false">C8-B8</f>
        <v>0.03376423464603</v>
      </c>
      <c r="E8" s="18" t="n">
        <f aca="false">PL!D145</f>
        <v>0.13376423464603</v>
      </c>
      <c r="F8" s="18" t="n">
        <f aca="false">E8-B8</f>
        <v>0.03376423464603</v>
      </c>
      <c r="G8" s="18" t="n">
        <f aca="false">PL!D193</f>
        <v>0.13376423464603</v>
      </c>
      <c r="H8" s="18" t="n">
        <f aca="false">G8-B8</f>
        <v>0.03376423464603</v>
      </c>
      <c r="I8" s="4" t="s">
        <v>874</v>
      </c>
    </row>
    <row r="9" customFormat="false" ht="17.15" hidden="false" customHeight="false" outlineLevel="0" collapsed="false">
      <c r="A9" s="6" t="s">
        <v>876</v>
      </c>
    </row>
    <row r="10" customFormat="false" ht="17.15" hidden="false" customHeight="false" outlineLevel="0" collapsed="false">
      <c r="A10" s="0" t="s">
        <v>877</v>
      </c>
      <c r="B10" s="23" t="n">
        <f aca="false">cpu_u27</f>
        <v>4</v>
      </c>
      <c r="C10" s="23" t="n">
        <f aca="false">PL!E66</f>
        <v>3.3</v>
      </c>
      <c r="D10" s="18" t="n">
        <f aca="false">C10/B10-1</f>
        <v>-0.175</v>
      </c>
      <c r="E10" s="23" t="n">
        <f aca="false">PL!E114</f>
        <v>2.75</v>
      </c>
      <c r="F10" s="18" t="n">
        <f aca="false">E10/B10-1</f>
        <v>-0.3125</v>
      </c>
      <c r="G10" s="23" t="n">
        <f aca="false">PL!E162</f>
        <v>2.2</v>
      </c>
      <c r="H10" s="18" t="n">
        <f aca="false">G10/B10-1</f>
        <v>-0.45</v>
      </c>
      <c r="I10" s="4" t="s">
        <v>878</v>
      </c>
      <c r="J10" s="4" t="s">
        <v>879</v>
      </c>
    </row>
    <row r="11" customFormat="false" ht="17.15" hidden="false" customHeight="false" outlineLevel="0" collapsed="false">
      <c r="A11" s="0" t="s">
        <v>880</v>
      </c>
      <c r="C11" s="23" t="n">
        <f aca="false">cpu_u27/PL!E63</f>
        <v>0.727272727272727</v>
      </c>
      <c r="E11" s="23" t="n">
        <f aca="false">cpu_u27/PL!E111</f>
        <v>0.727272727272727</v>
      </c>
      <c r="G11" s="23" t="n">
        <f aca="false">cpu_u27/PL!E159</f>
        <v>0.727272727272727</v>
      </c>
      <c r="I11" s="4" t="s">
        <v>881</v>
      </c>
      <c r="J11" s="4" t="s">
        <v>882</v>
      </c>
    </row>
    <row r="12" customFormat="false" ht="17.15" hidden="false" customHeight="false" outlineLevel="0" collapsed="false">
      <c r="A12" s="0" t="s">
        <v>883</v>
      </c>
      <c r="B12" s="18" t="n">
        <f aca="false">dom_cpu27</f>
        <v>0.503</v>
      </c>
      <c r="C12" s="18" t="n">
        <f aca="false">PL!E87</f>
        <v>0.566893075329731</v>
      </c>
      <c r="D12" s="18" t="n">
        <f aca="false">C12-B12</f>
        <v>0.0638930753297311</v>
      </c>
      <c r="E12" s="18" t="n">
        <f aca="false">PL!E135</f>
        <v>0.569523261866173</v>
      </c>
      <c r="F12" s="18" t="n">
        <f aca="false">E12-B12</f>
        <v>0.0665232618661727</v>
      </c>
      <c r="G12" s="18" t="n">
        <f aca="false">PL!E183</f>
        <v>0.583858257764678</v>
      </c>
      <c r="H12" s="18" t="n">
        <f aca="false">G12-B12</f>
        <v>0.0808582577646781</v>
      </c>
      <c r="I12" s="4" t="s">
        <v>884</v>
      </c>
    </row>
    <row r="13" customFormat="false" ht="17.15" hidden="false" customHeight="false" outlineLevel="0" collapsed="false">
      <c r="A13" s="0" t="s">
        <v>885</v>
      </c>
      <c r="B13" s="18" t="n">
        <f aca="false">co_auto27</f>
        <v>0.1</v>
      </c>
      <c r="C13" s="18" t="n">
        <f aca="false">PL!E88</f>
        <v>0.0884417169823229</v>
      </c>
      <c r="D13" s="18" t="n">
        <f aca="false">C13-B13</f>
        <v>-0.0115582830176771</v>
      </c>
      <c r="E13" s="18" t="n">
        <f aca="false">PL!E136</f>
        <v>0.079966850186639</v>
      </c>
      <c r="F13" s="18" t="n">
        <f aca="false">E13-B13</f>
        <v>-0.020033149813361</v>
      </c>
      <c r="G13" s="18" t="n">
        <f aca="false">PL!E184</f>
        <v>0.0683163576671594</v>
      </c>
      <c r="H13" s="18" t="n">
        <f aca="false">G13-B13</f>
        <v>-0.0316836423328406</v>
      </c>
      <c r="I13" s="4" t="s">
        <v>874</v>
      </c>
    </row>
    <row r="14" customFormat="false" ht="17.15" hidden="false" customHeight="false" outlineLevel="0" collapsed="false">
      <c r="A14" s="0" t="s">
        <v>886</v>
      </c>
      <c r="B14" s="18" t="n">
        <f aca="false">dom_ts27</f>
        <v>0.349</v>
      </c>
      <c r="C14" s="18" t="n">
        <f aca="false">PL!E88</f>
        <v>0.0884417169823229</v>
      </c>
      <c r="D14" s="18" t="n">
        <f aca="false">C14-B14</f>
        <v>-0.260558283017677</v>
      </c>
      <c r="E14" s="18" t="n">
        <f aca="false">PL!E136</f>
        <v>0.079966850186639</v>
      </c>
      <c r="F14" s="18" t="n">
        <f aca="false">E14-B14</f>
        <v>-0.269033149813361</v>
      </c>
      <c r="G14" s="18" t="n">
        <f aca="false">PL!E184</f>
        <v>0.0683163576671594</v>
      </c>
      <c r="H14" s="18" t="n">
        <f aca="false">G14-B14</f>
        <v>-0.280683642332841</v>
      </c>
      <c r="I14" s="4" t="s">
        <v>884</v>
      </c>
      <c r="J14" s="4" t="s">
        <v>887</v>
      </c>
    </row>
    <row r="15" customFormat="false" ht="17.15" hidden="false" customHeight="false" outlineLevel="0" collapsed="false">
      <c r="A15" s="0" t="s">
        <v>888</v>
      </c>
      <c r="C15" s="23" t="n">
        <f aca="false">PL!E73</f>
        <v>0.842704434805701</v>
      </c>
      <c r="E15" s="23" t="n">
        <f aca="false">PL!E121</f>
        <v>0.8427044348057</v>
      </c>
      <c r="G15" s="23" t="n">
        <f aca="false">PL!E169</f>
        <v>0.842704434805701</v>
      </c>
      <c r="I15" s="4" t="s">
        <v>881</v>
      </c>
      <c r="J15" s="8" t="s">
        <v>889</v>
      </c>
    </row>
    <row r="16" customFormat="false" ht="17.15" hidden="false" customHeight="false" outlineLevel="0" collapsed="false">
      <c r="A16" s="6" t="s">
        <v>890</v>
      </c>
    </row>
    <row r="17" customFormat="false" ht="17.15" hidden="false" customHeight="false" outlineLevel="0" collapsed="false">
      <c r="A17" s="0" t="s">
        <v>891</v>
      </c>
      <c r="B17" s="20" t="n">
        <f aca="false">va_eps27</f>
        <v>94.24</v>
      </c>
      <c r="C17" s="20" t="n">
        <f aca="false">PL!E103</f>
        <v>135.47225145018</v>
      </c>
      <c r="D17" s="18" t="n">
        <f aca="false">C17/B17-1</f>
        <v>0.437523890600386</v>
      </c>
      <c r="E17" s="20" t="n">
        <f aca="false">PL!E151</f>
        <v>107.37723648486</v>
      </c>
      <c r="F17" s="18" t="n">
        <f aca="false">E17/B17-1</f>
        <v>0.139401915161926</v>
      </c>
      <c r="G17" s="20" t="n">
        <f aca="false">PL!E199</f>
        <v>74.4585453043818</v>
      </c>
      <c r="H17" s="18" t="n">
        <f aca="false">G17/B17-1</f>
        <v>-0.209905079537545</v>
      </c>
      <c r="I17" s="4" t="s">
        <v>892</v>
      </c>
      <c r="J17" s="4" t="s">
        <v>893</v>
      </c>
    </row>
    <row r="18" customFormat="false" ht="17.15" hidden="false" customHeight="false" outlineLevel="0" collapsed="false">
      <c r="A18" s="0" t="s">
        <v>894</v>
      </c>
      <c r="B18" s="20" t="n">
        <f aca="false">fb_eps27</f>
        <v>104.14</v>
      </c>
      <c r="C18" s="20" t="n">
        <f aca="false">PL!E103</f>
        <v>135.47225145018</v>
      </c>
      <c r="D18" s="18" t="n">
        <f aca="false">C18/B18-1</f>
        <v>0.300866635780491</v>
      </c>
      <c r="E18" s="20" t="n">
        <f aca="false">PL!E151</f>
        <v>107.37723648486</v>
      </c>
      <c r="F18" s="18" t="n">
        <f aca="false">E18/B18-1</f>
        <v>0.0310854281242545</v>
      </c>
      <c r="G18" s="20" t="n">
        <f aca="false">PL!E199</f>
        <v>74.4585453043818</v>
      </c>
      <c r="H18" s="18" t="n">
        <f aca="false">G18/B18-1</f>
        <v>-0.285014928899733</v>
      </c>
      <c r="I18" s="4" t="s">
        <v>892</v>
      </c>
    </row>
    <row r="19" customFormat="false" ht="17.15" hidden="false" customHeight="false" outlineLevel="0" collapsed="false">
      <c r="A19" s="0" t="s">
        <v>895</v>
      </c>
      <c r="B19" s="20" t="n">
        <f aca="false">ua_eps27</f>
        <v>139.12</v>
      </c>
      <c r="C19" s="20" t="n">
        <f aca="false">PL!E103</f>
        <v>135.47225145018</v>
      </c>
      <c r="D19" s="18" t="n">
        <f aca="false">C19/B19-1</f>
        <v>-0.0262201592137697</v>
      </c>
      <c r="E19" s="20" t="n">
        <f aca="false">PL!E151</f>
        <v>107.37723648486</v>
      </c>
      <c r="F19" s="18" t="n">
        <f aca="false">E19/B19-1</f>
        <v>-0.228168225381973</v>
      </c>
      <c r="G19" s="20" t="n">
        <f aca="false">PL!E199</f>
        <v>74.4585453043818</v>
      </c>
      <c r="H19" s="18" t="n">
        <f aca="false">G19/B19-1</f>
        <v>-0.464789064804616</v>
      </c>
      <c r="I19" s="4" t="s">
        <v>896</v>
      </c>
    </row>
    <row r="20" customFormat="false" ht="17.15" hidden="false" customHeight="false" outlineLevel="0" collapsed="false">
      <c r="A20" s="0" t="s">
        <v>897</v>
      </c>
      <c r="B20" s="20" t="n">
        <f aca="false">fb_eps28</f>
        <v>155.25</v>
      </c>
      <c r="C20" s="20" t="n">
        <f aca="false">PL!F103</f>
        <v>199.68190681447</v>
      </c>
      <c r="D20" s="18" t="n">
        <f aca="false">C20/B20-1</f>
        <v>0.286195857098034</v>
      </c>
      <c r="E20" s="20" t="n">
        <f aca="false">PL!F151</f>
        <v>115.179513823147</v>
      </c>
      <c r="F20" s="18" t="n">
        <f aca="false">E20/B20-1</f>
        <v>-0.258102970543335</v>
      </c>
      <c r="G20" s="20" t="n">
        <f aca="false">PL!F199</f>
        <v>52.0281018020011</v>
      </c>
      <c r="H20" s="18" t="n">
        <f aca="false">G20/B20-1</f>
        <v>-0.664875350711748</v>
      </c>
      <c r="I20" s="4" t="s">
        <v>892</v>
      </c>
    </row>
    <row r="21" customFormat="false" ht="17.15" hidden="false" customHeight="false" outlineLevel="0" collapsed="false">
      <c r="A21" s="4" t="s">
        <v>898</v>
      </c>
      <c r="B21" s="20" t="n">
        <f aca="false">cons_feps</f>
        <v>81.2834224598931</v>
      </c>
      <c r="C21" s="20" t="n">
        <f aca="false">Val!B34</f>
        <v>124.786958219989</v>
      </c>
      <c r="D21" s="18" t="n">
        <f aca="false">C21/B21-1</f>
        <v>0.535207972838023</v>
      </c>
      <c r="E21" s="20" t="n">
        <f aca="false">Val!B34</f>
        <v>124.786958219989</v>
      </c>
      <c r="F21" s="18" t="n">
        <f aca="false">E21/B21-1</f>
        <v>0.535207972838023</v>
      </c>
      <c r="G21" s="20" t="n">
        <f aca="false">Val!B34</f>
        <v>124.786958219989</v>
      </c>
      <c r="H21" s="18" t="n">
        <f aca="false">G21/B21-1</f>
        <v>0.535207972838023</v>
      </c>
      <c r="I21" s="8" t="s">
        <v>899</v>
      </c>
      <c r="J21" s="4" t="s">
        <v>900</v>
      </c>
    </row>
    <row r="22" customFormat="false" ht="17.15" hidden="false" customHeight="false" outlineLevel="0" collapsed="false">
      <c r="A22" s="6" t="s">
        <v>901</v>
      </c>
    </row>
    <row r="23" customFormat="false" ht="17.15" hidden="false" customHeight="false" outlineLevel="0" collapsed="false">
      <c r="A23" s="0" t="s">
        <v>902</v>
      </c>
      <c r="C23" s="22" t="n">
        <f aca="false">PL!D69</f>
        <v>0.842704434805701</v>
      </c>
      <c r="E23" s="22" t="n">
        <f aca="false">PL!D117</f>
        <v>0.842704434805701</v>
      </c>
      <c r="G23" s="22" t="n">
        <f aca="false">PL!D165</f>
        <v>0.842704434805701</v>
      </c>
      <c r="I23" s="8" t="s">
        <v>903</v>
      </c>
      <c r="J23" s="4" t="s">
        <v>904</v>
      </c>
    </row>
    <row r="24" customFormat="false" ht="17.15" hidden="false" customHeight="false" outlineLevel="0" collapsed="false">
      <c r="A24" s="0" t="s">
        <v>905</v>
      </c>
      <c r="C24" s="22" t="n">
        <f aca="false">PL!D79</f>
        <v>0.366122890295359</v>
      </c>
      <c r="E24" s="22" t="n">
        <f aca="false">PL!D127</f>
        <v>0.366122890295359</v>
      </c>
      <c r="G24" s="22" t="n">
        <f aca="false">PL!D175</f>
        <v>0.366122890295359</v>
      </c>
      <c r="I24" s="8" t="s">
        <v>906</v>
      </c>
      <c r="J24" s="8" t="s">
        <v>907</v>
      </c>
    </row>
    <row r="25" customFormat="false" ht="17.15" hidden="false" customHeight="false" outlineLevel="0" collapsed="false">
      <c r="A25" s="4" t="s">
        <v>604</v>
      </c>
      <c r="C25" s="9" t="n">
        <f aca="false">PL!D92</f>
        <v>0.310829299951715</v>
      </c>
      <c r="E25" s="9" t="n">
        <f aca="false">PL!D140</f>
        <v>0.310829299951715</v>
      </c>
      <c r="G25" s="9" t="n">
        <f aca="false">PL!D188</f>
        <v>0.310829299951715</v>
      </c>
      <c r="I25" s="8" t="s">
        <v>908</v>
      </c>
      <c r="J25" s="4" t="s">
        <v>909</v>
      </c>
    </row>
    <row r="26" customFormat="false" ht="17.15" hidden="false" customHeight="false" outlineLevel="0" collapsed="false">
      <c r="A26" s="0" t="s">
        <v>910</v>
      </c>
      <c r="B26" s="18" t="n">
        <v>1</v>
      </c>
      <c r="C26" s="18" t="n">
        <f aca="false">Units!E16</f>
        <v>0.83</v>
      </c>
      <c r="D26" s="18" t="n">
        <f aca="false">C26-B26</f>
        <v>-0.17</v>
      </c>
      <c r="E26" s="18" t="n">
        <f aca="false">Units!E17</f>
        <v>0.8</v>
      </c>
      <c r="F26" s="18" t="n">
        <f aca="false">E26-B26</f>
        <v>-0.2</v>
      </c>
      <c r="G26" s="18" t="n">
        <f aca="false">Units!E18</f>
        <v>0.77</v>
      </c>
      <c r="H26" s="18" t="n">
        <f aca="false">G26-B26</f>
        <v>-0.23</v>
      </c>
      <c r="I26" s="8" t="s">
        <v>911</v>
      </c>
      <c r="J26" s="4" t="s">
        <v>912</v>
      </c>
    </row>
    <row r="27" customFormat="false" ht="17.15" hidden="false" customHeight="false" outlineLevel="0" collapsed="false">
      <c r="A27" s="6" t="s">
        <v>913</v>
      </c>
    </row>
    <row r="28" customFormat="false" ht="17.15" hidden="false" customHeight="false" outlineLevel="0" collapsed="false">
      <c r="A28" s="0" t="s">
        <v>914</v>
      </c>
      <c r="J28" s="4" t="s">
        <v>915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916</v>
      </c>
    </row>
    <row r="3" customFormat="false" ht="17.15" hidden="false" customHeight="false" outlineLevel="0" collapsed="false">
      <c r="A3" s="5" t="s">
        <v>917</v>
      </c>
      <c r="B3" s="5" t="s">
        <v>918</v>
      </c>
      <c r="C3" s="16" t="s">
        <v>919</v>
      </c>
      <c r="D3" s="16" t="s">
        <v>920</v>
      </c>
      <c r="E3" s="16" t="s">
        <v>753</v>
      </c>
      <c r="F3" s="16" t="s">
        <v>921</v>
      </c>
      <c r="G3" s="16" t="s">
        <v>922</v>
      </c>
      <c r="H3" s="16" t="s">
        <v>923</v>
      </c>
      <c r="I3" s="16" t="s">
        <v>924</v>
      </c>
      <c r="J3" s="16" t="s">
        <v>925</v>
      </c>
    </row>
    <row r="4" customFormat="false" ht="17.15" hidden="false" customHeight="false" outlineLevel="0" collapsed="false">
      <c r="A4" s="4" t="s">
        <v>926</v>
      </c>
      <c r="B4" s="0" t="s">
        <v>927</v>
      </c>
      <c r="C4" s="36" t="n">
        <f aca="false">PL!E85</f>
        <v>156.977730348393</v>
      </c>
      <c r="D4" s="9" t="n">
        <f aca="false">PL!E94</f>
        <v>0.17999317893415</v>
      </c>
      <c r="E4" s="20" t="n">
        <f aca="false">PL!E103</f>
        <v>135.47225145018</v>
      </c>
      <c r="F4" s="18" t="n">
        <f aca="false">E4/E$4-1</f>
        <v>0</v>
      </c>
      <c r="G4" s="36" t="n">
        <f aca="false">PL!F85</f>
        <v>230.433815760147</v>
      </c>
      <c r="H4" s="9" t="n">
        <f aca="false">PL!F94</f>
        <v>0.171053355258406</v>
      </c>
      <c r="I4" s="20" t="n">
        <f aca="false">PL!F103</f>
        <v>199.68190681447</v>
      </c>
      <c r="J4" s="18" t="n">
        <f aca="false">I4/I$4-1</f>
        <v>0</v>
      </c>
    </row>
    <row r="5" customFormat="false" ht="17.15" hidden="false" customHeight="false" outlineLevel="0" collapsed="false">
      <c r="A5" s="0" t="s">
        <v>928</v>
      </c>
      <c r="B5" s="0" t="s">
        <v>929</v>
      </c>
      <c r="C5" s="36" t="n">
        <f aca="false">E65</f>
        <v>127.314534243233</v>
      </c>
      <c r="D5" s="9" t="n">
        <f aca="false">E74</f>
        <v>0.189311247107937</v>
      </c>
      <c r="E5" s="20" t="n">
        <f aca="false">E83</f>
        <v>113.49471787547</v>
      </c>
      <c r="F5" s="18" t="n">
        <f aca="false">E5/E$4-1</f>
        <v>-0.162229042032216</v>
      </c>
      <c r="G5" s="36" t="n">
        <f aca="false">F65</f>
        <v>185.130025344992</v>
      </c>
      <c r="H5" s="9" t="n">
        <f aca="false">F74</f>
        <v>0.178652526142181</v>
      </c>
      <c r="I5" s="20" t="n">
        <f aca="false">F83</f>
        <v>164.604612356809</v>
      </c>
      <c r="J5" s="18" t="n">
        <f aca="false">I5/I$4-1</f>
        <v>-0.175665862857832</v>
      </c>
    </row>
    <row r="6" customFormat="false" ht="17.15" hidden="false" customHeight="false" outlineLevel="0" collapsed="false">
      <c r="A6" s="0" t="s">
        <v>930</v>
      </c>
      <c r="B6" s="0" t="s">
        <v>931</v>
      </c>
      <c r="C6" s="36" t="n">
        <f aca="false">E113</f>
        <v>179.225127427264</v>
      </c>
      <c r="D6" s="9" t="n">
        <f aca="false">E122</f>
        <v>0.175028785018149</v>
      </c>
      <c r="E6" s="20" t="n">
        <f aca="false">E131</f>
        <v>151.955401631213</v>
      </c>
      <c r="F6" s="18" t="n">
        <f aca="false">E6/E$4-1</f>
        <v>0.121671781524162</v>
      </c>
      <c r="G6" s="36" t="n">
        <f aca="false">F113</f>
        <v>264.411658571513</v>
      </c>
      <c r="H6" s="9" t="n">
        <f aca="false">F122</f>
        <v>0.167062888160866</v>
      </c>
      <c r="I6" s="20" t="n">
        <f aca="false">F131</f>
        <v>226.011341401683</v>
      </c>
      <c r="J6" s="18" t="n">
        <f aca="false">I6/I$4-1</f>
        <v>0.13185688682188</v>
      </c>
    </row>
    <row r="7" customFormat="false" ht="17.15" hidden="false" customHeight="false" outlineLevel="0" collapsed="false">
      <c r="A7" s="4" t="s">
        <v>932</v>
      </c>
      <c r="B7" s="0" t="s">
        <v>933</v>
      </c>
      <c r="C7" s="36" t="n">
        <f aca="false">E161</f>
        <v>156.977730348393</v>
      </c>
      <c r="D7" s="9" t="n">
        <f aca="false">E170</f>
        <v>0.17999317893415</v>
      </c>
      <c r="E7" s="20" t="n">
        <f aca="false">E179</f>
        <v>135.47225145018</v>
      </c>
      <c r="F7" s="18" t="n">
        <f aca="false">E7/E$4-1</f>
        <v>0</v>
      </c>
      <c r="G7" s="36" t="n">
        <f aca="false">F161</f>
        <v>162.478130137415</v>
      </c>
      <c r="H7" s="9" t="n">
        <f aca="false">F170</f>
        <v>0.184041269666866</v>
      </c>
      <c r="I7" s="20" t="n">
        <f aca="false">F179</f>
        <v>142.170504290405</v>
      </c>
      <c r="J7" s="18" t="n">
        <f aca="false">I7/I$4-1</f>
        <v>-0.288015090808906</v>
      </c>
    </row>
    <row r="8" customFormat="false" ht="17.15" hidden="false" customHeight="false" outlineLevel="0" collapsed="false">
      <c r="A8" s="0" t="s">
        <v>934</v>
      </c>
      <c r="B8" s="0" t="s">
        <v>935</v>
      </c>
      <c r="C8" s="36" t="n">
        <f aca="false">E209</f>
        <v>135.383850558715</v>
      </c>
      <c r="D8" s="9" t="n">
        <f aca="false">E218</f>
        <v>0.186372136946846</v>
      </c>
      <c r="E8" s="20" t="n">
        <f aca="false">E227</f>
        <v>119.473293805715</v>
      </c>
      <c r="F8" s="18" t="n">
        <f aca="false">E8/E$4-1</f>
        <v>-0.11809767294189</v>
      </c>
      <c r="G8" s="36" t="n">
        <f aca="false">F209</f>
        <v>197.627893916118</v>
      </c>
      <c r="H8" s="9" t="n">
        <f aca="false">F218</f>
        <v>0.17620816374933</v>
      </c>
      <c r="I8" s="20" t="n">
        <f aca="false">F227</f>
        <v>174.279951105459</v>
      </c>
      <c r="J8" s="18" t="n">
        <f aca="false">I8/I$4-1</f>
        <v>-0.127212105063744</v>
      </c>
    </row>
    <row r="9" customFormat="false" ht="17.15" hidden="false" customHeight="false" outlineLevel="0" collapsed="false">
      <c r="A9" s="0" t="s">
        <v>936</v>
      </c>
      <c r="B9" s="0" t="s">
        <v>935</v>
      </c>
      <c r="C9" s="36" t="n">
        <f aca="false">E257</f>
        <v>178.571610138072</v>
      </c>
      <c r="D9" s="9" t="n">
        <f aca="false">E266</f>
        <v>0.175156979620925</v>
      </c>
      <c r="E9" s="20" t="n">
        <f aca="false">E275</f>
        <v>151.471209094645</v>
      </c>
      <c r="F9" s="18" t="n">
        <f aca="false">E9/E$4-1</f>
        <v>0.11809767294189</v>
      </c>
      <c r="G9" s="36" t="n">
        <f aca="false">F257</f>
        <v>263.239737604176</v>
      </c>
      <c r="H9" s="9" t="n">
        <f aca="false">F266</f>
        <v>0.16718336984179</v>
      </c>
      <c r="I9" s="20" t="n">
        <f aca="false">F275</f>
        <v>225.098002219516</v>
      </c>
      <c r="J9" s="18" t="n">
        <f aca="false">I9/I$4-1</f>
        <v>0.127282916166568</v>
      </c>
    </row>
    <row r="10" customFormat="false" ht="17.15" hidden="false" customHeight="false" outlineLevel="0" collapsed="false">
      <c r="A10" s="4" t="s">
        <v>937</v>
      </c>
      <c r="B10" s="0" t="s">
        <v>938</v>
      </c>
      <c r="C10" s="36" t="n">
        <f aca="false">E305</f>
        <v>156.977730348393</v>
      </c>
      <c r="D10" s="9" t="n">
        <f aca="false">E314</f>
        <v>0.17999317893415</v>
      </c>
      <c r="E10" s="20" t="n">
        <f aca="false">E323</f>
        <v>135.47225145018</v>
      </c>
      <c r="F10" s="18" t="n">
        <f aca="false">E10/E$4-1</f>
        <v>0</v>
      </c>
      <c r="G10" s="36" t="n">
        <f aca="false">F305</f>
        <v>264.411658571513</v>
      </c>
      <c r="H10" s="9" t="n">
        <f aca="false">F314</f>
        <v>0.167062888160866</v>
      </c>
      <c r="I10" s="20" t="n">
        <f aca="false">F323</f>
        <v>226.807597385653</v>
      </c>
      <c r="J10" s="18" t="n">
        <f aca="false">I10/I$4-1</f>
        <v>0.135844508918809</v>
      </c>
    </row>
    <row r="11" customFormat="false" ht="17.15" hidden="false" customHeight="false" outlineLevel="0" collapsed="false">
      <c r="A11" s="4" t="s">
        <v>939</v>
      </c>
      <c r="B11" s="0" t="s">
        <v>940</v>
      </c>
      <c r="C11" s="36" t="n">
        <f aca="false">E353</f>
        <v>156.977730348393</v>
      </c>
      <c r="D11" s="9" t="n">
        <f aca="false">E362</f>
        <v>0.17999317893415</v>
      </c>
      <c r="E11" s="20" t="n">
        <f aca="false">E371</f>
        <v>135.47225145018</v>
      </c>
      <c r="F11" s="18" t="n">
        <f aca="false">E11/E$4-1</f>
        <v>0</v>
      </c>
      <c r="G11" s="36" t="n">
        <f aca="false">F353</f>
        <v>185.130025344992</v>
      </c>
      <c r="H11" s="9" t="n">
        <f aca="false">F362</f>
        <v>0.178652526142181</v>
      </c>
      <c r="I11" s="20" t="n">
        <f aca="false">F371</f>
        <v>162.285238487119</v>
      </c>
      <c r="J11" s="18" t="n">
        <f aca="false">I11/I$4-1</f>
        <v>-0.187281206013807</v>
      </c>
    </row>
    <row r="12" customFormat="false" ht="17.15" hidden="false" customHeight="false" outlineLevel="0" collapsed="false">
      <c r="A12" s="4" t="s">
        <v>941</v>
      </c>
      <c r="B12" s="0" t="s">
        <v>942</v>
      </c>
      <c r="C12" s="36" t="n">
        <f aca="false">E401</f>
        <v>169.630937437001</v>
      </c>
      <c r="D12" s="9" t="n">
        <f aca="false">E410</f>
        <v>0.177009985049641</v>
      </c>
      <c r="E12" s="20" t="n">
        <f aca="false">E419</f>
        <v>144.847043115643</v>
      </c>
      <c r="F12" s="18" t="n">
        <f aca="false">E12/E$4-1</f>
        <v>0.069200825741867</v>
      </c>
      <c r="G12" s="36" t="n">
        <f aca="false">F401</f>
        <v>244.492934747489</v>
      </c>
      <c r="H12" s="9" t="n">
        <f aca="false">F410</f>
        <v>0.169267688866921</v>
      </c>
      <c r="I12" s="20" t="n">
        <f aca="false">F419</f>
        <v>210.433341034075</v>
      </c>
      <c r="J12" s="18" t="n">
        <f aca="false">I12/I$4-1</f>
        <v>0.0538428062468119</v>
      </c>
    </row>
    <row r="13" customFormat="false" ht="17.15" hidden="false" customHeight="false" outlineLevel="0" collapsed="false">
      <c r="A13" s="4" t="s">
        <v>943</v>
      </c>
      <c r="B13" s="0" t="s">
        <v>935</v>
      </c>
      <c r="C13" s="36" t="n">
        <f aca="false">E449</f>
        <v>137.997919715482</v>
      </c>
      <c r="D13" s="9" t="n">
        <f aca="false">E458</f>
        <v>0.185493718104184</v>
      </c>
      <c r="E13" s="20" t="n">
        <f aca="false">E467</f>
        <v>121.410063951987</v>
      </c>
      <c r="F13" s="18" t="n">
        <f aca="false">E13/E$4-1</f>
        <v>-0.103801238612801</v>
      </c>
      <c r="G13" s="36" t="n">
        <f aca="false">F449</f>
        <v>202.315577785463</v>
      </c>
      <c r="H13" s="9" t="n">
        <f aca="false">F458</f>
        <v>0.175369214880418</v>
      </c>
      <c r="I13" s="20" t="n">
        <f aca="false">F467</f>
        <v>177.921422231036</v>
      </c>
      <c r="J13" s="18" t="n">
        <f aca="false">I13/I$4-1</f>
        <v>-0.108975745126735</v>
      </c>
    </row>
    <row r="14" customFormat="false" ht="17.15" hidden="false" customHeight="false" outlineLevel="0" collapsed="false">
      <c r="A14" s="4" t="s">
        <v>944</v>
      </c>
      <c r="B14" s="4" t="s">
        <v>945</v>
      </c>
      <c r="C14" s="36" t="n">
        <f aca="false">E497</f>
        <v>156.977730348393</v>
      </c>
      <c r="D14" s="9" t="n">
        <f aca="false">E506</f>
        <v>0.167139816814098</v>
      </c>
      <c r="E14" s="20" t="n">
        <f aca="false">E515</f>
        <v>122.674416430338</v>
      </c>
      <c r="F14" s="18" t="n">
        <f aca="false">E14/E$4-1</f>
        <v>-0.0944683127566417</v>
      </c>
      <c r="G14" s="36" t="n">
        <f aca="false">F497</f>
        <v>230.433815760147</v>
      </c>
      <c r="H14" s="9" t="n">
        <f aca="false">F506</f>
        <v>0.155528902505005</v>
      </c>
      <c r="I14" s="20" t="n">
        <f aca="false">F515</f>
        <v>176.991398250025</v>
      </c>
      <c r="J14" s="18" t="n">
        <f aca="false">I14/I$4-1</f>
        <v>-0.113633272670654</v>
      </c>
    </row>
    <row r="15" customFormat="false" ht="17.15" hidden="false" customHeight="false" outlineLevel="0" collapsed="false">
      <c r="A15" s="4" t="s">
        <v>946</v>
      </c>
      <c r="C15" s="36" t="n">
        <f aca="false">E545</f>
        <v>156.977730348393</v>
      </c>
      <c r="D15" s="9" t="n">
        <f aca="false">E554</f>
        <v>0.192846541054202</v>
      </c>
      <c r="E15" s="20" t="n">
        <f aca="false">E563</f>
        <v>148.270086470022</v>
      </c>
      <c r="F15" s="18" t="n">
        <f aca="false">E15/E$4-1</f>
        <v>0.0944683127566415</v>
      </c>
      <c r="G15" s="36" t="n">
        <f aca="false">F545</f>
        <v>230.433815760147</v>
      </c>
      <c r="H15" s="9" t="n">
        <f aca="false">F554</f>
        <v>0.186577808011808</v>
      </c>
      <c r="I15" s="20" t="n">
        <f aca="false">F563</f>
        <v>222.372415378915</v>
      </c>
      <c r="J15" s="18" t="n">
        <f aca="false">I15/I$4-1</f>
        <v>0.113633272670654</v>
      </c>
    </row>
    <row r="16" customFormat="false" ht="17.15" hidden="false" customHeight="false" outlineLevel="0" collapsed="false">
      <c r="A16" s="4" t="s">
        <v>947</v>
      </c>
      <c r="B16" s="0" t="s">
        <v>948</v>
      </c>
      <c r="C16" s="36" t="n">
        <f aca="false">E593</f>
        <v>150.036040348393</v>
      </c>
      <c r="D16" s="9" t="n">
        <f aca="false">E602</f>
        <v>0.180918199682186</v>
      </c>
      <c r="E16" s="20" t="n">
        <f aca="false">E611</f>
        <v>129.44854013013</v>
      </c>
      <c r="F16" s="18" t="n">
        <f aca="false">E16/E$4-1</f>
        <v>-0.0444645398269324</v>
      </c>
      <c r="G16" s="36" t="n">
        <f aca="false">F593</f>
        <v>210.997083760147</v>
      </c>
      <c r="H16" s="9" t="n">
        <f aca="false">F602</f>
        <v>0.172071573614934</v>
      </c>
      <c r="I16" s="20" t="n">
        <f aca="false">F611</f>
        <v>181.969476207708</v>
      </c>
      <c r="J16" s="18" t="n">
        <f aca="false">I16/I$4-1</f>
        <v>-0.0887032325027795</v>
      </c>
    </row>
    <row r="17" customFormat="false" ht="17.15" hidden="false" customHeight="false" outlineLevel="0" collapsed="false">
      <c r="A17" s="4" t="s">
        <v>949</v>
      </c>
      <c r="B17" s="0" t="s">
        <v>950</v>
      </c>
      <c r="C17" s="36" t="n">
        <f aca="false">E641</f>
        <v>150.869043148393</v>
      </c>
      <c r="D17" s="9" t="n">
        <f aca="false">E650</f>
        <v>0.174695624703813</v>
      </c>
      <c r="E17" s="20" t="n">
        <f aca="false">E659</f>
        <v>124.327316673522</v>
      </c>
      <c r="F17" s="18" t="n">
        <f aca="false">E17/E$4-1</f>
        <v>-0.082267288373494</v>
      </c>
      <c r="G17" s="36" t="n">
        <f aca="false">F641</f>
        <v>220.812633420147</v>
      </c>
      <c r="H17" s="9" t="n">
        <f aca="false">F650</f>
        <v>0.164963079399591</v>
      </c>
      <c r="I17" s="20" t="n">
        <f aca="false">F659</f>
        <v>181.797958198566</v>
      </c>
      <c r="J17" s="18" t="n">
        <f aca="false">I17/I$4-1</f>
        <v>-0.0895621886890327</v>
      </c>
    </row>
    <row r="18" customFormat="false" ht="17.15" hidden="false" customHeight="false" outlineLevel="0" collapsed="false">
      <c r="A18" s="4" t="s">
        <v>951</v>
      </c>
      <c r="B18" s="0" t="s">
        <v>952</v>
      </c>
      <c r="C18" s="36" t="n">
        <f aca="false">E689</f>
        <v>156.977730348393</v>
      </c>
      <c r="D18" s="9" t="n">
        <f aca="false">E698</f>
        <v>0.173280452615191</v>
      </c>
      <c r="E18" s="20" t="n">
        <f aca="false">E707</f>
        <v>128.788524409661</v>
      </c>
      <c r="F18" s="18" t="n">
        <f aca="false">E18/E$4-1</f>
        <v>-0.0493365022650215</v>
      </c>
      <c r="G18" s="36" t="n">
        <f aca="false">F689</f>
        <v>230.433815760147</v>
      </c>
      <c r="H18" s="9" t="n">
        <f aca="false">F698</f>
        <v>0.166023176018539</v>
      </c>
      <c r="I18" s="20" t="n">
        <f aca="false">F707</f>
        <v>192.329807069899</v>
      </c>
      <c r="J18" s="18" t="n">
        <f aca="false">I18/I$4-1</f>
        <v>-0.0368190581803805</v>
      </c>
    </row>
    <row r="19" customFormat="false" ht="17.15" hidden="false" customHeight="false" outlineLevel="0" collapsed="false">
      <c r="A19" s="4" t="s">
        <v>953</v>
      </c>
      <c r="B19" s="4" t="s">
        <v>954</v>
      </c>
      <c r="C19" s="36" t="n">
        <f aca="false">E737</f>
        <v>156.977730348393</v>
      </c>
      <c r="D19" s="9" t="n">
        <f aca="false">E746</f>
        <v>0.17999317893415</v>
      </c>
      <c r="E19" s="20" t="n">
        <f aca="false">E755</f>
        <v>122.592839582819</v>
      </c>
      <c r="F19" s="18" t="n">
        <f aca="false">E19/E$4-1</f>
        <v>-0.0950704792272396</v>
      </c>
      <c r="G19" s="36" t="n">
        <f aca="false">F737</f>
        <v>230.433815760147</v>
      </c>
      <c r="H19" s="9" t="n">
        <f aca="false">F746</f>
        <v>0.171053355258406</v>
      </c>
      <c r="I19" s="20" t="n">
        <f aca="false">F755</f>
        <v>176.600442996453</v>
      </c>
      <c r="J19" s="18" t="n">
        <f aca="false">I19/I$4-1</f>
        <v>-0.115591162896209</v>
      </c>
    </row>
    <row r="20" customFormat="false" ht="17.15" hidden="false" customHeight="false" outlineLevel="0" collapsed="false">
      <c r="A20" s="4" t="s">
        <v>955</v>
      </c>
      <c r="B20" s="4" t="s">
        <v>956</v>
      </c>
      <c r="C20" s="36" t="n">
        <f aca="false">E785</f>
        <v>156.977730348393</v>
      </c>
      <c r="D20" s="9" t="n">
        <f aca="false">E794</f>
        <v>0.17999317893415</v>
      </c>
      <c r="E20" s="20" t="n">
        <f aca="false">E803</f>
        <v>115.558652346213</v>
      </c>
      <c r="F20" s="18" t="n">
        <f aca="false">E20/E$4-1</f>
        <v>-0.146993933376022</v>
      </c>
      <c r="G20" s="36" t="n">
        <f aca="false">F785</f>
        <v>230.433815760147</v>
      </c>
      <c r="H20" s="9" t="n">
        <f aca="false">F794</f>
        <v>0.171053355258406</v>
      </c>
      <c r="I20" s="20" t="n">
        <f aca="false">F803</f>
        <v>147.740840331035</v>
      </c>
      <c r="J20" s="18" t="n">
        <f aca="false">I20/I$4-1</f>
        <v>-0.260119042892028</v>
      </c>
    </row>
    <row r="21" customFormat="false" ht="17.15" hidden="false" customHeight="false" outlineLevel="0" collapsed="false">
      <c r="A21" s="4" t="s">
        <v>957</v>
      </c>
      <c r="B21" s="4" t="s">
        <v>958</v>
      </c>
      <c r="C21" s="36" t="n">
        <f aca="false">E833</f>
        <v>150.229642914119</v>
      </c>
      <c r="D21" s="9" t="n">
        <f aca="false">E842</f>
        <v>0.181789611801773</v>
      </c>
      <c r="E21" s="20" t="n">
        <f aca="false">E851</f>
        <v>130.472577186285</v>
      </c>
      <c r="F21" s="18" t="n">
        <f aca="false">E21/E$4-1</f>
        <v>-0.0369055227943407</v>
      </c>
      <c r="G21" s="36" t="n">
        <f aca="false">F833</f>
        <v>220.181965183888</v>
      </c>
      <c r="H21" s="9" t="n">
        <f aca="false">F842</f>
        <v>0.17249922462257</v>
      </c>
      <c r="I21" s="20" t="n">
        <f aca="false">F851</f>
        <v>191.741990188293</v>
      </c>
      <c r="J21" s="18" t="n">
        <f aca="false">I21/I$4-1</f>
        <v>-0.0397628245485159</v>
      </c>
    </row>
    <row r="22" customFormat="false" ht="17.15" hidden="false" customHeight="false" outlineLevel="0" collapsed="false">
      <c r="A22" s="4" t="s">
        <v>959</v>
      </c>
      <c r="B22" s="4" t="s">
        <v>960</v>
      </c>
      <c r="C22" s="36" t="n">
        <f aca="false">E881</f>
        <v>156.977730348393</v>
      </c>
      <c r="D22" s="9" t="n">
        <f aca="false">E890</f>
        <v>0.17999317893415</v>
      </c>
      <c r="E22" s="20" t="n">
        <f aca="false">E899</f>
        <v>127.503295482523</v>
      </c>
      <c r="F22" s="18" t="n">
        <f aca="false">E22/E$4-1</f>
        <v>-0.0588235294117648</v>
      </c>
      <c r="G22" s="36" t="n">
        <f aca="false">F881</f>
        <v>230.433815760147</v>
      </c>
      <c r="H22" s="9" t="n">
        <f aca="false">F890</f>
        <v>0.171053355258406</v>
      </c>
      <c r="I22" s="20" t="n">
        <f aca="false">F899</f>
        <v>187.935912295972</v>
      </c>
      <c r="J22" s="18" t="n">
        <f aca="false">I22/I$4-1</f>
        <v>-0.0588235294117647</v>
      </c>
    </row>
    <row r="23" customFormat="false" ht="17.15" hidden="false" customHeight="false" outlineLevel="0" collapsed="false">
      <c r="A23" s="4" t="s">
        <v>961</v>
      </c>
      <c r="B23" s="4" t="s">
        <v>962</v>
      </c>
      <c r="C23" s="36" t="n">
        <f aca="false">PL!E133</f>
        <v>130.210643231509</v>
      </c>
      <c r="D23" s="9" t="n">
        <f aca="false">PL!E142</f>
        <v>0.178209392843864</v>
      </c>
      <c r="E23" s="20" t="n">
        <f aca="false">PL!E151</f>
        <v>107.37723648486</v>
      </c>
      <c r="F23" s="18" t="n">
        <f aca="false">E23/E$4-1</f>
        <v>-0.207385753647509</v>
      </c>
      <c r="G23" s="36" t="n">
        <f aca="false">PL!F133</f>
        <v>140.106685596347</v>
      </c>
      <c r="H23" s="9" t="n">
        <f aca="false">PL!F142</f>
        <v>0.178270727790854</v>
      </c>
      <c r="I23" s="20" t="n">
        <f aca="false">PL!F151</f>
        <v>115.179513823147</v>
      </c>
      <c r="J23" s="18" t="n">
        <f aca="false">I23/I$4-1</f>
        <v>-0.423185026322071</v>
      </c>
    </row>
    <row r="24" customFormat="false" ht="17.15" hidden="false" customHeight="false" outlineLevel="0" collapsed="false">
      <c r="A24" s="4" t="s">
        <v>963</v>
      </c>
      <c r="B24" s="4" t="s">
        <v>964</v>
      </c>
      <c r="C24" s="36" t="n">
        <f aca="false">PL!E181</f>
        <v>101.610949954625</v>
      </c>
      <c r="D24" s="9" t="n">
        <f aca="false">PL!E190</f>
        <v>0.170765109756943</v>
      </c>
      <c r="E24" s="20" t="n">
        <f aca="false">PL!E199</f>
        <v>74.4585453043818</v>
      </c>
      <c r="F24" s="18" t="n">
        <f aca="false">E24/E$4-1</f>
        <v>-0.450377885453806</v>
      </c>
      <c r="G24" s="36" t="n">
        <f aca="false">PL!F181</f>
        <v>73.2766811868107</v>
      </c>
      <c r="H24" s="9" t="n">
        <f aca="false">PL!F190</f>
        <v>0.195208791192141</v>
      </c>
      <c r="I24" s="20" t="n">
        <f aca="false">PL!F199</f>
        <v>52.0281018020011</v>
      </c>
      <c r="J24" s="18" t="n">
        <f aca="false">I24/I$4-1</f>
        <v>-0.73944508727903</v>
      </c>
    </row>
    <row r="26" customFormat="false" ht="17.15" hidden="false" customHeight="false" outlineLevel="0" collapsed="false">
      <c r="A26" s="4" t="s">
        <v>965</v>
      </c>
    </row>
    <row r="28" customFormat="false" ht="17.15" hidden="false" customHeight="false" outlineLevel="0" collapsed="false">
      <c r="A28" s="1" t="s">
        <v>966</v>
      </c>
    </row>
    <row r="29" customFormat="false" ht="17.15" hidden="false" customHeight="false" outlineLevel="0" collapsed="false">
      <c r="A29" s="5" t="s">
        <v>917</v>
      </c>
      <c r="B29" s="5" t="s">
        <v>918</v>
      </c>
      <c r="C29" s="16" t="s">
        <v>967</v>
      </c>
      <c r="D29" s="16" t="s">
        <v>855</v>
      </c>
      <c r="E29" s="5" t="s">
        <v>968</v>
      </c>
      <c r="F29" s="5" t="s">
        <v>969</v>
      </c>
    </row>
    <row r="30" customFormat="false" ht="17.15" hidden="false" customHeight="false" outlineLevel="0" collapsed="false">
      <c r="A30" s="4" t="s">
        <v>30</v>
      </c>
      <c r="B30" s="0" t="s">
        <v>970</v>
      </c>
      <c r="C30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2267.79009031633</v>
      </c>
      <c r="D30" s="20" t="n">
        <f aca="false">tp_comp_adj</f>
        <v>5668.29372643161</v>
      </c>
      <c r="E30" s="20" t="n">
        <f aca="false">tp_w_dcf*C30+(1-tp_w_dcf)*D30</f>
        <v>3968.04190837397</v>
      </c>
      <c r="F30" s="18" t="n">
        <f aca="false">E30/E$30-1</f>
        <v>0</v>
      </c>
    </row>
    <row r="31" customFormat="false" ht="17.15" hidden="false" customHeight="false" outlineLevel="0" collapsed="false">
      <c r="A31" s="4" t="s">
        <v>971</v>
      </c>
      <c r="B31" s="0" t="s">
        <v>972</v>
      </c>
      <c r="C31" s="20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1954.58497843637</v>
      </c>
      <c r="D31" s="20" t="n">
        <f aca="false">tp_comp_adj</f>
        <v>5668.29372643161</v>
      </c>
      <c r="E31" s="20" t="n">
        <f aca="false">tp_w_dcf*C31+(1-tp_w_dcf)*D31</f>
        <v>3811.43935243399</v>
      </c>
      <c r="F31" s="18" t="n">
        <f aca="false">E31/E$30-1</f>
        <v>-0.0394659531214864</v>
      </c>
    </row>
    <row r="32" customFormat="false" ht="17.15" hidden="false" customHeight="false" outlineLevel="0" collapsed="false">
      <c r="A32" s="4" t="s">
        <v>973</v>
      </c>
      <c r="B32" s="0" t="s">
        <v>974</v>
      </c>
      <c r="C32" s="20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2706.37118022195</v>
      </c>
      <c r="D32" s="20" t="n">
        <f aca="false">tp_comp_adj</f>
        <v>5668.29372643161</v>
      </c>
      <c r="E32" s="20" t="n">
        <f aca="false">tp_w_dcf*C32+(1-tp_w_dcf)*D32</f>
        <v>4187.33245332678</v>
      </c>
      <c r="F32" s="18" t="n">
        <f aca="false">E32/E$30-1</f>
        <v>0.0552641705950816</v>
      </c>
    </row>
    <row r="33" customFormat="false" ht="17.15" hidden="false" customHeight="false" outlineLevel="0" collapsed="false">
      <c r="A33" s="4" t="s">
        <v>975</v>
      </c>
      <c r="B33" s="0" t="s">
        <v>976</v>
      </c>
      <c r="C33" s="20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2532.65506736847</v>
      </c>
      <c r="D33" s="20" t="n">
        <f aca="false">tp_comp_adj</f>
        <v>5668.29372643161</v>
      </c>
      <c r="E33" s="20" t="n">
        <f aca="false">tp_w_dcf*C33+(1-tp_w_dcf)*D33</f>
        <v>4100.47439690004</v>
      </c>
      <c r="F33" s="18" t="n">
        <f aca="false">E33/E$30-1</f>
        <v>0.0333747706259333</v>
      </c>
    </row>
    <row r="34" customFormat="false" ht="17.15" hidden="false" customHeight="false" outlineLevel="0" collapsed="false">
      <c r="A34" s="4" t="s">
        <v>977</v>
      </c>
      <c r="B34" s="0" t="s">
        <v>978</v>
      </c>
      <c r="C34" s="20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2083.41711886314</v>
      </c>
      <c r="D34" s="20" t="n">
        <f aca="false">tp_comp_adj</f>
        <v>5668.29372643161</v>
      </c>
      <c r="E34" s="20" t="n">
        <f aca="false">tp_w_dcf*C34+(1-tp_w_dcf)*D34</f>
        <v>3875.85542264737</v>
      </c>
      <c r="F34" s="18" t="n">
        <f aca="false">E34/E$30-1</f>
        <v>-0.0232322359126423</v>
      </c>
    </row>
    <row r="35" customFormat="false" ht="17.15" hidden="false" customHeight="false" outlineLevel="0" collapsed="false">
      <c r="A35" s="0" t="s">
        <v>979</v>
      </c>
      <c r="C35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2267.79009031633</v>
      </c>
      <c r="D35" s="20" t="n">
        <f aca="false">tp_comp_adj</f>
        <v>5668.29372643161</v>
      </c>
      <c r="E35" s="20" t="n">
        <f aca="false">0.3*C35+(1-0.3)*D35</f>
        <v>4648.14263559702</v>
      </c>
      <c r="F35" s="18" t="n">
        <f aca="false">E35/E$30-1</f>
        <v>0.171394542428547</v>
      </c>
    </row>
    <row r="36" customFormat="false" ht="17.15" hidden="false" customHeight="false" outlineLevel="0" collapsed="false">
      <c r="A36" s="0" t="s">
        <v>980</v>
      </c>
      <c r="C36" s="20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2267.79009031633</v>
      </c>
      <c r="D36" s="20" t="n">
        <f aca="false">tp_comp_adj</f>
        <v>5668.29372643161</v>
      </c>
      <c r="E36" s="20" t="n">
        <f aca="false">0.7*C36+(1-0.7)*D36</f>
        <v>3287.94118115091</v>
      </c>
      <c r="F36" s="18" t="n">
        <f aca="false">E36/E$30-1</f>
        <v>-0.171394542428547</v>
      </c>
    </row>
    <row r="40" customFormat="false" ht="17.15" hidden="false" customHeight="false" outlineLevel="0" collapsed="false">
      <c r="A40" s="1" t="s">
        <v>981</v>
      </c>
    </row>
    <row r="41" customFormat="false" ht="17.15" hidden="false" customHeight="false" outlineLevel="0" collapsed="false">
      <c r="A41" s="5" t="s">
        <v>27</v>
      </c>
      <c r="B41" s="5" t="s">
        <v>28</v>
      </c>
      <c r="C41" s="16" t="s">
        <v>497</v>
      </c>
      <c r="D41" s="16" t="s">
        <v>610</v>
      </c>
      <c r="E41" s="16" t="s">
        <v>611</v>
      </c>
      <c r="F41" s="16" t="s">
        <v>612</v>
      </c>
      <c r="G41" s="16" t="s">
        <v>613</v>
      </c>
      <c r="H41" s="16" t="s">
        <v>614</v>
      </c>
      <c r="I41" s="16" t="s">
        <v>615</v>
      </c>
      <c r="J41" s="16" t="s">
        <v>616</v>
      </c>
      <c r="K41" s="5" t="s">
        <v>450</v>
      </c>
    </row>
    <row r="42" customFormat="false" ht="17.15" hidden="false" customHeight="false" outlineLevel="0" collapsed="false">
      <c r="A42" s="6" t="s">
        <v>632</v>
      </c>
    </row>
    <row r="43" customFormat="false" ht="17.15" hidden="false" customHeight="false" outlineLevel="0" collapsed="false">
      <c r="A43" s="0" t="s">
        <v>633</v>
      </c>
      <c r="B43" s="4" t="s">
        <v>38</v>
      </c>
      <c r="D43" s="22" t="n">
        <f aca="false">u_tpu_26</f>
        <v>3.85</v>
      </c>
      <c r="E43" s="22" t="n">
        <f aca="false">u_tpu_27</f>
        <v>5.5</v>
      </c>
      <c r="F43" s="22" t="n">
        <f aca="false">u_tpu_28*um28_A</f>
        <v>7</v>
      </c>
      <c r="G43" s="22" t="n">
        <f aca="false">u_tpu_28*(1+g29_tpu)*um29_A</f>
        <v>8.05</v>
      </c>
    </row>
    <row r="44" customFormat="false" ht="17.15" hidden="false" customHeight="false" outlineLevel="0" collapsed="false">
      <c r="A44" s="0" t="s">
        <v>574</v>
      </c>
      <c r="B44" s="0" t="s">
        <v>70</v>
      </c>
      <c r="D44" s="22" t="n">
        <f aca="false">att26</f>
        <v>0.325</v>
      </c>
      <c r="E44" s="22" t="n">
        <f aca="false">MAX(0,att_A+(-0.2))</f>
        <v>0.4</v>
      </c>
      <c r="F44" s="22" t="n">
        <f aca="false">MAX(0,att_A+(-0.2))</f>
        <v>0.4</v>
      </c>
      <c r="G44" s="22" t="n">
        <f aca="false">MAX(0,att_A+(-0.2))</f>
        <v>0.4</v>
      </c>
    </row>
    <row r="45" customFormat="false" ht="17.15" hidden="false" customHeight="false" outlineLevel="0" collapsed="false">
      <c r="A45" s="4" t="s">
        <v>634</v>
      </c>
      <c r="B45" s="0" t="s">
        <v>51</v>
      </c>
      <c r="D45" s="18" t="n">
        <f aca="false">gsh26</f>
        <v>1</v>
      </c>
      <c r="E45" s="18" t="n">
        <f aca="false">gsh26</f>
        <v>1</v>
      </c>
      <c r="F45" s="18" t="n">
        <f aca="false">MIN(1,gsh28_A)</f>
        <v>1</v>
      </c>
      <c r="G45" s="18" t="n">
        <f aca="false">MIN(1,gsh28_A)</f>
        <v>1</v>
      </c>
    </row>
    <row r="46" customFormat="false" ht="17.15" hidden="false" customHeight="false" outlineLevel="0" collapsed="false">
      <c r="A46" s="4" t="s">
        <v>576</v>
      </c>
      <c r="B46" s="4" t="s">
        <v>38</v>
      </c>
      <c r="D46" s="22" t="n">
        <f aca="false">D43*D44*D45</f>
        <v>1.25125</v>
      </c>
      <c r="E46" s="22" t="n">
        <f aca="false">E43*E44*E45*1</f>
        <v>2.2</v>
      </c>
      <c r="F46" s="22" t="n">
        <f aca="false">F43*F44*F45*1</f>
        <v>2.8</v>
      </c>
      <c r="G46" s="22" t="n">
        <f aca="false">G43*G44*G45*1</f>
        <v>3.22</v>
      </c>
    </row>
    <row r="47" customFormat="false" ht="17.15" hidden="false" customHeight="false" outlineLevel="0" collapsed="false">
      <c r="A47" s="4" t="s">
        <v>635</v>
      </c>
      <c r="B47" s="0" t="s">
        <v>116</v>
      </c>
      <c r="D47" s="20" t="n">
        <f aca="false">pc_cpu</f>
        <v>1</v>
      </c>
      <c r="E47" s="20" t="n">
        <f aca="false">pc_cpu</f>
        <v>1</v>
      </c>
      <c r="F47" s="20" t="n">
        <f aca="false">pc_cpu*pfc_A</f>
        <v>1.2</v>
      </c>
      <c r="G47" s="20" t="n">
        <f aca="false">pc_cpu*pfc_A</f>
        <v>1.2</v>
      </c>
    </row>
    <row r="48" customFormat="false" ht="17.15" hidden="false" customHeight="false" outlineLevel="0" collapsed="false">
      <c r="A48" s="0" t="s">
        <v>636</v>
      </c>
      <c r="B48" s="0" t="s">
        <v>581</v>
      </c>
      <c r="D48" s="20" t="n">
        <f aca="false">D46*D47</f>
        <v>1.25125</v>
      </c>
      <c r="E48" s="20" t="n">
        <f aca="false">E46*E47</f>
        <v>2.2</v>
      </c>
      <c r="F48" s="20" t="n">
        <f aca="false">F46*F47</f>
        <v>3.36</v>
      </c>
      <c r="G48" s="20" t="n">
        <f aca="false">G46*G47</f>
        <v>3.864</v>
      </c>
    </row>
    <row r="49" customFormat="false" ht="17.15" hidden="false" customHeight="false" outlineLevel="0" collapsed="false">
      <c r="A49" s="0" t="s">
        <v>637</v>
      </c>
      <c r="B49" s="0" t="s">
        <v>70</v>
      </c>
      <c r="D49" s="22" t="n">
        <f aca="false">a26_cpu/fx26/D48</f>
        <v>0.842704434805701</v>
      </c>
      <c r="K49" s="8" t="s">
        <v>638</v>
      </c>
    </row>
    <row r="50" customFormat="false" ht="17.15" hidden="false" customHeight="false" outlineLevel="0" collapsed="false">
      <c r="A50" s="0" t="s">
        <v>639</v>
      </c>
      <c r="B50" s="0" t="s">
        <v>581</v>
      </c>
      <c r="D50" s="20" t="n">
        <f aca="false">D48*$D$49</f>
        <v>1.05443392405063</v>
      </c>
      <c r="E50" s="20" t="n">
        <f aca="false">E48*$D$49</f>
        <v>1.85394975657254</v>
      </c>
      <c r="F50" s="20" t="n">
        <f aca="false">F48*$D$49</f>
        <v>2.83148690094715</v>
      </c>
      <c r="G50" s="20" t="n">
        <f aca="false">G48*$D$49</f>
        <v>3.25620993608923</v>
      </c>
    </row>
    <row r="51" customFormat="false" ht="15" hidden="false" customHeight="false" outlineLevel="0" collapsed="false">
      <c r="A51" s="4" t="s">
        <v>640</v>
      </c>
      <c r="B51" s="0" t="s">
        <v>273</v>
      </c>
      <c r="D51" s="20" t="n">
        <f aca="false">fx26</f>
        <v>31.6</v>
      </c>
      <c r="E51" s="20" t="n">
        <f aca="false">fx</f>
        <v>32</v>
      </c>
      <c r="F51" s="20" t="n">
        <f aca="false">fx</f>
        <v>32</v>
      </c>
      <c r="G51" s="20" t="n">
        <f aca="false">fx</f>
        <v>32</v>
      </c>
    </row>
    <row r="52" customFormat="false" ht="17.15" hidden="false" customHeight="false" outlineLevel="0" collapsed="false">
      <c r="A52" s="0" t="s">
        <v>641</v>
      </c>
      <c r="B52" s="0" t="s">
        <v>278</v>
      </c>
      <c r="C52" s="20" t="n">
        <f aca="false">a25_cpu</f>
        <v>6.14538</v>
      </c>
      <c r="D52" s="20" t="n">
        <f aca="false">D50*D51</f>
        <v>33.320112</v>
      </c>
      <c r="E52" s="20" t="n">
        <f aca="false">E50*E51</f>
        <v>59.3263922103213</v>
      </c>
      <c r="F52" s="20" t="n">
        <f aca="false">F50*F51</f>
        <v>90.6075808303089</v>
      </c>
      <c r="G52" s="20" t="n">
        <f aca="false">G50*G51</f>
        <v>104.198717954855</v>
      </c>
    </row>
    <row r="53" customFormat="false" ht="17.15" hidden="false" customHeight="false" outlineLevel="0" collapsed="false">
      <c r="A53" s="4" t="s">
        <v>578</v>
      </c>
      <c r="B53" s="0" t="s">
        <v>116</v>
      </c>
      <c r="D53" s="20" t="n">
        <f aca="false">IF(D46&gt;0,D50/D46,0)</f>
        <v>0.842704434805701</v>
      </c>
      <c r="E53" s="20" t="n">
        <f aca="false">IF(E46&gt;0,E50/E46,0)</f>
        <v>0.842704434805701</v>
      </c>
      <c r="F53" s="20" t="n">
        <f aca="false">IF(F46&gt;0,F50/F46,0)</f>
        <v>1.01124532176684</v>
      </c>
      <c r="G53" s="20" t="n">
        <f aca="false">IF(G46&gt;0,G50/G46,0)</f>
        <v>1.01124532176684</v>
      </c>
    </row>
    <row r="54" customFormat="false" ht="17.15" hidden="false" customHeight="false" outlineLevel="0" collapsed="false">
      <c r="A54" s="6" t="s">
        <v>642</v>
      </c>
    </row>
    <row r="55" customFormat="false" ht="17.15" hidden="false" customHeight="false" outlineLevel="0" collapsed="false">
      <c r="A55" s="4" t="s">
        <v>643</v>
      </c>
      <c r="B55" s="4" t="s">
        <v>38</v>
      </c>
      <c r="D55" s="22" t="n">
        <f aca="false">u_oth_26</f>
        <v>1</v>
      </c>
      <c r="E55" s="22" t="n">
        <f aca="false">u_oth_27</f>
        <v>4.5</v>
      </c>
      <c r="F55" s="22" t="n">
        <f aca="false">u_oth_28*um28_A</f>
        <v>5</v>
      </c>
      <c r="G55" s="22" t="n">
        <f aca="false">u_oth_28*(1+g29_oth)*um29_A</f>
        <v>5.75</v>
      </c>
    </row>
    <row r="56" customFormat="false" ht="17.15" hidden="false" customHeight="false" outlineLevel="0" collapsed="false">
      <c r="A56" s="4" t="s">
        <v>584</v>
      </c>
      <c r="B56" s="0" t="s">
        <v>51</v>
      </c>
      <c r="D56" s="18" t="n">
        <f aca="false">guc_oth_26</f>
        <v>0.03</v>
      </c>
      <c r="E56" s="18" t="n">
        <f aca="false">MIN(1,MAX(0,go27_A+0))</f>
        <v>0.06</v>
      </c>
      <c r="F56" s="18" t="n">
        <f aca="false">MIN(1,MAX(0,go28_A+0))</f>
        <v>0.08</v>
      </c>
      <c r="G56" s="18" t="n">
        <f aca="false">MIN(1,MAX(0,go28_A+0))</f>
        <v>0.08</v>
      </c>
    </row>
    <row r="57" customFormat="false" ht="17.15" hidden="false" customHeight="false" outlineLevel="0" collapsed="false">
      <c r="A57" s="4" t="s">
        <v>586</v>
      </c>
      <c r="B57" s="4" t="s">
        <v>38</v>
      </c>
      <c r="D57" s="22" t="n">
        <f aca="false">D55*D56</f>
        <v>0.03</v>
      </c>
      <c r="E57" s="22" t="n">
        <f aca="false">E55*E56*1</f>
        <v>0.27</v>
      </c>
      <c r="F57" s="22" t="n">
        <f aca="false">F55*F56*1</f>
        <v>0.4</v>
      </c>
      <c r="G57" s="22" t="n">
        <f aca="false">G55*G56*1</f>
        <v>0.46</v>
      </c>
    </row>
    <row r="58" customFormat="false" ht="17.15" hidden="false" customHeight="false" outlineLevel="0" collapsed="false">
      <c r="A58" s="0" t="s">
        <v>644</v>
      </c>
      <c r="B58" s="0" t="s">
        <v>581</v>
      </c>
      <c r="D58" s="20" t="n">
        <f aca="false">D57*core_oth</f>
        <v>0.18</v>
      </c>
      <c r="E58" s="20" t="n">
        <f aca="false">E57*core_oth</f>
        <v>1.62</v>
      </c>
      <c r="F58" s="20" t="n">
        <f aca="false">F57*core_oth</f>
        <v>2.4</v>
      </c>
      <c r="G58" s="20" t="n">
        <f aca="false">G57*core_oth</f>
        <v>2.76</v>
      </c>
    </row>
    <row r="59" customFormat="false" ht="17.15" hidden="false" customHeight="false" outlineLevel="0" collapsed="false">
      <c r="A59" s="0" t="s">
        <v>645</v>
      </c>
      <c r="B59" s="0" t="s">
        <v>70</v>
      </c>
      <c r="D59" s="22" t="n">
        <f aca="false">a26_asic/fx26/D58</f>
        <v>0.366122890295359</v>
      </c>
      <c r="K59" s="8" t="s">
        <v>646</v>
      </c>
    </row>
    <row r="60" customFormat="false" ht="17.15" hidden="false" customHeight="false" outlineLevel="0" collapsed="false">
      <c r="A60" s="0" t="s">
        <v>647</v>
      </c>
      <c r="B60" s="0" t="s">
        <v>581</v>
      </c>
      <c r="D60" s="20" t="n">
        <f aca="false">D58*$D$59</f>
        <v>0.0659021202531645</v>
      </c>
      <c r="E60" s="20" t="n">
        <f aca="false">E58*$D$59</f>
        <v>0.593119082278481</v>
      </c>
      <c r="F60" s="20" t="n">
        <f aca="false">F58*$D$59</f>
        <v>0.878694936708861</v>
      </c>
      <c r="G60" s="20" t="n">
        <f aca="false">G58*$D$59</f>
        <v>1.01049917721519</v>
      </c>
    </row>
    <row r="61" customFormat="false" ht="17.15" hidden="false" customHeight="false" outlineLevel="0" collapsed="false">
      <c r="A61" s="0" t="s">
        <v>648</v>
      </c>
      <c r="B61" s="0" t="s">
        <v>278</v>
      </c>
      <c r="C61" s="20" t="n">
        <f aca="false">a25_asic</f>
        <v>1.70705</v>
      </c>
      <c r="D61" s="20" t="n">
        <f aca="false">D60*D51</f>
        <v>2.082507</v>
      </c>
      <c r="E61" s="20" t="n">
        <f aca="false">E60*E51</f>
        <v>18.9798106329114</v>
      </c>
      <c r="F61" s="20" t="n">
        <f aca="false">F60*F51</f>
        <v>28.1182379746835</v>
      </c>
      <c r="G61" s="20" t="n">
        <f aca="false">G60*G51</f>
        <v>32.3359736708861</v>
      </c>
    </row>
    <row r="62" customFormat="false" ht="17.15" hidden="false" customHeight="false" outlineLevel="0" collapsed="false">
      <c r="A62" s="6" t="s">
        <v>649</v>
      </c>
    </row>
    <row r="63" customFormat="false" ht="17.15" hidden="false" customHeight="false" outlineLevel="0" collapsed="false">
      <c r="A63" s="4" t="s">
        <v>650</v>
      </c>
      <c r="B63" s="0" t="s">
        <v>278</v>
      </c>
      <c r="C63" s="20" t="n">
        <f aca="false">a25_auto</f>
        <v>1.02423</v>
      </c>
      <c r="D63" s="20" t="n">
        <f aca="false">a26_auto</f>
        <v>3.470845</v>
      </c>
      <c r="E63" s="20" t="n">
        <f aca="false">D63*am27_A</f>
        <v>13.88338</v>
      </c>
      <c r="F63" s="20" t="n">
        <f aca="false">E63*am28_A</f>
        <v>27.76676</v>
      </c>
      <c r="G63" s="20" t="n">
        <f aca="false">F63*(1+ag29_A)</f>
        <v>33.320112</v>
      </c>
    </row>
    <row r="64" customFormat="false" ht="17.15" hidden="false" customHeight="false" outlineLevel="0" collapsed="false">
      <c r="A64" s="4" t="s">
        <v>651</v>
      </c>
      <c r="B64" s="0" t="s">
        <v>278</v>
      </c>
      <c r="C64" s="20" t="n">
        <f aca="false">a25_oth</f>
        <v>25.26434</v>
      </c>
      <c r="D64" s="20" t="n">
        <f aca="false">a26_oth</f>
        <v>30.543436</v>
      </c>
      <c r="E64" s="20" t="n">
        <f aca="false">D64*(1+g_o27_A)</f>
        <v>35.1249514</v>
      </c>
      <c r="F64" s="20" t="n">
        <f aca="false">E64*(1+g_oL_A)</f>
        <v>38.63744654</v>
      </c>
      <c r="G64" s="20" t="n">
        <f aca="false">F64*(1+g_oL_A)</f>
        <v>42.501191194</v>
      </c>
    </row>
    <row r="65" customFormat="false" ht="17.15" hidden="false" customHeight="false" outlineLevel="0" collapsed="false">
      <c r="A65" s="4" t="s">
        <v>503</v>
      </c>
      <c r="B65" s="0" t="s">
        <v>278</v>
      </c>
      <c r="C65" s="20" t="n">
        <f aca="false">C52+C61+C63+C64</f>
        <v>34.141</v>
      </c>
      <c r="D65" s="20" t="n">
        <f aca="false">D52+D61+D63+D64</f>
        <v>69.4169</v>
      </c>
      <c r="E65" s="20" t="n">
        <f aca="false">E52+E61+E63+E64</f>
        <v>127.314534243233</v>
      </c>
      <c r="F65" s="20" t="n">
        <f aca="false">F52+F61+F63+F64</f>
        <v>185.130025344992</v>
      </c>
      <c r="G65" s="20" t="n">
        <f aca="false">G52+G61+G63+G64</f>
        <v>212.355994819741</v>
      </c>
      <c r="H65" s="28" t="n">
        <f aca="false">G65*(1+H66)</f>
        <v>237.423068410729</v>
      </c>
      <c r="I65" s="28" t="n">
        <f aca="false">H65*(1+I66)</f>
        <v>258.558789699879</v>
      </c>
      <c r="J65" s="28" t="n">
        <f aca="false">I65*(1+J66)</f>
        <v>274.072317081872</v>
      </c>
      <c r="K65" s="8" t="s">
        <v>652</v>
      </c>
    </row>
    <row r="66" customFormat="false" ht="15" hidden="false" customHeight="false" outlineLevel="0" collapsed="false">
      <c r="A66" s="4" t="s">
        <v>653</v>
      </c>
      <c r="B66" s="0" t="s">
        <v>51</v>
      </c>
      <c r="D66" s="18" t="n">
        <f aca="false">D65/C65-1</f>
        <v>1.03324155707214</v>
      </c>
      <c r="E66" s="18" t="n">
        <f aca="false">E65/D65-1</f>
        <v>0.834056753373209</v>
      </c>
      <c r="F66" s="18" t="n">
        <f aca="false">F65/E65-1</f>
        <v>0.454115403598022</v>
      </c>
      <c r="G66" s="18" t="n">
        <f aca="false">G65/F65-1</f>
        <v>0.14706404011998</v>
      </c>
      <c r="H66" s="26" t="n">
        <f aca="false">$G66+(fade_gA-$G66)*1/3</f>
        <v>0.11804269341332</v>
      </c>
      <c r="I66" s="26" t="n">
        <f aca="false">$G66+(fade_gA-$G66)*2/3</f>
        <v>0.0890213467066599</v>
      </c>
      <c r="J66" s="26" t="n">
        <f aca="false">$G66+(fade_gA-$G66)*3/3</f>
        <v>0.06</v>
      </c>
    </row>
    <row r="67" customFormat="false" ht="17.15" hidden="false" customHeight="false" outlineLevel="0" collapsed="false">
      <c r="A67" s="0" t="s">
        <v>654</v>
      </c>
      <c r="B67" s="0" t="s">
        <v>51</v>
      </c>
      <c r="C67" s="18" t="n">
        <f aca="false">C52/C65</f>
        <v>0.18</v>
      </c>
      <c r="D67" s="18" t="n">
        <f aca="false">D52/D65</f>
        <v>0.48</v>
      </c>
      <c r="E67" s="18" t="n">
        <f aca="false">E52/E65</f>
        <v>0.465982871185618</v>
      </c>
      <c r="F67" s="18" t="n">
        <f aca="false">F52/F65</f>
        <v>0.48942671866144</v>
      </c>
      <c r="G67" s="18" t="n">
        <f aca="false">G52/G65</f>
        <v>0.490679427455318</v>
      </c>
    </row>
    <row r="68" customFormat="false" ht="17.15" hidden="false" customHeight="false" outlineLevel="0" collapsed="false">
      <c r="A68" s="4" t="s">
        <v>655</v>
      </c>
      <c r="B68" s="0" t="s">
        <v>51</v>
      </c>
      <c r="C68" s="18" t="n">
        <f aca="false">C63/C65</f>
        <v>0.03</v>
      </c>
      <c r="D68" s="18" t="n">
        <f aca="false">D63/D65</f>
        <v>0.05</v>
      </c>
      <c r="E68" s="18" t="n">
        <f aca="false">E63/E65</f>
        <v>0.109047879588327</v>
      </c>
      <c r="F68" s="18" t="n">
        <f aca="false">F63/F65</f>
        <v>0.149985179055943</v>
      </c>
      <c r="G68" s="18" t="n">
        <f aca="false">G63/G65</f>
        <v>0.156906858354923</v>
      </c>
    </row>
    <row r="69" customFormat="false" ht="17.15" hidden="false" customHeight="false" outlineLevel="0" collapsed="false">
      <c r="A69" s="6" t="s">
        <v>656</v>
      </c>
    </row>
    <row r="70" customFormat="false" ht="17.15" hidden="false" customHeight="false" outlineLevel="0" collapsed="false">
      <c r="A70" s="0" t="s">
        <v>657</v>
      </c>
      <c r="B70" s="0" t="s">
        <v>278</v>
      </c>
      <c r="D70" s="20" t="n">
        <f aca="false">m_tk*(D52+D61)</f>
        <v>4.60234047</v>
      </c>
      <c r="E70" s="20" t="n">
        <f aca="false">(m_tk+gta_A)*(E52+E61)</f>
        <v>10.9628683980526</v>
      </c>
      <c r="F70" s="20" t="n">
        <f aca="false">(m_tk+gta_A)*(F52+F61)</f>
        <v>16.6216146326989</v>
      </c>
      <c r="G70" s="20" t="n">
        <f aca="false">(m_tk+gta_A)*(G52+G61)</f>
        <v>19.1148568276038</v>
      </c>
    </row>
    <row r="71" customFormat="false" ht="17.15" hidden="false" customHeight="false" outlineLevel="0" collapsed="false">
      <c r="A71" s="4" t="s">
        <v>658</v>
      </c>
      <c r="B71" s="0" t="s">
        <v>278</v>
      </c>
      <c r="D71" s="20" t="n">
        <f aca="false">m_auto*D63</f>
        <v>0.5553352</v>
      </c>
      <c r="E71" s="20" t="n">
        <f aca="false">m_auto*E63</f>
        <v>2.2213408</v>
      </c>
      <c r="F71" s="20" t="n">
        <f aca="false">m_auto*F63</f>
        <v>4.4426816</v>
      </c>
      <c r="G71" s="20" t="n">
        <f aca="false">m_auto*G63</f>
        <v>5.33121792</v>
      </c>
    </row>
    <row r="72" customFormat="false" ht="17.15" hidden="false" customHeight="false" outlineLevel="0" collapsed="false">
      <c r="A72" s="4" t="s">
        <v>659</v>
      </c>
      <c r="B72" s="0" t="s">
        <v>51</v>
      </c>
      <c r="C72" s="9" t="n">
        <f aca="false">(a25_gp-m_tk*(C52+C61)-m_auto*C63)/C64</f>
        <v>0.287729950594395</v>
      </c>
      <c r="D72" s="9" t="n">
        <f aca="false">(a26_gp-D70-D71)/D64</f>
        <v>0.310829299951715</v>
      </c>
      <c r="E72" s="9" t="n">
        <f aca="false">$D72+0</f>
        <v>0.310829299951715</v>
      </c>
      <c r="F72" s="9" t="n">
        <f aca="false">$D72+0</f>
        <v>0.310829299951715</v>
      </c>
      <c r="G72" s="9" t="n">
        <f aca="false">$D72+0</f>
        <v>0.310829299951715</v>
      </c>
      <c r="K72" s="8" t="s">
        <v>660</v>
      </c>
    </row>
    <row r="73" customFormat="false" ht="15" hidden="false" customHeight="false" outlineLevel="0" collapsed="false">
      <c r="A73" s="4" t="s">
        <v>516</v>
      </c>
      <c r="B73" s="0" t="s">
        <v>278</v>
      </c>
      <c r="C73" s="20" t="n">
        <f aca="false">a25_gp</f>
        <v>8.454</v>
      </c>
      <c r="D73" s="20" t="n">
        <f aca="false">a26_gp</f>
        <v>14.6514705</v>
      </c>
      <c r="E73" s="20" t="n">
        <f aca="false">E72*E64+E70+E71</f>
        <v>24.1020732525526</v>
      </c>
      <c r="F73" s="20" t="n">
        <f aca="false">F72*F64+F70+F71</f>
        <v>33.0739466926489</v>
      </c>
      <c r="G73" s="20" t="n">
        <f aca="false">G72*G64+G70+G71</f>
        <v>37.6566902535488</v>
      </c>
    </row>
    <row r="74" customFormat="false" ht="15" hidden="false" customHeight="false" outlineLevel="0" collapsed="false">
      <c r="A74" s="4" t="s">
        <v>519</v>
      </c>
      <c r="B74" s="0" t="s">
        <v>51</v>
      </c>
      <c r="C74" s="9" t="n">
        <f aca="false">C73/C65</f>
        <v>0.247620163439852</v>
      </c>
      <c r="D74" s="9" t="n">
        <f aca="false">D73/D65</f>
        <v>0.211064891978754</v>
      </c>
      <c r="E74" s="9" t="n">
        <f aca="false">E73/E65</f>
        <v>0.189311247107937</v>
      </c>
      <c r="F74" s="9" t="n">
        <f aca="false">F73/F65</f>
        <v>0.178652526142181</v>
      </c>
      <c r="G74" s="9" t="n">
        <f aca="false">G73/G65</f>
        <v>0.177328124339102</v>
      </c>
    </row>
    <row r="75" customFormat="false" ht="15" hidden="false" customHeight="false" outlineLevel="0" collapsed="false">
      <c r="A75" s="4" t="s">
        <v>521</v>
      </c>
      <c r="B75" s="0" t="s">
        <v>278</v>
      </c>
      <c r="C75" s="20" t="n">
        <f aca="false">a25_opx</f>
        <v>4.104</v>
      </c>
      <c r="D75" s="20" t="n">
        <f aca="false">a26_opx</f>
        <v>5.365972</v>
      </c>
      <c r="E75" s="20" t="n">
        <f aca="false">D75*(1+MAX(g_opx_min,phi*E66))+0*E65</f>
        <v>6.70862955550346</v>
      </c>
      <c r="F75" s="20" t="n">
        <f aca="false">E75*(1+MAX(g_opx_min,phi*F66))+0*F65</f>
        <v>7.62257716095959</v>
      </c>
      <c r="G75" s="20" t="n">
        <f aca="false">F75*(1+MAX(g_opx_min,phi*G66))+0*G65</f>
        <v>8.23238333383635</v>
      </c>
    </row>
    <row r="76" customFormat="false" ht="15" hidden="false" customHeight="false" outlineLevel="0" collapsed="false">
      <c r="A76" s="4" t="s">
        <v>524</v>
      </c>
      <c r="B76" s="0" t="s">
        <v>278</v>
      </c>
      <c r="C76" s="20" t="n">
        <f aca="false">C73-C75</f>
        <v>4.35</v>
      </c>
      <c r="D76" s="20" t="n">
        <f aca="false">D73-D75</f>
        <v>9.2854985</v>
      </c>
      <c r="E76" s="20" t="n">
        <f aca="false">E73-E75</f>
        <v>17.3934436970491</v>
      </c>
      <c r="F76" s="20" t="n">
        <f aca="false">F73-F75</f>
        <v>25.4513695316894</v>
      </c>
      <c r="G76" s="20" t="n">
        <f aca="false">G73-G75</f>
        <v>29.4243069197124</v>
      </c>
    </row>
    <row r="77" customFormat="false" ht="15" hidden="false" customHeight="false" outlineLevel="0" collapsed="false">
      <c r="A77" s="4" t="s">
        <v>621</v>
      </c>
      <c r="B77" s="0" t="s">
        <v>51</v>
      </c>
      <c r="C77" s="9" t="n">
        <f aca="false">C76/C65</f>
        <v>0.127412788143288</v>
      </c>
      <c r="D77" s="9" t="n">
        <f aca="false">D76/D65</f>
        <v>0.13376423464603</v>
      </c>
      <c r="E77" s="9" t="n">
        <f aca="false">E76/E65</f>
        <v>0.136617895202909</v>
      </c>
      <c r="F77" s="9" t="n">
        <f aca="false">F76/F65</f>
        <v>0.1374783452023</v>
      </c>
      <c r="G77" s="9" t="n">
        <f aca="false">G76/G65</f>
        <v>0.138561225665841</v>
      </c>
    </row>
    <row r="78" customFormat="false" ht="15" hidden="false" customHeight="false" outlineLevel="0" collapsed="false">
      <c r="A78" s="4" t="s">
        <v>527</v>
      </c>
      <c r="B78" s="0" t="s">
        <v>278</v>
      </c>
      <c r="C78" s="20" t="n">
        <f aca="false">a25_nonop</f>
        <v>0.0920000000000005</v>
      </c>
      <c r="D78" s="20" t="n">
        <f aca="false">a26_nonop</f>
        <v>0.384548</v>
      </c>
      <c r="E78" s="20" t="n">
        <f aca="false">nonop_f</f>
        <v>0.5</v>
      </c>
      <c r="F78" s="20" t="n">
        <f aca="false">nonop_f</f>
        <v>0.5</v>
      </c>
      <c r="G78" s="20" t="n">
        <f aca="false">nonop_f</f>
        <v>0.5</v>
      </c>
    </row>
    <row r="79" customFormat="false" ht="15" hidden="false" customHeight="false" outlineLevel="0" collapsed="false">
      <c r="A79" s="4" t="s">
        <v>529</v>
      </c>
      <c r="B79" s="0" t="s">
        <v>278</v>
      </c>
      <c r="C79" s="20" t="n">
        <f aca="false">C76+C78</f>
        <v>4.442</v>
      </c>
      <c r="D79" s="20" t="n">
        <f aca="false">D76+D78</f>
        <v>9.6700465</v>
      </c>
      <c r="E79" s="20" t="n">
        <f aca="false">E76+E78</f>
        <v>17.8934436970491</v>
      </c>
      <c r="F79" s="20" t="n">
        <f aca="false">F76+F78</f>
        <v>25.9513695316894</v>
      </c>
      <c r="G79" s="20" t="n">
        <f aca="false">G76+G78</f>
        <v>29.9243069197124</v>
      </c>
    </row>
    <row r="80" customFormat="false" ht="15" hidden="false" customHeight="false" outlineLevel="0" collapsed="false">
      <c r="A80" s="4" t="s">
        <v>531</v>
      </c>
      <c r="B80" s="0" t="s">
        <v>278</v>
      </c>
      <c r="C80" s="20" t="n">
        <f aca="false">a25_tax</f>
        <v>0.672</v>
      </c>
      <c r="D80" s="20" t="n">
        <f aca="false">a26_tax</f>
        <v>1.337361725</v>
      </c>
      <c r="E80" s="20" t="n">
        <f aca="false">E79*tax</f>
        <v>2.68401655455737</v>
      </c>
      <c r="F80" s="20" t="n">
        <f aca="false">F79*tax</f>
        <v>3.8927054297534</v>
      </c>
      <c r="G80" s="20" t="n">
        <f aca="false">G79*tax</f>
        <v>4.48864603795686</v>
      </c>
    </row>
    <row r="81" customFormat="false" ht="15" hidden="false" customHeight="false" outlineLevel="0" collapsed="false">
      <c r="A81" s="4" t="s">
        <v>534</v>
      </c>
      <c r="B81" s="0" t="s">
        <v>278</v>
      </c>
      <c r="C81" s="20" t="n">
        <f aca="false">C79-C80</f>
        <v>3.77</v>
      </c>
      <c r="D81" s="20" t="n">
        <f aca="false">D79-D80</f>
        <v>8.332684775</v>
      </c>
      <c r="E81" s="20" t="n">
        <f aca="false">E79-E80</f>
        <v>15.2094271424917</v>
      </c>
      <c r="F81" s="20" t="n">
        <f aca="false">F79-F80</f>
        <v>22.058664101936</v>
      </c>
      <c r="G81" s="20" t="n">
        <f aca="false">G79-G80</f>
        <v>25.4356608817556</v>
      </c>
      <c r="H81" s="28" t="n">
        <f aca="false">H65*H85</f>
        <v>28.2028665861657</v>
      </c>
      <c r="I81" s="28" t="n">
        <f aca="false">I65*I85</f>
        <v>30.4572898620869</v>
      </c>
      <c r="J81" s="28" t="n">
        <f aca="false">J65*J85</f>
        <v>32.0131193319304</v>
      </c>
    </row>
    <row r="82" customFormat="false" ht="15" hidden="false" customHeight="false" outlineLevel="0" collapsed="false">
      <c r="A82" s="4" t="s">
        <v>312</v>
      </c>
      <c r="B82" s="4" t="s">
        <v>313</v>
      </c>
      <c r="C82" s="19" t="n">
        <f aca="false">a25_sh</f>
        <v>0.134020618556701</v>
      </c>
      <c r="D82" s="19" t="n">
        <f aca="false">a26_sh</f>
        <v>0.13399883744778</v>
      </c>
      <c r="E82" s="19" t="n">
        <f aca="false">q_sh*(1+sh_g)</f>
        <v>0.13401</v>
      </c>
      <c r="F82" s="19" t="n">
        <f aca="false">E82*(1+sh_g)</f>
        <v>0.13401</v>
      </c>
      <c r="G82" s="19" t="n">
        <f aca="false">F82*(1+sh_g)</f>
        <v>0.13401</v>
      </c>
      <c r="H82" s="30" t="n">
        <f aca="false">G82*(1+sh_g)</f>
        <v>0.13401</v>
      </c>
      <c r="I82" s="30" t="n">
        <f aca="false">H82*(1+sh_g)</f>
        <v>0.13401</v>
      </c>
      <c r="J82" s="30" t="n">
        <f aca="false">I82*(1+sh_g)</f>
        <v>0.13401</v>
      </c>
    </row>
    <row r="83" customFormat="false" ht="17.15" hidden="false" customHeight="false" outlineLevel="0" collapsed="false">
      <c r="A83" s="0" t="s">
        <v>538</v>
      </c>
      <c r="B83" s="0" t="s">
        <v>356</v>
      </c>
      <c r="C83" s="20" t="n">
        <f aca="false">C81/C82</f>
        <v>28.13</v>
      </c>
      <c r="D83" s="20" t="n">
        <f aca="false">D81/D82</f>
        <v>62.1847542389856</v>
      </c>
      <c r="E83" s="20" t="n">
        <f aca="false">E81/E82</f>
        <v>113.49471787547</v>
      </c>
      <c r="F83" s="20" t="n">
        <f aca="false">F81/F82</f>
        <v>164.604612356809</v>
      </c>
      <c r="G83" s="20" t="n">
        <f aca="false">G81/G82</f>
        <v>189.804200296661</v>
      </c>
      <c r="H83" s="28" t="n">
        <f aca="false">H81/H82</f>
        <v>210.453448146897</v>
      </c>
      <c r="I83" s="28" t="n">
        <f aca="false">I81/I82</f>
        <v>227.276247012065</v>
      </c>
      <c r="J83" s="28" t="n">
        <f aca="false">J81/J82</f>
        <v>238.886048294384</v>
      </c>
    </row>
    <row r="84" customFormat="false" ht="17.15" hidden="false" customHeight="false" outlineLevel="0" collapsed="false">
      <c r="A84" s="0" t="s">
        <v>661</v>
      </c>
      <c r="B84" s="0" t="s">
        <v>51</v>
      </c>
      <c r="D84" s="18" t="n">
        <f aca="false">D83/C83-1</f>
        <v>1.21062048485551</v>
      </c>
      <c r="E84" s="18" t="n">
        <f aca="false">E83/D83-1</f>
        <v>0.825121273926602</v>
      </c>
      <c r="F84" s="18" t="n">
        <f aca="false">F83/E83-1</f>
        <v>0.450328397991334</v>
      </c>
      <c r="G84" s="18" t="n">
        <f aca="false">G83/F83-1</f>
        <v>0.153091627136352</v>
      </c>
      <c r="H84" s="26" t="n">
        <f aca="false">H83/G83-1</f>
        <v>0.108792365068643</v>
      </c>
      <c r="I84" s="26" t="n">
        <f aca="false">I83/H83-1</f>
        <v>0.0799359621488618</v>
      </c>
      <c r="J84" s="26" t="n">
        <f aca="false">J83/I83-1</f>
        <v>0.0510823345375935</v>
      </c>
    </row>
    <row r="85" customFormat="false" ht="17.15" hidden="false" customHeight="false" outlineLevel="0" collapsed="false">
      <c r="A85" s="4" t="s">
        <v>662</v>
      </c>
      <c r="B85" s="0" t="s">
        <v>51</v>
      </c>
      <c r="C85" s="9" t="n">
        <f aca="false">C81/C65</f>
        <v>0.11042441639085</v>
      </c>
      <c r="D85" s="9" t="n">
        <f aca="false">D81/D65</f>
        <v>0.1200382727405</v>
      </c>
      <c r="E85" s="9" t="n">
        <f aca="false">E81/E65</f>
        <v>0.11946340009723</v>
      </c>
      <c r="F85" s="9" t="n">
        <f aca="false">F81/F65</f>
        <v>0.119152277221533</v>
      </c>
      <c r="G85" s="9" t="n">
        <f aca="false">G81/G65</f>
        <v>0.119778398077938</v>
      </c>
      <c r="H85" s="27" t="n">
        <f aca="false">$G85+(fade_mA-$G85)*1/3</f>
        <v>0.118787389847798</v>
      </c>
      <c r="I85" s="27" t="n">
        <f aca="false">$G85+(fade_mA-$G85)*2/3</f>
        <v>0.117796381617658</v>
      </c>
      <c r="J85" s="27" t="n">
        <f aca="false">$G85+(fade_mA-$G85)*3/3</f>
        <v>0.116805373387519</v>
      </c>
    </row>
    <row r="88" customFormat="false" ht="17.15" hidden="false" customHeight="false" outlineLevel="0" collapsed="false">
      <c r="A88" s="1" t="s">
        <v>982</v>
      </c>
    </row>
    <row r="89" customFormat="false" ht="17.15" hidden="false" customHeight="false" outlineLevel="0" collapsed="false">
      <c r="A89" s="5" t="s">
        <v>27</v>
      </c>
      <c r="B89" s="5" t="s">
        <v>28</v>
      </c>
      <c r="C89" s="16" t="s">
        <v>497</v>
      </c>
      <c r="D89" s="16" t="s">
        <v>610</v>
      </c>
      <c r="E89" s="16" t="s">
        <v>611</v>
      </c>
      <c r="F89" s="16" t="s">
        <v>612</v>
      </c>
      <c r="G89" s="16" t="s">
        <v>613</v>
      </c>
      <c r="H89" s="16" t="s">
        <v>614</v>
      </c>
      <c r="I89" s="16" t="s">
        <v>615</v>
      </c>
      <c r="J89" s="16" t="s">
        <v>616</v>
      </c>
      <c r="K89" s="5" t="s">
        <v>450</v>
      </c>
    </row>
    <row r="90" customFormat="false" ht="17.15" hidden="false" customHeight="false" outlineLevel="0" collapsed="false">
      <c r="A90" s="6" t="s">
        <v>632</v>
      </c>
    </row>
    <row r="91" customFormat="false" ht="17.15" hidden="false" customHeight="false" outlineLevel="0" collapsed="false">
      <c r="A91" s="0" t="s">
        <v>633</v>
      </c>
      <c r="B91" s="4" t="s">
        <v>38</v>
      </c>
      <c r="D91" s="22" t="n">
        <f aca="false">u_tpu_26</f>
        <v>3.85</v>
      </c>
      <c r="E91" s="22" t="n">
        <f aca="false">u_tpu_27</f>
        <v>5.5</v>
      </c>
      <c r="F91" s="22" t="n">
        <f aca="false">u_tpu_28*um28_A</f>
        <v>7</v>
      </c>
      <c r="G91" s="22" t="n">
        <f aca="false">u_tpu_28*(1+g29_tpu)*um29_A</f>
        <v>8.05</v>
      </c>
    </row>
    <row r="92" customFormat="false" ht="17.15" hidden="false" customHeight="false" outlineLevel="0" collapsed="false">
      <c r="A92" s="0" t="s">
        <v>574</v>
      </c>
      <c r="B92" s="0" t="s">
        <v>70</v>
      </c>
      <c r="D92" s="22" t="n">
        <f aca="false">att26</f>
        <v>0.325</v>
      </c>
      <c r="E92" s="22" t="n">
        <f aca="false">MAX(0,att_A+0.15)</f>
        <v>0.75</v>
      </c>
      <c r="F92" s="22" t="n">
        <f aca="false">MAX(0,att_A+0.15)</f>
        <v>0.75</v>
      </c>
      <c r="G92" s="22" t="n">
        <f aca="false">MAX(0,att_A+0.15)</f>
        <v>0.75</v>
      </c>
    </row>
    <row r="93" customFormat="false" ht="17.15" hidden="false" customHeight="false" outlineLevel="0" collapsed="false">
      <c r="A93" s="4" t="s">
        <v>634</v>
      </c>
      <c r="B93" s="0" t="s">
        <v>51</v>
      </c>
      <c r="D93" s="18" t="n">
        <f aca="false">gsh26</f>
        <v>1</v>
      </c>
      <c r="E93" s="18" t="n">
        <f aca="false">gsh26</f>
        <v>1</v>
      </c>
      <c r="F93" s="18" t="n">
        <f aca="false">MIN(1,gsh28_A)</f>
        <v>1</v>
      </c>
      <c r="G93" s="18" t="n">
        <f aca="false">MIN(1,gsh28_A)</f>
        <v>1</v>
      </c>
    </row>
    <row r="94" customFormat="false" ht="17.15" hidden="false" customHeight="false" outlineLevel="0" collapsed="false">
      <c r="A94" s="4" t="s">
        <v>576</v>
      </c>
      <c r="B94" s="4" t="s">
        <v>38</v>
      </c>
      <c r="D94" s="22" t="n">
        <f aca="false">D91*D92*D93</f>
        <v>1.25125</v>
      </c>
      <c r="E94" s="22" t="n">
        <f aca="false">E91*E92*E93*1</f>
        <v>4.125</v>
      </c>
      <c r="F94" s="22" t="n">
        <f aca="false">F91*F92*F93*1</f>
        <v>5.25</v>
      </c>
      <c r="G94" s="22" t="n">
        <f aca="false">G91*G92*G93*1</f>
        <v>6.0375</v>
      </c>
    </row>
    <row r="95" customFormat="false" ht="17.15" hidden="false" customHeight="false" outlineLevel="0" collapsed="false">
      <c r="A95" s="4" t="s">
        <v>635</v>
      </c>
      <c r="B95" s="0" t="s">
        <v>116</v>
      </c>
      <c r="D95" s="20" t="n">
        <f aca="false">pc_cpu</f>
        <v>1</v>
      </c>
      <c r="E95" s="20" t="n">
        <f aca="false">pc_cpu</f>
        <v>1</v>
      </c>
      <c r="F95" s="20" t="n">
        <f aca="false">pc_cpu*pfc_A</f>
        <v>1.2</v>
      </c>
      <c r="G95" s="20" t="n">
        <f aca="false">pc_cpu*pfc_A</f>
        <v>1.2</v>
      </c>
    </row>
    <row r="96" customFormat="false" ht="17.15" hidden="false" customHeight="false" outlineLevel="0" collapsed="false">
      <c r="A96" s="0" t="s">
        <v>636</v>
      </c>
      <c r="B96" s="0" t="s">
        <v>581</v>
      </c>
      <c r="D96" s="20" t="n">
        <f aca="false">D94*D95</f>
        <v>1.25125</v>
      </c>
      <c r="E96" s="20" t="n">
        <f aca="false">E94*E95</f>
        <v>4.125</v>
      </c>
      <c r="F96" s="20" t="n">
        <f aca="false">F94*F95</f>
        <v>6.3</v>
      </c>
      <c r="G96" s="20" t="n">
        <f aca="false">G94*G95</f>
        <v>7.245</v>
      </c>
    </row>
    <row r="97" customFormat="false" ht="17.15" hidden="false" customHeight="false" outlineLevel="0" collapsed="false">
      <c r="A97" s="0" t="s">
        <v>637</v>
      </c>
      <c r="B97" s="0" t="s">
        <v>70</v>
      </c>
      <c r="D97" s="22" t="n">
        <f aca="false">a26_cpu/fx26/D96</f>
        <v>0.842704434805701</v>
      </c>
      <c r="K97" s="8" t="s">
        <v>638</v>
      </c>
    </row>
    <row r="98" customFormat="false" ht="17.15" hidden="false" customHeight="false" outlineLevel="0" collapsed="false">
      <c r="A98" s="0" t="s">
        <v>639</v>
      </c>
      <c r="B98" s="0" t="s">
        <v>581</v>
      </c>
      <c r="D98" s="20" t="n">
        <f aca="false">D96*$D$97</f>
        <v>1.05443392405063</v>
      </c>
      <c r="E98" s="20" t="n">
        <f aca="false">E96*$D$97</f>
        <v>3.47615579357351</v>
      </c>
      <c r="F98" s="20" t="n">
        <f aca="false">F96*$D$97</f>
        <v>5.30903793927591</v>
      </c>
      <c r="G98" s="20" t="n">
        <f aca="false">G96*$D$97</f>
        <v>6.1053936301673</v>
      </c>
    </row>
    <row r="99" customFormat="false" ht="15" hidden="false" customHeight="false" outlineLevel="0" collapsed="false">
      <c r="A99" s="4" t="s">
        <v>640</v>
      </c>
      <c r="B99" s="0" t="s">
        <v>273</v>
      </c>
      <c r="D99" s="20" t="n">
        <f aca="false">fx26</f>
        <v>31.6</v>
      </c>
      <c r="E99" s="20" t="n">
        <f aca="false">fx</f>
        <v>32</v>
      </c>
      <c r="F99" s="20" t="n">
        <f aca="false">fx</f>
        <v>32</v>
      </c>
      <c r="G99" s="20" t="n">
        <f aca="false">fx</f>
        <v>32</v>
      </c>
    </row>
    <row r="100" customFormat="false" ht="17.15" hidden="false" customHeight="false" outlineLevel="0" collapsed="false">
      <c r="A100" s="0" t="s">
        <v>641</v>
      </c>
      <c r="B100" s="0" t="s">
        <v>278</v>
      </c>
      <c r="C100" s="20" t="n">
        <f aca="false">a25_cpu</f>
        <v>6.14538</v>
      </c>
      <c r="D100" s="20" t="n">
        <f aca="false">D98*D99</f>
        <v>33.320112</v>
      </c>
      <c r="E100" s="20" t="n">
        <f aca="false">E98*E99</f>
        <v>111.236985394352</v>
      </c>
      <c r="F100" s="20" t="n">
        <f aca="false">F98*F99</f>
        <v>169.889214056829</v>
      </c>
      <c r="G100" s="20" t="n">
        <f aca="false">G98*G99</f>
        <v>195.372596165354</v>
      </c>
    </row>
    <row r="101" customFormat="false" ht="17.15" hidden="false" customHeight="false" outlineLevel="0" collapsed="false">
      <c r="A101" s="4" t="s">
        <v>578</v>
      </c>
      <c r="B101" s="0" t="s">
        <v>116</v>
      </c>
      <c r="D101" s="20" t="n">
        <f aca="false">IF(D94&gt;0,D98/D94,0)</f>
        <v>0.842704434805701</v>
      </c>
      <c r="E101" s="20" t="n">
        <f aca="false">IF(E94&gt;0,E98/E94,0)</f>
        <v>0.842704434805701</v>
      </c>
      <c r="F101" s="20" t="n">
        <f aca="false">IF(F94&gt;0,F98/F94,0)</f>
        <v>1.01124532176684</v>
      </c>
      <c r="G101" s="20" t="n">
        <f aca="false">IF(G94&gt;0,G98/G94,0)</f>
        <v>1.01124532176684</v>
      </c>
    </row>
    <row r="102" customFormat="false" ht="17.15" hidden="false" customHeight="false" outlineLevel="0" collapsed="false">
      <c r="A102" s="6" t="s">
        <v>642</v>
      </c>
    </row>
    <row r="103" customFormat="false" ht="17.15" hidden="false" customHeight="false" outlineLevel="0" collapsed="false">
      <c r="A103" s="4" t="s">
        <v>643</v>
      </c>
      <c r="B103" s="4" t="s">
        <v>38</v>
      </c>
      <c r="D103" s="22" t="n">
        <f aca="false">u_oth_26</f>
        <v>1</v>
      </c>
      <c r="E103" s="22" t="n">
        <f aca="false">u_oth_27</f>
        <v>4.5</v>
      </c>
      <c r="F103" s="22" t="n">
        <f aca="false">u_oth_28*um28_A</f>
        <v>5</v>
      </c>
      <c r="G103" s="22" t="n">
        <f aca="false">u_oth_28*(1+g29_oth)*um29_A</f>
        <v>5.75</v>
      </c>
    </row>
    <row r="104" customFormat="false" ht="17.15" hidden="false" customHeight="false" outlineLevel="0" collapsed="false">
      <c r="A104" s="4" t="s">
        <v>584</v>
      </c>
      <c r="B104" s="0" t="s">
        <v>51</v>
      </c>
      <c r="D104" s="18" t="n">
        <f aca="false">guc_oth_26</f>
        <v>0.03</v>
      </c>
      <c r="E104" s="18" t="n">
        <f aca="false">MIN(1,MAX(0,go27_A+0))</f>
        <v>0.06</v>
      </c>
      <c r="F104" s="18" t="n">
        <f aca="false">MIN(1,MAX(0,go28_A+0))</f>
        <v>0.08</v>
      </c>
      <c r="G104" s="18" t="n">
        <f aca="false">MIN(1,MAX(0,go28_A+0))</f>
        <v>0.08</v>
      </c>
    </row>
    <row r="105" customFormat="false" ht="17.15" hidden="false" customHeight="false" outlineLevel="0" collapsed="false">
      <c r="A105" s="4" t="s">
        <v>586</v>
      </c>
      <c r="B105" s="4" t="s">
        <v>38</v>
      </c>
      <c r="D105" s="22" t="n">
        <f aca="false">D103*D104</f>
        <v>0.03</v>
      </c>
      <c r="E105" s="22" t="n">
        <f aca="false">E103*E104*1</f>
        <v>0.27</v>
      </c>
      <c r="F105" s="22" t="n">
        <f aca="false">F103*F104*1</f>
        <v>0.4</v>
      </c>
      <c r="G105" s="22" t="n">
        <f aca="false">G103*G104*1</f>
        <v>0.46</v>
      </c>
    </row>
    <row r="106" customFormat="false" ht="17.15" hidden="false" customHeight="false" outlineLevel="0" collapsed="false">
      <c r="A106" s="0" t="s">
        <v>644</v>
      </c>
      <c r="B106" s="0" t="s">
        <v>581</v>
      </c>
      <c r="D106" s="20" t="n">
        <f aca="false">D105*core_oth</f>
        <v>0.18</v>
      </c>
      <c r="E106" s="20" t="n">
        <f aca="false">E105*core_oth</f>
        <v>1.62</v>
      </c>
      <c r="F106" s="20" t="n">
        <f aca="false">F105*core_oth</f>
        <v>2.4</v>
      </c>
      <c r="G106" s="20" t="n">
        <f aca="false">G105*core_oth</f>
        <v>2.76</v>
      </c>
    </row>
    <row r="107" customFormat="false" ht="17.15" hidden="false" customHeight="false" outlineLevel="0" collapsed="false">
      <c r="A107" s="0" t="s">
        <v>645</v>
      </c>
      <c r="B107" s="0" t="s">
        <v>70</v>
      </c>
      <c r="D107" s="22" t="n">
        <f aca="false">a26_asic/fx26/D106</f>
        <v>0.366122890295359</v>
      </c>
      <c r="K107" s="8" t="s">
        <v>646</v>
      </c>
    </row>
    <row r="108" customFormat="false" ht="17.15" hidden="false" customHeight="false" outlineLevel="0" collapsed="false">
      <c r="A108" s="0" t="s">
        <v>647</v>
      </c>
      <c r="B108" s="0" t="s">
        <v>581</v>
      </c>
      <c r="D108" s="20" t="n">
        <f aca="false">D106*$D$107</f>
        <v>0.0659021202531645</v>
      </c>
      <c r="E108" s="20" t="n">
        <f aca="false">E106*$D$107</f>
        <v>0.593119082278481</v>
      </c>
      <c r="F108" s="20" t="n">
        <f aca="false">F106*$D$107</f>
        <v>0.878694936708861</v>
      </c>
      <c r="G108" s="20" t="n">
        <f aca="false">G106*$D$107</f>
        <v>1.01049917721519</v>
      </c>
    </row>
    <row r="109" customFormat="false" ht="17.15" hidden="false" customHeight="false" outlineLevel="0" collapsed="false">
      <c r="A109" s="0" t="s">
        <v>648</v>
      </c>
      <c r="B109" s="0" t="s">
        <v>278</v>
      </c>
      <c r="C109" s="20" t="n">
        <f aca="false">a25_asic</f>
        <v>1.70705</v>
      </c>
      <c r="D109" s="20" t="n">
        <f aca="false">D108*D99</f>
        <v>2.082507</v>
      </c>
      <c r="E109" s="20" t="n">
        <f aca="false">E108*E99</f>
        <v>18.9798106329114</v>
      </c>
      <c r="F109" s="20" t="n">
        <f aca="false">F108*F99</f>
        <v>28.1182379746835</v>
      </c>
      <c r="G109" s="20" t="n">
        <f aca="false">G108*G99</f>
        <v>32.3359736708861</v>
      </c>
    </row>
    <row r="110" customFormat="false" ht="17.15" hidden="false" customHeight="false" outlineLevel="0" collapsed="false">
      <c r="A110" s="6" t="s">
        <v>649</v>
      </c>
    </row>
    <row r="111" customFormat="false" ht="17.15" hidden="false" customHeight="false" outlineLevel="0" collapsed="false">
      <c r="A111" s="4" t="s">
        <v>650</v>
      </c>
      <c r="B111" s="0" t="s">
        <v>278</v>
      </c>
      <c r="C111" s="20" t="n">
        <f aca="false">a25_auto</f>
        <v>1.02423</v>
      </c>
      <c r="D111" s="20" t="n">
        <f aca="false">a26_auto</f>
        <v>3.470845</v>
      </c>
      <c r="E111" s="20" t="n">
        <f aca="false">D111*am27_A</f>
        <v>13.88338</v>
      </c>
      <c r="F111" s="20" t="n">
        <f aca="false">E111*am28_A</f>
        <v>27.76676</v>
      </c>
      <c r="G111" s="20" t="n">
        <f aca="false">F111*(1+ag29_A)</f>
        <v>33.320112</v>
      </c>
    </row>
    <row r="112" customFormat="false" ht="17.15" hidden="false" customHeight="false" outlineLevel="0" collapsed="false">
      <c r="A112" s="4" t="s">
        <v>651</v>
      </c>
      <c r="B112" s="0" t="s">
        <v>278</v>
      </c>
      <c r="C112" s="20" t="n">
        <f aca="false">a25_oth</f>
        <v>25.26434</v>
      </c>
      <c r="D112" s="20" t="n">
        <f aca="false">a26_oth</f>
        <v>30.543436</v>
      </c>
      <c r="E112" s="20" t="n">
        <f aca="false">D112*(1+g_o27_A)</f>
        <v>35.1249514</v>
      </c>
      <c r="F112" s="20" t="n">
        <f aca="false">E112*(1+g_oL_A)</f>
        <v>38.63744654</v>
      </c>
      <c r="G112" s="20" t="n">
        <f aca="false">F112*(1+g_oL_A)</f>
        <v>42.501191194</v>
      </c>
    </row>
    <row r="113" customFormat="false" ht="17.15" hidden="false" customHeight="false" outlineLevel="0" collapsed="false">
      <c r="A113" s="4" t="s">
        <v>503</v>
      </c>
      <c r="B113" s="0" t="s">
        <v>278</v>
      </c>
      <c r="C113" s="20" t="n">
        <f aca="false">C100+C109+C111+C112</f>
        <v>34.141</v>
      </c>
      <c r="D113" s="20" t="n">
        <f aca="false">D100+D109+D111+D112</f>
        <v>69.4169</v>
      </c>
      <c r="E113" s="20" t="n">
        <f aca="false">E100+E109+E111+E112</f>
        <v>179.225127427264</v>
      </c>
      <c r="F113" s="20" t="n">
        <f aca="false">F100+F109+F111+F112</f>
        <v>264.411658571513</v>
      </c>
      <c r="G113" s="20" t="n">
        <f aca="false">G100+G109+G111+G112</f>
        <v>303.52987303024</v>
      </c>
      <c r="H113" s="28" t="n">
        <f aca="false">G113*(1+H114)</f>
        <v>339.537493015933</v>
      </c>
      <c r="I113" s="28" t="n">
        <f aca="false">H113*(1+I114)</f>
        <v>369.863212135887</v>
      </c>
      <c r="J113" s="28" t="n">
        <f aca="false">I113*(1+J114)</f>
        <v>392.05500486404</v>
      </c>
      <c r="K113" s="8" t="s">
        <v>652</v>
      </c>
    </row>
    <row r="114" customFormat="false" ht="15" hidden="false" customHeight="false" outlineLevel="0" collapsed="false">
      <c r="A114" s="4" t="s">
        <v>653</v>
      </c>
      <c r="B114" s="0" t="s">
        <v>51</v>
      </c>
      <c r="D114" s="18" t="n">
        <f aca="false">D113/C113-1</f>
        <v>1.03324155707214</v>
      </c>
      <c r="E114" s="18" t="n">
        <f aca="false">E113/D113-1</f>
        <v>1.58186590624565</v>
      </c>
      <c r="F114" s="18" t="n">
        <f aca="false">F113/E113-1</f>
        <v>0.475304620323513</v>
      </c>
      <c r="G114" s="18" t="n">
        <f aca="false">G113/F113-1</f>
        <v>0.147944363232936</v>
      </c>
      <c r="H114" s="26" t="n">
        <f aca="false">$G114+(fade_gA-$G114)*1/3</f>
        <v>0.118629575488624</v>
      </c>
      <c r="I114" s="26" t="n">
        <f aca="false">$G114+(fade_gA-$G114)*2/3</f>
        <v>0.0893147877443119</v>
      </c>
      <c r="J114" s="26" t="n">
        <f aca="false">$G114+(fade_gA-$G114)*3/3</f>
        <v>0.06</v>
      </c>
    </row>
    <row r="115" customFormat="false" ht="17.15" hidden="false" customHeight="false" outlineLevel="0" collapsed="false">
      <c r="A115" s="0" t="s">
        <v>654</v>
      </c>
      <c r="B115" s="0" t="s">
        <v>51</v>
      </c>
      <c r="C115" s="18" t="n">
        <f aca="false">C100/C113</f>
        <v>0.18</v>
      </c>
      <c r="D115" s="18" t="n">
        <f aca="false">D100/D113</f>
        <v>0.48</v>
      </c>
      <c r="E115" s="18" t="n">
        <f aca="false">E100/E113</f>
        <v>0.620655077728967</v>
      </c>
      <c r="F115" s="18" t="n">
        <f aca="false">F100/F113</f>
        <v>0.642517863904556</v>
      </c>
      <c r="G115" s="18" t="n">
        <f aca="false">G100/G113</f>
        <v>0.643668427805422</v>
      </c>
    </row>
    <row r="116" customFormat="false" ht="17.15" hidden="false" customHeight="false" outlineLevel="0" collapsed="false">
      <c r="A116" s="4" t="s">
        <v>655</v>
      </c>
      <c r="B116" s="0" t="s">
        <v>51</v>
      </c>
      <c r="C116" s="18" t="n">
        <f aca="false">C111/C113</f>
        <v>0.03</v>
      </c>
      <c r="D116" s="18" t="n">
        <f aca="false">D111/D113</f>
        <v>0.05</v>
      </c>
      <c r="E116" s="18" t="n">
        <f aca="false">E111/E113</f>
        <v>0.0774633568366935</v>
      </c>
      <c r="F116" s="18" t="n">
        <f aca="false">F111/F113</f>
        <v>0.105013372519239</v>
      </c>
      <c r="G116" s="18" t="n">
        <f aca="false">G111/G113</f>
        <v>0.109775395967963</v>
      </c>
    </row>
    <row r="117" customFormat="false" ht="17.15" hidden="false" customHeight="false" outlineLevel="0" collapsed="false">
      <c r="A117" s="6" t="s">
        <v>656</v>
      </c>
    </row>
    <row r="118" customFormat="false" ht="17.15" hidden="false" customHeight="false" outlineLevel="0" collapsed="false">
      <c r="A118" s="0" t="s">
        <v>657</v>
      </c>
      <c r="B118" s="0" t="s">
        <v>278</v>
      </c>
      <c r="D118" s="20" t="n">
        <f aca="false">m_tk*(D100+D109)</f>
        <v>4.60234047</v>
      </c>
      <c r="E118" s="20" t="n">
        <f aca="false">(m_tk+gta_A)*(E100+E109)</f>
        <v>18.2303514438169</v>
      </c>
      <c r="F118" s="20" t="n">
        <f aca="false">(m_tk+gta_A)*(F100+F109)</f>
        <v>27.7210432844118</v>
      </c>
      <c r="G118" s="20" t="n">
        <f aca="false">(m_tk+gta_A)*(G100+G109)</f>
        <v>31.8791997770736</v>
      </c>
    </row>
    <row r="119" customFormat="false" ht="17.15" hidden="false" customHeight="false" outlineLevel="0" collapsed="false">
      <c r="A119" s="4" t="s">
        <v>658</v>
      </c>
      <c r="B119" s="0" t="s">
        <v>278</v>
      </c>
      <c r="D119" s="20" t="n">
        <f aca="false">m_auto*D111</f>
        <v>0.5553352</v>
      </c>
      <c r="E119" s="20" t="n">
        <f aca="false">m_auto*E111</f>
        <v>2.2213408</v>
      </c>
      <c r="F119" s="20" t="n">
        <f aca="false">m_auto*F111</f>
        <v>4.4426816</v>
      </c>
      <c r="G119" s="20" t="n">
        <f aca="false">m_auto*G111</f>
        <v>5.33121792</v>
      </c>
    </row>
    <row r="120" customFormat="false" ht="17.15" hidden="false" customHeight="false" outlineLevel="0" collapsed="false">
      <c r="A120" s="4" t="s">
        <v>659</v>
      </c>
      <c r="B120" s="0" t="s">
        <v>51</v>
      </c>
      <c r="C120" s="9" t="n">
        <f aca="false">(a25_gp-m_tk*(C100+C109)-m_auto*C111)/C112</f>
        <v>0.287729950594395</v>
      </c>
      <c r="D120" s="9" t="n">
        <f aca="false">(a26_gp-D118-D119)/D112</f>
        <v>0.310829299951715</v>
      </c>
      <c r="E120" s="9" t="n">
        <f aca="false">$D120+0</f>
        <v>0.310829299951715</v>
      </c>
      <c r="F120" s="9" t="n">
        <f aca="false">$D120+0</f>
        <v>0.310829299951715</v>
      </c>
      <c r="G120" s="9" t="n">
        <f aca="false">$D120+0</f>
        <v>0.310829299951715</v>
      </c>
      <c r="K120" s="8" t="s">
        <v>660</v>
      </c>
    </row>
    <row r="121" customFormat="false" ht="15" hidden="false" customHeight="false" outlineLevel="0" collapsed="false">
      <c r="A121" s="4" t="s">
        <v>516</v>
      </c>
      <c r="B121" s="0" t="s">
        <v>278</v>
      </c>
      <c r="C121" s="20" t="n">
        <f aca="false">a25_gp</f>
        <v>8.454</v>
      </c>
      <c r="D121" s="20" t="n">
        <f aca="false">a26_gp</f>
        <v>14.6514705</v>
      </c>
      <c r="E121" s="20" t="n">
        <f aca="false">E120*E112+E118+E119</f>
        <v>31.3695562983169</v>
      </c>
      <c r="F121" s="20" t="n">
        <f aca="false">F120*F112+F118+F119</f>
        <v>44.1733753443618</v>
      </c>
      <c r="G121" s="20" t="n">
        <f aca="false">G120*G112+G118+G119</f>
        <v>50.4210332030186</v>
      </c>
    </row>
    <row r="122" customFormat="false" ht="15" hidden="false" customHeight="false" outlineLevel="0" collapsed="false">
      <c r="A122" s="4" t="s">
        <v>519</v>
      </c>
      <c r="B122" s="0" t="s">
        <v>51</v>
      </c>
      <c r="C122" s="9" t="n">
        <f aca="false">C121/C113</f>
        <v>0.247620163439852</v>
      </c>
      <c r="D122" s="9" t="n">
        <f aca="false">D121/D113</f>
        <v>0.211064891978754</v>
      </c>
      <c r="E122" s="9" t="n">
        <f aca="false">E121/E113</f>
        <v>0.175028785018149</v>
      </c>
      <c r="F122" s="9" t="n">
        <f aca="false">F121/F113</f>
        <v>0.167062888160866</v>
      </c>
      <c r="G122" s="9" t="n">
        <f aca="false">G121/G113</f>
        <v>0.16611555462284</v>
      </c>
    </row>
    <row r="123" customFormat="false" ht="15" hidden="false" customHeight="false" outlineLevel="0" collapsed="false">
      <c r="A123" s="4" t="s">
        <v>521</v>
      </c>
      <c r="B123" s="0" t="s">
        <v>278</v>
      </c>
      <c r="C123" s="20" t="n">
        <f aca="false">a25_opx</f>
        <v>4.104</v>
      </c>
      <c r="D123" s="20" t="n">
        <f aca="false">a26_opx</f>
        <v>5.365972</v>
      </c>
      <c r="E123" s="20" t="n">
        <f aca="false">D123*(1+MAX(g_opx_min,phi*E114))+0*E113</f>
        <v>7.91244644820064</v>
      </c>
      <c r="F123" s="20" t="n">
        <f aca="false">E123*(1+MAX(g_opx_min,phi*F114))+0*F113</f>
        <v>9.04069315466828</v>
      </c>
      <c r="G123" s="20" t="n">
        <f aca="false">F123*(1+MAX(g_opx_min,phi*G114))+0*G113</f>
        <v>9.76394860704174</v>
      </c>
    </row>
    <row r="124" customFormat="false" ht="15" hidden="false" customHeight="false" outlineLevel="0" collapsed="false">
      <c r="A124" s="4" t="s">
        <v>524</v>
      </c>
      <c r="B124" s="0" t="s">
        <v>278</v>
      </c>
      <c r="C124" s="20" t="n">
        <f aca="false">C121-C123</f>
        <v>4.35</v>
      </c>
      <c r="D124" s="20" t="n">
        <f aca="false">D121-D123</f>
        <v>9.2854985</v>
      </c>
      <c r="E124" s="20" t="n">
        <f aca="false">E121-E123</f>
        <v>23.4571098501163</v>
      </c>
      <c r="F124" s="20" t="n">
        <f aca="false">F121-F123</f>
        <v>35.1326821896935</v>
      </c>
      <c r="G124" s="20" t="n">
        <f aca="false">G121-G123</f>
        <v>40.6570845959768</v>
      </c>
    </row>
    <row r="125" customFormat="false" ht="15" hidden="false" customHeight="false" outlineLevel="0" collapsed="false">
      <c r="A125" s="4" t="s">
        <v>621</v>
      </c>
      <c r="B125" s="0" t="s">
        <v>51</v>
      </c>
      <c r="C125" s="9" t="n">
        <f aca="false">C124/C113</f>
        <v>0.127412788143288</v>
      </c>
      <c r="D125" s="9" t="n">
        <f aca="false">D124/D113</f>
        <v>0.13376423464603</v>
      </c>
      <c r="E125" s="9" t="n">
        <f aca="false">E124/E113</f>
        <v>0.130880698408966</v>
      </c>
      <c r="F125" s="9" t="n">
        <f aca="false">F124/F113</f>
        <v>0.132871153940406</v>
      </c>
      <c r="G125" s="9" t="n">
        <f aca="false">G124/G113</f>
        <v>0.13394755577131</v>
      </c>
    </row>
    <row r="126" customFormat="false" ht="15" hidden="false" customHeight="false" outlineLevel="0" collapsed="false">
      <c r="A126" s="4" t="s">
        <v>527</v>
      </c>
      <c r="B126" s="0" t="s">
        <v>278</v>
      </c>
      <c r="C126" s="20" t="n">
        <f aca="false">a25_nonop</f>
        <v>0.0920000000000005</v>
      </c>
      <c r="D126" s="20" t="n">
        <f aca="false">a26_nonop</f>
        <v>0.384548</v>
      </c>
      <c r="E126" s="20" t="n">
        <f aca="false">nonop_f</f>
        <v>0.5</v>
      </c>
      <c r="F126" s="20" t="n">
        <f aca="false">nonop_f</f>
        <v>0.5</v>
      </c>
      <c r="G126" s="20" t="n">
        <f aca="false">nonop_f</f>
        <v>0.5</v>
      </c>
    </row>
    <row r="127" customFormat="false" ht="15" hidden="false" customHeight="false" outlineLevel="0" collapsed="false">
      <c r="A127" s="4" t="s">
        <v>529</v>
      </c>
      <c r="B127" s="0" t="s">
        <v>278</v>
      </c>
      <c r="C127" s="20" t="n">
        <f aca="false">C124+C126</f>
        <v>4.442</v>
      </c>
      <c r="D127" s="20" t="n">
        <f aca="false">D124+D126</f>
        <v>9.6700465</v>
      </c>
      <c r="E127" s="20" t="n">
        <f aca="false">E124+E126</f>
        <v>23.9571098501163</v>
      </c>
      <c r="F127" s="20" t="n">
        <f aca="false">F124+F126</f>
        <v>35.6326821896935</v>
      </c>
      <c r="G127" s="20" t="n">
        <f aca="false">G124+G126</f>
        <v>41.1570845959768</v>
      </c>
    </row>
    <row r="128" customFormat="false" ht="15" hidden="false" customHeight="false" outlineLevel="0" collapsed="false">
      <c r="A128" s="4" t="s">
        <v>531</v>
      </c>
      <c r="B128" s="0" t="s">
        <v>278</v>
      </c>
      <c r="C128" s="20" t="n">
        <f aca="false">a25_tax</f>
        <v>0.672</v>
      </c>
      <c r="D128" s="20" t="n">
        <f aca="false">a26_tax</f>
        <v>1.337361725</v>
      </c>
      <c r="E128" s="20" t="n">
        <f aca="false">E127*tax</f>
        <v>3.59356647751744</v>
      </c>
      <c r="F128" s="20" t="n">
        <f aca="false">F127*tax</f>
        <v>5.34490232845403</v>
      </c>
      <c r="G128" s="20" t="n">
        <f aca="false">G127*tax</f>
        <v>6.17356268939652</v>
      </c>
    </row>
    <row r="129" customFormat="false" ht="15" hidden="false" customHeight="false" outlineLevel="0" collapsed="false">
      <c r="A129" s="4" t="s">
        <v>534</v>
      </c>
      <c r="B129" s="0" t="s">
        <v>278</v>
      </c>
      <c r="C129" s="20" t="n">
        <f aca="false">C127-C128</f>
        <v>3.77</v>
      </c>
      <c r="D129" s="20" t="n">
        <f aca="false">D127-D128</f>
        <v>8.332684775</v>
      </c>
      <c r="E129" s="20" t="n">
        <f aca="false">E127-E128</f>
        <v>20.3635433725989</v>
      </c>
      <c r="F129" s="20" t="n">
        <f aca="false">F127-F128</f>
        <v>30.2877798612395</v>
      </c>
      <c r="G129" s="20" t="n">
        <f aca="false">G127-G128</f>
        <v>34.9835219065803</v>
      </c>
      <c r="H129" s="28" t="n">
        <f aca="false">H113*H133</f>
        <v>39.3090027232326</v>
      </c>
      <c r="I129" s="28" t="n">
        <f aca="false">I113*I133</f>
        <v>43.010944276869</v>
      </c>
      <c r="J129" s="28" t="n">
        <f aca="false">J113*J133</f>
        <v>45.7941312315896</v>
      </c>
    </row>
    <row r="130" customFormat="false" ht="15" hidden="false" customHeight="false" outlineLevel="0" collapsed="false">
      <c r="A130" s="4" t="s">
        <v>312</v>
      </c>
      <c r="B130" s="4" t="s">
        <v>313</v>
      </c>
      <c r="C130" s="19" t="n">
        <f aca="false">a25_sh</f>
        <v>0.134020618556701</v>
      </c>
      <c r="D130" s="19" t="n">
        <f aca="false">a26_sh</f>
        <v>0.13399883744778</v>
      </c>
      <c r="E130" s="19" t="n">
        <f aca="false">q_sh*(1+sh_g)</f>
        <v>0.13401</v>
      </c>
      <c r="F130" s="19" t="n">
        <f aca="false">E130*(1+sh_g)</f>
        <v>0.13401</v>
      </c>
      <c r="G130" s="19" t="n">
        <f aca="false">F130*(1+sh_g)</f>
        <v>0.13401</v>
      </c>
      <c r="H130" s="30" t="n">
        <f aca="false">G130*(1+sh_g)</f>
        <v>0.13401</v>
      </c>
      <c r="I130" s="30" t="n">
        <f aca="false">H130*(1+sh_g)</f>
        <v>0.13401</v>
      </c>
      <c r="J130" s="30" t="n">
        <f aca="false">I130*(1+sh_g)</f>
        <v>0.13401</v>
      </c>
    </row>
    <row r="131" customFormat="false" ht="17.15" hidden="false" customHeight="false" outlineLevel="0" collapsed="false">
      <c r="A131" s="0" t="s">
        <v>538</v>
      </c>
      <c r="B131" s="0" t="s">
        <v>356</v>
      </c>
      <c r="C131" s="20" t="n">
        <f aca="false">C129/C130</f>
        <v>28.13</v>
      </c>
      <c r="D131" s="20" t="n">
        <f aca="false">D129/D130</f>
        <v>62.1847542389856</v>
      </c>
      <c r="E131" s="20" t="n">
        <f aca="false">E129/E130</f>
        <v>151.955401631213</v>
      </c>
      <c r="F131" s="20" t="n">
        <f aca="false">F129/F130</f>
        <v>226.011341401683</v>
      </c>
      <c r="G131" s="20" t="n">
        <f aca="false">G129/G130</f>
        <v>261.05157754332</v>
      </c>
      <c r="H131" s="28" t="n">
        <f aca="false">H129/H130</f>
        <v>293.328876376633</v>
      </c>
      <c r="I131" s="28" t="n">
        <f aca="false">I129/I130</f>
        <v>320.953244361383</v>
      </c>
      <c r="J131" s="28" t="n">
        <f aca="false">J129/J130</f>
        <v>341.721746374074</v>
      </c>
    </row>
    <row r="132" customFormat="false" ht="17.15" hidden="false" customHeight="false" outlineLevel="0" collapsed="false">
      <c r="A132" s="0" t="s">
        <v>661</v>
      </c>
      <c r="B132" s="0" t="s">
        <v>51</v>
      </c>
      <c r="D132" s="18" t="n">
        <f aca="false">D131/C131-1</f>
        <v>1.21062048485551</v>
      </c>
      <c r="E132" s="18" t="n">
        <f aca="false">E131/D131-1</f>
        <v>1.44361183847772</v>
      </c>
      <c r="F132" s="18" t="n">
        <f aca="false">F131/E131-1</f>
        <v>0.487353124505564</v>
      </c>
      <c r="G132" s="18" t="n">
        <f aca="false">G131/F131-1</f>
        <v>0.155037512384661</v>
      </c>
      <c r="H132" s="26" t="n">
        <f aca="false">H131/G131-1</f>
        <v>0.123643377822366</v>
      </c>
      <c r="I132" s="26" t="n">
        <f aca="false">I131/H131-1</f>
        <v>0.0941754126834777</v>
      </c>
      <c r="J132" s="26" t="n">
        <f aca="false">J131/I131-1</f>
        <v>0.0647088084559309</v>
      </c>
    </row>
    <row r="133" customFormat="false" ht="17.15" hidden="false" customHeight="false" outlineLevel="0" collapsed="false">
      <c r="A133" s="4" t="s">
        <v>662</v>
      </c>
      <c r="B133" s="0" t="s">
        <v>51</v>
      </c>
      <c r="C133" s="9" t="n">
        <f aca="false">C129/C113</f>
        <v>0.11042441639085</v>
      </c>
      <c r="D133" s="9" t="n">
        <f aca="false">D129/D113</f>
        <v>0.1200382727405</v>
      </c>
      <c r="E133" s="9" t="n">
        <f aca="false">E129/E113</f>
        <v>0.113619912926903</v>
      </c>
      <c r="F133" s="9" t="n">
        <f aca="false">F129/F113</f>
        <v>0.114547822985074</v>
      </c>
      <c r="G133" s="9" t="n">
        <f aca="false">G129/G113</f>
        <v>0.11525561407623</v>
      </c>
      <c r="H133" s="27" t="n">
        <f aca="false">$G133+(fade_mA-$G133)*1/3</f>
        <v>0.115772200513326</v>
      </c>
      <c r="I133" s="27" t="n">
        <f aca="false">$G133+(fade_mA-$G133)*2/3</f>
        <v>0.116288786950422</v>
      </c>
      <c r="J133" s="27" t="n">
        <f aca="false">$G133+(fade_mA-$G133)*3/3</f>
        <v>0.116805373387519</v>
      </c>
    </row>
    <row r="136" customFormat="false" ht="17.15" hidden="false" customHeight="false" outlineLevel="0" collapsed="false">
      <c r="A136" s="1" t="s">
        <v>983</v>
      </c>
    </row>
    <row r="137" customFormat="false" ht="17.15" hidden="false" customHeight="false" outlineLevel="0" collapsed="false">
      <c r="A137" s="5" t="s">
        <v>27</v>
      </c>
      <c r="B137" s="5" t="s">
        <v>28</v>
      </c>
      <c r="C137" s="16" t="s">
        <v>497</v>
      </c>
      <c r="D137" s="16" t="s">
        <v>610</v>
      </c>
      <c r="E137" s="16" t="s">
        <v>611</v>
      </c>
      <c r="F137" s="16" t="s">
        <v>612</v>
      </c>
      <c r="G137" s="16" t="s">
        <v>613</v>
      </c>
      <c r="H137" s="16" t="s">
        <v>614</v>
      </c>
      <c r="I137" s="16" t="s">
        <v>615</v>
      </c>
      <c r="J137" s="16" t="s">
        <v>616</v>
      </c>
      <c r="K137" s="5" t="s">
        <v>450</v>
      </c>
    </row>
    <row r="138" customFormat="false" ht="17.15" hidden="false" customHeight="false" outlineLevel="0" collapsed="false">
      <c r="A138" s="6" t="s">
        <v>632</v>
      </c>
    </row>
    <row r="139" customFormat="false" ht="17.15" hidden="false" customHeight="false" outlineLevel="0" collapsed="false">
      <c r="A139" s="0" t="s">
        <v>633</v>
      </c>
      <c r="B139" s="4" t="s">
        <v>38</v>
      </c>
      <c r="D139" s="22" t="n">
        <f aca="false">u_tpu_26</f>
        <v>3.85</v>
      </c>
      <c r="E139" s="22" t="n">
        <f aca="false">u_tpu_27</f>
        <v>5.5</v>
      </c>
      <c r="F139" s="22" t="n">
        <f aca="false">u_tpu_28*um28_A</f>
        <v>7</v>
      </c>
      <c r="G139" s="22" t="n">
        <f aca="false">u_tpu_28*(1+g29_tpu)*um29_A</f>
        <v>8.05</v>
      </c>
    </row>
    <row r="140" customFormat="false" ht="17.15" hidden="false" customHeight="false" outlineLevel="0" collapsed="false">
      <c r="A140" s="0" t="s">
        <v>574</v>
      </c>
      <c r="B140" s="0" t="s">
        <v>70</v>
      </c>
      <c r="D140" s="22" t="n">
        <f aca="false">att26</f>
        <v>0.325</v>
      </c>
      <c r="E140" s="22" t="n">
        <f aca="false">MAX(0,att_A+0)</f>
        <v>0.6</v>
      </c>
      <c r="F140" s="22" t="n">
        <f aca="false">MAX(0,att_A+0)</f>
        <v>0.6</v>
      </c>
      <c r="G140" s="22" t="n">
        <f aca="false">MAX(0,att_A+0)</f>
        <v>0.6</v>
      </c>
    </row>
    <row r="141" customFormat="false" ht="17.15" hidden="false" customHeight="false" outlineLevel="0" collapsed="false">
      <c r="A141" s="4" t="s">
        <v>634</v>
      </c>
      <c r="B141" s="0" t="s">
        <v>51</v>
      </c>
      <c r="D141" s="18" t="n">
        <f aca="false">gsh26</f>
        <v>1</v>
      </c>
      <c r="E141" s="18" t="n">
        <f aca="false">gsh26</f>
        <v>1</v>
      </c>
      <c r="F141" s="18" t="n">
        <f aca="false">MIN(1,gsh28_A_lo)</f>
        <v>0.5</v>
      </c>
      <c r="G141" s="18" t="n">
        <f aca="false">MIN(1,gsh28_A_lo)</f>
        <v>0.5</v>
      </c>
    </row>
    <row r="142" customFormat="false" ht="17.15" hidden="false" customHeight="false" outlineLevel="0" collapsed="false">
      <c r="A142" s="4" t="s">
        <v>576</v>
      </c>
      <c r="B142" s="4" t="s">
        <v>38</v>
      </c>
      <c r="D142" s="22" t="n">
        <f aca="false">D139*D140*D141</f>
        <v>1.25125</v>
      </c>
      <c r="E142" s="22" t="n">
        <f aca="false">E139*E140*E141*1</f>
        <v>3.3</v>
      </c>
      <c r="F142" s="22" t="n">
        <f aca="false">F139*F140*F141*1</f>
        <v>2.1</v>
      </c>
      <c r="G142" s="22" t="n">
        <f aca="false">G139*G140*G141*1</f>
        <v>2.415</v>
      </c>
    </row>
    <row r="143" customFormat="false" ht="17.15" hidden="false" customHeight="false" outlineLevel="0" collapsed="false">
      <c r="A143" s="4" t="s">
        <v>635</v>
      </c>
      <c r="B143" s="0" t="s">
        <v>116</v>
      </c>
      <c r="D143" s="20" t="n">
        <f aca="false">pc_cpu</f>
        <v>1</v>
      </c>
      <c r="E143" s="20" t="n">
        <f aca="false">pc_cpu</f>
        <v>1</v>
      </c>
      <c r="F143" s="20" t="n">
        <f aca="false">pc_cpu*pfc_A</f>
        <v>1.2</v>
      </c>
      <c r="G143" s="20" t="n">
        <f aca="false">pc_cpu*pfc_A</f>
        <v>1.2</v>
      </c>
    </row>
    <row r="144" customFormat="false" ht="17.15" hidden="false" customHeight="false" outlineLevel="0" collapsed="false">
      <c r="A144" s="0" t="s">
        <v>636</v>
      </c>
      <c r="B144" s="0" t="s">
        <v>581</v>
      </c>
      <c r="D144" s="20" t="n">
        <f aca="false">D142*D143</f>
        <v>1.25125</v>
      </c>
      <c r="E144" s="20" t="n">
        <f aca="false">E142*E143</f>
        <v>3.3</v>
      </c>
      <c r="F144" s="20" t="n">
        <f aca="false">F142*F143</f>
        <v>2.52</v>
      </c>
      <c r="G144" s="20" t="n">
        <f aca="false">G142*G143</f>
        <v>2.898</v>
      </c>
    </row>
    <row r="145" customFormat="false" ht="17.15" hidden="false" customHeight="false" outlineLevel="0" collapsed="false">
      <c r="A145" s="0" t="s">
        <v>637</v>
      </c>
      <c r="B145" s="0" t="s">
        <v>70</v>
      </c>
      <c r="D145" s="22" t="n">
        <f aca="false">a26_cpu/fx26/D144</f>
        <v>0.842704434805701</v>
      </c>
      <c r="K145" s="8" t="s">
        <v>638</v>
      </c>
    </row>
    <row r="146" customFormat="false" ht="17.15" hidden="false" customHeight="false" outlineLevel="0" collapsed="false">
      <c r="A146" s="0" t="s">
        <v>639</v>
      </c>
      <c r="B146" s="0" t="s">
        <v>581</v>
      </c>
      <c r="D146" s="20" t="n">
        <f aca="false">D144*$D$145</f>
        <v>1.05443392405063</v>
      </c>
      <c r="E146" s="20" t="n">
        <f aca="false">E144*$D$145</f>
        <v>2.78092463485881</v>
      </c>
      <c r="F146" s="20" t="n">
        <f aca="false">F144*$D$145</f>
        <v>2.12361517571037</v>
      </c>
      <c r="G146" s="20" t="n">
        <f aca="false">G144*$D$145</f>
        <v>2.44215745206692</v>
      </c>
    </row>
    <row r="147" customFormat="false" ht="15" hidden="false" customHeight="false" outlineLevel="0" collapsed="false">
      <c r="A147" s="4" t="s">
        <v>640</v>
      </c>
      <c r="B147" s="0" t="s">
        <v>273</v>
      </c>
      <c r="D147" s="20" t="n">
        <f aca="false">fx26</f>
        <v>31.6</v>
      </c>
      <c r="E147" s="20" t="n">
        <f aca="false">fx</f>
        <v>32</v>
      </c>
      <c r="F147" s="20" t="n">
        <f aca="false">fx</f>
        <v>32</v>
      </c>
      <c r="G147" s="20" t="n">
        <f aca="false">fx</f>
        <v>32</v>
      </c>
    </row>
    <row r="148" customFormat="false" ht="17.15" hidden="false" customHeight="false" outlineLevel="0" collapsed="false">
      <c r="A148" s="0" t="s">
        <v>641</v>
      </c>
      <c r="B148" s="0" t="s">
        <v>278</v>
      </c>
      <c r="C148" s="20" t="n">
        <f aca="false">a25_cpu</f>
        <v>6.14538</v>
      </c>
      <c r="D148" s="20" t="n">
        <f aca="false">D146*D147</f>
        <v>33.320112</v>
      </c>
      <c r="E148" s="20" t="n">
        <f aca="false">E146*E147</f>
        <v>88.989588315482</v>
      </c>
      <c r="F148" s="20" t="n">
        <f aca="false">F146*F147</f>
        <v>67.9556856227317</v>
      </c>
      <c r="G148" s="20" t="n">
        <f aca="false">G146*G147</f>
        <v>78.1490384661414</v>
      </c>
    </row>
    <row r="149" customFormat="false" ht="17.15" hidden="false" customHeight="false" outlineLevel="0" collapsed="false">
      <c r="A149" s="4" t="s">
        <v>578</v>
      </c>
      <c r="B149" s="0" t="s">
        <v>116</v>
      </c>
      <c r="D149" s="20" t="n">
        <f aca="false">IF(D142&gt;0,D146/D142,0)</f>
        <v>0.842704434805701</v>
      </c>
      <c r="E149" s="20" t="n">
        <f aca="false">IF(E142&gt;0,E146/E142,0)</f>
        <v>0.842704434805701</v>
      </c>
      <c r="F149" s="20" t="n">
        <f aca="false">IF(F142&gt;0,F146/F142,0)</f>
        <v>1.01124532176684</v>
      </c>
      <c r="G149" s="20" t="n">
        <f aca="false">IF(G142&gt;0,G146/G142,0)</f>
        <v>1.01124532176684</v>
      </c>
    </row>
    <row r="150" customFormat="false" ht="17.15" hidden="false" customHeight="false" outlineLevel="0" collapsed="false">
      <c r="A150" s="6" t="s">
        <v>642</v>
      </c>
    </row>
    <row r="151" customFormat="false" ht="17.15" hidden="false" customHeight="false" outlineLevel="0" collapsed="false">
      <c r="A151" s="4" t="s">
        <v>643</v>
      </c>
      <c r="B151" s="4" t="s">
        <v>38</v>
      </c>
      <c r="D151" s="22" t="n">
        <f aca="false">u_oth_26</f>
        <v>1</v>
      </c>
      <c r="E151" s="22" t="n">
        <f aca="false">u_oth_27</f>
        <v>4.5</v>
      </c>
      <c r="F151" s="22" t="n">
        <f aca="false">u_oth_28*um28_A</f>
        <v>5</v>
      </c>
      <c r="G151" s="22" t="n">
        <f aca="false">u_oth_28*(1+g29_oth)*um29_A</f>
        <v>5.75</v>
      </c>
    </row>
    <row r="152" customFormat="false" ht="17.15" hidden="false" customHeight="false" outlineLevel="0" collapsed="false">
      <c r="A152" s="4" t="s">
        <v>584</v>
      </c>
      <c r="B152" s="0" t="s">
        <v>51</v>
      </c>
      <c r="D152" s="18" t="n">
        <f aca="false">guc_oth_26</f>
        <v>0.03</v>
      </c>
      <c r="E152" s="18" t="n">
        <f aca="false">MIN(1,MAX(0,go27_A+0))</f>
        <v>0.06</v>
      </c>
      <c r="F152" s="18" t="n">
        <f aca="false">MIN(1,MAX(0,go28_A+0))</f>
        <v>0.08</v>
      </c>
      <c r="G152" s="18" t="n">
        <f aca="false">MIN(1,MAX(0,go28_A+0))</f>
        <v>0.08</v>
      </c>
    </row>
    <row r="153" customFormat="false" ht="17.15" hidden="false" customHeight="false" outlineLevel="0" collapsed="false">
      <c r="A153" s="4" t="s">
        <v>586</v>
      </c>
      <c r="B153" s="4" t="s">
        <v>38</v>
      </c>
      <c r="D153" s="22" t="n">
        <f aca="false">D151*D152</f>
        <v>0.03</v>
      </c>
      <c r="E153" s="22" t="n">
        <f aca="false">E151*E152*1</f>
        <v>0.27</v>
      </c>
      <c r="F153" s="22" t="n">
        <f aca="false">F151*F152*1</f>
        <v>0.4</v>
      </c>
      <c r="G153" s="22" t="n">
        <f aca="false">G151*G152*1</f>
        <v>0.46</v>
      </c>
    </row>
    <row r="154" customFormat="false" ht="17.15" hidden="false" customHeight="false" outlineLevel="0" collapsed="false">
      <c r="A154" s="0" t="s">
        <v>644</v>
      </c>
      <c r="B154" s="0" t="s">
        <v>581</v>
      </c>
      <c r="D154" s="20" t="n">
        <f aca="false">D153*core_oth</f>
        <v>0.18</v>
      </c>
      <c r="E154" s="20" t="n">
        <f aca="false">E153*core_oth</f>
        <v>1.62</v>
      </c>
      <c r="F154" s="20" t="n">
        <f aca="false">F153*core_oth</f>
        <v>2.4</v>
      </c>
      <c r="G154" s="20" t="n">
        <f aca="false">G153*core_oth</f>
        <v>2.76</v>
      </c>
    </row>
    <row r="155" customFormat="false" ht="17.15" hidden="false" customHeight="false" outlineLevel="0" collapsed="false">
      <c r="A155" s="0" t="s">
        <v>645</v>
      </c>
      <c r="B155" s="0" t="s">
        <v>70</v>
      </c>
      <c r="D155" s="22" t="n">
        <f aca="false">a26_asic/fx26/D154</f>
        <v>0.366122890295359</v>
      </c>
      <c r="K155" s="8" t="s">
        <v>646</v>
      </c>
    </row>
    <row r="156" customFormat="false" ht="17.15" hidden="false" customHeight="false" outlineLevel="0" collapsed="false">
      <c r="A156" s="0" t="s">
        <v>647</v>
      </c>
      <c r="B156" s="0" t="s">
        <v>581</v>
      </c>
      <c r="D156" s="20" t="n">
        <f aca="false">D154*$D$155</f>
        <v>0.0659021202531645</v>
      </c>
      <c r="E156" s="20" t="n">
        <f aca="false">E154*$D$155</f>
        <v>0.593119082278481</v>
      </c>
      <c r="F156" s="20" t="n">
        <f aca="false">F154*$D$155</f>
        <v>0.878694936708861</v>
      </c>
      <c r="G156" s="20" t="n">
        <f aca="false">G154*$D$155</f>
        <v>1.01049917721519</v>
      </c>
    </row>
    <row r="157" customFormat="false" ht="17.15" hidden="false" customHeight="false" outlineLevel="0" collapsed="false">
      <c r="A157" s="0" t="s">
        <v>648</v>
      </c>
      <c r="B157" s="0" t="s">
        <v>278</v>
      </c>
      <c r="C157" s="20" t="n">
        <f aca="false">a25_asic</f>
        <v>1.70705</v>
      </c>
      <c r="D157" s="20" t="n">
        <f aca="false">D156*D147</f>
        <v>2.082507</v>
      </c>
      <c r="E157" s="20" t="n">
        <f aca="false">E156*E147</f>
        <v>18.9798106329114</v>
      </c>
      <c r="F157" s="20" t="n">
        <f aca="false">F156*F147</f>
        <v>28.1182379746835</v>
      </c>
      <c r="G157" s="20" t="n">
        <f aca="false">G156*G147</f>
        <v>32.3359736708861</v>
      </c>
    </row>
    <row r="158" customFormat="false" ht="17.15" hidden="false" customHeight="false" outlineLevel="0" collapsed="false">
      <c r="A158" s="6" t="s">
        <v>649</v>
      </c>
    </row>
    <row r="159" customFormat="false" ht="17.15" hidden="false" customHeight="false" outlineLevel="0" collapsed="false">
      <c r="A159" s="4" t="s">
        <v>650</v>
      </c>
      <c r="B159" s="0" t="s">
        <v>278</v>
      </c>
      <c r="C159" s="20" t="n">
        <f aca="false">a25_auto</f>
        <v>1.02423</v>
      </c>
      <c r="D159" s="20" t="n">
        <f aca="false">a26_auto</f>
        <v>3.470845</v>
      </c>
      <c r="E159" s="20" t="n">
        <f aca="false">D159*am27_A</f>
        <v>13.88338</v>
      </c>
      <c r="F159" s="20" t="n">
        <f aca="false">E159*am28_A</f>
        <v>27.76676</v>
      </c>
      <c r="G159" s="20" t="n">
        <f aca="false">F159*(1+ag29_A)</f>
        <v>33.320112</v>
      </c>
    </row>
    <row r="160" customFormat="false" ht="17.15" hidden="false" customHeight="false" outlineLevel="0" collapsed="false">
      <c r="A160" s="4" t="s">
        <v>651</v>
      </c>
      <c r="B160" s="0" t="s">
        <v>278</v>
      </c>
      <c r="C160" s="20" t="n">
        <f aca="false">a25_oth</f>
        <v>25.26434</v>
      </c>
      <c r="D160" s="20" t="n">
        <f aca="false">a26_oth</f>
        <v>30.543436</v>
      </c>
      <c r="E160" s="20" t="n">
        <f aca="false">D160*(1+g_o27_A)</f>
        <v>35.1249514</v>
      </c>
      <c r="F160" s="20" t="n">
        <f aca="false">E160*(1+g_oL_A)</f>
        <v>38.63744654</v>
      </c>
      <c r="G160" s="20" t="n">
        <f aca="false">F160*(1+g_oL_A)</f>
        <v>42.501191194</v>
      </c>
    </row>
    <row r="161" customFormat="false" ht="17.15" hidden="false" customHeight="false" outlineLevel="0" collapsed="false">
      <c r="A161" s="4" t="s">
        <v>503</v>
      </c>
      <c r="B161" s="0" t="s">
        <v>278</v>
      </c>
      <c r="C161" s="20" t="n">
        <f aca="false">C148+C157+C159+C160</f>
        <v>34.141</v>
      </c>
      <c r="D161" s="20" t="n">
        <f aca="false">D148+D157+D159+D160</f>
        <v>69.4169</v>
      </c>
      <c r="E161" s="20" t="n">
        <f aca="false">E148+E157+E159+E160</f>
        <v>156.977730348393</v>
      </c>
      <c r="F161" s="20" t="n">
        <f aca="false">F148+F157+F159+F160</f>
        <v>162.478130137415</v>
      </c>
      <c r="G161" s="20" t="n">
        <f aca="false">G148+G157+G159+G160</f>
        <v>186.306315331028</v>
      </c>
      <c r="H161" s="28" t="n">
        <f aca="false">G161*(1+H162)</f>
        <v>208.247575701917</v>
      </c>
      <c r="I161" s="28" t="n">
        <f aca="false">H161*(1+I162)</f>
        <v>226.757642250564</v>
      </c>
      <c r="J161" s="28" t="n">
        <f aca="false">I161*(1+J162)</f>
        <v>240.363100785598</v>
      </c>
      <c r="K161" s="8" t="s">
        <v>652</v>
      </c>
    </row>
    <row r="162" customFormat="false" ht="15" hidden="false" customHeight="false" outlineLevel="0" collapsed="false">
      <c r="A162" s="4" t="s">
        <v>653</v>
      </c>
      <c r="B162" s="0" t="s">
        <v>51</v>
      </c>
      <c r="D162" s="18" t="n">
        <f aca="false">D161/C161-1</f>
        <v>1.03324155707214</v>
      </c>
      <c r="E162" s="18" t="n">
        <f aca="false">E161/D161-1</f>
        <v>1.26137626930032</v>
      </c>
      <c r="F162" s="18" t="n">
        <f aca="false">F161/E161-1</f>
        <v>0.0350393637162061</v>
      </c>
      <c r="G162" s="18" t="n">
        <f aca="false">G161/F161-1</f>
        <v>0.146654723152339</v>
      </c>
      <c r="H162" s="26" t="n">
        <f aca="false">$G162+(fade_gA-$G162)*1/3</f>
        <v>0.117769815434892</v>
      </c>
      <c r="I162" s="26" t="n">
        <f aca="false">$G162+(fade_gA-$G162)*2/3</f>
        <v>0.0888849077174462</v>
      </c>
      <c r="J162" s="26" t="n">
        <f aca="false">$G162+(fade_gA-$G162)*3/3</f>
        <v>0.06</v>
      </c>
    </row>
    <row r="163" customFormat="false" ht="17.15" hidden="false" customHeight="false" outlineLevel="0" collapsed="false">
      <c r="A163" s="0" t="s">
        <v>654</v>
      </c>
      <c r="B163" s="0" t="s">
        <v>51</v>
      </c>
      <c r="C163" s="18" t="n">
        <f aca="false">C148/C161</f>
        <v>0.18</v>
      </c>
      <c r="D163" s="18" t="n">
        <f aca="false">D148/D161</f>
        <v>0.48</v>
      </c>
      <c r="E163" s="18" t="n">
        <f aca="false">E148/E161</f>
        <v>0.566893075329731</v>
      </c>
      <c r="F163" s="18" t="n">
        <f aca="false">F148/F161</f>
        <v>0.418245123606841</v>
      </c>
      <c r="G163" s="18" t="n">
        <f aca="false">G148/G161</f>
        <v>0.41946532154472</v>
      </c>
    </row>
    <row r="164" customFormat="false" ht="17.15" hidden="false" customHeight="false" outlineLevel="0" collapsed="false">
      <c r="A164" s="4" t="s">
        <v>655</v>
      </c>
      <c r="B164" s="0" t="s">
        <v>51</v>
      </c>
      <c r="C164" s="18" t="n">
        <f aca="false">C159/C161</f>
        <v>0.03</v>
      </c>
      <c r="D164" s="18" t="n">
        <f aca="false">D159/D161</f>
        <v>0.05</v>
      </c>
      <c r="E164" s="18" t="n">
        <f aca="false">E159/E161</f>
        <v>0.0884417169823229</v>
      </c>
      <c r="F164" s="18" t="n">
        <f aca="false">F159/F161</f>
        <v>0.170895368973759</v>
      </c>
      <c r="G164" s="18" t="n">
        <f aca="false">G159/G161</f>
        <v>0.178845853619063</v>
      </c>
    </row>
    <row r="165" customFormat="false" ht="17.15" hidden="false" customHeight="false" outlineLevel="0" collapsed="false">
      <c r="A165" s="6" t="s">
        <v>656</v>
      </c>
    </row>
    <row r="166" customFormat="false" ht="17.15" hidden="false" customHeight="false" outlineLevel="0" collapsed="false">
      <c r="A166" s="0" t="s">
        <v>657</v>
      </c>
      <c r="B166" s="0" t="s">
        <v>278</v>
      </c>
      <c r="D166" s="20" t="n">
        <f aca="false">m_tk*(D148+D157)</f>
        <v>4.60234047</v>
      </c>
      <c r="E166" s="20" t="n">
        <f aca="false">(m_tk+gta_A)*(E148+E157)</f>
        <v>15.1157158527751</v>
      </c>
      <c r="F166" s="20" t="n">
        <f aca="false">(m_tk+gta_A)*(F148+F157)</f>
        <v>13.4503493036381</v>
      </c>
      <c r="G166" s="20" t="n">
        <f aca="false">(m_tk+gta_A)*(G148+G157)</f>
        <v>15.4679016991839</v>
      </c>
    </row>
    <row r="167" customFormat="false" ht="17.15" hidden="false" customHeight="false" outlineLevel="0" collapsed="false">
      <c r="A167" s="4" t="s">
        <v>658</v>
      </c>
      <c r="B167" s="0" t="s">
        <v>278</v>
      </c>
      <c r="D167" s="20" t="n">
        <f aca="false">m_auto*D159</f>
        <v>0.5553352</v>
      </c>
      <c r="E167" s="20" t="n">
        <f aca="false">m_auto*E159</f>
        <v>2.2213408</v>
      </c>
      <c r="F167" s="20" t="n">
        <f aca="false">m_auto*F159</f>
        <v>4.4426816</v>
      </c>
      <c r="G167" s="20" t="n">
        <f aca="false">m_auto*G159</f>
        <v>5.33121792</v>
      </c>
    </row>
    <row r="168" customFormat="false" ht="17.15" hidden="false" customHeight="false" outlineLevel="0" collapsed="false">
      <c r="A168" s="4" t="s">
        <v>659</v>
      </c>
      <c r="B168" s="0" t="s">
        <v>51</v>
      </c>
      <c r="C168" s="9" t="n">
        <f aca="false">(a25_gp-m_tk*(C148+C157)-m_auto*C159)/C160</f>
        <v>0.287729950594395</v>
      </c>
      <c r="D168" s="9" t="n">
        <f aca="false">(a26_gp-D166-D167)/D160</f>
        <v>0.310829299951715</v>
      </c>
      <c r="E168" s="9" t="n">
        <f aca="false">$D168+0</f>
        <v>0.310829299951715</v>
      </c>
      <c r="F168" s="9" t="n">
        <f aca="false">$D168+0</f>
        <v>0.310829299951715</v>
      </c>
      <c r="G168" s="9" t="n">
        <f aca="false">$D168+0</f>
        <v>0.310829299951715</v>
      </c>
      <c r="K168" s="8" t="s">
        <v>660</v>
      </c>
    </row>
    <row r="169" customFormat="false" ht="15" hidden="false" customHeight="false" outlineLevel="0" collapsed="false">
      <c r="A169" s="4" t="s">
        <v>516</v>
      </c>
      <c r="B169" s="0" t="s">
        <v>278</v>
      </c>
      <c r="C169" s="20" t="n">
        <f aca="false">a25_gp</f>
        <v>8.454</v>
      </c>
      <c r="D169" s="20" t="n">
        <f aca="false">a26_gp</f>
        <v>14.6514705</v>
      </c>
      <c r="E169" s="20" t="n">
        <f aca="false">E168*E160+E166+E167</f>
        <v>28.2549207072751</v>
      </c>
      <c r="F169" s="20" t="n">
        <f aca="false">F168*F160+F166+F167</f>
        <v>29.9026813635881</v>
      </c>
      <c r="G169" s="20" t="n">
        <f aca="false">G168*G160+G166+G167</f>
        <v>34.0097351251289</v>
      </c>
    </row>
    <row r="170" customFormat="false" ht="15" hidden="false" customHeight="false" outlineLevel="0" collapsed="false">
      <c r="A170" s="4" t="s">
        <v>519</v>
      </c>
      <c r="B170" s="0" t="s">
        <v>51</v>
      </c>
      <c r="C170" s="9" t="n">
        <f aca="false">C169/C161</f>
        <v>0.247620163439852</v>
      </c>
      <c r="D170" s="9" t="n">
        <f aca="false">D169/D161</f>
        <v>0.211064891978754</v>
      </c>
      <c r="E170" s="9" t="n">
        <f aca="false">E169/E161</f>
        <v>0.17999317893415</v>
      </c>
      <c r="F170" s="9" t="n">
        <f aca="false">F169/F161</f>
        <v>0.184041269666866</v>
      </c>
      <c r="G170" s="9" t="n">
        <f aca="false">G169/G161</f>
        <v>0.182547408898623</v>
      </c>
    </row>
    <row r="171" customFormat="false" ht="15" hidden="false" customHeight="false" outlineLevel="0" collapsed="false">
      <c r="A171" s="4" t="s">
        <v>521</v>
      </c>
      <c r="B171" s="0" t="s">
        <v>278</v>
      </c>
      <c r="C171" s="20" t="n">
        <f aca="false">a25_opx</f>
        <v>4.104</v>
      </c>
      <c r="D171" s="20" t="n">
        <f aca="false">a26_opx</f>
        <v>5.365972</v>
      </c>
      <c r="E171" s="20" t="n">
        <f aca="false">D171*(1+MAX(g_opx_min,phi*E162))+0*E161</f>
        <v>7.39652492275899</v>
      </c>
      <c r="F171" s="20" t="n">
        <f aca="false">E171*(1+MAX(g_opx_min,phi*F162))+0*F161</f>
        <v>7.98824691657971</v>
      </c>
      <c r="G171" s="20" t="n">
        <f aca="false">F171*(1+MAX(g_opx_min,phi*G162))+0*G161</f>
        <v>8.62730666990609</v>
      </c>
    </row>
    <row r="172" customFormat="false" ht="15" hidden="false" customHeight="false" outlineLevel="0" collapsed="false">
      <c r="A172" s="4" t="s">
        <v>524</v>
      </c>
      <c r="B172" s="0" t="s">
        <v>278</v>
      </c>
      <c r="C172" s="20" t="n">
        <f aca="false">C169-C171</f>
        <v>4.35</v>
      </c>
      <c r="D172" s="20" t="n">
        <f aca="false">D169-D171</f>
        <v>9.2854985</v>
      </c>
      <c r="E172" s="20" t="n">
        <f aca="false">E169-E171</f>
        <v>20.8583957845161</v>
      </c>
      <c r="F172" s="20" t="n">
        <f aca="false">F169-F171</f>
        <v>21.9144344470084</v>
      </c>
      <c r="G172" s="20" t="n">
        <f aca="false">G169-G171</f>
        <v>25.3824284552228</v>
      </c>
    </row>
    <row r="173" customFormat="false" ht="15" hidden="false" customHeight="false" outlineLevel="0" collapsed="false">
      <c r="A173" s="4" t="s">
        <v>621</v>
      </c>
      <c r="B173" s="0" t="s">
        <v>51</v>
      </c>
      <c r="C173" s="9" t="n">
        <f aca="false">C172/C161</f>
        <v>0.127412788143288</v>
      </c>
      <c r="D173" s="9" t="n">
        <f aca="false">D172/D161</f>
        <v>0.13376423464603</v>
      </c>
      <c r="E173" s="9" t="n">
        <f aca="false">E172/E161</f>
        <v>0.132874871730043</v>
      </c>
      <c r="F173" s="9" t="n">
        <f aca="false">F172/F161</f>
        <v>0.134876210284266</v>
      </c>
      <c r="G173" s="9" t="n">
        <f aca="false">G172/G161</f>
        <v>0.136240300872912</v>
      </c>
    </row>
    <row r="174" customFormat="false" ht="15" hidden="false" customHeight="false" outlineLevel="0" collapsed="false">
      <c r="A174" s="4" t="s">
        <v>527</v>
      </c>
      <c r="B174" s="0" t="s">
        <v>278</v>
      </c>
      <c r="C174" s="20" t="n">
        <f aca="false">a25_nonop</f>
        <v>0.0920000000000005</v>
      </c>
      <c r="D174" s="20" t="n">
        <f aca="false">a26_nonop</f>
        <v>0.384548</v>
      </c>
      <c r="E174" s="20" t="n">
        <f aca="false">nonop_f</f>
        <v>0.5</v>
      </c>
      <c r="F174" s="20" t="n">
        <f aca="false">nonop_f</f>
        <v>0.5</v>
      </c>
      <c r="G174" s="20" t="n">
        <f aca="false">nonop_f</f>
        <v>0.5</v>
      </c>
    </row>
    <row r="175" customFormat="false" ht="15" hidden="false" customHeight="false" outlineLevel="0" collapsed="false">
      <c r="A175" s="4" t="s">
        <v>529</v>
      </c>
      <c r="B175" s="0" t="s">
        <v>278</v>
      </c>
      <c r="C175" s="20" t="n">
        <f aca="false">C172+C174</f>
        <v>4.442</v>
      </c>
      <c r="D175" s="20" t="n">
        <f aca="false">D172+D174</f>
        <v>9.6700465</v>
      </c>
      <c r="E175" s="20" t="n">
        <f aca="false">E172+E174</f>
        <v>21.3583957845161</v>
      </c>
      <c r="F175" s="20" t="n">
        <f aca="false">F172+F174</f>
        <v>22.4144344470084</v>
      </c>
      <c r="G175" s="20" t="n">
        <f aca="false">G172+G174</f>
        <v>25.8824284552228</v>
      </c>
    </row>
    <row r="176" customFormat="false" ht="15" hidden="false" customHeight="false" outlineLevel="0" collapsed="false">
      <c r="A176" s="4" t="s">
        <v>531</v>
      </c>
      <c r="B176" s="0" t="s">
        <v>278</v>
      </c>
      <c r="C176" s="20" t="n">
        <f aca="false">a25_tax</f>
        <v>0.672</v>
      </c>
      <c r="D176" s="20" t="n">
        <f aca="false">a26_tax</f>
        <v>1.337361725</v>
      </c>
      <c r="E176" s="20" t="n">
        <f aca="false">E175*tax</f>
        <v>3.20375936767741</v>
      </c>
      <c r="F176" s="20" t="n">
        <f aca="false">F175*tax</f>
        <v>3.36216516705126</v>
      </c>
      <c r="G176" s="20" t="n">
        <f aca="false">G175*tax</f>
        <v>3.88236426828341</v>
      </c>
    </row>
    <row r="177" customFormat="false" ht="15" hidden="false" customHeight="false" outlineLevel="0" collapsed="false">
      <c r="A177" s="4" t="s">
        <v>534</v>
      </c>
      <c r="B177" s="0" t="s">
        <v>278</v>
      </c>
      <c r="C177" s="20" t="n">
        <f aca="false">C175-C176</f>
        <v>3.77</v>
      </c>
      <c r="D177" s="20" t="n">
        <f aca="false">D175-D176</f>
        <v>8.332684775</v>
      </c>
      <c r="E177" s="20" t="n">
        <f aca="false">E175-E176</f>
        <v>18.1546364168387</v>
      </c>
      <c r="F177" s="20" t="n">
        <f aca="false">F175-F176</f>
        <v>19.0522692799572</v>
      </c>
      <c r="G177" s="20" t="n">
        <f aca="false">G175-G176</f>
        <v>22.0000641869394</v>
      </c>
      <c r="H177" s="28" t="n">
        <f aca="false">H161*H181</f>
        <v>24.50215040283</v>
      </c>
      <c r="I177" s="28" t="n">
        <f aca="false">I161*I181</f>
        <v>26.5832664259075</v>
      </c>
      <c r="J177" s="28" t="n">
        <f aca="false">J161*J181</f>
        <v>28.0757017358436</v>
      </c>
    </row>
    <row r="178" customFormat="false" ht="15" hidden="false" customHeight="false" outlineLevel="0" collapsed="false">
      <c r="A178" s="4" t="s">
        <v>312</v>
      </c>
      <c r="B178" s="4" t="s">
        <v>313</v>
      </c>
      <c r="C178" s="19" t="n">
        <f aca="false">a25_sh</f>
        <v>0.134020618556701</v>
      </c>
      <c r="D178" s="19" t="n">
        <f aca="false">a26_sh</f>
        <v>0.13399883744778</v>
      </c>
      <c r="E178" s="19" t="n">
        <f aca="false">q_sh*(1+sh_g)</f>
        <v>0.13401</v>
      </c>
      <c r="F178" s="19" t="n">
        <f aca="false">E178*(1+sh_g)</f>
        <v>0.13401</v>
      </c>
      <c r="G178" s="19" t="n">
        <f aca="false">F178*(1+sh_g)</f>
        <v>0.13401</v>
      </c>
      <c r="H178" s="30" t="n">
        <f aca="false">G178*(1+sh_g)</f>
        <v>0.13401</v>
      </c>
      <c r="I178" s="30" t="n">
        <f aca="false">H178*(1+sh_g)</f>
        <v>0.13401</v>
      </c>
      <c r="J178" s="30" t="n">
        <f aca="false">I178*(1+sh_g)</f>
        <v>0.13401</v>
      </c>
    </row>
    <row r="179" customFormat="false" ht="17.15" hidden="false" customHeight="false" outlineLevel="0" collapsed="false">
      <c r="A179" s="0" t="s">
        <v>538</v>
      </c>
      <c r="B179" s="0" t="s">
        <v>356</v>
      </c>
      <c r="C179" s="20" t="n">
        <f aca="false">C177/C178</f>
        <v>28.13</v>
      </c>
      <c r="D179" s="20" t="n">
        <f aca="false">D177/D178</f>
        <v>62.1847542389856</v>
      </c>
      <c r="E179" s="20" t="n">
        <f aca="false">E177/E178</f>
        <v>135.47225145018</v>
      </c>
      <c r="F179" s="20" t="n">
        <f aca="false">F177/F178</f>
        <v>142.170504290405</v>
      </c>
      <c r="G179" s="20" t="n">
        <f aca="false">G177/G178</f>
        <v>164.167332191175</v>
      </c>
      <c r="H179" s="28" t="n">
        <f aca="false">H177/H178</f>
        <v>182.838224034251</v>
      </c>
      <c r="I179" s="28" t="n">
        <f aca="false">I177/I178</f>
        <v>198.367781702168</v>
      </c>
      <c r="J179" s="28" t="n">
        <f aca="false">J177/J178</f>
        <v>209.504527541553</v>
      </c>
    </row>
    <row r="180" customFormat="false" ht="17.15" hidden="false" customHeight="false" outlineLevel="0" collapsed="false">
      <c r="A180" s="0" t="s">
        <v>661</v>
      </c>
      <c r="B180" s="0" t="s">
        <v>51</v>
      </c>
      <c r="D180" s="18" t="n">
        <f aca="false">D179/C179-1</f>
        <v>1.21062048485551</v>
      </c>
      <c r="E180" s="18" t="n">
        <f aca="false">E179/D179-1</f>
        <v>1.1785444536701</v>
      </c>
      <c r="F180" s="18" t="n">
        <f aca="false">F179/E179-1</f>
        <v>0.0494437256967548</v>
      </c>
      <c r="G180" s="18" t="n">
        <f aca="false">G179/F179-1</f>
        <v>0.154721459353047</v>
      </c>
      <c r="H180" s="26" t="n">
        <f aca="false">H179/G179-1</f>
        <v>0.113730859811584</v>
      </c>
      <c r="I180" s="26" t="n">
        <f aca="false">I179/H179-1</f>
        <v>0.0849360561772228</v>
      </c>
      <c r="J180" s="26" t="n">
        <f aca="false">J179/I179-1</f>
        <v>0.0561419084481483</v>
      </c>
    </row>
    <row r="181" customFormat="false" ht="17.15" hidden="false" customHeight="false" outlineLevel="0" collapsed="false">
      <c r="A181" s="4" t="s">
        <v>662</v>
      </c>
      <c r="B181" s="0" t="s">
        <v>51</v>
      </c>
      <c r="C181" s="9" t="n">
        <f aca="false">C177/C161</f>
        <v>0.11042441639085</v>
      </c>
      <c r="D181" s="9" t="n">
        <f aca="false">D177/D161</f>
        <v>0.1200382727405</v>
      </c>
      <c r="E181" s="9" t="n">
        <f aca="false">E177/E161</f>
        <v>0.115651031369524</v>
      </c>
      <c r="F181" s="9" t="n">
        <f aca="false">F177/F161</f>
        <v>0.11726051539271</v>
      </c>
      <c r="G181" s="9" t="n">
        <f aca="false">G177/G161</f>
        <v>0.118085445186599</v>
      </c>
      <c r="H181" s="27" t="n">
        <f aca="false">$G181+(fade_mA-$G181)*1/3</f>
        <v>0.117658754586906</v>
      </c>
      <c r="I181" s="27" t="n">
        <f aca="false">$G181+(fade_mA-$G181)*2/3</f>
        <v>0.117232063987212</v>
      </c>
      <c r="J181" s="27" t="n">
        <f aca="false">$G181+(fade_mA-$G181)*3/3</f>
        <v>0.116805373387519</v>
      </c>
    </row>
    <row r="184" customFormat="false" ht="17.15" hidden="false" customHeight="false" outlineLevel="0" collapsed="false">
      <c r="A184" s="1" t="s">
        <v>984</v>
      </c>
    </row>
    <row r="185" customFormat="false" ht="17.15" hidden="false" customHeight="false" outlineLevel="0" collapsed="false">
      <c r="A185" s="5" t="s">
        <v>27</v>
      </c>
      <c r="B185" s="5" t="s">
        <v>28</v>
      </c>
      <c r="C185" s="16" t="s">
        <v>497</v>
      </c>
      <c r="D185" s="16" t="s">
        <v>610</v>
      </c>
      <c r="E185" s="16" t="s">
        <v>611</v>
      </c>
      <c r="F185" s="16" t="s">
        <v>612</v>
      </c>
      <c r="G185" s="16" t="s">
        <v>613</v>
      </c>
      <c r="H185" s="16" t="s">
        <v>614</v>
      </c>
      <c r="I185" s="16" t="s">
        <v>615</v>
      </c>
      <c r="J185" s="16" t="s">
        <v>616</v>
      </c>
      <c r="K185" s="5" t="s">
        <v>450</v>
      </c>
    </row>
    <row r="186" customFormat="false" ht="17.15" hidden="false" customHeight="false" outlineLevel="0" collapsed="false">
      <c r="A186" s="6" t="s">
        <v>632</v>
      </c>
    </row>
    <row r="187" customFormat="false" ht="17.15" hidden="false" customHeight="false" outlineLevel="0" collapsed="false">
      <c r="A187" s="0" t="s">
        <v>633</v>
      </c>
      <c r="B187" s="4" t="s">
        <v>38</v>
      </c>
      <c r="D187" s="22" t="n">
        <f aca="false">u_tpu_26</f>
        <v>3.85</v>
      </c>
      <c r="E187" s="22" t="n">
        <f aca="false">u_tpu_27</f>
        <v>5.5</v>
      </c>
      <c r="F187" s="22" t="n">
        <f aca="false">u_tpu_28*um28_A</f>
        <v>7</v>
      </c>
      <c r="G187" s="22" t="n">
        <f aca="false">u_tpu_28*(1+g29_tpu)*um29_A</f>
        <v>8.05</v>
      </c>
    </row>
    <row r="188" customFormat="false" ht="17.15" hidden="false" customHeight="false" outlineLevel="0" collapsed="false">
      <c r="A188" s="0" t="s">
        <v>574</v>
      </c>
      <c r="B188" s="0" t="s">
        <v>70</v>
      </c>
      <c r="D188" s="22" t="n">
        <f aca="false">att26</f>
        <v>0.325</v>
      </c>
      <c r="E188" s="22" t="n">
        <f aca="false">MAX(0,att_A+0)</f>
        <v>0.6</v>
      </c>
      <c r="F188" s="22" t="n">
        <f aca="false">MAX(0,att_A+0)</f>
        <v>0.6</v>
      </c>
      <c r="G188" s="22" t="n">
        <f aca="false">MAX(0,att_A+0)</f>
        <v>0.6</v>
      </c>
    </row>
    <row r="189" customFormat="false" ht="17.15" hidden="false" customHeight="false" outlineLevel="0" collapsed="false">
      <c r="A189" s="4" t="s">
        <v>634</v>
      </c>
      <c r="B189" s="0" t="s">
        <v>51</v>
      </c>
      <c r="D189" s="18" t="n">
        <f aca="false">gsh26</f>
        <v>1</v>
      </c>
      <c r="E189" s="18" t="n">
        <f aca="false">gsh26</f>
        <v>1</v>
      </c>
      <c r="F189" s="18" t="n">
        <f aca="false">MIN(1,gsh28_A)</f>
        <v>1</v>
      </c>
      <c r="G189" s="18" t="n">
        <f aca="false">MIN(1,gsh28_A)</f>
        <v>1</v>
      </c>
    </row>
    <row r="190" customFormat="false" ht="17.15" hidden="false" customHeight="false" outlineLevel="0" collapsed="false">
      <c r="A190" s="4" t="s">
        <v>576</v>
      </c>
      <c r="B190" s="4" t="s">
        <v>38</v>
      </c>
      <c r="D190" s="22" t="n">
        <f aca="false">D187*D188*D189</f>
        <v>1.25125</v>
      </c>
      <c r="E190" s="22" t="n">
        <f aca="false">E187*E188*E189*uf_lo</f>
        <v>2.64</v>
      </c>
      <c r="F190" s="22" t="n">
        <f aca="false">F187*F188*F189*uf_lo</f>
        <v>3.36</v>
      </c>
      <c r="G190" s="22" t="n">
        <f aca="false">G187*G188*G189*uf_lo</f>
        <v>3.864</v>
      </c>
    </row>
    <row r="191" customFormat="false" ht="17.15" hidden="false" customHeight="false" outlineLevel="0" collapsed="false">
      <c r="A191" s="4" t="s">
        <v>635</v>
      </c>
      <c r="B191" s="0" t="s">
        <v>116</v>
      </c>
      <c r="D191" s="20" t="n">
        <f aca="false">pc_cpu</f>
        <v>1</v>
      </c>
      <c r="E191" s="20" t="n">
        <f aca="false">pc_cpu</f>
        <v>1</v>
      </c>
      <c r="F191" s="20" t="n">
        <f aca="false">pc_cpu*pfc_A</f>
        <v>1.2</v>
      </c>
      <c r="G191" s="20" t="n">
        <f aca="false">pc_cpu*pfc_A</f>
        <v>1.2</v>
      </c>
    </row>
    <row r="192" customFormat="false" ht="17.15" hidden="false" customHeight="false" outlineLevel="0" collapsed="false">
      <c r="A192" s="0" t="s">
        <v>636</v>
      </c>
      <c r="B192" s="0" t="s">
        <v>581</v>
      </c>
      <c r="D192" s="20" t="n">
        <f aca="false">D190*D191</f>
        <v>1.25125</v>
      </c>
      <c r="E192" s="20" t="n">
        <f aca="false">E190*E191</f>
        <v>2.64</v>
      </c>
      <c r="F192" s="20" t="n">
        <f aca="false">F190*F191</f>
        <v>4.032</v>
      </c>
      <c r="G192" s="20" t="n">
        <f aca="false">G190*G191</f>
        <v>4.6368</v>
      </c>
    </row>
    <row r="193" customFormat="false" ht="17.15" hidden="false" customHeight="false" outlineLevel="0" collapsed="false">
      <c r="A193" s="0" t="s">
        <v>637</v>
      </c>
      <c r="B193" s="0" t="s">
        <v>70</v>
      </c>
      <c r="D193" s="22" t="n">
        <f aca="false">a26_cpu/fx26/D192</f>
        <v>0.842704434805701</v>
      </c>
      <c r="K193" s="8" t="s">
        <v>638</v>
      </c>
    </row>
    <row r="194" customFormat="false" ht="17.15" hidden="false" customHeight="false" outlineLevel="0" collapsed="false">
      <c r="A194" s="0" t="s">
        <v>639</v>
      </c>
      <c r="B194" s="0" t="s">
        <v>581</v>
      </c>
      <c r="D194" s="20" t="n">
        <f aca="false">D192*$D$193</f>
        <v>1.05443392405063</v>
      </c>
      <c r="E194" s="20" t="n">
        <f aca="false">E192*$D$193</f>
        <v>2.22473970788705</v>
      </c>
      <c r="F194" s="20" t="n">
        <f aca="false">F192*$D$193</f>
        <v>3.39778428113658</v>
      </c>
      <c r="G194" s="20" t="n">
        <f aca="false">G192*$D$193</f>
        <v>3.90745192330707</v>
      </c>
    </row>
    <row r="195" customFormat="false" ht="15" hidden="false" customHeight="false" outlineLevel="0" collapsed="false">
      <c r="A195" s="4" t="s">
        <v>640</v>
      </c>
      <c r="B195" s="0" t="s">
        <v>273</v>
      </c>
      <c r="D195" s="20" t="n">
        <f aca="false">fx26</f>
        <v>31.6</v>
      </c>
      <c r="E195" s="20" t="n">
        <f aca="false">fx</f>
        <v>32</v>
      </c>
      <c r="F195" s="20" t="n">
        <f aca="false">fx</f>
        <v>32</v>
      </c>
      <c r="G195" s="20" t="n">
        <f aca="false">fx</f>
        <v>32</v>
      </c>
    </row>
    <row r="196" customFormat="false" ht="17.15" hidden="false" customHeight="false" outlineLevel="0" collapsed="false">
      <c r="A196" s="0" t="s">
        <v>641</v>
      </c>
      <c r="B196" s="0" t="s">
        <v>278</v>
      </c>
      <c r="C196" s="20" t="n">
        <f aca="false">a25_cpu</f>
        <v>6.14538</v>
      </c>
      <c r="D196" s="20" t="n">
        <f aca="false">D194*D195</f>
        <v>33.320112</v>
      </c>
      <c r="E196" s="20" t="n">
        <f aca="false">E194*E195</f>
        <v>71.1916706523856</v>
      </c>
      <c r="F196" s="20" t="n">
        <f aca="false">F194*F195</f>
        <v>108.729096996371</v>
      </c>
      <c r="G196" s="20" t="n">
        <f aca="false">G194*G195</f>
        <v>125.038461545826</v>
      </c>
    </row>
    <row r="197" customFormat="false" ht="17.15" hidden="false" customHeight="false" outlineLevel="0" collapsed="false">
      <c r="A197" s="4" t="s">
        <v>578</v>
      </c>
      <c r="B197" s="0" t="s">
        <v>116</v>
      </c>
      <c r="D197" s="20" t="n">
        <f aca="false">IF(D190&gt;0,D194/D190,0)</f>
        <v>0.842704434805701</v>
      </c>
      <c r="E197" s="20" t="n">
        <f aca="false">IF(E190&gt;0,E194/E190,0)</f>
        <v>0.842704434805701</v>
      </c>
      <c r="F197" s="20" t="n">
        <f aca="false">IF(F190&gt;0,F194/F190,0)</f>
        <v>1.01124532176684</v>
      </c>
      <c r="G197" s="20" t="n">
        <f aca="false">IF(G190&gt;0,G194/G190,0)</f>
        <v>1.01124532176684</v>
      </c>
    </row>
    <row r="198" customFormat="false" ht="17.15" hidden="false" customHeight="false" outlineLevel="0" collapsed="false">
      <c r="A198" s="6" t="s">
        <v>642</v>
      </c>
    </row>
    <row r="199" customFormat="false" ht="17.15" hidden="false" customHeight="false" outlineLevel="0" collapsed="false">
      <c r="A199" s="4" t="s">
        <v>643</v>
      </c>
      <c r="B199" s="4" t="s">
        <v>38</v>
      </c>
      <c r="D199" s="22" t="n">
        <f aca="false">u_oth_26</f>
        <v>1</v>
      </c>
      <c r="E199" s="22" t="n">
        <f aca="false">u_oth_27</f>
        <v>4.5</v>
      </c>
      <c r="F199" s="22" t="n">
        <f aca="false">u_oth_28*um28_A</f>
        <v>5</v>
      </c>
      <c r="G199" s="22" t="n">
        <f aca="false">u_oth_28*(1+g29_oth)*um29_A</f>
        <v>5.75</v>
      </c>
    </row>
    <row r="200" customFormat="false" ht="17.15" hidden="false" customHeight="false" outlineLevel="0" collapsed="false">
      <c r="A200" s="4" t="s">
        <v>584</v>
      </c>
      <c r="B200" s="0" t="s">
        <v>51</v>
      </c>
      <c r="D200" s="18" t="n">
        <f aca="false">guc_oth_26</f>
        <v>0.03</v>
      </c>
      <c r="E200" s="18" t="n">
        <f aca="false">MIN(1,MAX(0,go27_A+0))</f>
        <v>0.06</v>
      </c>
      <c r="F200" s="18" t="n">
        <f aca="false">MIN(1,MAX(0,go28_A+0))</f>
        <v>0.08</v>
      </c>
      <c r="G200" s="18" t="n">
        <f aca="false">MIN(1,MAX(0,go28_A+0))</f>
        <v>0.08</v>
      </c>
    </row>
    <row r="201" customFormat="false" ht="17.15" hidden="false" customHeight="false" outlineLevel="0" collapsed="false">
      <c r="A201" s="4" t="s">
        <v>586</v>
      </c>
      <c r="B201" s="4" t="s">
        <v>38</v>
      </c>
      <c r="D201" s="22" t="n">
        <f aca="false">D199*D200</f>
        <v>0.03</v>
      </c>
      <c r="E201" s="22" t="n">
        <f aca="false">E199*E200*uf_lo</f>
        <v>0.216</v>
      </c>
      <c r="F201" s="22" t="n">
        <f aca="false">F199*F200*uf_lo</f>
        <v>0.32</v>
      </c>
      <c r="G201" s="22" t="n">
        <f aca="false">G199*G200*uf_lo</f>
        <v>0.368</v>
      </c>
    </row>
    <row r="202" customFormat="false" ht="17.15" hidden="false" customHeight="false" outlineLevel="0" collapsed="false">
      <c r="A202" s="0" t="s">
        <v>644</v>
      </c>
      <c r="B202" s="0" t="s">
        <v>581</v>
      </c>
      <c r="D202" s="20" t="n">
        <f aca="false">D201*core_oth</f>
        <v>0.18</v>
      </c>
      <c r="E202" s="20" t="n">
        <f aca="false">E201*core_oth</f>
        <v>1.296</v>
      </c>
      <c r="F202" s="20" t="n">
        <f aca="false">F201*core_oth</f>
        <v>1.92</v>
      </c>
      <c r="G202" s="20" t="n">
        <f aca="false">G201*core_oth</f>
        <v>2.208</v>
      </c>
    </row>
    <row r="203" customFormat="false" ht="17.15" hidden="false" customHeight="false" outlineLevel="0" collapsed="false">
      <c r="A203" s="0" t="s">
        <v>645</v>
      </c>
      <c r="B203" s="0" t="s">
        <v>70</v>
      </c>
      <c r="D203" s="22" t="n">
        <f aca="false">a26_asic/fx26/D202</f>
        <v>0.366122890295359</v>
      </c>
      <c r="K203" s="8" t="s">
        <v>646</v>
      </c>
    </row>
    <row r="204" customFormat="false" ht="17.15" hidden="false" customHeight="false" outlineLevel="0" collapsed="false">
      <c r="A204" s="0" t="s">
        <v>647</v>
      </c>
      <c r="B204" s="0" t="s">
        <v>581</v>
      </c>
      <c r="D204" s="20" t="n">
        <f aca="false">D202*$D$203</f>
        <v>0.0659021202531645</v>
      </c>
      <c r="E204" s="20" t="n">
        <f aca="false">E202*$D$203</f>
        <v>0.474495265822785</v>
      </c>
      <c r="F204" s="20" t="n">
        <f aca="false">F202*$D$203</f>
        <v>0.702955949367089</v>
      </c>
      <c r="G204" s="20" t="n">
        <f aca="false">G202*$D$203</f>
        <v>0.808399341772152</v>
      </c>
    </row>
    <row r="205" customFormat="false" ht="17.15" hidden="false" customHeight="false" outlineLevel="0" collapsed="false">
      <c r="A205" s="0" t="s">
        <v>648</v>
      </c>
      <c r="B205" s="0" t="s">
        <v>278</v>
      </c>
      <c r="C205" s="20" t="n">
        <f aca="false">a25_asic</f>
        <v>1.70705</v>
      </c>
      <c r="D205" s="20" t="n">
        <f aca="false">D204*D195</f>
        <v>2.082507</v>
      </c>
      <c r="E205" s="20" t="n">
        <f aca="false">E204*E195</f>
        <v>15.1838485063291</v>
      </c>
      <c r="F205" s="20" t="n">
        <f aca="false">F204*F195</f>
        <v>22.4945903797468</v>
      </c>
      <c r="G205" s="20" t="n">
        <f aca="false">G204*G195</f>
        <v>25.8687789367089</v>
      </c>
    </row>
    <row r="206" customFormat="false" ht="17.15" hidden="false" customHeight="false" outlineLevel="0" collapsed="false">
      <c r="A206" s="6" t="s">
        <v>649</v>
      </c>
    </row>
    <row r="207" customFormat="false" ht="17.15" hidden="false" customHeight="false" outlineLevel="0" collapsed="false">
      <c r="A207" s="4" t="s">
        <v>650</v>
      </c>
      <c r="B207" s="0" t="s">
        <v>278</v>
      </c>
      <c r="C207" s="20" t="n">
        <f aca="false">a25_auto</f>
        <v>1.02423</v>
      </c>
      <c r="D207" s="20" t="n">
        <f aca="false">a26_auto</f>
        <v>3.470845</v>
      </c>
      <c r="E207" s="20" t="n">
        <f aca="false">D207*am27_A</f>
        <v>13.88338</v>
      </c>
      <c r="F207" s="20" t="n">
        <f aca="false">E207*am28_A</f>
        <v>27.76676</v>
      </c>
      <c r="G207" s="20" t="n">
        <f aca="false">F207*(1+ag29_A)</f>
        <v>33.320112</v>
      </c>
    </row>
    <row r="208" customFormat="false" ht="17.15" hidden="false" customHeight="false" outlineLevel="0" collapsed="false">
      <c r="A208" s="4" t="s">
        <v>651</v>
      </c>
      <c r="B208" s="0" t="s">
        <v>278</v>
      </c>
      <c r="C208" s="20" t="n">
        <f aca="false">a25_oth</f>
        <v>25.26434</v>
      </c>
      <c r="D208" s="20" t="n">
        <f aca="false">a26_oth</f>
        <v>30.543436</v>
      </c>
      <c r="E208" s="20" t="n">
        <f aca="false">D208*(1+g_o27_A)</f>
        <v>35.1249514</v>
      </c>
      <c r="F208" s="20" t="n">
        <f aca="false">E208*(1+g_oL_A)</f>
        <v>38.63744654</v>
      </c>
      <c r="G208" s="20" t="n">
        <f aca="false">F208*(1+g_oL_A)</f>
        <v>42.501191194</v>
      </c>
    </row>
    <row r="209" customFormat="false" ht="17.15" hidden="false" customHeight="false" outlineLevel="0" collapsed="false">
      <c r="A209" s="4" t="s">
        <v>503</v>
      </c>
      <c r="B209" s="0" t="s">
        <v>278</v>
      </c>
      <c r="C209" s="20" t="n">
        <f aca="false">C196+C205+C207+C208</f>
        <v>34.141</v>
      </c>
      <c r="D209" s="20" t="n">
        <f aca="false">D196+D205+D207+D208</f>
        <v>69.4169</v>
      </c>
      <c r="E209" s="20" t="n">
        <f aca="false">E196+E205+E207+E208</f>
        <v>135.383850558715</v>
      </c>
      <c r="F209" s="20" t="n">
        <f aca="false">F196+F205+F207+F208</f>
        <v>197.627893916118</v>
      </c>
      <c r="G209" s="20" t="n">
        <f aca="false">G196+G205+G207+G208</f>
        <v>226.728543676535</v>
      </c>
      <c r="H209" s="28" t="n">
        <f aca="false">G209*(1+H210)</f>
        <v>253.520255852264</v>
      </c>
      <c r="I209" s="28" t="n">
        <f aca="false">H209*(1+I210)</f>
        <v>276.104660673024</v>
      </c>
      <c r="J209" s="28" t="n">
        <f aca="false">I209*(1+J210)</f>
        <v>292.670940313405</v>
      </c>
      <c r="K209" s="8" t="s">
        <v>652</v>
      </c>
    </row>
    <row r="210" customFormat="false" ht="15" hidden="false" customHeight="false" outlineLevel="0" collapsed="false">
      <c r="A210" s="4" t="s">
        <v>653</v>
      </c>
      <c r="B210" s="0" t="s">
        <v>51</v>
      </c>
      <c r="D210" s="18" t="n">
        <f aca="false">D209/C209-1</f>
        <v>1.03324155707214</v>
      </c>
      <c r="E210" s="18" t="n">
        <f aca="false">E209/D209-1</f>
        <v>0.950301015440256</v>
      </c>
      <c r="F210" s="18" t="n">
        <f aca="false">F209/E209-1</f>
        <v>0.459759735747863</v>
      </c>
      <c r="G210" s="18" t="n">
        <f aca="false">G209/F209-1</f>
        <v>0.14724970844839</v>
      </c>
      <c r="H210" s="26" t="n">
        <f aca="false">$G210+(fade_gA-$G210)*1/3</f>
        <v>0.118166472298926</v>
      </c>
      <c r="I210" s="26" t="n">
        <f aca="false">$G210+(fade_gA-$G210)*2/3</f>
        <v>0.0890832361494632</v>
      </c>
      <c r="J210" s="26" t="n">
        <f aca="false">$G210+(fade_gA-$G210)*3/3</f>
        <v>0.06</v>
      </c>
    </row>
    <row r="211" customFormat="false" ht="17.15" hidden="false" customHeight="false" outlineLevel="0" collapsed="false">
      <c r="A211" s="0" t="s">
        <v>654</v>
      </c>
      <c r="B211" s="0" t="s">
        <v>51</v>
      </c>
      <c r="C211" s="18" t="n">
        <f aca="false">C196/C209</f>
        <v>0.18</v>
      </c>
      <c r="D211" s="18" t="n">
        <f aca="false">D196/D209</f>
        <v>0.48</v>
      </c>
      <c r="E211" s="18" t="n">
        <f aca="false">E196/E209</f>
        <v>0.525850537996852</v>
      </c>
      <c r="F211" s="18" t="n">
        <f aca="false">F196/F209</f>
        <v>0.550170802521027</v>
      </c>
      <c r="G211" s="18" t="n">
        <f aca="false">G196/G209</f>
        <v>0.551489722106687</v>
      </c>
    </row>
    <row r="212" customFormat="false" ht="17.15" hidden="false" customHeight="false" outlineLevel="0" collapsed="false">
      <c r="A212" s="4" t="s">
        <v>655</v>
      </c>
      <c r="B212" s="0" t="s">
        <v>51</v>
      </c>
      <c r="C212" s="18" t="n">
        <f aca="false">C207/C209</f>
        <v>0.03</v>
      </c>
      <c r="D212" s="18" t="n">
        <f aca="false">D207/D209</f>
        <v>0.05</v>
      </c>
      <c r="E212" s="18" t="n">
        <f aca="false">E207/E209</f>
        <v>0.102548272505951</v>
      </c>
      <c r="F212" s="18" t="n">
        <f aca="false">F207/F209</f>
        <v>0.140500206978806</v>
      </c>
      <c r="G212" s="18" t="n">
        <f aca="false">G207/G209</f>
        <v>0.146960375873699</v>
      </c>
    </row>
    <row r="213" customFormat="false" ht="17.15" hidden="false" customHeight="false" outlineLevel="0" collapsed="false">
      <c r="A213" s="6" t="s">
        <v>656</v>
      </c>
    </row>
    <row r="214" customFormat="false" ht="17.15" hidden="false" customHeight="false" outlineLevel="0" collapsed="false">
      <c r="A214" s="0" t="s">
        <v>657</v>
      </c>
      <c r="B214" s="0" t="s">
        <v>278</v>
      </c>
      <c r="D214" s="20" t="n">
        <f aca="false">m_tk*(D196+D205)</f>
        <v>4.60234047</v>
      </c>
      <c r="E214" s="20" t="n">
        <f aca="false">(m_tk+gta_A)*(E196+E205)</f>
        <v>12.0925726822201</v>
      </c>
      <c r="F214" s="20" t="n">
        <f aca="false">(m_tk+gta_A)*(F196+F205)</f>
        <v>18.3713162326565</v>
      </c>
      <c r="G214" s="20" t="n">
        <f aca="false">(m_tk+gta_A)*(G196+G205)</f>
        <v>21.1270136675549</v>
      </c>
    </row>
    <row r="215" customFormat="false" ht="17.15" hidden="false" customHeight="false" outlineLevel="0" collapsed="false">
      <c r="A215" s="4" t="s">
        <v>658</v>
      </c>
      <c r="B215" s="0" t="s">
        <v>278</v>
      </c>
      <c r="D215" s="20" t="n">
        <f aca="false">m_auto*D207</f>
        <v>0.5553352</v>
      </c>
      <c r="E215" s="20" t="n">
        <f aca="false">m_auto*E207</f>
        <v>2.2213408</v>
      </c>
      <c r="F215" s="20" t="n">
        <f aca="false">m_auto*F207</f>
        <v>4.4426816</v>
      </c>
      <c r="G215" s="20" t="n">
        <f aca="false">m_auto*G207</f>
        <v>5.33121792</v>
      </c>
    </row>
    <row r="216" customFormat="false" ht="17.15" hidden="false" customHeight="false" outlineLevel="0" collapsed="false">
      <c r="A216" s="4" t="s">
        <v>659</v>
      </c>
      <c r="B216" s="0" t="s">
        <v>51</v>
      </c>
      <c r="C216" s="9" t="n">
        <f aca="false">(a25_gp-m_tk*(C196+C205)-m_auto*C207)/C208</f>
        <v>0.287729950594395</v>
      </c>
      <c r="D216" s="9" t="n">
        <f aca="false">(a26_gp-D214-D215)/D208</f>
        <v>0.310829299951715</v>
      </c>
      <c r="E216" s="9" t="n">
        <f aca="false">$D216+0</f>
        <v>0.310829299951715</v>
      </c>
      <c r="F216" s="9" t="n">
        <f aca="false">$D216+0</f>
        <v>0.310829299951715</v>
      </c>
      <c r="G216" s="9" t="n">
        <f aca="false">$D216+0</f>
        <v>0.310829299951715</v>
      </c>
      <c r="K216" s="8" t="s">
        <v>660</v>
      </c>
    </row>
    <row r="217" customFormat="false" ht="15" hidden="false" customHeight="false" outlineLevel="0" collapsed="false">
      <c r="A217" s="4" t="s">
        <v>516</v>
      </c>
      <c r="B217" s="0" t="s">
        <v>278</v>
      </c>
      <c r="C217" s="20" t="n">
        <f aca="false">a25_gp</f>
        <v>8.454</v>
      </c>
      <c r="D217" s="20" t="n">
        <f aca="false">a26_gp</f>
        <v>14.6514705</v>
      </c>
      <c r="E217" s="20" t="n">
        <f aca="false">E216*E208+E214+E215</f>
        <v>25.2317775367201</v>
      </c>
      <c r="F217" s="20" t="n">
        <f aca="false">F216*F208+F214+F215</f>
        <v>34.8236482926065</v>
      </c>
      <c r="G217" s="20" t="n">
        <f aca="false">G216*G208+G214+G215</f>
        <v>39.6688470934999</v>
      </c>
    </row>
    <row r="218" customFormat="false" ht="15" hidden="false" customHeight="false" outlineLevel="0" collapsed="false">
      <c r="A218" s="4" t="s">
        <v>519</v>
      </c>
      <c r="B218" s="0" t="s">
        <v>51</v>
      </c>
      <c r="C218" s="9" t="n">
        <f aca="false">C217/C209</f>
        <v>0.247620163439852</v>
      </c>
      <c r="D218" s="9" t="n">
        <f aca="false">D217/D209</f>
        <v>0.211064891978754</v>
      </c>
      <c r="E218" s="9" t="n">
        <f aca="false">E217/E209</f>
        <v>0.186372136946846</v>
      </c>
      <c r="F218" s="9" t="n">
        <f aca="false">F217/F209</f>
        <v>0.17620816374933</v>
      </c>
      <c r="G218" s="9" t="n">
        <f aca="false">G217/G209</f>
        <v>0.174961857251171</v>
      </c>
    </row>
    <row r="219" customFormat="false" ht="15" hidden="false" customHeight="false" outlineLevel="0" collapsed="false">
      <c r="A219" s="4" t="s">
        <v>521</v>
      </c>
      <c r="B219" s="0" t="s">
        <v>278</v>
      </c>
      <c r="C219" s="20" t="n">
        <f aca="false">a25_opx</f>
        <v>4.104</v>
      </c>
      <c r="D219" s="20" t="n">
        <f aca="false">a26_opx</f>
        <v>5.365972</v>
      </c>
      <c r="E219" s="20" t="n">
        <f aca="false">D219*(1+MAX(g_opx_min,phi*E210))+0*E209</f>
        <v>6.89575859212719</v>
      </c>
      <c r="F219" s="20" t="n">
        <f aca="false">E219*(1+MAX(g_opx_min,phi*F210))+0*F209</f>
        <v>7.84687623655643</v>
      </c>
      <c r="G219" s="20" t="n">
        <f aca="false">F219*(1+MAX(g_opx_min,phi*G210))+0*G209</f>
        <v>8.47462633548095</v>
      </c>
    </row>
    <row r="220" customFormat="false" ht="15" hidden="false" customHeight="false" outlineLevel="0" collapsed="false">
      <c r="A220" s="4" t="s">
        <v>524</v>
      </c>
      <c r="B220" s="0" t="s">
        <v>278</v>
      </c>
      <c r="C220" s="20" t="n">
        <f aca="false">C217-C219</f>
        <v>4.35</v>
      </c>
      <c r="D220" s="20" t="n">
        <f aca="false">D217-D219</f>
        <v>9.2854985</v>
      </c>
      <c r="E220" s="20" t="n">
        <f aca="false">E217-E219</f>
        <v>18.3360189445929</v>
      </c>
      <c r="F220" s="20" t="n">
        <f aca="false">F217-F219</f>
        <v>26.97677205605</v>
      </c>
      <c r="G220" s="20" t="n">
        <f aca="false">G217-G219</f>
        <v>31.194220758019</v>
      </c>
    </row>
    <row r="221" customFormat="false" ht="15" hidden="false" customHeight="false" outlineLevel="0" collapsed="false">
      <c r="A221" s="4" t="s">
        <v>621</v>
      </c>
      <c r="B221" s="0" t="s">
        <v>51</v>
      </c>
      <c r="C221" s="9" t="n">
        <f aca="false">C220/C209</f>
        <v>0.127412788143288</v>
      </c>
      <c r="D221" s="9" t="n">
        <f aca="false">D220/D209</f>
        <v>0.13376423464603</v>
      </c>
      <c r="E221" s="9" t="n">
        <f aca="false">E220/E209</f>
        <v>0.13543726869137</v>
      </c>
      <c r="F221" s="9" t="n">
        <f aca="false">F220/F209</f>
        <v>0.136502856562851</v>
      </c>
      <c r="G221" s="9" t="n">
        <f aca="false">G220/G209</f>
        <v>0.137584003549736</v>
      </c>
    </row>
    <row r="222" customFormat="false" ht="15" hidden="false" customHeight="false" outlineLevel="0" collapsed="false">
      <c r="A222" s="4" t="s">
        <v>527</v>
      </c>
      <c r="B222" s="0" t="s">
        <v>278</v>
      </c>
      <c r="C222" s="20" t="n">
        <f aca="false">a25_nonop</f>
        <v>0.0920000000000005</v>
      </c>
      <c r="D222" s="20" t="n">
        <f aca="false">a26_nonop</f>
        <v>0.384548</v>
      </c>
      <c r="E222" s="20" t="n">
        <f aca="false">nonop_f</f>
        <v>0.5</v>
      </c>
      <c r="F222" s="20" t="n">
        <f aca="false">nonop_f</f>
        <v>0.5</v>
      </c>
      <c r="G222" s="20" t="n">
        <f aca="false">nonop_f</f>
        <v>0.5</v>
      </c>
    </row>
    <row r="223" customFormat="false" ht="15" hidden="false" customHeight="false" outlineLevel="0" collapsed="false">
      <c r="A223" s="4" t="s">
        <v>529</v>
      </c>
      <c r="B223" s="0" t="s">
        <v>278</v>
      </c>
      <c r="C223" s="20" t="n">
        <f aca="false">C220+C222</f>
        <v>4.442</v>
      </c>
      <c r="D223" s="20" t="n">
        <f aca="false">D220+D222</f>
        <v>9.6700465</v>
      </c>
      <c r="E223" s="20" t="n">
        <f aca="false">E220+E222</f>
        <v>18.8360189445929</v>
      </c>
      <c r="F223" s="20" t="n">
        <f aca="false">F220+F222</f>
        <v>27.47677205605</v>
      </c>
      <c r="G223" s="20" t="n">
        <f aca="false">G220+G222</f>
        <v>31.694220758019</v>
      </c>
    </row>
    <row r="224" customFormat="false" ht="15" hidden="false" customHeight="false" outlineLevel="0" collapsed="false">
      <c r="A224" s="4" t="s">
        <v>531</v>
      </c>
      <c r="B224" s="0" t="s">
        <v>278</v>
      </c>
      <c r="C224" s="20" t="n">
        <f aca="false">a25_tax</f>
        <v>0.672</v>
      </c>
      <c r="D224" s="20" t="n">
        <f aca="false">a26_tax</f>
        <v>1.337361725</v>
      </c>
      <c r="E224" s="20" t="n">
        <f aca="false">E223*tax</f>
        <v>2.82540284168893</v>
      </c>
      <c r="F224" s="20" t="n">
        <f aca="false">F223*tax</f>
        <v>4.1215158084075</v>
      </c>
      <c r="G224" s="20" t="n">
        <f aca="false">G223*tax</f>
        <v>4.75413311370285</v>
      </c>
    </row>
    <row r="225" customFormat="false" ht="15" hidden="false" customHeight="false" outlineLevel="0" collapsed="false">
      <c r="A225" s="4" t="s">
        <v>534</v>
      </c>
      <c r="B225" s="0" t="s">
        <v>278</v>
      </c>
      <c r="C225" s="20" t="n">
        <f aca="false">C223-C224</f>
        <v>3.77</v>
      </c>
      <c r="D225" s="20" t="n">
        <f aca="false">D223-D224</f>
        <v>8.332684775</v>
      </c>
      <c r="E225" s="20" t="n">
        <f aca="false">E223-E224</f>
        <v>16.0106161029039</v>
      </c>
      <c r="F225" s="20" t="n">
        <f aca="false">F223-F224</f>
        <v>23.3552562476425</v>
      </c>
      <c r="G225" s="20" t="n">
        <f aca="false">G223-G224</f>
        <v>26.9400876443161</v>
      </c>
      <c r="H225" s="28" t="n">
        <f aca="false">H209*H229</f>
        <v>29.9531778918202</v>
      </c>
      <c r="I225" s="28" t="n">
        <f aca="false">I209*I229</f>
        <v>32.4360059476654</v>
      </c>
      <c r="J225" s="28" t="n">
        <f aca="false">J209*J229</f>
        <v>34.1855384629835</v>
      </c>
    </row>
    <row r="226" customFormat="false" ht="15" hidden="false" customHeight="false" outlineLevel="0" collapsed="false">
      <c r="A226" s="4" t="s">
        <v>312</v>
      </c>
      <c r="B226" s="4" t="s">
        <v>313</v>
      </c>
      <c r="C226" s="19" t="n">
        <f aca="false">a25_sh</f>
        <v>0.134020618556701</v>
      </c>
      <c r="D226" s="19" t="n">
        <f aca="false">a26_sh</f>
        <v>0.13399883744778</v>
      </c>
      <c r="E226" s="19" t="n">
        <f aca="false">q_sh*(1+sh_g)</f>
        <v>0.13401</v>
      </c>
      <c r="F226" s="19" t="n">
        <f aca="false">E226*(1+sh_g)</f>
        <v>0.13401</v>
      </c>
      <c r="G226" s="19" t="n">
        <f aca="false">F226*(1+sh_g)</f>
        <v>0.13401</v>
      </c>
      <c r="H226" s="30" t="n">
        <f aca="false">G226*(1+sh_g)</f>
        <v>0.13401</v>
      </c>
      <c r="I226" s="30" t="n">
        <f aca="false">H226*(1+sh_g)</f>
        <v>0.13401</v>
      </c>
      <c r="J226" s="30" t="n">
        <f aca="false">I226*(1+sh_g)</f>
        <v>0.13401</v>
      </c>
    </row>
    <row r="227" customFormat="false" ht="17.15" hidden="false" customHeight="false" outlineLevel="0" collapsed="false">
      <c r="A227" s="0" t="s">
        <v>538</v>
      </c>
      <c r="B227" s="0" t="s">
        <v>356</v>
      </c>
      <c r="C227" s="20" t="n">
        <f aca="false">C225/C226</f>
        <v>28.13</v>
      </c>
      <c r="D227" s="20" t="n">
        <f aca="false">D225/D226</f>
        <v>62.1847542389856</v>
      </c>
      <c r="E227" s="20" t="n">
        <f aca="false">E225/E226</f>
        <v>119.473293805715</v>
      </c>
      <c r="F227" s="20" t="n">
        <f aca="false">F225/F226</f>
        <v>174.279951105459</v>
      </c>
      <c r="G227" s="20" t="n">
        <f aca="false">G225/G226</f>
        <v>201.030427910724</v>
      </c>
      <c r="H227" s="28" t="n">
        <f aca="false">H225/H226</f>
        <v>223.51449811074</v>
      </c>
      <c r="I227" s="28" t="n">
        <f aca="false">I225/I226</f>
        <v>242.041683065931</v>
      </c>
      <c r="J227" s="28" t="n">
        <f aca="false">J225/J226</f>
        <v>255.09692159528</v>
      </c>
    </row>
    <row r="228" customFormat="false" ht="17.15" hidden="false" customHeight="false" outlineLevel="0" collapsed="false">
      <c r="A228" s="0" t="s">
        <v>661</v>
      </c>
      <c r="B228" s="0" t="s">
        <v>51</v>
      </c>
      <c r="D228" s="18" t="n">
        <f aca="false">D227/C227-1</f>
        <v>1.21062048485551</v>
      </c>
      <c r="E228" s="18" t="n">
        <f aca="false">E227/D227-1</f>
        <v>0.921263423291201</v>
      </c>
      <c r="F228" s="18" t="n">
        <f aca="false">F227/E227-1</f>
        <v>0.458735635001982</v>
      </c>
      <c r="G228" s="18" t="n">
        <f aca="false">G227/F227-1</f>
        <v>0.153491417891656</v>
      </c>
      <c r="H228" s="26" t="n">
        <f aca="false">H227/G227-1</f>
        <v>0.111844114513852</v>
      </c>
      <c r="I228" s="26" t="n">
        <f aca="false">I227/H227-1</f>
        <v>0.0828903051560084</v>
      </c>
      <c r="J228" s="26" t="n">
        <f aca="false">J227/I227-1</f>
        <v>0.0539379761534418</v>
      </c>
    </row>
    <row r="229" customFormat="false" ht="17.15" hidden="false" customHeight="false" outlineLevel="0" collapsed="false">
      <c r="A229" s="4" t="s">
        <v>662</v>
      </c>
      <c r="B229" s="0" t="s">
        <v>51</v>
      </c>
      <c r="C229" s="9" t="n">
        <f aca="false">C225/C209</f>
        <v>0.11042441639085</v>
      </c>
      <c r="D229" s="9" t="n">
        <f aca="false">D225/D209</f>
        <v>0.1200382727405</v>
      </c>
      <c r="E229" s="9" t="n">
        <f aca="false">E225/E209</f>
        <v>0.118260900667471</v>
      </c>
      <c r="F229" s="9" t="n">
        <f aca="false">F225/F209</f>
        <v>0.118177934221955</v>
      </c>
      <c r="G229" s="9" t="n">
        <f aca="false">G225/G209</f>
        <v>0.118820891306701</v>
      </c>
      <c r="H229" s="27" t="n">
        <f aca="false">$G229+(fade_mA-$G229)*1/3</f>
        <v>0.118149052000307</v>
      </c>
      <c r="I229" s="27" t="n">
        <f aca="false">$G229+(fade_mA-$G229)*2/3</f>
        <v>0.117477212693913</v>
      </c>
      <c r="J229" s="27" t="n">
        <f aca="false">$G229+(fade_mA-$G229)*3/3</f>
        <v>0.116805373387519</v>
      </c>
    </row>
    <row r="232" customFormat="false" ht="17.15" hidden="false" customHeight="false" outlineLevel="0" collapsed="false">
      <c r="A232" s="1" t="s">
        <v>985</v>
      </c>
    </row>
    <row r="233" customFormat="false" ht="17.15" hidden="false" customHeight="false" outlineLevel="0" collapsed="false">
      <c r="A233" s="5" t="s">
        <v>27</v>
      </c>
      <c r="B233" s="5" t="s">
        <v>28</v>
      </c>
      <c r="C233" s="16" t="s">
        <v>497</v>
      </c>
      <c r="D233" s="16" t="s">
        <v>610</v>
      </c>
      <c r="E233" s="16" t="s">
        <v>611</v>
      </c>
      <c r="F233" s="16" t="s">
        <v>612</v>
      </c>
      <c r="G233" s="16" t="s">
        <v>613</v>
      </c>
      <c r="H233" s="16" t="s">
        <v>614</v>
      </c>
      <c r="I233" s="16" t="s">
        <v>615</v>
      </c>
      <c r="J233" s="16" t="s">
        <v>616</v>
      </c>
      <c r="K233" s="5" t="s">
        <v>450</v>
      </c>
    </row>
    <row r="234" customFormat="false" ht="17.15" hidden="false" customHeight="false" outlineLevel="0" collapsed="false">
      <c r="A234" s="6" t="s">
        <v>632</v>
      </c>
    </row>
    <row r="235" customFormat="false" ht="17.15" hidden="false" customHeight="false" outlineLevel="0" collapsed="false">
      <c r="A235" s="0" t="s">
        <v>633</v>
      </c>
      <c r="B235" s="4" t="s">
        <v>38</v>
      </c>
      <c r="D235" s="22" t="n">
        <f aca="false">u_tpu_26</f>
        <v>3.85</v>
      </c>
      <c r="E235" s="22" t="n">
        <f aca="false">u_tpu_27</f>
        <v>5.5</v>
      </c>
      <c r="F235" s="22" t="n">
        <f aca="false">u_tpu_28*um28_A</f>
        <v>7</v>
      </c>
      <c r="G235" s="22" t="n">
        <f aca="false">u_tpu_28*(1+g29_tpu)*um29_A</f>
        <v>8.05</v>
      </c>
    </row>
    <row r="236" customFormat="false" ht="17.15" hidden="false" customHeight="false" outlineLevel="0" collapsed="false">
      <c r="A236" s="0" t="s">
        <v>574</v>
      </c>
      <c r="B236" s="0" t="s">
        <v>70</v>
      </c>
      <c r="D236" s="22" t="n">
        <f aca="false">att26</f>
        <v>0.325</v>
      </c>
      <c r="E236" s="22" t="n">
        <f aca="false">MAX(0,att_A+0)</f>
        <v>0.6</v>
      </c>
      <c r="F236" s="22" t="n">
        <f aca="false">MAX(0,att_A+0)</f>
        <v>0.6</v>
      </c>
      <c r="G236" s="22" t="n">
        <f aca="false">MAX(0,att_A+0)</f>
        <v>0.6</v>
      </c>
    </row>
    <row r="237" customFormat="false" ht="17.15" hidden="false" customHeight="false" outlineLevel="0" collapsed="false">
      <c r="A237" s="4" t="s">
        <v>634</v>
      </c>
      <c r="B237" s="0" t="s">
        <v>51</v>
      </c>
      <c r="D237" s="18" t="n">
        <f aca="false">gsh26</f>
        <v>1</v>
      </c>
      <c r="E237" s="18" t="n">
        <f aca="false">gsh26</f>
        <v>1</v>
      </c>
      <c r="F237" s="18" t="n">
        <f aca="false">MIN(1,gsh28_A)</f>
        <v>1</v>
      </c>
      <c r="G237" s="18" t="n">
        <f aca="false">MIN(1,gsh28_A)</f>
        <v>1</v>
      </c>
    </row>
    <row r="238" customFormat="false" ht="17.15" hidden="false" customHeight="false" outlineLevel="0" collapsed="false">
      <c r="A238" s="4" t="s">
        <v>576</v>
      </c>
      <c r="B238" s="4" t="s">
        <v>38</v>
      </c>
      <c r="D238" s="22" t="n">
        <f aca="false">D235*D236*D237</f>
        <v>1.25125</v>
      </c>
      <c r="E238" s="22" t="n">
        <f aca="false">E235*E236*E237*uf_hi</f>
        <v>3.96</v>
      </c>
      <c r="F238" s="22" t="n">
        <f aca="false">F235*F236*F237*uf_hi</f>
        <v>5.04</v>
      </c>
      <c r="G238" s="22" t="n">
        <f aca="false">G235*G236*G237*uf_hi</f>
        <v>5.796</v>
      </c>
    </row>
    <row r="239" customFormat="false" ht="17.15" hidden="false" customHeight="false" outlineLevel="0" collapsed="false">
      <c r="A239" s="4" t="s">
        <v>635</v>
      </c>
      <c r="B239" s="0" t="s">
        <v>116</v>
      </c>
      <c r="D239" s="20" t="n">
        <f aca="false">pc_cpu</f>
        <v>1</v>
      </c>
      <c r="E239" s="20" t="n">
        <f aca="false">pc_cpu</f>
        <v>1</v>
      </c>
      <c r="F239" s="20" t="n">
        <f aca="false">pc_cpu*pfc_A</f>
        <v>1.2</v>
      </c>
      <c r="G239" s="20" t="n">
        <f aca="false">pc_cpu*pfc_A</f>
        <v>1.2</v>
      </c>
    </row>
    <row r="240" customFormat="false" ht="17.15" hidden="false" customHeight="false" outlineLevel="0" collapsed="false">
      <c r="A240" s="0" t="s">
        <v>636</v>
      </c>
      <c r="B240" s="0" t="s">
        <v>581</v>
      </c>
      <c r="D240" s="20" t="n">
        <f aca="false">D238*D239</f>
        <v>1.25125</v>
      </c>
      <c r="E240" s="20" t="n">
        <f aca="false">E238*E239</f>
        <v>3.96</v>
      </c>
      <c r="F240" s="20" t="n">
        <f aca="false">F238*F239</f>
        <v>6.048</v>
      </c>
      <c r="G240" s="20" t="n">
        <f aca="false">G238*G239</f>
        <v>6.9552</v>
      </c>
    </row>
    <row r="241" customFormat="false" ht="17.15" hidden="false" customHeight="false" outlineLevel="0" collapsed="false">
      <c r="A241" s="0" t="s">
        <v>637</v>
      </c>
      <c r="B241" s="0" t="s">
        <v>70</v>
      </c>
      <c r="D241" s="22" t="n">
        <f aca="false">a26_cpu/fx26/D240</f>
        <v>0.842704434805701</v>
      </c>
      <c r="K241" s="8" t="s">
        <v>638</v>
      </c>
    </row>
    <row r="242" customFormat="false" ht="17.15" hidden="false" customHeight="false" outlineLevel="0" collapsed="false">
      <c r="A242" s="0" t="s">
        <v>639</v>
      </c>
      <c r="B242" s="0" t="s">
        <v>581</v>
      </c>
      <c r="D242" s="20" t="n">
        <f aca="false">D240*$D$241</f>
        <v>1.05443392405063</v>
      </c>
      <c r="E242" s="20" t="n">
        <f aca="false">E240*$D$241</f>
        <v>3.33710956183057</v>
      </c>
      <c r="F242" s="20" t="n">
        <f aca="false">F240*$D$241</f>
        <v>5.09667642170488</v>
      </c>
      <c r="G242" s="20" t="n">
        <f aca="false">G240*$D$241</f>
        <v>5.86117788496061</v>
      </c>
    </row>
    <row r="243" customFormat="false" ht="15" hidden="false" customHeight="false" outlineLevel="0" collapsed="false">
      <c r="A243" s="4" t="s">
        <v>640</v>
      </c>
      <c r="B243" s="0" t="s">
        <v>273</v>
      </c>
      <c r="D243" s="20" t="n">
        <f aca="false">fx26</f>
        <v>31.6</v>
      </c>
      <c r="E243" s="20" t="n">
        <f aca="false">fx</f>
        <v>32</v>
      </c>
      <c r="F243" s="20" t="n">
        <f aca="false">fx</f>
        <v>32</v>
      </c>
      <c r="G243" s="20" t="n">
        <f aca="false">fx</f>
        <v>32</v>
      </c>
    </row>
    <row r="244" customFormat="false" ht="17.15" hidden="false" customHeight="false" outlineLevel="0" collapsed="false">
      <c r="A244" s="0" t="s">
        <v>641</v>
      </c>
      <c r="B244" s="0" t="s">
        <v>278</v>
      </c>
      <c r="C244" s="20" t="n">
        <f aca="false">a25_cpu</f>
        <v>6.14538</v>
      </c>
      <c r="D244" s="20" t="n">
        <f aca="false">D242*D243</f>
        <v>33.320112</v>
      </c>
      <c r="E244" s="20" t="n">
        <f aca="false">E242*E243</f>
        <v>106.787505978578</v>
      </c>
      <c r="F244" s="20" t="n">
        <f aca="false">F242*F243</f>
        <v>163.093645494556</v>
      </c>
      <c r="G244" s="20" t="n">
        <f aca="false">G242*G243</f>
        <v>187.557692318739</v>
      </c>
    </row>
    <row r="245" customFormat="false" ht="17.15" hidden="false" customHeight="false" outlineLevel="0" collapsed="false">
      <c r="A245" s="4" t="s">
        <v>578</v>
      </c>
      <c r="B245" s="0" t="s">
        <v>116</v>
      </c>
      <c r="D245" s="20" t="n">
        <f aca="false">IF(D238&gt;0,D242/D238,0)</f>
        <v>0.842704434805701</v>
      </c>
      <c r="E245" s="20" t="n">
        <f aca="false">IF(E238&gt;0,E242/E238,0)</f>
        <v>0.842704434805701</v>
      </c>
      <c r="F245" s="20" t="n">
        <f aca="false">IF(F238&gt;0,F242/F238,0)</f>
        <v>1.01124532176684</v>
      </c>
      <c r="G245" s="20" t="n">
        <f aca="false">IF(G238&gt;0,G242/G238,0)</f>
        <v>1.01124532176684</v>
      </c>
    </row>
    <row r="246" customFormat="false" ht="17.15" hidden="false" customHeight="false" outlineLevel="0" collapsed="false">
      <c r="A246" s="6" t="s">
        <v>642</v>
      </c>
    </row>
    <row r="247" customFormat="false" ht="17.15" hidden="false" customHeight="false" outlineLevel="0" collapsed="false">
      <c r="A247" s="4" t="s">
        <v>643</v>
      </c>
      <c r="B247" s="4" t="s">
        <v>38</v>
      </c>
      <c r="D247" s="22" t="n">
        <f aca="false">u_oth_26</f>
        <v>1</v>
      </c>
      <c r="E247" s="22" t="n">
        <f aca="false">u_oth_27</f>
        <v>4.5</v>
      </c>
      <c r="F247" s="22" t="n">
        <f aca="false">u_oth_28*um28_A</f>
        <v>5</v>
      </c>
      <c r="G247" s="22" t="n">
        <f aca="false">u_oth_28*(1+g29_oth)*um29_A</f>
        <v>5.75</v>
      </c>
    </row>
    <row r="248" customFormat="false" ht="17.15" hidden="false" customHeight="false" outlineLevel="0" collapsed="false">
      <c r="A248" s="4" t="s">
        <v>584</v>
      </c>
      <c r="B248" s="0" t="s">
        <v>51</v>
      </c>
      <c r="D248" s="18" t="n">
        <f aca="false">guc_oth_26</f>
        <v>0.03</v>
      </c>
      <c r="E248" s="18" t="n">
        <f aca="false">MIN(1,MAX(0,go27_A+0))</f>
        <v>0.06</v>
      </c>
      <c r="F248" s="18" t="n">
        <f aca="false">MIN(1,MAX(0,go28_A+0))</f>
        <v>0.08</v>
      </c>
      <c r="G248" s="18" t="n">
        <f aca="false">MIN(1,MAX(0,go28_A+0))</f>
        <v>0.08</v>
      </c>
    </row>
    <row r="249" customFormat="false" ht="17.15" hidden="false" customHeight="false" outlineLevel="0" collapsed="false">
      <c r="A249" s="4" t="s">
        <v>586</v>
      </c>
      <c r="B249" s="4" t="s">
        <v>38</v>
      </c>
      <c r="D249" s="22" t="n">
        <f aca="false">D247*D248</f>
        <v>0.03</v>
      </c>
      <c r="E249" s="22" t="n">
        <f aca="false">E247*E248*uf_hi</f>
        <v>0.324</v>
      </c>
      <c r="F249" s="22" t="n">
        <f aca="false">F247*F248*uf_hi</f>
        <v>0.48</v>
      </c>
      <c r="G249" s="22" t="n">
        <f aca="false">G247*G248*uf_hi</f>
        <v>0.552</v>
      </c>
    </row>
    <row r="250" customFormat="false" ht="17.15" hidden="false" customHeight="false" outlineLevel="0" collapsed="false">
      <c r="A250" s="0" t="s">
        <v>644</v>
      </c>
      <c r="B250" s="0" t="s">
        <v>581</v>
      </c>
      <c r="D250" s="20" t="n">
        <f aca="false">D249*core_oth</f>
        <v>0.18</v>
      </c>
      <c r="E250" s="20" t="n">
        <f aca="false">E249*core_oth</f>
        <v>1.944</v>
      </c>
      <c r="F250" s="20" t="n">
        <f aca="false">F249*core_oth</f>
        <v>2.88</v>
      </c>
      <c r="G250" s="20" t="n">
        <f aca="false">G249*core_oth</f>
        <v>3.312</v>
      </c>
    </row>
    <row r="251" customFormat="false" ht="17.15" hidden="false" customHeight="false" outlineLevel="0" collapsed="false">
      <c r="A251" s="0" t="s">
        <v>645</v>
      </c>
      <c r="B251" s="0" t="s">
        <v>70</v>
      </c>
      <c r="D251" s="22" t="n">
        <f aca="false">a26_asic/fx26/D250</f>
        <v>0.366122890295359</v>
      </c>
      <c r="K251" s="8" t="s">
        <v>646</v>
      </c>
    </row>
    <row r="252" customFormat="false" ht="17.15" hidden="false" customHeight="false" outlineLevel="0" collapsed="false">
      <c r="A252" s="0" t="s">
        <v>647</v>
      </c>
      <c r="B252" s="0" t="s">
        <v>581</v>
      </c>
      <c r="D252" s="20" t="n">
        <f aca="false">D250*$D$251</f>
        <v>0.0659021202531645</v>
      </c>
      <c r="E252" s="20" t="n">
        <f aca="false">E250*$D$251</f>
        <v>0.711742898734177</v>
      </c>
      <c r="F252" s="20" t="n">
        <f aca="false">F250*$D$251</f>
        <v>1.05443392405063</v>
      </c>
      <c r="G252" s="20" t="n">
        <f aca="false">G250*$D$251</f>
        <v>1.21259901265823</v>
      </c>
    </row>
    <row r="253" customFormat="false" ht="17.15" hidden="false" customHeight="false" outlineLevel="0" collapsed="false">
      <c r="A253" s="0" t="s">
        <v>648</v>
      </c>
      <c r="B253" s="0" t="s">
        <v>278</v>
      </c>
      <c r="C253" s="20" t="n">
        <f aca="false">a25_asic</f>
        <v>1.70705</v>
      </c>
      <c r="D253" s="20" t="n">
        <f aca="false">D252*D243</f>
        <v>2.082507</v>
      </c>
      <c r="E253" s="20" t="n">
        <f aca="false">E252*E243</f>
        <v>22.7757727594937</v>
      </c>
      <c r="F253" s="20" t="n">
        <f aca="false">F252*F243</f>
        <v>33.7418855696202</v>
      </c>
      <c r="G253" s="20" t="n">
        <f aca="false">G252*G243</f>
        <v>38.8031684050633</v>
      </c>
    </row>
    <row r="254" customFormat="false" ht="17.15" hidden="false" customHeight="false" outlineLevel="0" collapsed="false">
      <c r="A254" s="6" t="s">
        <v>649</v>
      </c>
    </row>
    <row r="255" customFormat="false" ht="17.15" hidden="false" customHeight="false" outlineLevel="0" collapsed="false">
      <c r="A255" s="4" t="s">
        <v>650</v>
      </c>
      <c r="B255" s="0" t="s">
        <v>278</v>
      </c>
      <c r="C255" s="20" t="n">
        <f aca="false">a25_auto</f>
        <v>1.02423</v>
      </c>
      <c r="D255" s="20" t="n">
        <f aca="false">a26_auto</f>
        <v>3.470845</v>
      </c>
      <c r="E255" s="20" t="n">
        <f aca="false">D255*am27_A</f>
        <v>13.88338</v>
      </c>
      <c r="F255" s="20" t="n">
        <f aca="false">E255*am28_A</f>
        <v>27.76676</v>
      </c>
      <c r="G255" s="20" t="n">
        <f aca="false">F255*(1+ag29_A)</f>
        <v>33.320112</v>
      </c>
    </row>
    <row r="256" customFormat="false" ht="17.15" hidden="false" customHeight="false" outlineLevel="0" collapsed="false">
      <c r="A256" s="4" t="s">
        <v>651</v>
      </c>
      <c r="B256" s="0" t="s">
        <v>278</v>
      </c>
      <c r="C256" s="20" t="n">
        <f aca="false">a25_oth</f>
        <v>25.26434</v>
      </c>
      <c r="D256" s="20" t="n">
        <f aca="false">a26_oth</f>
        <v>30.543436</v>
      </c>
      <c r="E256" s="20" t="n">
        <f aca="false">D256*(1+g_o27_A)</f>
        <v>35.1249514</v>
      </c>
      <c r="F256" s="20" t="n">
        <f aca="false">E256*(1+g_oL_A)</f>
        <v>38.63744654</v>
      </c>
      <c r="G256" s="20" t="n">
        <f aca="false">F256*(1+g_oL_A)</f>
        <v>42.501191194</v>
      </c>
    </row>
    <row r="257" customFormat="false" ht="17.15" hidden="false" customHeight="false" outlineLevel="0" collapsed="false">
      <c r="A257" s="4" t="s">
        <v>503</v>
      </c>
      <c r="B257" s="0" t="s">
        <v>278</v>
      </c>
      <c r="C257" s="20" t="n">
        <f aca="false">C244+C253+C255+C256</f>
        <v>34.141</v>
      </c>
      <c r="D257" s="20" t="n">
        <f aca="false">D244+D253+D255+D256</f>
        <v>69.4169</v>
      </c>
      <c r="E257" s="20" t="n">
        <f aca="false">E244+E253+E255+E256</f>
        <v>178.571610138072</v>
      </c>
      <c r="F257" s="20" t="n">
        <f aca="false">F244+F253+F255+F256</f>
        <v>263.239737604176</v>
      </c>
      <c r="G257" s="20" t="n">
        <f aca="false">G244+G253+G255+G256</f>
        <v>302.182163917803</v>
      </c>
      <c r="H257" s="28" t="n">
        <f aca="false">G257*(1+H258)</f>
        <v>338.028062126114</v>
      </c>
      <c r="I257" s="28" t="n">
        <f aca="false">H257*(1+I258)</f>
        <v>368.217935589627</v>
      </c>
      <c r="J257" s="28" t="n">
        <f aca="false">I257*(1+J258)</f>
        <v>390.311011725004</v>
      </c>
      <c r="K257" s="8" t="s">
        <v>652</v>
      </c>
    </row>
    <row r="258" customFormat="false" ht="15" hidden="false" customHeight="false" outlineLevel="0" collapsed="false">
      <c r="A258" s="4" t="s">
        <v>653</v>
      </c>
      <c r="B258" s="0" t="s">
        <v>51</v>
      </c>
      <c r="D258" s="18" t="n">
        <f aca="false">D257/C257-1</f>
        <v>1.03324155707214</v>
      </c>
      <c r="E258" s="18" t="n">
        <f aca="false">E257/D257-1</f>
        <v>1.57245152316038</v>
      </c>
      <c r="F258" s="18" t="n">
        <f aca="false">F257/E257-1</f>
        <v>0.474141031716288</v>
      </c>
      <c r="G258" s="18" t="n">
        <f aca="false">G257/F257-1</f>
        <v>0.147935211712536</v>
      </c>
      <c r="H258" s="26" t="n">
        <f aca="false">$G258+(fade_gA-$G258)*1/3</f>
        <v>0.118623474475024</v>
      </c>
      <c r="I258" s="26" t="n">
        <f aca="false">$G258+(fade_gA-$G258)*2/3</f>
        <v>0.0893117372375121</v>
      </c>
      <c r="J258" s="26" t="n">
        <f aca="false">$G258+(fade_gA-$G258)*3/3</f>
        <v>0.06</v>
      </c>
    </row>
    <row r="259" customFormat="false" ht="17.15" hidden="false" customHeight="false" outlineLevel="0" collapsed="false">
      <c r="A259" s="0" t="s">
        <v>654</v>
      </c>
      <c r="B259" s="0" t="s">
        <v>51</v>
      </c>
      <c r="C259" s="18" t="n">
        <f aca="false">C244/C257</f>
        <v>0.18</v>
      </c>
      <c r="D259" s="18" t="n">
        <f aca="false">D244/D257</f>
        <v>0.48</v>
      </c>
      <c r="E259" s="18" t="n">
        <f aca="false">E244/E257</f>
        <v>0.59800942544008</v>
      </c>
      <c r="F259" s="18" t="n">
        <f aca="false">F244/F257</f>
        <v>0.61956316694022</v>
      </c>
      <c r="G259" s="18" t="n">
        <f aca="false">G244/G257</f>
        <v>0.620677573709339</v>
      </c>
    </row>
    <row r="260" customFormat="false" ht="17.15" hidden="false" customHeight="false" outlineLevel="0" collapsed="false">
      <c r="A260" s="4" t="s">
        <v>655</v>
      </c>
      <c r="B260" s="0" t="s">
        <v>51</v>
      </c>
      <c r="C260" s="18" t="n">
        <f aca="false">C255/C257</f>
        <v>0.03</v>
      </c>
      <c r="D260" s="18" t="n">
        <f aca="false">D255/D257</f>
        <v>0.05</v>
      </c>
      <c r="E260" s="18" t="n">
        <f aca="false">E255/E257</f>
        <v>0.0777468489490874</v>
      </c>
      <c r="F260" s="18" t="n">
        <f aca="false">F255/F257</f>
        <v>0.105480883139885</v>
      </c>
      <c r="G260" s="18" t="n">
        <f aca="false">G255/G257</f>
        <v>0.110264985755624</v>
      </c>
    </row>
    <row r="261" customFormat="false" ht="17.15" hidden="false" customHeight="false" outlineLevel="0" collapsed="false">
      <c r="A261" s="6" t="s">
        <v>656</v>
      </c>
    </row>
    <row r="262" customFormat="false" ht="17.15" hidden="false" customHeight="false" outlineLevel="0" collapsed="false">
      <c r="A262" s="0" t="s">
        <v>657</v>
      </c>
      <c r="B262" s="0" t="s">
        <v>278</v>
      </c>
      <c r="D262" s="20" t="n">
        <f aca="false">m_tk*(D244+D253)</f>
        <v>4.60234047</v>
      </c>
      <c r="E262" s="20" t="n">
        <f aca="false">(m_tk+gta_A)*(E244+E253)</f>
        <v>18.1388590233301</v>
      </c>
      <c r="F262" s="20" t="n">
        <f aca="false">(m_tk+gta_A)*(F244+F253)</f>
        <v>27.5569743489847</v>
      </c>
      <c r="G262" s="20" t="n">
        <f aca="false">(m_tk+gta_A)*(G244+G253)</f>
        <v>31.6905205013324</v>
      </c>
    </row>
    <row r="263" customFormat="false" ht="17.15" hidden="false" customHeight="false" outlineLevel="0" collapsed="false">
      <c r="A263" s="4" t="s">
        <v>658</v>
      </c>
      <c r="B263" s="0" t="s">
        <v>278</v>
      </c>
      <c r="D263" s="20" t="n">
        <f aca="false">m_auto*D255</f>
        <v>0.5553352</v>
      </c>
      <c r="E263" s="20" t="n">
        <f aca="false">m_auto*E255</f>
        <v>2.2213408</v>
      </c>
      <c r="F263" s="20" t="n">
        <f aca="false">m_auto*F255</f>
        <v>4.4426816</v>
      </c>
      <c r="G263" s="20" t="n">
        <f aca="false">m_auto*G255</f>
        <v>5.33121792</v>
      </c>
    </row>
    <row r="264" customFormat="false" ht="17.15" hidden="false" customHeight="false" outlineLevel="0" collapsed="false">
      <c r="A264" s="4" t="s">
        <v>659</v>
      </c>
      <c r="B264" s="0" t="s">
        <v>51</v>
      </c>
      <c r="C264" s="9" t="n">
        <f aca="false">(a25_gp-m_tk*(C244+C253)-m_auto*C255)/C256</f>
        <v>0.287729950594395</v>
      </c>
      <c r="D264" s="9" t="n">
        <f aca="false">(a26_gp-D262-D263)/D256</f>
        <v>0.310829299951715</v>
      </c>
      <c r="E264" s="9" t="n">
        <f aca="false">$D264+0</f>
        <v>0.310829299951715</v>
      </c>
      <c r="F264" s="9" t="n">
        <f aca="false">$D264+0</f>
        <v>0.310829299951715</v>
      </c>
      <c r="G264" s="9" t="n">
        <f aca="false">$D264+0</f>
        <v>0.310829299951715</v>
      </c>
      <c r="K264" s="8" t="s">
        <v>660</v>
      </c>
    </row>
    <row r="265" customFormat="false" ht="15" hidden="false" customHeight="false" outlineLevel="0" collapsed="false">
      <c r="A265" s="4" t="s">
        <v>516</v>
      </c>
      <c r="B265" s="0" t="s">
        <v>278</v>
      </c>
      <c r="C265" s="20" t="n">
        <f aca="false">a25_gp</f>
        <v>8.454</v>
      </c>
      <c r="D265" s="20" t="n">
        <f aca="false">a26_gp</f>
        <v>14.6514705</v>
      </c>
      <c r="E265" s="20" t="n">
        <f aca="false">E264*E256+E262+E263</f>
        <v>31.2780638778301</v>
      </c>
      <c r="F265" s="20" t="n">
        <f aca="false">F264*F256+F262+F263</f>
        <v>44.0093064089347</v>
      </c>
      <c r="G265" s="20" t="n">
        <f aca="false">G264*G256+G262+G263</f>
        <v>50.2323539272774</v>
      </c>
    </row>
    <row r="266" customFormat="false" ht="15" hidden="false" customHeight="false" outlineLevel="0" collapsed="false">
      <c r="A266" s="4" t="s">
        <v>519</v>
      </c>
      <c r="B266" s="0" t="s">
        <v>51</v>
      </c>
      <c r="C266" s="9" t="n">
        <f aca="false">C265/C257</f>
        <v>0.247620163439852</v>
      </c>
      <c r="D266" s="9" t="n">
        <f aca="false">D265/D257</f>
        <v>0.211064891978754</v>
      </c>
      <c r="E266" s="9" t="n">
        <f aca="false">E265/E257</f>
        <v>0.175156979620925</v>
      </c>
      <c r="F266" s="9" t="n">
        <f aca="false">F265/F257</f>
        <v>0.16718336984179</v>
      </c>
      <c r="G266" s="9" t="n">
        <f aca="false">G265/G257</f>
        <v>0.166232027979458</v>
      </c>
    </row>
    <row r="267" customFormat="false" ht="15" hidden="false" customHeight="false" outlineLevel="0" collapsed="false">
      <c r="A267" s="4" t="s">
        <v>521</v>
      </c>
      <c r="B267" s="0" t="s">
        <v>278</v>
      </c>
      <c r="C267" s="20" t="n">
        <f aca="false">a25_opx</f>
        <v>4.104</v>
      </c>
      <c r="D267" s="20" t="n">
        <f aca="false">a26_opx</f>
        <v>5.365972</v>
      </c>
      <c r="E267" s="20" t="n">
        <f aca="false">D267*(1+MAX(g_opx_min,phi*E258))+0*E257</f>
        <v>7.89729125339079</v>
      </c>
      <c r="F267" s="20" t="n">
        <f aca="false">E267*(1+MAX(g_opx_min,phi*F258))+0*F257</f>
        <v>9.02062020018481</v>
      </c>
      <c r="G267" s="20" t="n">
        <f aca="false">F267*(1+MAX(g_opx_min,phi*G258))+0*G257</f>
        <v>9.7422698161996</v>
      </c>
    </row>
    <row r="268" customFormat="false" ht="15" hidden="false" customHeight="false" outlineLevel="0" collapsed="false">
      <c r="A268" s="4" t="s">
        <v>524</v>
      </c>
      <c r="B268" s="0" t="s">
        <v>278</v>
      </c>
      <c r="C268" s="20" t="n">
        <f aca="false">C265-C267</f>
        <v>4.35</v>
      </c>
      <c r="D268" s="20" t="n">
        <f aca="false">D265-D267</f>
        <v>9.2854985</v>
      </c>
      <c r="E268" s="20" t="n">
        <f aca="false">E265-E267</f>
        <v>23.3807726244393</v>
      </c>
      <c r="F268" s="20" t="n">
        <f aca="false">F265-F267</f>
        <v>34.9886862087499</v>
      </c>
      <c r="G268" s="20" t="n">
        <f aca="false">G265-G267</f>
        <v>40.4900841110778</v>
      </c>
    </row>
    <row r="269" customFormat="false" ht="15" hidden="false" customHeight="false" outlineLevel="0" collapsed="false">
      <c r="A269" s="4" t="s">
        <v>621</v>
      </c>
      <c r="B269" s="0" t="s">
        <v>51</v>
      </c>
      <c r="C269" s="9" t="n">
        <f aca="false">C268/C257</f>
        <v>0.127412788143288</v>
      </c>
      <c r="D269" s="9" t="n">
        <f aca="false">D268/D257</f>
        <v>0.13376423464603</v>
      </c>
      <c r="E269" s="9" t="n">
        <f aca="false">E268/E257</f>
        <v>0.130932193568514</v>
      </c>
      <c r="F269" s="9" t="n">
        <f aca="false">F268/F257</f>
        <v>0.132915670434838</v>
      </c>
      <c r="G269" s="9" t="n">
        <f aca="false">G268/G257</f>
        <v>0.133992303139677</v>
      </c>
    </row>
    <row r="270" customFormat="false" ht="15" hidden="false" customHeight="false" outlineLevel="0" collapsed="false">
      <c r="A270" s="4" t="s">
        <v>527</v>
      </c>
      <c r="B270" s="0" t="s">
        <v>278</v>
      </c>
      <c r="C270" s="20" t="n">
        <f aca="false">a25_nonop</f>
        <v>0.0920000000000005</v>
      </c>
      <c r="D270" s="20" t="n">
        <f aca="false">a26_nonop</f>
        <v>0.384548</v>
      </c>
      <c r="E270" s="20" t="n">
        <f aca="false">nonop_f</f>
        <v>0.5</v>
      </c>
      <c r="F270" s="20" t="n">
        <f aca="false">nonop_f</f>
        <v>0.5</v>
      </c>
      <c r="G270" s="20" t="n">
        <f aca="false">nonop_f</f>
        <v>0.5</v>
      </c>
    </row>
    <row r="271" customFormat="false" ht="15" hidden="false" customHeight="false" outlineLevel="0" collapsed="false">
      <c r="A271" s="4" t="s">
        <v>529</v>
      </c>
      <c r="B271" s="0" t="s">
        <v>278</v>
      </c>
      <c r="C271" s="20" t="n">
        <f aca="false">C268+C270</f>
        <v>4.442</v>
      </c>
      <c r="D271" s="20" t="n">
        <f aca="false">D268+D270</f>
        <v>9.6700465</v>
      </c>
      <c r="E271" s="20" t="n">
        <f aca="false">E268+E270</f>
        <v>23.8807726244393</v>
      </c>
      <c r="F271" s="20" t="n">
        <f aca="false">F268+F270</f>
        <v>35.4886862087499</v>
      </c>
      <c r="G271" s="20" t="n">
        <f aca="false">G268+G270</f>
        <v>40.9900841110778</v>
      </c>
    </row>
    <row r="272" customFormat="false" ht="15" hidden="false" customHeight="false" outlineLevel="0" collapsed="false">
      <c r="A272" s="4" t="s">
        <v>531</v>
      </c>
      <c r="B272" s="0" t="s">
        <v>278</v>
      </c>
      <c r="C272" s="20" t="n">
        <f aca="false">a25_tax</f>
        <v>0.672</v>
      </c>
      <c r="D272" s="20" t="n">
        <f aca="false">a26_tax</f>
        <v>1.337361725</v>
      </c>
      <c r="E272" s="20" t="n">
        <f aca="false">E271*tax</f>
        <v>3.58211589366589</v>
      </c>
      <c r="F272" s="20" t="n">
        <f aca="false">F271*tax</f>
        <v>5.32330293131248</v>
      </c>
      <c r="G272" s="20" t="n">
        <f aca="false">G271*tax</f>
        <v>6.14851261666167</v>
      </c>
    </row>
    <row r="273" customFormat="false" ht="15" hidden="false" customHeight="false" outlineLevel="0" collapsed="false">
      <c r="A273" s="4" t="s">
        <v>534</v>
      </c>
      <c r="B273" s="0" t="s">
        <v>278</v>
      </c>
      <c r="C273" s="20" t="n">
        <f aca="false">C271-C272</f>
        <v>3.77</v>
      </c>
      <c r="D273" s="20" t="n">
        <f aca="false">D271-D272</f>
        <v>8.332684775</v>
      </c>
      <c r="E273" s="20" t="n">
        <f aca="false">E271-E272</f>
        <v>20.2986567307734</v>
      </c>
      <c r="F273" s="20" t="n">
        <f aca="false">F271-F272</f>
        <v>30.1653832774374</v>
      </c>
      <c r="G273" s="20" t="n">
        <f aca="false">G271-G272</f>
        <v>34.8415714944161</v>
      </c>
      <c r="H273" s="28" t="n">
        <f aca="false">H257*H277</f>
        <v>39.1442311782025</v>
      </c>
      <c r="I273" s="28" t="n">
        <f aca="false">I257*I277</f>
        <v>42.8250519610411</v>
      </c>
      <c r="J273" s="28" t="n">
        <f aca="false">J257*J277</f>
        <v>45.5904234617993</v>
      </c>
    </row>
    <row r="274" customFormat="false" ht="15" hidden="false" customHeight="false" outlineLevel="0" collapsed="false">
      <c r="A274" s="4" t="s">
        <v>312</v>
      </c>
      <c r="B274" s="4" t="s">
        <v>313</v>
      </c>
      <c r="C274" s="19" t="n">
        <f aca="false">a25_sh</f>
        <v>0.134020618556701</v>
      </c>
      <c r="D274" s="19" t="n">
        <f aca="false">a26_sh</f>
        <v>0.13399883744778</v>
      </c>
      <c r="E274" s="19" t="n">
        <f aca="false">q_sh*(1+sh_g)</f>
        <v>0.13401</v>
      </c>
      <c r="F274" s="19" t="n">
        <f aca="false">E274*(1+sh_g)</f>
        <v>0.13401</v>
      </c>
      <c r="G274" s="19" t="n">
        <f aca="false">F274*(1+sh_g)</f>
        <v>0.13401</v>
      </c>
      <c r="H274" s="30" t="n">
        <f aca="false">G274*(1+sh_g)</f>
        <v>0.13401</v>
      </c>
      <c r="I274" s="30" t="n">
        <f aca="false">H274*(1+sh_g)</f>
        <v>0.13401</v>
      </c>
      <c r="J274" s="30" t="n">
        <f aca="false">I274*(1+sh_g)</f>
        <v>0.13401</v>
      </c>
    </row>
    <row r="275" customFormat="false" ht="17.15" hidden="false" customHeight="false" outlineLevel="0" collapsed="false">
      <c r="A275" s="0" t="s">
        <v>538</v>
      </c>
      <c r="B275" s="0" t="s">
        <v>356</v>
      </c>
      <c r="C275" s="20" t="n">
        <f aca="false">C273/C274</f>
        <v>28.13</v>
      </c>
      <c r="D275" s="20" t="n">
        <f aca="false">D273/D274</f>
        <v>62.1847542389856</v>
      </c>
      <c r="E275" s="20" t="n">
        <f aca="false">E273/E274</f>
        <v>151.471209094645</v>
      </c>
      <c r="F275" s="20" t="n">
        <f aca="false">F273/F274</f>
        <v>225.098002219516</v>
      </c>
      <c r="G275" s="20" t="n">
        <f aca="false">G273/G274</f>
        <v>259.992325157944</v>
      </c>
      <c r="H275" s="28" t="n">
        <f aca="false">H273/H274</f>
        <v>292.099329738098</v>
      </c>
      <c r="I275" s="28" t="n">
        <f aca="false">I273/I274</f>
        <v>319.566091791964</v>
      </c>
      <c r="J275" s="28" t="n">
        <f aca="false">J273/J274</f>
        <v>340.201652576668</v>
      </c>
    </row>
    <row r="276" customFormat="false" ht="17.15" hidden="false" customHeight="false" outlineLevel="0" collapsed="false">
      <c r="A276" s="0" t="s">
        <v>661</v>
      </c>
      <c r="B276" s="0" t="s">
        <v>51</v>
      </c>
      <c r="D276" s="18" t="n">
        <f aca="false">D275/C275-1</f>
        <v>1.21062048485551</v>
      </c>
      <c r="E276" s="18" t="n">
        <f aca="false">E275/D275-1</f>
        <v>1.435825484049</v>
      </c>
      <c r="F276" s="18" t="n">
        <f aca="false">F275/E275-1</f>
        <v>0.486077806897721</v>
      </c>
      <c r="G276" s="18" t="n">
        <f aca="false">G275/F275-1</f>
        <v>0.15501835908965</v>
      </c>
      <c r="H276" s="26" t="n">
        <f aca="false">H275/G275-1</f>
        <v>0.123492124471939</v>
      </c>
      <c r="I276" s="26" t="n">
        <f aca="false">I275/H275-1</f>
        <v>0.0940322666214031</v>
      </c>
      <c r="J276" s="26" t="n">
        <f aca="false">J275/I275-1</f>
        <v>0.0645736869922287</v>
      </c>
    </row>
    <row r="277" customFormat="false" ht="17.15" hidden="false" customHeight="false" outlineLevel="0" collapsed="false">
      <c r="A277" s="4" t="s">
        <v>662</v>
      </c>
      <c r="B277" s="0" t="s">
        <v>51</v>
      </c>
      <c r="C277" s="9" t="n">
        <f aca="false">C273/C257</f>
        <v>0.11042441639085</v>
      </c>
      <c r="D277" s="9" t="n">
        <f aca="false">D273/D257</f>
        <v>0.1200382727405</v>
      </c>
      <c r="E277" s="9" t="n">
        <f aca="false">E273/E257</f>
        <v>0.113672362113319</v>
      </c>
      <c r="F277" s="9" t="n">
        <f aca="false">F273/F257</f>
        <v>0.114592817756094</v>
      </c>
      <c r="G277" s="9" t="n">
        <f aca="false">G273/G257</f>
        <v>0.11529989408605</v>
      </c>
      <c r="H277" s="27" t="n">
        <f aca="false">$G277+(fade_mA-$G277)*1/3</f>
        <v>0.115801720519873</v>
      </c>
      <c r="I277" s="27" t="n">
        <f aca="false">$G277+(fade_mA-$G277)*2/3</f>
        <v>0.116303546953696</v>
      </c>
      <c r="J277" s="27" t="n">
        <f aca="false">$G277+(fade_mA-$G277)*3/3</f>
        <v>0.116805373387519</v>
      </c>
    </row>
    <row r="280" customFormat="false" ht="17.15" hidden="false" customHeight="false" outlineLevel="0" collapsed="false">
      <c r="A280" s="1" t="s">
        <v>986</v>
      </c>
    </row>
    <row r="281" customFormat="false" ht="17.15" hidden="false" customHeight="false" outlineLevel="0" collapsed="false">
      <c r="A281" s="5" t="s">
        <v>27</v>
      </c>
      <c r="B281" s="5" t="s">
        <v>28</v>
      </c>
      <c r="C281" s="16" t="s">
        <v>497</v>
      </c>
      <c r="D281" s="16" t="s">
        <v>610</v>
      </c>
      <c r="E281" s="16" t="s">
        <v>611</v>
      </c>
      <c r="F281" s="16" t="s">
        <v>612</v>
      </c>
      <c r="G281" s="16" t="s">
        <v>613</v>
      </c>
      <c r="H281" s="16" t="s">
        <v>614</v>
      </c>
      <c r="I281" s="16" t="s">
        <v>615</v>
      </c>
      <c r="J281" s="16" t="s">
        <v>616</v>
      </c>
      <c r="K281" s="5" t="s">
        <v>450</v>
      </c>
    </row>
    <row r="282" customFormat="false" ht="17.15" hidden="false" customHeight="false" outlineLevel="0" collapsed="false">
      <c r="A282" s="6" t="s">
        <v>632</v>
      </c>
    </row>
    <row r="283" customFormat="false" ht="17.15" hidden="false" customHeight="false" outlineLevel="0" collapsed="false">
      <c r="A283" s="0" t="s">
        <v>633</v>
      </c>
      <c r="B283" s="4" t="s">
        <v>38</v>
      </c>
      <c r="D283" s="22" t="n">
        <f aca="false">u_tpu_26</f>
        <v>3.85</v>
      </c>
      <c r="E283" s="22" t="n">
        <f aca="false">u_tpu_27</f>
        <v>5.5</v>
      </c>
      <c r="F283" s="22" t="n">
        <f aca="false">u_tpu_28*um28_A</f>
        <v>7</v>
      </c>
      <c r="G283" s="22" t="n">
        <f aca="false">u_tpu_28*(1+g29_tpu)*um29_A</f>
        <v>8.05</v>
      </c>
    </row>
    <row r="284" customFormat="false" ht="17.15" hidden="false" customHeight="false" outlineLevel="0" collapsed="false">
      <c r="A284" s="0" t="s">
        <v>574</v>
      </c>
      <c r="B284" s="0" t="s">
        <v>70</v>
      </c>
      <c r="D284" s="22" t="n">
        <f aca="false">att26</f>
        <v>0.325</v>
      </c>
      <c r="E284" s="22" t="n">
        <f aca="false">MAX(0,att_A+0)</f>
        <v>0.6</v>
      </c>
      <c r="F284" s="22" t="n">
        <f aca="false">MAX(0,att_A+0)</f>
        <v>0.6</v>
      </c>
      <c r="G284" s="22" t="n">
        <f aca="false">MAX(0,att_A+0)</f>
        <v>0.6</v>
      </c>
    </row>
    <row r="285" customFormat="false" ht="17.15" hidden="false" customHeight="false" outlineLevel="0" collapsed="false">
      <c r="A285" s="4" t="s">
        <v>634</v>
      </c>
      <c r="B285" s="0" t="s">
        <v>51</v>
      </c>
      <c r="D285" s="18" t="n">
        <f aca="false">gsh26</f>
        <v>1</v>
      </c>
      <c r="E285" s="18" t="n">
        <f aca="false">gsh26</f>
        <v>1</v>
      </c>
      <c r="F285" s="18" t="n">
        <f aca="false">MIN(1,gsh28_A)</f>
        <v>1</v>
      </c>
      <c r="G285" s="18" t="n">
        <f aca="false">MIN(1,gsh28_A)</f>
        <v>1</v>
      </c>
    </row>
    <row r="286" customFormat="false" ht="17.15" hidden="false" customHeight="false" outlineLevel="0" collapsed="false">
      <c r="A286" s="4" t="s">
        <v>576</v>
      </c>
      <c r="B286" s="4" t="s">
        <v>38</v>
      </c>
      <c r="D286" s="22" t="n">
        <f aca="false">D283*D284*D285</f>
        <v>1.25125</v>
      </c>
      <c r="E286" s="22" t="n">
        <f aca="false">E283*E284*E285*1</f>
        <v>3.3</v>
      </c>
      <c r="F286" s="22" t="n">
        <f aca="false">F283*F284*F285*1</f>
        <v>4.2</v>
      </c>
      <c r="G286" s="22" t="n">
        <f aca="false">G283*G284*G285*1</f>
        <v>4.83</v>
      </c>
    </row>
    <row r="287" customFormat="false" ht="17.15" hidden="false" customHeight="false" outlineLevel="0" collapsed="false">
      <c r="A287" s="4" t="s">
        <v>635</v>
      </c>
      <c r="B287" s="0" t="s">
        <v>116</v>
      </c>
      <c r="D287" s="20" t="n">
        <f aca="false">pc_cpu</f>
        <v>1</v>
      </c>
      <c r="E287" s="20" t="n">
        <f aca="false">pc_cpu</f>
        <v>1</v>
      </c>
      <c r="F287" s="20" t="n">
        <f aca="false">pc_cpu*pfc_A_hi</f>
        <v>1.5</v>
      </c>
      <c r="G287" s="20" t="n">
        <f aca="false">pc_cpu*pfc_A_hi</f>
        <v>1.5</v>
      </c>
    </row>
    <row r="288" customFormat="false" ht="17.15" hidden="false" customHeight="false" outlineLevel="0" collapsed="false">
      <c r="A288" s="0" t="s">
        <v>636</v>
      </c>
      <c r="B288" s="0" t="s">
        <v>581</v>
      </c>
      <c r="D288" s="20" t="n">
        <f aca="false">D286*D287</f>
        <v>1.25125</v>
      </c>
      <c r="E288" s="20" t="n">
        <f aca="false">E286*E287</f>
        <v>3.3</v>
      </c>
      <c r="F288" s="20" t="n">
        <f aca="false">F286*F287</f>
        <v>6.3</v>
      </c>
      <c r="G288" s="20" t="n">
        <f aca="false">G286*G287</f>
        <v>7.245</v>
      </c>
    </row>
    <row r="289" customFormat="false" ht="17.15" hidden="false" customHeight="false" outlineLevel="0" collapsed="false">
      <c r="A289" s="0" t="s">
        <v>637</v>
      </c>
      <c r="B289" s="0" t="s">
        <v>70</v>
      </c>
      <c r="D289" s="22" t="n">
        <f aca="false">a26_cpu/fx26/D288</f>
        <v>0.842704434805701</v>
      </c>
      <c r="K289" s="8" t="s">
        <v>638</v>
      </c>
    </row>
    <row r="290" customFormat="false" ht="17.15" hidden="false" customHeight="false" outlineLevel="0" collapsed="false">
      <c r="A290" s="0" t="s">
        <v>639</v>
      </c>
      <c r="B290" s="0" t="s">
        <v>581</v>
      </c>
      <c r="D290" s="20" t="n">
        <f aca="false">D288*$D$289</f>
        <v>1.05443392405063</v>
      </c>
      <c r="E290" s="20" t="n">
        <f aca="false">E288*$D$289</f>
        <v>2.78092463485881</v>
      </c>
      <c r="F290" s="20" t="n">
        <f aca="false">F288*$D$289</f>
        <v>5.30903793927591</v>
      </c>
      <c r="G290" s="20" t="n">
        <f aca="false">G288*$D$289</f>
        <v>6.1053936301673</v>
      </c>
    </row>
    <row r="291" customFormat="false" ht="15" hidden="false" customHeight="false" outlineLevel="0" collapsed="false">
      <c r="A291" s="4" t="s">
        <v>640</v>
      </c>
      <c r="B291" s="0" t="s">
        <v>273</v>
      </c>
      <c r="D291" s="20" t="n">
        <f aca="false">fx26</f>
        <v>31.6</v>
      </c>
      <c r="E291" s="20" t="n">
        <f aca="false">fx</f>
        <v>32</v>
      </c>
      <c r="F291" s="20" t="n">
        <f aca="false">fx</f>
        <v>32</v>
      </c>
      <c r="G291" s="20" t="n">
        <f aca="false">fx</f>
        <v>32</v>
      </c>
    </row>
    <row r="292" customFormat="false" ht="17.15" hidden="false" customHeight="false" outlineLevel="0" collapsed="false">
      <c r="A292" s="0" t="s">
        <v>641</v>
      </c>
      <c r="B292" s="0" t="s">
        <v>278</v>
      </c>
      <c r="C292" s="20" t="n">
        <f aca="false">a25_cpu</f>
        <v>6.14538</v>
      </c>
      <c r="D292" s="20" t="n">
        <f aca="false">D290*D291</f>
        <v>33.320112</v>
      </c>
      <c r="E292" s="20" t="n">
        <f aca="false">E290*E291</f>
        <v>88.989588315482</v>
      </c>
      <c r="F292" s="20" t="n">
        <f aca="false">F290*F291</f>
        <v>169.889214056829</v>
      </c>
      <c r="G292" s="20" t="n">
        <f aca="false">G290*G291</f>
        <v>195.372596165354</v>
      </c>
    </row>
    <row r="293" customFormat="false" ht="17.15" hidden="false" customHeight="false" outlineLevel="0" collapsed="false">
      <c r="A293" s="4" t="s">
        <v>578</v>
      </c>
      <c r="B293" s="0" t="s">
        <v>116</v>
      </c>
      <c r="D293" s="20" t="n">
        <f aca="false">IF(D286&gt;0,D290/D286,0)</f>
        <v>0.842704434805701</v>
      </c>
      <c r="E293" s="20" t="n">
        <f aca="false">IF(E286&gt;0,E290/E286,0)</f>
        <v>0.842704434805701</v>
      </c>
      <c r="F293" s="20" t="n">
        <f aca="false">IF(F286&gt;0,F290/F286,0)</f>
        <v>1.26405665220855</v>
      </c>
      <c r="G293" s="20" t="n">
        <f aca="false">IF(G286&gt;0,G290/G286,0)</f>
        <v>1.26405665220855</v>
      </c>
    </row>
    <row r="294" customFormat="false" ht="17.15" hidden="false" customHeight="false" outlineLevel="0" collapsed="false">
      <c r="A294" s="6" t="s">
        <v>642</v>
      </c>
    </row>
    <row r="295" customFormat="false" ht="17.15" hidden="false" customHeight="false" outlineLevel="0" collapsed="false">
      <c r="A295" s="4" t="s">
        <v>643</v>
      </c>
      <c r="B295" s="4" t="s">
        <v>38</v>
      </c>
      <c r="D295" s="22" t="n">
        <f aca="false">u_oth_26</f>
        <v>1</v>
      </c>
      <c r="E295" s="22" t="n">
        <f aca="false">u_oth_27</f>
        <v>4.5</v>
      </c>
      <c r="F295" s="22" t="n">
        <f aca="false">u_oth_28*um28_A</f>
        <v>5</v>
      </c>
      <c r="G295" s="22" t="n">
        <f aca="false">u_oth_28*(1+g29_oth)*um29_A</f>
        <v>5.75</v>
      </c>
    </row>
    <row r="296" customFormat="false" ht="17.15" hidden="false" customHeight="false" outlineLevel="0" collapsed="false">
      <c r="A296" s="4" t="s">
        <v>584</v>
      </c>
      <c r="B296" s="0" t="s">
        <v>51</v>
      </c>
      <c r="D296" s="18" t="n">
        <f aca="false">guc_oth_26</f>
        <v>0.03</v>
      </c>
      <c r="E296" s="18" t="n">
        <f aca="false">MIN(1,MAX(0,go27_A+0))</f>
        <v>0.06</v>
      </c>
      <c r="F296" s="18" t="n">
        <f aca="false">MIN(1,MAX(0,go28_A+0))</f>
        <v>0.08</v>
      </c>
      <c r="G296" s="18" t="n">
        <f aca="false">MIN(1,MAX(0,go28_A+0))</f>
        <v>0.08</v>
      </c>
    </row>
    <row r="297" customFormat="false" ht="17.15" hidden="false" customHeight="false" outlineLevel="0" collapsed="false">
      <c r="A297" s="4" t="s">
        <v>586</v>
      </c>
      <c r="B297" s="4" t="s">
        <v>38</v>
      </c>
      <c r="D297" s="22" t="n">
        <f aca="false">D295*D296</f>
        <v>0.03</v>
      </c>
      <c r="E297" s="22" t="n">
        <f aca="false">E295*E296*1</f>
        <v>0.27</v>
      </c>
      <c r="F297" s="22" t="n">
        <f aca="false">F295*F296*1</f>
        <v>0.4</v>
      </c>
      <c r="G297" s="22" t="n">
        <f aca="false">G295*G296*1</f>
        <v>0.46</v>
      </c>
    </row>
    <row r="298" customFormat="false" ht="17.15" hidden="false" customHeight="false" outlineLevel="0" collapsed="false">
      <c r="A298" s="0" t="s">
        <v>644</v>
      </c>
      <c r="B298" s="0" t="s">
        <v>581</v>
      </c>
      <c r="D298" s="20" t="n">
        <f aca="false">D297*core_oth</f>
        <v>0.18</v>
      </c>
      <c r="E298" s="20" t="n">
        <f aca="false">E297*core_oth</f>
        <v>1.62</v>
      </c>
      <c r="F298" s="20" t="n">
        <f aca="false">F297*core_oth</f>
        <v>2.4</v>
      </c>
      <c r="G298" s="20" t="n">
        <f aca="false">G297*core_oth</f>
        <v>2.76</v>
      </c>
    </row>
    <row r="299" customFormat="false" ht="17.15" hidden="false" customHeight="false" outlineLevel="0" collapsed="false">
      <c r="A299" s="0" t="s">
        <v>645</v>
      </c>
      <c r="B299" s="0" t="s">
        <v>70</v>
      </c>
      <c r="D299" s="22" t="n">
        <f aca="false">a26_asic/fx26/D298</f>
        <v>0.366122890295359</v>
      </c>
      <c r="K299" s="8" t="s">
        <v>646</v>
      </c>
    </row>
    <row r="300" customFormat="false" ht="17.15" hidden="false" customHeight="false" outlineLevel="0" collapsed="false">
      <c r="A300" s="0" t="s">
        <v>647</v>
      </c>
      <c r="B300" s="0" t="s">
        <v>581</v>
      </c>
      <c r="D300" s="20" t="n">
        <f aca="false">D298*$D$299</f>
        <v>0.0659021202531645</v>
      </c>
      <c r="E300" s="20" t="n">
        <f aca="false">E298*$D$299</f>
        <v>0.593119082278481</v>
      </c>
      <c r="F300" s="20" t="n">
        <f aca="false">F298*$D$299</f>
        <v>0.878694936708861</v>
      </c>
      <c r="G300" s="20" t="n">
        <f aca="false">G298*$D$299</f>
        <v>1.01049917721519</v>
      </c>
    </row>
    <row r="301" customFormat="false" ht="17.15" hidden="false" customHeight="false" outlineLevel="0" collapsed="false">
      <c r="A301" s="0" t="s">
        <v>648</v>
      </c>
      <c r="B301" s="0" t="s">
        <v>278</v>
      </c>
      <c r="C301" s="20" t="n">
        <f aca="false">a25_asic</f>
        <v>1.70705</v>
      </c>
      <c r="D301" s="20" t="n">
        <f aca="false">D300*D291</f>
        <v>2.082507</v>
      </c>
      <c r="E301" s="20" t="n">
        <f aca="false">E300*E291</f>
        <v>18.9798106329114</v>
      </c>
      <c r="F301" s="20" t="n">
        <f aca="false">F300*F291</f>
        <v>28.1182379746835</v>
      </c>
      <c r="G301" s="20" t="n">
        <f aca="false">G300*G291</f>
        <v>32.3359736708861</v>
      </c>
    </row>
    <row r="302" customFormat="false" ht="17.15" hidden="false" customHeight="false" outlineLevel="0" collapsed="false">
      <c r="A302" s="6" t="s">
        <v>649</v>
      </c>
    </row>
    <row r="303" customFormat="false" ht="17.15" hidden="false" customHeight="false" outlineLevel="0" collapsed="false">
      <c r="A303" s="4" t="s">
        <v>650</v>
      </c>
      <c r="B303" s="0" t="s">
        <v>278</v>
      </c>
      <c r="C303" s="20" t="n">
        <f aca="false">a25_auto</f>
        <v>1.02423</v>
      </c>
      <c r="D303" s="20" t="n">
        <f aca="false">a26_auto</f>
        <v>3.470845</v>
      </c>
      <c r="E303" s="20" t="n">
        <f aca="false">D303*am27_A</f>
        <v>13.88338</v>
      </c>
      <c r="F303" s="20" t="n">
        <f aca="false">E303*am28_A</f>
        <v>27.76676</v>
      </c>
      <c r="G303" s="20" t="n">
        <f aca="false">F303*(1+ag29_A)</f>
        <v>33.320112</v>
      </c>
    </row>
    <row r="304" customFormat="false" ht="17.15" hidden="false" customHeight="false" outlineLevel="0" collapsed="false">
      <c r="A304" s="4" t="s">
        <v>651</v>
      </c>
      <c r="B304" s="0" t="s">
        <v>278</v>
      </c>
      <c r="C304" s="20" t="n">
        <f aca="false">a25_oth</f>
        <v>25.26434</v>
      </c>
      <c r="D304" s="20" t="n">
        <f aca="false">a26_oth</f>
        <v>30.543436</v>
      </c>
      <c r="E304" s="20" t="n">
        <f aca="false">D304*(1+g_o27_A)</f>
        <v>35.1249514</v>
      </c>
      <c r="F304" s="20" t="n">
        <f aca="false">E304*(1+g_oL_A)</f>
        <v>38.63744654</v>
      </c>
      <c r="G304" s="20" t="n">
        <f aca="false">F304*(1+g_oL_A)</f>
        <v>42.501191194</v>
      </c>
    </row>
    <row r="305" customFormat="false" ht="17.15" hidden="false" customHeight="false" outlineLevel="0" collapsed="false">
      <c r="A305" s="4" t="s">
        <v>503</v>
      </c>
      <c r="B305" s="0" t="s">
        <v>278</v>
      </c>
      <c r="C305" s="20" t="n">
        <f aca="false">C292+C301+C303+C304</f>
        <v>34.141</v>
      </c>
      <c r="D305" s="20" t="n">
        <f aca="false">D292+D301+D303+D304</f>
        <v>69.4169</v>
      </c>
      <c r="E305" s="20" t="n">
        <f aca="false">E292+E301+E303+E304</f>
        <v>156.977730348393</v>
      </c>
      <c r="F305" s="20" t="n">
        <f aca="false">F292+F301+F303+F304</f>
        <v>264.411658571513</v>
      </c>
      <c r="G305" s="20" t="n">
        <f aca="false">G292+G301+G303+G304</f>
        <v>303.52987303024</v>
      </c>
      <c r="H305" s="28" t="n">
        <f aca="false">G305*(1+H306)</f>
        <v>339.537493015933</v>
      </c>
      <c r="I305" s="28" t="n">
        <f aca="false">H305*(1+I306)</f>
        <v>369.863212135887</v>
      </c>
      <c r="J305" s="28" t="n">
        <f aca="false">I305*(1+J306)</f>
        <v>392.05500486404</v>
      </c>
      <c r="K305" s="8" t="s">
        <v>652</v>
      </c>
    </row>
    <row r="306" customFormat="false" ht="15" hidden="false" customHeight="false" outlineLevel="0" collapsed="false">
      <c r="A306" s="4" t="s">
        <v>653</v>
      </c>
      <c r="B306" s="0" t="s">
        <v>51</v>
      </c>
      <c r="D306" s="18" t="n">
        <f aca="false">D305/C305-1</f>
        <v>1.03324155707214</v>
      </c>
      <c r="E306" s="18" t="n">
        <f aca="false">E305/D305-1</f>
        <v>1.26137626930032</v>
      </c>
      <c r="F306" s="18" t="n">
        <f aca="false">F305/E305-1</f>
        <v>0.684389613639353</v>
      </c>
      <c r="G306" s="18" t="n">
        <f aca="false">G305/F305-1</f>
        <v>0.147944363232936</v>
      </c>
      <c r="H306" s="26" t="n">
        <f aca="false">$G306+(fade_gA-$G306)*1/3</f>
        <v>0.118629575488624</v>
      </c>
      <c r="I306" s="26" t="n">
        <f aca="false">$G306+(fade_gA-$G306)*2/3</f>
        <v>0.0893147877443119</v>
      </c>
      <c r="J306" s="26" t="n">
        <f aca="false">$G306+(fade_gA-$G306)*3/3</f>
        <v>0.06</v>
      </c>
    </row>
    <row r="307" customFormat="false" ht="17.15" hidden="false" customHeight="false" outlineLevel="0" collapsed="false">
      <c r="A307" s="0" t="s">
        <v>654</v>
      </c>
      <c r="B307" s="0" t="s">
        <v>51</v>
      </c>
      <c r="C307" s="18" t="n">
        <f aca="false">C292/C305</f>
        <v>0.18</v>
      </c>
      <c r="D307" s="18" t="n">
        <f aca="false">D292/D305</f>
        <v>0.48</v>
      </c>
      <c r="E307" s="18" t="n">
        <f aca="false">E292/E305</f>
        <v>0.566893075329731</v>
      </c>
      <c r="F307" s="18" t="n">
        <f aca="false">F292/F305</f>
        <v>0.642517863904556</v>
      </c>
      <c r="G307" s="18" t="n">
        <f aca="false">G292/G305</f>
        <v>0.643668427805422</v>
      </c>
    </row>
    <row r="308" customFormat="false" ht="17.15" hidden="false" customHeight="false" outlineLevel="0" collapsed="false">
      <c r="A308" s="4" t="s">
        <v>655</v>
      </c>
      <c r="B308" s="0" t="s">
        <v>51</v>
      </c>
      <c r="C308" s="18" t="n">
        <f aca="false">C303/C305</f>
        <v>0.03</v>
      </c>
      <c r="D308" s="18" t="n">
        <f aca="false">D303/D305</f>
        <v>0.05</v>
      </c>
      <c r="E308" s="18" t="n">
        <f aca="false">E303/E305</f>
        <v>0.0884417169823229</v>
      </c>
      <c r="F308" s="18" t="n">
        <f aca="false">F303/F305</f>
        <v>0.105013372519239</v>
      </c>
      <c r="G308" s="18" t="n">
        <f aca="false">G303/G305</f>
        <v>0.109775395967963</v>
      </c>
    </row>
    <row r="309" customFormat="false" ht="17.15" hidden="false" customHeight="false" outlineLevel="0" collapsed="false">
      <c r="A309" s="6" t="s">
        <v>656</v>
      </c>
    </row>
    <row r="310" customFormat="false" ht="17.15" hidden="false" customHeight="false" outlineLevel="0" collapsed="false">
      <c r="A310" s="0" t="s">
        <v>657</v>
      </c>
      <c r="B310" s="0" t="s">
        <v>278</v>
      </c>
      <c r="D310" s="20" t="n">
        <f aca="false">m_tk*(D292+D301)</f>
        <v>4.60234047</v>
      </c>
      <c r="E310" s="20" t="n">
        <f aca="false">(m_tk+gta_A)*(E292+E301)</f>
        <v>15.1157158527751</v>
      </c>
      <c r="F310" s="20" t="n">
        <f aca="false">(m_tk+gta_A)*(F292+F301)</f>
        <v>27.7210432844118</v>
      </c>
      <c r="G310" s="20" t="n">
        <f aca="false">(m_tk+gta_A)*(G292+G301)</f>
        <v>31.8791997770736</v>
      </c>
    </row>
    <row r="311" customFormat="false" ht="17.15" hidden="false" customHeight="false" outlineLevel="0" collapsed="false">
      <c r="A311" s="4" t="s">
        <v>658</v>
      </c>
      <c r="B311" s="0" t="s">
        <v>278</v>
      </c>
      <c r="D311" s="20" t="n">
        <f aca="false">m_auto*D303</f>
        <v>0.5553352</v>
      </c>
      <c r="E311" s="20" t="n">
        <f aca="false">m_auto*E303</f>
        <v>2.2213408</v>
      </c>
      <c r="F311" s="20" t="n">
        <f aca="false">m_auto*F303</f>
        <v>4.4426816</v>
      </c>
      <c r="G311" s="20" t="n">
        <f aca="false">m_auto*G303</f>
        <v>5.33121792</v>
      </c>
    </row>
    <row r="312" customFormat="false" ht="17.15" hidden="false" customHeight="false" outlineLevel="0" collapsed="false">
      <c r="A312" s="4" t="s">
        <v>659</v>
      </c>
      <c r="B312" s="0" t="s">
        <v>51</v>
      </c>
      <c r="C312" s="9" t="n">
        <f aca="false">(a25_gp-m_tk*(C292+C301)-m_auto*C303)/C304</f>
        <v>0.287729950594395</v>
      </c>
      <c r="D312" s="9" t="n">
        <f aca="false">(a26_gp-D310-D311)/D304</f>
        <v>0.310829299951715</v>
      </c>
      <c r="E312" s="9" t="n">
        <f aca="false">$D312+0</f>
        <v>0.310829299951715</v>
      </c>
      <c r="F312" s="9" t="n">
        <f aca="false">$D312+0</f>
        <v>0.310829299951715</v>
      </c>
      <c r="G312" s="9" t="n">
        <f aca="false">$D312+0</f>
        <v>0.310829299951715</v>
      </c>
      <c r="K312" s="8" t="s">
        <v>660</v>
      </c>
    </row>
    <row r="313" customFormat="false" ht="15" hidden="false" customHeight="false" outlineLevel="0" collapsed="false">
      <c r="A313" s="4" t="s">
        <v>516</v>
      </c>
      <c r="B313" s="0" t="s">
        <v>278</v>
      </c>
      <c r="C313" s="20" t="n">
        <f aca="false">a25_gp</f>
        <v>8.454</v>
      </c>
      <c r="D313" s="20" t="n">
        <f aca="false">a26_gp</f>
        <v>14.6514705</v>
      </c>
      <c r="E313" s="20" t="n">
        <f aca="false">E312*E304+E310+E311</f>
        <v>28.2549207072751</v>
      </c>
      <c r="F313" s="20" t="n">
        <f aca="false">F312*F304+F310+F311</f>
        <v>44.1733753443618</v>
      </c>
      <c r="G313" s="20" t="n">
        <f aca="false">G312*G304+G310+G311</f>
        <v>50.4210332030186</v>
      </c>
    </row>
    <row r="314" customFormat="false" ht="15" hidden="false" customHeight="false" outlineLevel="0" collapsed="false">
      <c r="A314" s="4" t="s">
        <v>519</v>
      </c>
      <c r="B314" s="0" t="s">
        <v>51</v>
      </c>
      <c r="C314" s="9" t="n">
        <f aca="false">C313/C305</f>
        <v>0.247620163439852</v>
      </c>
      <c r="D314" s="9" t="n">
        <f aca="false">D313/D305</f>
        <v>0.211064891978754</v>
      </c>
      <c r="E314" s="9" t="n">
        <f aca="false">E313/E305</f>
        <v>0.17999317893415</v>
      </c>
      <c r="F314" s="9" t="n">
        <f aca="false">F313/F305</f>
        <v>0.167062888160866</v>
      </c>
      <c r="G314" s="9" t="n">
        <f aca="false">G313/G305</f>
        <v>0.16611555462284</v>
      </c>
    </row>
    <row r="315" customFormat="false" ht="15" hidden="false" customHeight="false" outlineLevel="0" collapsed="false">
      <c r="A315" s="4" t="s">
        <v>521</v>
      </c>
      <c r="B315" s="0" t="s">
        <v>278</v>
      </c>
      <c r="C315" s="20" t="n">
        <f aca="false">a25_opx</f>
        <v>4.104</v>
      </c>
      <c r="D315" s="20" t="n">
        <f aca="false">a26_opx</f>
        <v>5.365972</v>
      </c>
      <c r="E315" s="20" t="n">
        <f aca="false">D315*(1+MAX(g_opx_min,phi*E306))+0*E305</f>
        <v>7.39652492275899</v>
      </c>
      <c r="F315" s="20" t="n">
        <f aca="false">E315*(1+MAX(g_opx_min,phi*F306))+0*F305</f>
        <v>8.91515637300726</v>
      </c>
      <c r="G315" s="20" t="n">
        <f aca="false">F315*(1+MAX(g_opx_min,phi*G306))+0*G305</f>
        <v>9.62836888284784</v>
      </c>
    </row>
    <row r="316" customFormat="false" ht="15" hidden="false" customHeight="false" outlineLevel="0" collapsed="false">
      <c r="A316" s="4" t="s">
        <v>524</v>
      </c>
      <c r="B316" s="0" t="s">
        <v>278</v>
      </c>
      <c r="C316" s="20" t="n">
        <f aca="false">C313-C315</f>
        <v>4.35</v>
      </c>
      <c r="D316" s="20" t="n">
        <f aca="false">D313-D315</f>
        <v>9.2854985</v>
      </c>
      <c r="E316" s="20" t="n">
        <f aca="false">E313-E315</f>
        <v>20.8583957845161</v>
      </c>
      <c r="F316" s="20" t="n">
        <f aca="false">F313-F315</f>
        <v>35.2582189713545</v>
      </c>
      <c r="G316" s="20" t="n">
        <f aca="false">G313-G315</f>
        <v>40.7926643201707</v>
      </c>
    </row>
    <row r="317" customFormat="false" ht="15" hidden="false" customHeight="false" outlineLevel="0" collapsed="false">
      <c r="A317" s="4" t="s">
        <v>621</v>
      </c>
      <c r="B317" s="0" t="s">
        <v>51</v>
      </c>
      <c r="C317" s="9" t="n">
        <f aca="false">C316/C305</f>
        <v>0.127412788143288</v>
      </c>
      <c r="D317" s="9" t="n">
        <f aca="false">D316/D305</f>
        <v>0.13376423464603</v>
      </c>
      <c r="E317" s="9" t="n">
        <f aca="false">E316/E305</f>
        <v>0.132874871730043</v>
      </c>
      <c r="F317" s="9" t="n">
        <f aca="false">F316/F305</f>
        <v>0.133345931725694</v>
      </c>
      <c r="G317" s="9" t="n">
        <f aca="false">G316/G305</f>
        <v>0.134394232478418</v>
      </c>
    </row>
    <row r="318" customFormat="false" ht="15" hidden="false" customHeight="false" outlineLevel="0" collapsed="false">
      <c r="A318" s="4" t="s">
        <v>527</v>
      </c>
      <c r="B318" s="0" t="s">
        <v>278</v>
      </c>
      <c r="C318" s="20" t="n">
        <f aca="false">a25_nonop</f>
        <v>0.0920000000000005</v>
      </c>
      <c r="D318" s="20" t="n">
        <f aca="false">a26_nonop</f>
        <v>0.384548</v>
      </c>
      <c r="E318" s="20" t="n">
        <f aca="false">nonop_f</f>
        <v>0.5</v>
      </c>
      <c r="F318" s="20" t="n">
        <f aca="false">nonop_f</f>
        <v>0.5</v>
      </c>
      <c r="G318" s="20" t="n">
        <f aca="false">nonop_f</f>
        <v>0.5</v>
      </c>
    </row>
    <row r="319" customFormat="false" ht="15" hidden="false" customHeight="false" outlineLevel="0" collapsed="false">
      <c r="A319" s="4" t="s">
        <v>529</v>
      </c>
      <c r="B319" s="0" t="s">
        <v>278</v>
      </c>
      <c r="C319" s="20" t="n">
        <f aca="false">C316+C318</f>
        <v>4.442</v>
      </c>
      <c r="D319" s="20" t="n">
        <f aca="false">D316+D318</f>
        <v>9.6700465</v>
      </c>
      <c r="E319" s="20" t="n">
        <f aca="false">E316+E318</f>
        <v>21.3583957845161</v>
      </c>
      <c r="F319" s="20" t="n">
        <f aca="false">F316+F318</f>
        <v>35.7582189713545</v>
      </c>
      <c r="G319" s="20" t="n">
        <f aca="false">G316+G318</f>
        <v>41.2926643201707</v>
      </c>
    </row>
    <row r="320" customFormat="false" ht="15" hidden="false" customHeight="false" outlineLevel="0" collapsed="false">
      <c r="A320" s="4" t="s">
        <v>531</v>
      </c>
      <c r="B320" s="0" t="s">
        <v>278</v>
      </c>
      <c r="C320" s="20" t="n">
        <f aca="false">a25_tax</f>
        <v>0.672</v>
      </c>
      <c r="D320" s="20" t="n">
        <f aca="false">a26_tax</f>
        <v>1.337361725</v>
      </c>
      <c r="E320" s="20" t="n">
        <f aca="false">E319*tax</f>
        <v>3.20375936767741</v>
      </c>
      <c r="F320" s="20" t="n">
        <f aca="false">F319*tax</f>
        <v>5.36373284570318</v>
      </c>
      <c r="G320" s="20" t="n">
        <f aca="false">G319*tax</f>
        <v>6.19389964802561</v>
      </c>
    </row>
    <row r="321" customFormat="false" ht="15" hidden="false" customHeight="false" outlineLevel="0" collapsed="false">
      <c r="A321" s="4" t="s">
        <v>534</v>
      </c>
      <c r="B321" s="0" t="s">
        <v>278</v>
      </c>
      <c r="C321" s="20" t="n">
        <f aca="false">C319-C320</f>
        <v>3.77</v>
      </c>
      <c r="D321" s="20" t="n">
        <f aca="false">D319-D320</f>
        <v>8.332684775</v>
      </c>
      <c r="E321" s="20" t="n">
        <f aca="false">E319-E320</f>
        <v>18.1546364168387</v>
      </c>
      <c r="F321" s="20" t="n">
        <f aca="false">F319-F320</f>
        <v>30.3944861256514</v>
      </c>
      <c r="G321" s="20" t="n">
        <f aca="false">G319-G320</f>
        <v>35.0987646721451</v>
      </c>
      <c r="H321" s="28" t="n">
        <f aca="false">H305*H325</f>
        <v>39.3949453671805</v>
      </c>
      <c r="I321" s="28" t="n">
        <f aca="false">I305*I325</f>
        <v>43.0577535733441</v>
      </c>
      <c r="J321" s="28" t="n">
        <f aca="false">J305*J325</f>
        <v>45.7941312315896</v>
      </c>
    </row>
    <row r="322" customFormat="false" ht="15" hidden="false" customHeight="false" outlineLevel="0" collapsed="false">
      <c r="A322" s="4" t="s">
        <v>312</v>
      </c>
      <c r="B322" s="4" t="s">
        <v>313</v>
      </c>
      <c r="C322" s="19" t="n">
        <f aca="false">a25_sh</f>
        <v>0.134020618556701</v>
      </c>
      <c r="D322" s="19" t="n">
        <f aca="false">a26_sh</f>
        <v>0.13399883744778</v>
      </c>
      <c r="E322" s="19" t="n">
        <f aca="false">q_sh*(1+sh_g)</f>
        <v>0.13401</v>
      </c>
      <c r="F322" s="19" t="n">
        <f aca="false">E322*(1+sh_g)</f>
        <v>0.13401</v>
      </c>
      <c r="G322" s="19" t="n">
        <f aca="false">F322*(1+sh_g)</f>
        <v>0.13401</v>
      </c>
      <c r="H322" s="30" t="n">
        <f aca="false">G322*(1+sh_g)</f>
        <v>0.13401</v>
      </c>
      <c r="I322" s="30" t="n">
        <f aca="false">H322*(1+sh_g)</f>
        <v>0.13401</v>
      </c>
      <c r="J322" s="30" t="n">
        <f aca="false">I322*(1+sh_g)</f>
        <v>0.13401</v>
      </c>
    </row>
    <row r="323" customFormat="false" ht="17.15" hidden="false" customHeight="false" outlineLevel="0" collapsed="false">
      <c r="A323" s="0" t="s">
        <v>538</v>
      </c>
      <c r="B323" s="0" t="s">
        <v>356</v>
      </c>
      <c r="C323" s="20" t="n">
        <f aca="false">C321/C322</f>
        <v>28.13</v>
      </c>
      <c r="D323" s="20" t="n">
        <f aca="false">D321/D322</f>
        <v>62.1847542389856</v>
      </c>
      <c r="E323" s="20" t="n">
        <f aca="false">E321/E322</f>
        <v>135.47225145018</v>
      </c>
      <c r="F323" s="20" t="n">
        <f aca="false">F321/F322</f>
        <v>226.807597385653</v>
      </c>
      <c r="G323" s="20" t="n">
        <f aca="false">G321/G322</f>
        <v>261.911534006008</v>
      </c>
      <c r="H323" s="28" t="n">
        <f aca="false">H321/H322</f>
        <v>293.97019153183</v>
      </c>
      <c r="I323" s="28" t="n">
        <f aca="false">I321/I322</f>
        <v>321.302541402464</v>
      </c>
      <c r="J323" s="28" t="n">
        <f aca="false">J321/J322</f>
        <v>341.721746374074</v>
      </c>
    </row>
    <row r="324" customFormat="false" ht="17.15" hidden="false" customHeight="false" outlineLevel="0" collapsed="false">
      <c r="A324" s="0" t="s">
        <v>661</v>
      </c>
      <c r="B324" s="0" t="s">
        <v>51</v>
      </c>
      <c r="D324" s="18" t="n">
        <f aca="false">D323/C323-1</f>
        <v>1.21062048485551</v>
      </c>
      <c r="E324" s="18" t="n">
        <f aca="false">E323/D323-1</f>
        <v>1.1785444536701</v>
      </c>
      <c r="F324" s="18" t="n">
        <f aca="false">F323/E323-1</f>
        <v>0.674199660504358</v>
      </c>
      <c r="G324" s="18" t="n">
        <f aca="false">G323/F323-1</f>
        <v>0.15477407734568</v>
      </c>
      <c r="H324" s="26" t="n">
        <f aca="false">H323/G323-1</f>
        <v>0.122402618301975</v>
      </c>
      <c r="I324" s="26" t="n">
        <f aca="false">I323/H323-1</f>
        <v>0.0929766032678661</v>
      </c>
      <c r="J324" s="26" t="n">
        <f aca="false">J323/I323-1</f>
        <v>0.0635513335265936</v>
      </c>
    </row>
    <row r="325" customFormat="false" ht="17.15" hidden="false" customHeight="false" outlineLevel="0" collapsed="false">
      <c r="A325" s="4" t="s">
        <v>662</v>
      </c>
      <c r="B325" s="0" t="s">
        <v>51</v>
      </c>
      <c r="C325" s="9" t="n">
        <f aca="false">C321/C305</f>
        <v>0.11042441639085</v>
      </c>
      <c r="D325" s="9" t="n">
        <f aca="false">D321/D305</f>
        <v>0.1200382727405</v>
      </c>
      <c r="E325" s="9" t="n">
        <f aca="false">E321/E305</f>
        <v>0.115651031369524</v>
      </c>
      <c r="F325" s="9" t="n">
        <f aca="false">F321/F305</f>
        <v>0.114951384102569</v>
      </c>
      <c r="G325" s="9" t="n">
        <f aca="false">G321/G305</f>
        <v>0.115635289277271</v>
      </c>
      <c r="H325" s="27" t="n">
        <f aca="false">$G325+(fade_mA-$G325)*1/3</f>
        <v>0.11602531731402</v>
      </c>
      <c r="I325" s="27" t="n">
        <f aca="false">$G325+(fade_mA-$G325)*2/3</f>
        <v>0.116415345350769</v>
      </c>
      <c r="J325" s="27" t="n">
        <f aca="false">$G325+(fade_mA-$G325)*3/3</f>
        <v>0.116805373387519</v>
      </c>
    </row>
    <row r="328" customFormat="false" ht="17.15" hidden="false" customHeight="false" outlineLevel="0" collapsed="false">
      <c r="A328" s="1" t="s">
        <v>987</v>
      </c>
    </row>
    <row r="329" customFormat="false" ht="17.15" hidden="false" customHeight="false" outlineLevel="0" collapsed="false">
      <c r="A329" s="5" t="s">
        <v>27</v>
      </c>
      <c r="B329" s="5" t="s">
        <v>28</v>
      </c>
      <c r="C329" s="16" t="s">
        <v>497</v>
      </c>
      <c r="D329" s="16" t="s">
        <v>610</v>
      </c>
      <c r="E329" s="16" t="s">
        <v>611</v>
      </c>
      <c r="F329" s="16" t="s">
        <v>612</v>
      </c>
      <c r="G329" s="16" t="s">
        <v>613</v>
      </c>
      <c r="H329" s="16" t="s">
        <v>614</v>
      </c>
      <c r="I329" s="16" t="s">
        <v>615</v>
      </c>
      <c r="J329" s="16" t="s">
        <v>616</v>
      </c>
      <c r="K329" s="5" t="s">
        <v>450</v>
      </c>
    </row>
    <row r="330" customFormat="false" ht="17.15" hidden="false" customHeight="false" outlineLevel="0" collapsed="false">
      <c r="A330" s="6" t="s">
        <v>632</v>
      </c>
    </row>
    <row r="331" customFormat="false" ht="17.15" hidden="false" customHeight="false" outlineLevel="0" collapsed="false">
      <c r="A331" s="0" t="s">
        <v>633</v>
      </c>
      <c r="B331" s="4" t="s">
        <v>38</v>
      </c>
      <c r="D331" s="22" t="n">
        <f aca="false">u_tpu_26</f>
        <v>3.85</v>
      </c>
      <c r="E331" s="22" t="n">
        <f aca="false">u_tpu_27</f>
        <v>5.5</v>
      </c>
      <c r="F331" s="22" t="n">
        <f aca="false">u_tpu_28*um28_A</f>
        <v>7</v>
      </c>
      <c r="G331" s="22" t="n">
        <f aca="false">u_tpu_28*(1+g29_tpu)*um29_A</f>
        <v>8.05</v>
      </c>
    </row>
    <row r="332" customFormat="false" ht="17.15" hidden="false" customHeight="false" outlineLevel="0" collapsed="false">
      <c r="A332" s="0" t="s">
        <v>574</v>
      </c>
      <c r="B332" s="0" t="s">
        <v>70</v>
      </c>
      <c r="D332" s="22" t="n">
        <f aca="false">att26</f>
        <v>0.325</v>
      </c>
      <c r="E332" s="22" t="n">
        <f aca="false">MAX(0,att_A+0)</f>
        <v>0.6</v>
      </c>
      <c r="F332" s="22" t="n">
        <f aca="false">MAX(0,att_A+0)</f>
        <v>0.6</v>
      </c>
      <c r="G332" s="22" t="n">
        <f aca="false">MAX(0,att_A+0)</f>
        <v>0.6</v>
      </c>
    </row>
    <row r="333" customFormat="false" ht="17.15" hidden="false" customHeight="false" outlineLevel="0" collapsed="false">
      <c r="A333" s="4" t="s">
        <v>634</v>
      </c>
      <c r="B333" s="0" t="s">
        <v>51</v>
      </c>
      <c r="D333" s="18" t="n">
        <f aca="false">gsh26</f>
        <v>1</v>
      </c>
      <c r="E333" s="18" t="n">
        <f aca="false">gsh26</f>
        <v>1</v>
      </c>
      <c r="F333" s="18" t="n">
        <f aca="false">MIN(1,gsh28_A)</f>
        <v>1</v>
      </c>
      <c r="G333" s="18" t="n">
        <f aca="false">MIN(1,gsh28_A)</f>
        <v>1</v>
      </c>
    </row>
    <row r="334" customFormat="false" ht="17.15" hidden="false" customHeight="false" outlineLevel="0" collapsed="false">
      <c r="A334" s="4" t="s">
        <v>576</v>
      </c>
      <c r="B334" s="4" t="s">
        <v>38</v>
      </c>
      <c r="D334" s="22" t="n">
        <f aca="false">D331*D332*D333</f>
        <v>1.25125</v>
      </c>
      <c r="E334" s="22" t="n">
        <f aca="false">E331*E332*E333*1</f>
        <v>3.3</v>
      </c>
      <c r="F334" s="22" t="n">
        <f aca="false">F331*F332*F333*1</f>
        <v>4.2</v>
      </c>
      <c r="G334" s="22" t="n">
        <f aca="false">G331*G332*G333*1</f>
        <v>4.83</v>
      </c>
    </row>
    <row r="335" customFormat="false" ht="17.15" hidden="false" customHeight="false" outlineLevel="0" collapsed="false">
      <c r="A335" s="4" t="s">
        <v>635</v>
      </c>
      <c r="B335" s="0" t="s">
        <v>116</v>
      </c>
      <c r="D335" s="20" t="n">
        <f aca="false">pc_cpu</f>
        <v>1</v>
      </c>
      <c r="E335" s="20" t="n">
        <f aca="false">pc_cpu</f>
        <v>1</v>
      </c>
      <c r="F335" s="20" t="n">
        <f aca="false">pc_cpu*pfc_A_lo</f>
        <v>0.8</v>
      </c>
      <c r="G335" s="20" t="n">
        <f aca="false">pc_cpu*pfc_A_lo</f>
        <v>0.8</v>
      </c>
    </row>
    <row r="336" customFormat="false" ht="17.15" hidden="false" customHeight="false" outlineLevel="0" collapsed="false">
      <c r="A336" s="0" t="s">
        <v>636</v>
      </c>
      <c r="B336" s="0" t="s">
        <v>581</v>
      </c>
      <c r="D336" s="20" t="n">
        <f aca="false">D334*D335</f>
        <v>1.25125</v>
      </c>
      <c r="E336" s="20" t="n">
        <f aca="false">E334*E335</f>
        <v>3.3</v>
      </c>
      <c r="F336" s="20" t="n">
        <f aca="false">F334*F335</f>
        <v>3.36</v>
      </c>
      <c r="G336" s="20" t="n">
        <f aca="false">G334*G335</f>
        <v>3.864</v>
      </c>
    </row>
    <row r="337" customFormat="false" ht="17.15" hidden="false" customHeight="false" outlineLevel="0" collapsed="false">
      <c r="A337" s="0" t="s">
        <v>637</v>
      </c>
      <c r="B337" s="0" t="s">
        <v>70</v>
      </c>
      <c r="D337" s="22" t="n">
        <f aca="false">a26_cpu/fx26/D336</f>
        <v>0.842704434805701</v>
      </c>
      <c r="K337" s="8" t="s">
        <v>638</v>
      </c>
    </row>
    <row r="338" customFormat="false" ht="17.15" hidden="false" customHeight="false" outlineLevel="0" collapsed="false">
      <c r="A338" s="0" t="s">
        <v>639</v>
      </c>
      <c r="B338" s="0" t="s">
        <v>581</v>
      </c>
      <c r="D338" s="20" t="n">
        <f aca="false">D336*$D$337</f>
        <v>1.05443392405063</v>
      </c>
      <c r="E338" s="20" t="n">
        <f aca="false">E336*$D$337</f>
        <v>2.78092463485881</v>
      </c>
      <c r="F338" s="20" t="n">
        <f aca="false">F336*$D$337</f>
        <v>2.83148690094715</v>
      </c>
      <c r="G338" s="20" t="n">
        <f aca="false">G336*$D$337</f>
        <v>3.25620993608923</v>
      </c>
    </row>
    <row r="339" customFormat="false" ht="15" hidden="false" customHeight="false" outlineLevel="0" collapsed="false">
      <c r="A339" s="4" t="s">
        <v>640</v>
      </c>
      <c r="B339" s="0" t="s">
        <v>273</v>
      </c>
      <c r="D339" s="20" t="n">
        <f aca="false">fx26</f>
        <v>31.6</v>
      </c>
      <c r="E339" s="20" t="n">
        <f aca="false">fx</f>
        <v>32</v>
      </c>
      <c r="F339" s="20" t="n">
        <f aca="false">fx</f>
        <v>32</v>
      </c>
      <c r="G339" s="20" t="n">
        <f aca="false">fx</f>
        <v>32</v>
      </c>
    </row>
    <row r="340" customFormat="false" ht="17.15" hidden="false" customHeight="false" outlineLevel="0" collapsed="false">
      <c r="A340" s="0" t="s">
        <v>641</v>
      </c>
      <c r="B340" s="0" t="s">
        <v>278</v>
      </c>
      <c r="C340" s="20" t="n">
        <f aca="false">a25_cpu</f>
        <v>6.14538</v>
      </c>
      <c r="D340" s="20" t="n">
        <f aca="false">D338*D339</f>
        <v>33.320112</v>
      </c>
      <c r="E340" s="20" t="n">
        <f aca="false">E338*E339</f>
        <v>88.989588315482</v>
      </c>
      <c r="F340" s="20" t="n">
        <f aca="false">F338*F339</f>
        <v>90.6075808303089</v>
      </c>
      <c r="G340" s="20" t="n">
        <f aca="false">G338*G339</f>
        <v>104.198717954855</v>
      </c>
    </row>
    <row r="341" customFormat="false" ht="17.15" hidden="false" customHeight="false" outlineLevel="0" collapsed="false">
      <c r="A341" s="4" t="s">
        <v>578</v>
      </c>
      <c r="B341" s="0" t="s">
        <v>116</v>
      </c>
      <c r="D341" s="20" t="n">
        <f aca="false">IF(D334&gt;0,D338/D334,0)</f>
        <v>0.842704434805701</v>
      </c>
      <c r="E341" s="20" t="n">
        <f aca="false">IF(E334&gt;0,E338/E334,0)</f>
        <v>0.842704434805701</v>
      </c>
      <c r="F341" s="20" t="n">
        <f aca="false">IF(F334&gt;0,F338/F334,0)</f>
        <v>0.67416354784456</v>
      </c>
      <c r="G341" s="20" t="n">
        <f aca="false">IF(G334&gt;0,G338/G334,0)</f>
        <v>0.674163547844561</v>
      </c>
    </row>
    <row r="342" customFormat="false" ht="17.15" hidden="false" customHeight="false" outlineLevel="0" collapsed="false">
      <c r="A342" s="6" t="s">
        <v>642</v>
      </c>
    </row>
    <row r="343" customFormat="false" ht="17.15" hidden="false" customHeight="false" outlineLevel="0" collapsed="false">
      <c r="A343" s="4" t="s">
        <v>643</v>
      </c>
      <c r="B343" s="4" t="s">
        <v>38</v>
      </c>
      <c r="D343" s="22" t="n">
        <f aca="false">u_oth_26</f>
        <v>1</v>
      </c>
      <c r="E343" s="22" t="n">
        <f aca="false">u_oth_27</f>
        <v>4.5</v>
      </c>
      <c r="F343" s="22" t="n">
        <f aca="false">u_oth_28*um28_A</f>
        <v>5</v>
      </c>
      <c r="G343" s="22" t="n">
        <f aca="false">u_oth_28*(1+g29_oth)*um29_A</f>
        <v>5.75</v>
      </c>
    </row>
    <row r="344" customFormat="false" ht="17.15" hidden="false" customHeight="false" outlineLevel="0" collapsed="false">
      <c r="A344" s="4" t="s">
        <v>584</v>
      </c>
      <c r="B344" s="0" t="s">
        <v>51</v>
      </c>
      <c r="D344" s="18" t="n">
        <f aca="false">guc_oth_26</f>
        <v>0.03</v>
      </c>
      <c r="E344" s="18" t="n">
        <f aca="false">MIN(1,MAX(0,go27_A+0))</f>
        <v>0.06</v>
      </c>
      <c r="F344" s="18" t="n">
        <f aca="false">MIN(1,MAX(0,go28_A+0))</f>
        <v>0.08</v>
      </c>
      <c r="G344" s="18" t="n">
        <f aca="false">MIN(1,MAX(0,go28_A+0))</f>
        <v>0.08</v>
      </c>
    </row>
    <row r="345" customFormat="false" ht="17.15" hidden="false" customHeight="false" outlineLevel="0" collapsed="false">
      <c r="A345" s="4" t="s">
        <v>586</v>
      </c>
      <c r="B345" s="4" t="s">
        <v>38</v>
      </c>
      <c r="D345" s="22" t="n">
        <f aca="false">D343*D344</f>
        <v>0.03</v>
      </c>
      <c r="E345" s="22" t="n">
        <f aca="false">E343*E344*1</f>
        <v>0.27</v>
      </c>
      <c r="F345" s="22" t="n">
        <f aca="false">F343*F344*1</f>
        <v>0.4</v>
      </c>
      <c r="G345" s="22" t="n">
        <f aca="false">G343*G344*1</f>
        <v>0.46</v>
      </c>
    </row>
    <row r="346" customFormat="false" ht="17.15" hidden="false" customHeight="false" outlineLevel="0" collapsed="false">
      <c r="A346" s="0" t="s">
        <v>644</v>
      </c>
      <c r="B346" s="0" t="s">
        <v>581</v>
      </c>
      <c r="D346" s="20" t="n">
        <f aca="false">D345*core_oth</f>
        <v>0.18</v>
      </c>
      <c r="E346" s="20" t="n">
        <f aca="false">E345*core_oth</f>
        <v>1.62</v>
      </c>
      <c r="F346" s="20" t="n">
        <f aca="false">F345*core_oth</f>
        <v>2.4</v>
      </c>
      <c r="G346" s="20" t="n">
        <f aca="false">G345*core_oth</f>
        <v>2.76</v>
      </c>
    </row>
    <row r="347" customFormat="false" ht="17.15" hidden="false" customHeight="false" outlineLevel="0" collapsed="false">
      <c r="A347" s="0" t="s">
        <v>645</v>
      </c>
      <c r="B347" s="0" t="s">
        <v>70</v>
      </c>
      <c r="D347" s="22" t="n">
        <f aca="false">a26_asic/fx26/D346</f>
        <v>0.366122890295359</v>
      </c>
      <c r="K347" s="8" t="s">
        <v>646</v>
      </c>
    </row>
    <row r="348" customFormat="false" ht="17.15" hidden="false" customHeight="false" outlineLevel="0" collapsed="false">
      <c r="A348" s="0" t="s">
        <v>647</v>
      </c>
      <c r="B348" s="0" t="s">
        <v>581</v>
      </c>
      <c r="D348" s="20" t="n">
        <f aca="false">D346*$D$347</f>
        <v>0.0659021202531645</v>
      </c>
      <c r="E348" s="20" t="n">
        <f aca="false">E346*$D$347</f>
        <v>0.593119082278481</v>
      </c>
      <c r="F348" s="20" t="n">
        <f aca="false">F346*$D$347</f>
        <v>0.878694936708861</v>
      </c>
      <c r="G348" s="20" t="n">
        <f aca="false">G346*$D$347</f>
        <v>1.01049917721519</v>
      </c>
    </row>
    <row r="349" customFormat="false" ht="17.15" hidden="false" customHeight="false" outlineLevel="0" collapsed="false">
      <c r="A349" s="0" t="s">
        <v>648</v>
      </c>
      <c r="B349" s="0" t="s">
        <v>278</v>
      </c>
      <c r="C349" s="20" t="n">
        <f aca="false">a25_asic</f>
        <v>1.70705</v>
      </c>
      <c r="D349" s="20" t="n">
        <f aca="false">D348*D339</f>
        <v>2.082507</v>
      </c>
      <c r="E349" s="20" t="n">
        <f aca="false">E348*E339</f>
        <v>18.9798106329114</v>
      </c>
      <c r="F349" s="20" t="n">
        <f aca="false">F348*F339</f>
        <v>28.1182379746835</v>
      </c>
      <c r="G349" s="20" t="n">
        <f aca="false">G348*G339</f>
        <v>32.3359736708861</v>
      </c>
    </row>
    <row r="350" customFormat="false" ht="17.15" hidden="false" customHeight="false" outlineLevel="0" collapsed="false">
      <c r="A350" s="6" t="s">
        <v>649</v>
      </c>
    </row>
    <row r="351" customFormat="false" ht="17.15" hidden="false" customHeight="false" outlineLevel="0" collapsed="false">
      <c r="A351" s="4" t="s">
        <v>650</v>
      </c>
      <c r="B351" s="0" t="s">
        <v>278</v>
      </c>
      <c r="C351" s="20" t="n">
        <f aca="false">a25_auto</f>
        <v>1.02423</v>
      </c>
      <c r="D351" s="20" t="n">
        <f aca="false">a26_auto</f>
        <v>3.470845</v>
      </c>
      <c r="E351" s="20" t="n">
        <f aca="false">D351*am27_A</f>
        <v>13.88338</v>
      </c>
      <c r="F351" s="20" t="n">
        <f aca="false">E351*am28_A</f>
        <v>27.76676</v>
      </c>
      <c r="G351" s="20" t="n">
        <f aca="false">F351*(1+ag29_A)</f>
        <v>33.320112</v>
      </c>
    </row>
    <row r="352" customFormat="false" ht="17.15" hidden="false" customHeight="false" outlineLevel="0" collapsed="false">
      <c r="A352" s="4" t="s">
        <v>651</v>
      </c>
      <c r="B352" s="0" t="s">
        <v>278</v>
      </c>
      <c r="C352" s="20" t="n">
        <f aca="false">a25_oth</f>
        <v>25.26434</v>
      </c>
      <c r="D352" s="20" t="n">
        <f aca="false">a26_oth</f>
        <v>30.543436</v>
      </c>
      <c r="E352" s="20" t="n">
        <f aca="false">D352*(1+g_o27_A)</f>
        <v>35.1249514</v>
      </c>
      <c r="F352" s="20" t="n">
        <f aca="false">E352*(1+g_oL_A)</f>
        <v>38.63744654</v>
      </c>
      <c r="G352" s="20" t="n">
        <f aca="false">F352*(1+g_oL_A)</f>
        <v>42.501191194</v>
      </c>
    </row>
    <row r="353" customFormat="false" ht="17.15" hidden="false" customHeight="false" outlineLevel="0" collapsed="false">
      <c r="A353" s="4" t="s">
        <v>503</v>
      </c>
      <c r="B353" s="0" t="s">
        <v>278</v>
      </c>
      <c r="C353" s="20" t="n">
        <f aca="false">C340+C349+C351+C352</f>
        <v>34.141</v>
      </c>
      <c r="D353" s="20" t="n">
        <f aca="false">D340+D349+D351+D352</f>
        <v>69.4169</v>
      </c>
      <c r="E353" s="20" t="n">
        <f aca="false">E340+E349+E351+E352</f>
        <v>156.977730348393</v>
      </c>
      <c r="F353" s="20" t="n">
        <f aca="false">F340+F349+F351+F352</f>
        <v>185.130025344992</v>
      </c>
      <c r="G353" s="20" t="n">
        <f aca="false">G340+G349+G351+G352</f>
        <v>212.355994819741</v>
      </c>
      <c r="H353" s="28" t="n">
        <f aca="false">G353*(1+H354)</f>
        <v>237.423068410729</v>
      </c>
      <c r="I353" s="28" t="n">
        <f aca="false">H353*(1+I354)</f>
        <v>258.558789699879</v>
      </c>
      <c r="J353" s="28" t="n">
        <f aca="false">I353*(1+J354)</f>
        <v>274.072317081872</v>
      </c>
      <c r="K353" s="8" t="s">
        <v>652</v>
      </c>
    </row>
    <row r="354" customFormat="false" ht="15" hidden="false" customHeight="false" outlineLevel="0" collapsed="false">
      <c r="A354" s="4" t="s">
        <v>653</v>
      </c>
      <c r="B354" s="0" t="s">
        <v>51</v>
      </c>
      <c r="D354" s="18" t="n">
        <f aca="false">D353/C353-1</f>
        <v>1.03324155707214</v>
      </c>
      <c r="E354" s="18" t="n">
        <f aca="false">E353/D353-1</f>
        <v>1.26137626930032</v>
      </c>
      <c r="F354" s="18" t="n">
        <f aca="false">F353/E353-1</f>
        <v>0.179339419254683</v>
      </c>
      <c r="G354" s="18" t="n">
        <f aca="false">G353/F353-1</f>
        <v>0.14706404011998</v>
      </c>
      <c r="H354" s="26" t="n">
        <f aca="false">$G354+(fade_gA-$G354)*1/3</f>
        <v>0.11804269341332</v>
      </c>
      <c r="I354" s="26" t="n">
        <f aca="false">$G354+(fade_gA-$G354)*2/3</f>
        <v>0.0890213467066599</v>
      </c>
      <c r="J354" s="26" t="n">
        <f aca="false">$G354+(fade_gA-$G354)*3/3</f>
        <v>0.06</v>
      </c>
    </row>
    <row r="355" customFormat="false" ht="17.15" hidden="false" customHeight="false" outlineLevel="0" collapsed="false">
      <c r="A355" s="0" t="s">
        <v>654</v>
      </c>
      <c r="B355" s="0" t="s">
        <v>51</v>
      </c>
      <c r="C355" s="18" t="n">
        <f aca="false">C340/C353</f>
        <v>0.18</v>
      </c>
      <c r="D355" s="18" t="n">
        <f aca="false">D340/D353</f>
        <v>0.48</v>
      </c>
      <c r="E355" s="18" t="n">
        <f aca="false">E340/E353</f>
        <v>0.566893075329731</v>
      </c>
      <c r="F355" s="18" t="n">
        <f aca="false">F340/F353</f>
        <v>0.48942671866144</v>
      </c>
      <c r="G355" s="18" t="n">
        <f aca="false">G340/G353</f>
        <v>0.490679427455318</v>
      </c>
    </row>
    <row r="356" customFormat="false" ht="17.15" hidden="false" customHeight="false" outlineLevel="0" collapsed="false">
      <c r="A356" s="4" t="s">
        <v>655</v>
      </c>
      <c r="B356" s="0" t="s">
        <v>51</v>
      </c>
      <c r="C356" s="18" t="n">
        <f aca="false">C351/C353</f>
        <v>0.03</v>
      </c>
      <c r="D356" s="18" t="n">
        <f aca="false">D351/D353</f>
        <v>0.05</v>
      </c>
      <c r="E356" s="18" t="n">
        <f aca="false">E351/E353</f>
        <v>0.0884417169823229</v>
      </c>
      <c r="F356" s="18" t="n">
        <f aca="false">F351/F353</f>
        <v>0.149985179055943</v>
      </c>
      <c r="G356" s="18" t="n">
        <f aca="false">G351/G353</f>
        <v>0.156906858354923</v>
      </c>
    </row>
    <row r="357" customFormat="false" ht="17.15" hidden="false" customHeight="false" outlineLevel="0" collapsed="false">
      <c r="A357" s="6" t="s">
        <v>656</v>
      </c>
    </row>
    <row r="358" customFormat="false" ht="17.15" hidden="false" customHeight="false" outlineLevel="0" collapsed="false">
      <c r="A358" s="0" t="s">
        <v>657</v>
      </c>
      <c r="B358" s="0" t="s">
        <v>278</v>
      </c>
      <c r="D358" s="20" t="n">
        <f aca="false">m_tk*(D340+D349)</f>
        <v>4.60234047</v>
      </c>
      <c r="E358" s="20" t="n">
        <f aca="false">(m_tk+gta_A)*(E340+E349)</f>
        <v>15.1157158527751</v>
      </c>
      <c r="F358" s="20" t="n">
        <f aca="false">(m_tk+gta_A)*(F340+F349)</f>
        <v>16.6216146326989</v>
      </c>
      <c r="G358" s="20" t="n">
        <f aca="false">(m_tk+gta_A)*(G340+G349)</f>
        <v>19.1148568276038</v>
      </c>
    </row>
    <row r="359" customFormat="false" ht="17.15" hidden="false" customHeight="false" outlineLevel="0" collapsed="false">
      <c r="A359" s="4" t="s">
        <v>658</v>
      </c>
      <c r="B359" s="0" t="s">
        <v>278</v>
      </c>
      <c r="D359" s="20" t="n">
        <f aca="false">m_auto*D351</f>
        <v>0.5553352</v>
      </c>
      <c r="E359" s="20" t="n">
        <f aca="false">m_auto*E351</f>
        <v>2.2213408</v>
      </c>
      <c r="F359" s="20" t="n">
        <f aca="false">m_auto*F351</f>
        <v>4.4426816</v>
      </c>
      <c r="G359" s="20" t="n">
        <f aca="false">m_auto*G351</f>
        <v>5.33121792</v>
      </c>
    </row>
    <row r="360" customFormat="false" ht="17.15" hidden="false" customHeight="false" outlineLevel="0" collapsed="false">
      <c r="A360" s="4" t="s">
        <v>659</v>
      </c>
      <c r="B360" s="0" t="s">
        <v>51</v>
      </c>
      <c r="C360" s="9" t="n">
        <f aca="false">(a25_gp-m_tk*(C340+C349)-m_auto*C351)/C352</f>
        <v>0.287729950594395</v>
      </c>
      <c r="D360" s="9" t="n">
        <f aca="false">(a26_gp-D358-D359)/D352</f>
        <v>0.310829299951715</v>
      </c>
      <c r="E360" s="9" t="n">
        <f aca="false">$D360+0</f>
        <v>0.310829299951715</v>
      </c>
      <c r="F360" s="9" t="n">
        <f aca="false">$D360+0</f>
        <v>0.310829299951715</v>
      </c>
      <c r="G360" s="9" t="n">
        <f aca="false">$D360+0</f>
        <v>0.310829299951715</v>
      </c>
      <c r="K360" s="8" t="s">
        <v>660</v>
      </c>
    </row>
    <row r="361" customFormat="false" ht="15" hidden="false" customHeight="false" outlineLevel="0" collapsed="false">
      <c r="A361" s="4" t="s">
        <v>516</v>
      </c>
      <c r="B361" s="0" t="s">
        <v>278</v>
      </c>
      <c r="C361" s="20" t="n">
        <f aca="false">a25_gp</f>
        <v>8.454</v>
      </c>
      <c r="D361" s="20" t="n">
        <f aca="false">a26_gp</f>
        <v>14.6514705</v>
      </c>
      <c r="E361" s="20" t="n">
        <f aca="false">E360*E352+E358+E359</f>
        <v>28.2549207072751</v>
      </c>
      <c r="F361" s="20" t="n">
        <f aca="false">F360*F352+F358+F359</f>
        <v>33.0739466926489</v>
      </c>
      <c r="G361" s="20" t="n">
        <f aca="false">G360*G352+G358+G359</f>
        <v>37.6566902535488</v>
      </c>
    </row>
    <row r="362" customFormat="false" ht="15" hidden="false" customHeight="false" outlineLevel="0" collapsed="false">
      <c r="A362" s="4" t="s">
        <v>519</v>
      </c>
      <c r="B362" s="0" t="s">
        <v>51</v>
      </c>
      <c r="C362" s="9" t="n">
        <f aca="false">C361/C353</f>
        <v>0.247620163439852</v>
      </c>
      <c r="D362" s="9" t="n">
        <f aca="false">D361/D353</f>
        <v>0.211064891978754</v>
      </c>
      <c r="E362" s="9" t="n">
        <f aca="false">E361/E353</f>
        <v>0.17999317893415</v>
      </c>
      <c r="F362" s="9" t="n">
        <f aca="false">F361/F353</f>
        <v>0.178652526142181</v>
      </c>
      <c r="G362" s="9" t="n">
        <f aca="false">G361/G353</f>
        <v>0.177328124339102</v>
      </c>
    </row>
    <row r="363" customFormat="false" ht="15" hidden="false" customHeight="false" outlineLevel="0" collapsed="false">
      <c r="A363" s="4" t="s">
        <v>521</v>
      </c>
      <c r="B363" s="0" t="s">
        <v>278</v>
      </c>
      <c r="C363" s="20" t="n">
        <f aca="false">a25_opx</f>
        <v>4.104</v>
      </c>
      <c r="D363" s="20" t="n">
        <f aca="false">a26_opx</f>
        <v>5.365972</v>
      </c>
      <c r="E363" s="20" t="n">
        <f aca="false">D363*(1+MAX(g_opx_min,phi*E354))+0*E353</f>
        <v>7.39652492275899</v>
      </c>
      <c r="F363" s="20" t="n">
        <f aca="false">E363*(1+MAX(g_opx_min,phi*F354))+0*F353</f>
        <v>7.98824691657971</v>
      </c>
      <c r="G363" s="20" t="n">
        <f aca="false">F363*(1+MAX(g_opx_min,phi*G354))+0*G353</f>
        <v>8.62730666990609</v>
      </c>
    </row>
    <row r="364" customFormat="false" ht="15" hidden="false" customHeight="false" outlineLevel="0" collapsed="false">
      <c r="A364" s="4" t="s">
        <v>524</v>
      </c>
      <c r="B364" s="0" t="s">
        <v>278</v>
      </c>
      <c r="C364" s="20" t="n">
        <f aca="false">C361-C363</f>
        <v>4.35</v>
      </c>
      <c r="D364" s="20" t="n">
        <f aca="false">D361-D363</f>
        <v>9.2854985</v>
      </c>
      <c r="E364" s="20" t="n">
        <f aca="false">E361-E363</f>
        <v>20.8583957845161</v>
      </c>
      <c r="F364" s="20" t="n">
        <f aca="false">F361-F363</f>
        <v>25.0856997760692</v>
      </c>
      <c r="G364" s="20" t="n">
        <f aca="false">G361-G363</f>
        <v>29.0293835836427</v>
      </c>
    </row>
    <row r="365" customFormat="false" ht="15" hidden="false" customHeight="false" outlineLevel="0" collapsed="false">
      <c r="A365" s="4" t="s">
        <v>621</v>
      </c>
      <c r="B365" s="0" t="s">
        <v>51</v>
      </c>
      <c r="C365" s="9" t="n">
        <f aca="false">C364/C353</f>
        <v>0.127412788143288</v>
      </c>
      <c r="D365" s="9" t="n">
        <f aca="false">D364/D353</f>
        <v>0.13376423464603</v>
      </c>
      <c r="E365" s="9" t="n">
        <f aca="false">E364/E353</f>
        <v>0.132874871730043</v>
      </c>
      <c r="F365" s="9" t="n">
        <f aca="false">F364/F353</f>
        <v>0.135503140181187</v>
      </c>
      <c r="G365" s="9" t="n">
        <f aca="false">G364/G353</f>
        <v>0.136701502626683</v>
      </c>
    </row>
    <row r="366" customFormat="false" ht="15" hidden="false" customHeight="false" outlineLevel="0" collapsed="false">
      <c r="A366" s="4" t="s">
        <v>527</v>
      </c>
      <c r="B366" s="0" t="s">
        <v>278</v>
      </c>
      <c r="C366" s="20" t="n">
        <f aca="false">a25_nonop</f>
        <v>0.0920000000000005</v>
      </c>
      <c r="D366" s="20" t="n">
        <f aca="false">a26_nonop</f>
        <v>0.384548</v>
      </c>
      <c r="E366" s="20" t="n">
        <f aca="false">nonop_f</f>
        <v>0.5</v>
      </c>
      <c r="F366" s="20" t="n">
        <f aca="false">nonop_f</f>
        <v>0.5</v>
      </c>
      <c r="G366" s="20" t="n">
        <f aca="false">nonop_f</f>
        <v>0.5</v>
      </c>
    </row>
    <row r="367" customFormat="false" ht="15" hidden="false" customHeight="false" outlineLevel="0" collapsed="false">
      <c r="A367" s="4" t="s">
        <v>529</v>
      </c>
      <c r="B367" s="0" t="s">
        <v>278</v>
      </c>
      <c r="C367" s="20" t="n">
        <f aca="false">C364+C366</f>
        <v>4.442</v>
      </c>
      <c r="D367" s="20" t="n">
        <f aca="false">D364+D366</f>
        <v>9.6700465</v>
      </c>
      <c r="E367" s="20" t="n">
        <f aca="false">E364+E366</f>
        <v>21.3583957845161</v>
      </c>
      <c r="F367" s="20" t="n">
        <f aca="false">F364+F366</f>
        <v>25.5856997760692</v>
      </c>
      <c r="G367" s="20" t="n">
        <f aca="false">G364+G366</f>
        <v>29.5293835836427</v>
      </c>
    </row>
    <row r="368" customFormat="false" ht="15" hidden="false" customHeight="false" outlineLevel="0" collapsed="false">
      <c r="A368" s="4" t="s">
        <v>531</v>
      </c>
      <c r="B368" s="0" t="s">
        <v>278</v>
      </c>
      <c r="C368" s="20" t="n">
        <f aca="false">a25_tax</f>
        <v>0.672</v>
      </c>
      <c r="D368" s="20" t="n">
        <f aca="false">a26_tax</f>
        <v>1.337361725</v>
      </c>
      <c r="E368" s="20" t="n">
        <f aca="false">E367*tax</f>
        <v>3.20375936767741</v>
      </c>
      <c r="F368" s="20" t="n">
        <f aca="false">F367*tax</f>
        <v>3.83785496641038</v>
      </c>
      <c r="G368" s="20" t="n">
        <f aca="false">G367*tax</f>
        <v>4.4294075375464</v>
      </c>
    </row>
    <row r="369" customFormat="false" ht="15" hidden="false" customHeight="false" outlineLevel="0" collapsed="false">
      <c r="A369" s="4" t="s">
        <v>534</v>
      </c>
      <c r="B369" s="0" t="s">
        <v>278</v>
      </c>
      <c r="C369" s="20" t="n">
        <f aca="false">C367-C368</f>
        <v>3.77</v>
      </c>
      <c r="D369" s="20" t="n">
        <f aca="false">D367-D368</f>
        <v>8.332684775</v>
      </c>
      <c r="E369" s="20" t="n">
        <f aca="false">E367-E368</f>
        <v>18.1546364168387</v>
      </c>
      <c r="F369" s="20" t="n">
        <f aca="false">F367-F368</f>
        <v>21.7478448096589</v>
      </c>
      <c r="G369" s="20" t="n">
        <f aca="false">G367-G368</f>
        <v>25.0999760460963</v>
      </c>
      <c r="H369" s="28" t="n">
        <f aca="false">H353*H373</f>
        <v>27.9526599343</v>
      </c>
      <c r="I369" s="28" t="n">
        <f aca="false">I353*I373</f>
        <v>30.321049669602</v>
      </c>
      <c r="J369" s="28" t="n">
        <f aca="false">J353*J373</f>
        <v>32.0131193319304</v>
      </c>
    </row>
    <row r="370" customFormat="false" ht="15" hidden="false" customHeight="false" outlineLevel="0" collapsed="false">
      <c r="A370" s="4" t="s">
        <v>312</v>
      </c>
      <c r="B370" s="4" t="s">
        <v>313</v>
      </c>
      <c r="C370" s="19" t="n">
        <f aca="false">a25_sh</f>
        <v>0.134020618556701</v>
      </c>
      <c r="D370" s="19" t="n">
        <f aca="false">a26_sh</f>
        <v>0.13399883744778</v>
      </c>
      <c r="E370" s="19" t="n">
        <f aca="false">q_sh*(1+sh_g)</f>
        <v>0.13401</v>
      </c>
      <c r="F370" s="19" t="n">
        <f aca="false">E370*(1+sh_g)</f>
        <v>0.13401</v>
      </c>
      <c r="G370" s="19" t="n">
        <f aca="false">F370*(1+sh_g)</f>
        <v>0.13401</v>
      </c>
      <c r="H370" s="30" t="n">
        <f aca="false">G370*(1+sh_g)</f>
        <v>0.13401</v>
      </c>
      <c r="I370" s="30" t="n">
        <f aca="false">H370*(1+sh_g)</f>
        <v>0.13401</v>
      </c>
      <c r="J370" s="30" t="n">
        <f aca="false">I370*(1+sh_g)</f>
        <v>0.13401</v>
      </c>
    </row>
    <row r="371" customFormat="false" ht="17.15" hidden="false" customHeight="false" outlineLevel="0" collapsed="false">
      <c r="A371" s="0" t="s">
        <v>538</v>
      </c>
      <c r="B371" s="0" t="s">
        <v>356</v>
      </c>
      <c r="C371" s="20" t="n">
        <f aca="false">C369/C370</f>
        <v>28.13</v>
      </c>
      <c r="D371" s="20" t="n">
        <f aca="false">D369/D370</f>
        <v>62.1847542389856</v>
      </c>
      <c r="E371" s="20" t="n">
        <f aca="false">E369/E370</f>
        <v>135.47225145018</v>
      </c>
      <c r="F371" s="20" t="n">
        <f aca="false">F369/F370</f>
        <v>162.285238487119</v>
      </c>
      <c r="G371" s="20" t="n">
        <f aca="false">G369/G370</f>
        <v>187.299276517396</v>
      </c>
      <c r="H371" s="28" t="n">
        <f aca="false">H369/H370</f>
        <v>208.586373660921</v>
      </c>
      <c r="I371" s="28" t="n">
        <f aca="false">I369/I370</f>
        <v>226.259605026506</v>
      </c>
      <c r="J371" s="28" t="n">
        <f aca="false">J369/J370</f>
        <v>238.886048294384</v>
      </c>
    </row>
    <row r="372" customFormat="false" ht="17.15" hidden="false" customHeight="false" outlineLevel="0" collapsed="false">
      <c r="A372" s="0" t="s">
        <v>661</v>
      </c>
      <c r="B372" s="0" t="s">
        <v>51</v>
      </c>
      <c r="D372" s="18" t="n">
        <f aca="false">D371/C371-1</f>
        <v>1.21062048485551</v>
      </c>
      <c r="E372" s="18" t="n">
        <f aca="false">E371/D371-1</f>
        <v>1.1785444536701</v>
      </c>
      <c r="F372" s="18" t="n">
        <f aca="false">F371/E371-1</f>
        <v>0.197922354946609</v>
      </c>
      <c r="G372" s="18" t="n">
        <f aca="false">G371/F371-1</f>
        <v>0.154136249627304</v>
      </c>
      <c r="H372" s="26" t="n">
        <f aca="false">H371/G371-1</f>
        <v>0.113652853013277</v>
      </c>
      <c r="I372" s="26" t="n">
        <f aca="false">I371/H371-1</f>
        <v>0.0847285997421576</v>
      </c>
      <c r="J372" s="26" t="n">
        <f aca="false">J371/I371-1</f>
        <v>0.0558051149536813</v>
      </c>
    </row>
    <row r="373" customFormat="false" ht="17.15" hidden="false" customHeight="false" outlineLevel="0" collapsed="false">
      <c r="A373" s="4" t="s">
        <v>662</v>
      </c>
      <c r="B373" s="0" t="s">
        <v>51</v>
      </c>
      <c r="C373" s="9" t="n">
        <f aca="false">C369/C353</f>
        <v>0.11042441639085</v>
      </c>
      <c r="D373" s="9" t="n">
        <f aca="false">D369/D353</f>
        <v>0.1200382727405</v>
      </c>
      <c r="E373" s="9" t="n">
        <f aca="false">E369/E353</f>
        <v>0.115651031369524</v>
      </c>
      <c r="F373" s="9" t="n">
        <f aca="false">F369/F353</f>
        <v>0.117473352953587</v>
      </c>
      <c r="G373" s="9" t="n">
        <f aca="false">G369/G353</f>
        <v>0.118197633494653</v>
      </c>
      <c r="H373" s="27" t="n">
        <f aca="false">$G373+(fade_mA-$G373)*1/3</f>
        <v>0.117733546792275</v>
      </c>
      <c r="I373" s="27" t="n">
        <f aca="false">$G373+(fade_mA-$G373)*2/3</f>
        <v>0.117269460089897</v>
      </c>
      <c r="J373" s="27" t="n">
        <f aca="false">$G373+(fade_mA-$G373)*3/3</f>
        <v>0.116805373387519</v>
      </c>
    </row>
    <row r="376" customFormat="false" ht="17.15" hidden="false" customHeight="false" outlineLevel="0" collapsed="false">
      <c r="A376" s="1" t="s">
        <v>988</v>
      </c>
    </row>
    <row r="377" customFormat="false" ht="17.15" hidden="false" customHeight="false" outlineLevel="0" collapsed="false">
      <c r="A377" s="5" t="s">
        <v>27</v>
      </c>
      <c r="B377" s="5" t="s">
        <v>28</v>
      </c>
      <c r="C377" s="16" t="s">
        <v>497</v>
      </c>
      <c r="D377" s="16" t="s">
        <v>610</v>
      </c>
      <c r="E377" s="16" t="s">
        <v>611</v>
      </c>
      <c r="F377" s="16" t="s">
        <v>612</v>
      </c>
      <c r="G377" s="16" t="s">
        <v>613</v>
      </c>
      <c r="H377" s="16" t="s">
        <v>614</v>
      </c>
      <c r="I377" s="16" t="s">
        <v>615</v>
      </c>
      <c r="J377" s="16" t="s">
        <v>616</v>
      </c>
      <c r="K377" s="5" t="s">
        <v>450</v>
      </c>
    </row>
    <row r="378" customFormat="false" ht="17.15" hidden="false" customHeight="false" outlineLevel="0" collapsed="false">
      <c r="A378" s="6" t="s">
        <v>632</v>
      </c>
    </row>
    <row r="379" customFormat="false" ht="17.15" hidden="false" customHeight="false" outlineLevel="0" collapsed="false">
      <c r="A379" s="0" t="s">
        <v>633</v>
      </c>
      <c r="B379" s="4" t="s">
        <v>38</v>
      </c>
      <c r="D379" s="22" t="n">
        <f aca="false">u_tpu_26</f>
        <v>3.85</v>
      </c>
      <c r="E379" s="22" t="n">
        <f aca="false">u_tpu_27</f>
        <v>5.5</v>
      </c>
      <c r="F379" s="22" t="n">
        <f aca="false">u_tpu_28*um28_A</f>
        <v>7</v>
      </c>
      <c r="G379" s="22" t="n">
        <f aca="false">u_tpu_28*(1+g29_tpu)*um29_A</f>
        <v>8.05</v>
      </c>
    </row>
    <row r="380" customFormat="false" ht="17.15" hidden="false" customHeight="false" outlineLevel="0" collapsed="false">
      <c r="A380" s="0" t="s">
        <v>574</v>
      </c>
      <c r="B380" s="0" t="s">
        <v>70</v>
      </c>
      <c r="D380" s="22" t="n">
        <f aca="false">att26</f>
        <v>0.325</v>
      </c>
      <c r="E380" s="22" t="n">
        <f aca="false">MAX(0,att_A+0)</f>
        <v>0.6</v>
      </c>
      <c r="F380" s="22" t="n">
        <f aca="false">MAX(0,att_A+0)</f>
        <v>0.6</v>
      </c>
      <c r="G380" s="22" t="n">
        <f aca="false">MAX(0,att_A+0)</f>
        <v>0.6</v>
      </c>
    </row>
    <row r="381" customFormat="false" ht="17.15" hidden="false" customHeight="false" outlineLevel="0" collapsed="false">
      <c r="A381" s="4" t="s">
        <v>634</v>
      </c>
      <c r="B381" s="0" t="s">
        <v>51</v>
      </c>
      <c r="D381" s="18" t="n">
        <f aca="false">gsh26</f>
        <v>1</v>
      </c>
      <c r="E381" s="18" t="n">
        <f aca="false">gsh26</f>
        <v>1</v>
      </c>
      <c r="F381" s="18" t="n">
        <f aca="false">MIN(1,gsh28_A)</f>
        <v>1</v>
      </c>
      <c r="G381" s="18" t="n">
        <f aca="false">MIN(1,gsh28_A)</f>
        <v>1</v>
      </c>
    </row>
    <row r="382" customFormat="false" ht="17.15" hidden="false" customHeight="false" outlineLevel="0" collapsed="false">
      <c r="A382" s="4" t="s">
        <v>576</v>
      </c>
      <c r="B382" s="4" t="s">
        <v>38</v>
      </c>
      <c r="D382" s="22" t="n">
        <f aca="false">D379*D380*D381</f>
        <v>1.25125</v>
      </c>
      <c r="E382" s="22" t="n">
        <f aca="false">E379*E380*E381*1</f>
        <v>3.3</v>
      </c>
      <c r="F382" s="22" t="n">
        <f aca="false">F379*F380*F381*1</f>
        <v>4.2</v>
      </c>
      <c r="G382" s="22" t="n">
        <f aca="false">G379*G380*G381*1</f>
        <v>4.83</v>
      </c>
    </row>
    <row r="383" customFormat="false" ht="17.15" hidden="false" customHeight="false" outlineLevel="0" collapsed="false">
      <c r="A383" s="4" t="s">
        <v>635</v>
      </c>
      <c r="B383" s="0" t="s">
        <v>116</v>
      </c>
      <c r="D383" s="20" t="n">
        <f aca="false">pc_cpu</f>
        <v>1</v>
      </c>
      <c r="E383" s="20" t="n">
        <f aca="false">pc_cpu</f>
        <v>1</v>
      </c>
      <c r="F383" s="20" t="n">
        <f aca="false">pc_cpu*pfc_A</f>
        <v>1.2</v>
      </c>
      <c r="G383" s="20" t="n">
        <f aca="false">pc_cpu*pfc_A</f>
        <v>1.2</v>
      </c>
    </row>
    <row r="384" customFormat="false" ht="17.15" hidden="false" customHeight="false" outlineLevel="0" collapsed="false">
      <c r="A384" s="0" t="s">
        <v>636</v>
      </c>
      <c r="B384" s="0" t="s">
        <v>581</v>
      </c>
      <c r="D384" s="20" t="n">
        <f aca="false">D382*D383</f>
        <v>1.25125</v>
      </c>
      <c r="E384" s="20" t="n">
        <f aca="false">E382*E383</f>
        <v>3.3</v>
      </c>
      <c r="F384" s="20" t="n">
        <f aca="false">F382*F383</f>
        <v>5.04</v>
      </c>
      <c r="G384" s="20" t="n">
        <f aca="false">G382*G383</f>
        <v>5.796</v>
      </c>
    </row>
    <row r="385" customFormat="false" ht="17.15" hidden="false" customHeight="false" outlineLevel="0" collapsed="false">
      <c r="A385" s="0" t="s">
        <v>637</v>
      </c>
      <c r="B385" s="0" t="s">
        <v>70</v>
      </c>
      <c r="D385" s="22" t="n">
        <f aca="false">a26_cpu/fx26/D384</f>
        <v>0.842704434805701</v>
      </c>
      <c r="K385" s="8" t="s">
        <v>638</v>
      </c>
    </row>
    <row r="386" customFormat="false" ht="17.15" hidden="false" customHeight="false" outlineLevel="0" collapsed="false">
      <c r="A386" s="0" t="s">
        <v>639</v>
      </c>
      <c r="B386" s="0" t="s">
        <v>581</v>
      </c>
      <c r="D386" s="20" t="n">
        <f aca="false">D384*$D$385</f>
        <v>1.05443392405063</v>
      </c>
      <c r="E386" s="20" t="n">
        <f aca="false">E384*$D$385</f>
        <v>2.78092463485881</v>
      </c>
      <c r="F386" s="20" t="n">
        <f aca="false">F384*$D$385</f>
        <v>4.24723035142073</v>
      </c>
      <c r="G386" s="20" t="n">
        <f aca="false">G384*$D$385</f>
        <v>4.88431490413384</v>
      </c>
    </row>
    <row r="387" customFormat="false" ht="15" hidden="false" customHeight="false" outlineLevel="0" collapsed="false">
      <c r="A387" s="4" t="s">
        <v>640</v>
      </c>
      <c r="B387" s="0" t="s">
        <v>273</v>
      </c>
      <c r="D387" s="20" t="n">
        <f aca="false">fx26</f>
        <v>31.6</v>
      </c>
      <c r="E387" s="20" t="n">
        <f aca="false">fx</f>
        <v>32</v>
      </c>
      <c r="F387" s="20" t="n">
        <f aca="false">fx</f>
        <v>32</v>
      </c>
      <c r="G387" s="20" t="n">
        <f aca="false">fx</f>
        <v>32</v>
      </c>
    </row>
    <row r="388" customFormat="false" ht="17.15" hidden="false" customHeight="false" outlineLevel="0" collapsed="false">
      <c r="A388" s="0" t="s">
        <v>641</v>
      </c>
      <c r="B388" s="0" t="s">
        <v>278</v>
      </c>
      <c r="C388" s="20" t="n">
        <f aca="false">a25_cpu</f>
        <v>6.14538</v>
      </c>
      <c r="D388" s="20" t="n">
        <f aca="false">D386*D387</f>
        <v>33.320112</v>
      </c>
      <c r="E388" s="20" t="n">
        <f aca="false">E386*E387</f>
        <v>88.989588315482</v>
      </c>
      <c r="F388" s="20" t="n">
        <f aca="false">F386*F387</f>
        <v>135.911371245463</v>
      </c>
      <c r="G388" s="20" t="n">
        <f aca="false">G386*G387</f>
        <v>156.298076932283</v>
      </c>
    </row>
    <row r="389" customFormat="false" ht="17.15" hidden="false" customHeight="false" outlineLevel="0" collapsed="false">
      <c r="A389" s="4" t="s">
        <v>578</v>
      </c>
      <c r="B389" s="0" t="s">
        <v>116</v>
      </c>
      <c r="D389" s="20" t="n">
        <f aca="false">IF(D382&gt;0,D386/D382,0)</f>
        <v>0.842704434805701</v>
      </c>
      <c r="E389" s="20" t="n">
        <f aca="false">IF(E382&gt;0,E386/E382,0)</f>
        <v>0.842704434805701</v>
      </c>
      <c r="F389" s="20" t="n">
        <f aca="false">IF(F382&gt;0,F386/F382,0)</f>
        <v>1.01124532176684</v>
      </c>
      <c r="G389" s="20" t="n">
        <f aca="false">IF(G382&gt;0,G386/G382,0)</f>
        <v>1.01124532176684</v>
      </c>
    </row>
    <row r="390" customFormat="false" ht="17.15" hidden="false" customHeight="false" outlineLevel="0" collapsed="false">
      <c r="A390" s="6" t="s">
        <v>642</v>
      </c>
    </row>
    <row r="391" customFormat="false" ht="17.15" hidden="false" customHeight="false" outlineLevel="0" collapsed="false">
      <c r="A391" s="4" t="s">
        <v>643</v>
      </c>
      <c r="B391" s="4" t="s">
        <v>38</v>
      </c>
      <c r="D391" s="22" t="n">
        <f aca="false">u_oth_26</f>
        <v>1</v>
      </c>
      <c r="E391" s="22" t="n">
        <f aca="false">u_oth_27</f>
        <v>4.5</v>
      </c>
      <c r="F391" s="22" t="n">
        <f aca="false">u_oth_28*um28_A</f>
        <v>5</v>
      </c>
      <c r="G391" s="22" t="n">
        <f aca="false">u_oth_28*(1+g29_oth)*um29_A</f>
        <v>5.75</v>
      </c>
    </row>
    <row r="392" customFormat="false" ht="17.15" hidden="false" customHeight="false" outlineLevel="0" collapsed="false">
      <c r="A392" s="4" t="s">
        <v>584</v>
      </c>
      <c r="B392" s="0" t="s">
        <v>51</v>
      </c>
      <c r="D392" s="18" t="n">
        <f aca="false">guc_oth_26</f>
        <v>0.03</v>
      </c>
      <c r="E392" s="18" t="n">
        <f aca="false">MIN(1,MAX(0,go27_A+0.04))</f>
        <v>0.1</v>
      </c>
      <c r="F392" s="18" t="n">
        <f aca="false">MIN(1,MAX(0,go28_A+0.04))</f>
        <v>0.12</v>
      </c>
      <c r="G392" s="18" t="n">
        <f aca="false">MIN(1,MAX(0,go28_A+0.04))</f>
        <v>0.12</v>
      </c>
    </row>
    <row r="393" customFormat="false" ht="17.15" hidden="false" customHeight="false" outlineLevel="0" collapsed="false">
      <c r="A393" s="4" t="s">
        <v>586</v>
      </c>
      <c r="B393" s="4" t="s">
        <v>38</v>
      </c>
      <c r="D393" s="22" t="n">
        <f aca="false">D391*D392</f>
        <v>0.03</v>
      </c>
      <c r="E393" s="22" t="n">
        <f aca="false">E391*E392*1</f>
        <v>0.45</v>
      </c>
      <c r="F393" s="22" t="n">
        <f aca="false">F391*F392*1</f>
        <v>0.6</v>
      </c>
      <c r="G393" s="22" t="n">
        <f aca="false">G391*G392*1</f>
        <v>0.69</v>
      </c>
    </row>
    <row r="394" customFormat="false" ht="17.15" hidden="false" customHeight="false" outlineLevel="0" collapsed="false">
      <c r="A394" s="0" t="s">
        <v>644</v>
      </c>
      <c r="B394" s="0" t="s">
        <v>581</v>
      </c>
      <c r="D394" s="20" t="n">
        <f aca="false">D393*core_oth</f>
        <v>0.18</v>
      </c>
      <c r="E394" s="20" t="n">
        <f aca="false">E393*core_oth</f>
        <v>2.7</v>
      </c>
      <c r="F394" s="20" t="n">
        <f aca="false">F393*core_oth</f>
        <v>3.6</v>
      </c>
      <c r="G394" s="20" t="n">
        <f aca="false">G393*core_oth</f>
        <v>4.14</v>
      </c>
    </row>
    <row r="395" customFormat="false" ht="17.15" hidden="false" customHeight="false" outlineLevel="0" collapsed="false">
      <c r="A395" s="0" t="s">
        <v>645</v>
      </c>
      <c r="B395" s="0" t="s">
        <v>70</v>
      </c>
      <c r="D395" s="22" t="n">
        <f aca="false">a26_asic/fx26/D394</f>
        <v>0.366122890295359</v>
      </c>
      <c r="K395" s="8" t="s">
        <v>646</v>
      </c>
    </row>
    <row r="396" customFormat="false" ht="17.15" hidden="false" customHeight="false" outlineLevel="0" collapsed="false">
      <c r="A396" s="0" t="s">
        <v>647</v>
      </c>
      <c r="B396" s="0" t="s">
        <v>581</v>
      </c>
      <c r="D396" s="20" t="n">
        <f aca="false">D394*$D$395</f>
        <v>0.0659021202531645</v>
      </c>
      <c r="E396" s="20" t="n">
        <f aca="false">E394*$D$395</f>
        <v>0.988531803797468</v>
      </c>
      <c r="F396" s="20" t="n">
        <f aca="false">F394*$D$395</f>
        <v>1.31804240506329</v>
      </c>
      <c r="G396" s="20" t="n">
        <f aca="false">G394*$D$395</f>
        <v>1.51574876582278</v>
      </c>
    </row>
    <row r="397" customFormat="false" ht="17.15" hidden="false" customHeight="false" outlineLevel="0" collapsed="false">
      <c r="A397" s="0" t="s">
        <v>648</v>
      </c>
      <c r="B397" s="0" t="s">
        <v>278</v>
      </c>
      <c r="C397" s="20" t="n">
        <f aca="false">a25_asic</f>
        <v>1.70705</v>
      </c>
      <c r="D397" s="20" t="n">
        <f aca="false">D396*D387</f>
        <v>2.082507</v>
      </c>
      <c r="E397" s="20" t="n">
        <f aca="false">E396*E387</f>
        <v>31.633017721519</v>
      </c>
      <c r="F397" s="20" t="n">
        <f aca="false">F396*F387</f>
        <v>42.1773569620253</v>
      </c>
      <c r="G397" s="20" t="n">
        <f aca="false">G396*G387</f>
        <v>48.5039605063291</v>
      </c>
    </row>
    <row r="398" customFormat="false" ht="17.15" hidden="false" customHeight="false" outlineLevel="0" collapsed="false">
      <c r="A398" s="6" t="s">
        <v>649</v>
      </c>
    </row>
    <row r="399" customFormat="false" ht="17.15" hidden="false" customHeight="false" outlineLevel="0" collapsed="false">
      <c r="A399" s="4" t="s">
        <v>650</v>
      </c>
      <c r="B399" s="0" t="s">
        <v>278</v>
      </c>
      <c r="C399" s="20" t="n">
        <f aca="false">a25_auto</f>
        <v>1.02423</v>
      </c>
      <c r="D399" s="20" t="n">
        <f aca="false">a26_auto</f>
        <v>3.470845</v>
      </c>
      <c r="E399" s="20" t="n">
        <f aca="false">D399*am27_A</f>
        <v>13.88338</v>
      </c>
      <c r="F399" s="20" t="n">
        <f aca="false">E399*am28_A</f>
        <v>27.76676</v>
      </c>
      <c r="G399" s="20" t="n">
        <f aca="false">F399*(1+ag29_A)</f>
        <v>33.320112</v>
      </c>
    </row>
    <row r="400" customFormat="false" ht="17.15" hidden="false" customHeight="false" outlineLevel="0" collapsed="false">
      <c r="A400" s="4" t="s">
        <v>651</v>
      </c>
      <c r="B400" s="0" t="s">
        <v>278</v>
      </c>
      <c r="C400" s="20" t="n">
        <f aca="false">a25_oth</f>
        <v>25.26434</v>
      </c>
      <c r="D400" s="20" t="n">
        <f aca="false">a26_oth</f>
        <v>30.543436</v>
      </c>
      <c r="E400" s="20" t="n">
        <f aca="false">D400*(1+g_o27_A)</f>
        <v>35.1249514</v>
      </c>
      <c r="F400" s="20" t="n">
        <f aca="false">E400*(1+g_oL_A)</f>
        <v>38.63744654</v>
      </c>
      <c r="G400" s="20" t="n">
        <f aca="false">F400*(1+g_oL_A)</f>
        <v>42.501191194</v>
      </c>
    </row>
    <row r="401" customFormat="false" ht="17.15" hidden="false" customHeight="false" outlineLevel="0" collapsed="false">
      <c r="A401" s="4" t="s">
        <v>503</v>
      </c>
      <c r="B401" s="0" t="s">
        <v>278</v>
      </c>
      <c r="C401" s="20" t="n">
        <f aca="false">C388+C397+C399+C400</f>
        <v>34.141</v>
      </c>
      <c r="D401" s="20" t="n">
        <f aca="false">D388+D397+D399+D400</f>
        <v>69.4169</v>
      </c>
      <c r="E401" s="20" t="n">
        <f aca="false">E388+E397+E399+E400</f>
        <v>169.630937437001</v>
      </c>
      <c r="F401" s="20" t="n">
        <f aca="false">F388+F397+F399+F400</f>
        <v>244.492934747489</v>
      </c>
      <c r="G401" s="20" t="n">
        <f aca="false">G388+G397+G399+G400</f>
        <v>280.623340632612</v>
      </c>
      <c r="H401" s="28" t="n">
        <f aca="false">G401*(1+H402)</f>
        <v>313.882237415022</v>
      </c>
      <c r="I401" s="28" t="n">
        <f aca="false">H401*(1+I402)</f>
        <v>341.89904068999</v>
      </c>
      <c r="J401" s="28" t="n">
        <f aca="false">I401*(1+J402)</f>
        <v>362.41298313139</v>
      </c>
      <c r="K401" s="8" t="s">
        <v>652</v>
      </c>
    </row>
    <row r="402" customFormat="false" ht="15" hidden="false" customHeight="false" outlineLevel="0" collapsed="false">
      <c r="A402" s="4" t="s">
        <v>653</v>
      </c>
      <c r="B402" s="0" t="s">
        <v>51</v>
      </c>
      <c r="D402" s="18" t="n">
        <f aca="false">D401/C401-1</f>
        <v>1.03324155707214</v>
      </c>
      <c r="E402" s="18" t="n">
        <f aca="false">E401/D401-1</f>
        <v>1.44365475031298</v>
      </c>
      <c r="F402" s="18" t="n">
        <f aca="false">F401/E401-1</f>
        <v>0.441322782515958</v>
      </c>
      <c r="G402" s="18" t="n">
        <f aca="false">G401/F401-1</f>
        <v>0.147776891477206</v>
      </c>
      <c r="H402" s="26" t="n">
        <f aca="false">$G402+(fade_gA-$G402)*1/3</f>
        <v>0.118517927651471</v>
      </c>
      <c r="I402" s="26" t="n">
        <f aca="false">$G402+(fade_gA-$G402)*2/3</f>
        <v>0.0892589638257353</v>
      </c>
      <c r="J402" s="26" t="n">
        <f aca="false">$G402+(fade_gA-$G402)*3/3</f>
        <v>0.06</v>
      </c>
    </row>
    <row r="403" customFormat="false" ht="17.15" hidden="false" customHeight="false" outlineLevel="0" collapsed="false">
      <c r="A403" s="0" t="s">
        <v>654</v>
      </c>
      <c r="B403" s="0" t="s">
        <v>51</v>
      </c>
      <c r="C403" s="18" t="n">
        <f aca="false">C388/C401</f>
        <v>0.18</v>
      </c>
      <c r="D403" s="18" t="n">
        <f aca="false">D388/D401</f>
        <v>0.48</v>
      </c>
      <c r="E403" s="18" t="n">
        <f aca="false">E388/E401</f>
        <v>0.524607065550951</v>
      </c>
      <c r="F403" s="18" t="n">
        <f aca="false">F388/F401</f>
        <v>0.555890792451046</v>
      </c>
      <c r="G403" s="18" t="n">
        <f aca="false">G388/G401</f>
        <v>0.55696748737984</v>
      </c>
    </row>
    <row r="404" customFormat="false" ht="17.15" hidden="false" customHeight="false" outlineLevel="0" collapsed="false">
      <c r="A404" s="4" t="s">
        <v>655</v>
      </c>
      <c r="B404" s="0" t="s">
        <v>51</v>
      </c>
      <c r="C404" s="18" t="n">
        <f aca="false">C399/C401</f>
        <v>0.03</v>
      </c>
      <c r="D404" s="18" t="n">
        <f aca="false">D399/D401</f>
        <v>0.05</v>
      </c>
      <c r="E404" s="18" t="n">
        <f aca="false">E399/E401</f>
        <v>0.0818446222709589</v>
      </c>
      <c r="F404" s="18" t="n">
        <f aca="false">F399/F401</f>
        <v>0.1135687623394</v>
      </c>
      <c r="G404" s="18" t="n">
        <f aca="false">G399/G401</f>
        <v>0.118736067801367</v>
      </c>
    </row>
    <row r="405" customFormat="false" ht="17.15" hidden="false" customHeight="false" outlineLevel="0" collapsed="false">
      <c r="A405" s="6" t="s">
        <v>656</v>
      </c>
    </row>
    <row r="406" customFormat="false" ht="17.15" hidden="false" customHeight="false" outlineLevel="0" collapsed="false">
      <c r="A406" s="0" t="s">
        <v>657</v>
      </c>
      <c r="B406" s="0" t="s">
        <v>278</v>
      </c>
      <c r="D406" s="20" t="n">
        <f aca="false">m_tk*(D388+D397)</f>
        <v>4.60234047</v>
      </c>
      <c r="E406" s="20" t="n">
        <f aca="false">(m_tk+gta_A)*(E388+E397)</f>
        <v>16.8871648451801</v>
      </c>
      <c r="F406" s="20" t="n">
        <f aca="false">(m_tk+gta_A)*(F388+F397)</f>
        <v>24.9324219490484</v>
      </c>
      <c r="G406" s="20" t="n">
        <f aca="false">(m_tk+gta_A)*(G388+G397)</f>
        <v>28.6722852414057</v>
      </c>
    </row>
    <row r="407" customFormat="false" ht="17.15" hidden="false" customHeight="false" outlineLevel="0" collapsed="false">
      <c r="A407" s="4" t="s">
        <v>658</v>
      </c>
      <c r="B407" s="0" t="s">
        <v>278</v>
      </c>
      <c r="D407" s="20" t="n">
        <f aca="false">m_auto*D399</f>
        <v>0.5553352</v>
      </c>
      <c r="E407" s="20" t="n">
        <f aca="false">m_auto*E399</f>
        <v>2.2213408</v>
      </c>
      <c r="F407" s="20" t="n">
        <f aca="false">m_auto*F399</f>
        <v>4.4426816</v>
      </c>
      <c r="G407" s="20" t="n">
        <f aca="false">m_auto*G399</f>
        <v>5.33121792</v>
      </c>
    </row>
    <row r="408" customFormat="false" ht="17.15" hidden="false" customHeight="false" outlineLevel="0" collapsed="false">
      <c r="A408" s="4" t="s">
        <v>659</v>
      </c>
      <c r="B408" s="0" t="s">
        <v>51</v>
      </c>
      <c r="C408" s="9" t="n">
        <f aca="false">(a25_gp-m_tk*(C388+C397)-m_auto*C399)/C400</f>
        <v>0.287729950594395</v>
      </c>
      <c r="D408" s="9" t="n">
        <f aca="false">(a26_gp-D406-D407)/D400</f>
        <v>0.310829299951715</v>
      </c>
      <c r="E408" s="9" t="n">
        <f aca="false">$D408+0</f>
        <v>0.310829299951715</v>
      </c>
      <c r="F408" s="9" t="n">
        <f aca="false">$D408+0</f>
        <v>0.310829299951715</v>
      </c>
      <c r="G408" s="9" t="n">
        <f aca="false">$D408+0</f>
        <v>0.310829299951715</v>
      </c>
      <c r="K408" s="8" t="s">
        <v>660</v>
      </c>
    </row>
    <row r="409" customFormat="false" ht="15" hidden="false" customHeight="false" outlineLevel="0" collapsed="false">
      <c r="A409" s="4" t="s">
        <v>516</v>
      </c>
      <c r="B409" s="0" t="s">
        <v>278</v>
      </c>
      <c r="C409" s="20" t="n">
        <f aca="false">a25_gp</f>
        <v>8.454</v>
      </c>
      <c r="D409" s="20" t="n">
        <f aca="false">a26_gp</f>
        <v>14.6514705</v>
      </c>
      <c r="E409" s="20" t="n">
        <f aca="false">E408*E400+E406+E407</f>
        <v>30.0263696996801</v>
      </c>
      <c r="F409" s="20" t="n">
        <f aca="false">F408*F400+F406+F407</f>
        <v>41.3847540089984</v>
      </c>
      <c r="G409" s="20" t="n">
        <f aca="false">G408*G400+G406+G407</f>
        <v>47.2141186673507</v>
      </c>
    </row>
    <row r="410" customFormat="false" ht="15" hidden="false" customHeight="false" outlineLevel="0" collapsed="false">
      <c r="A410" s="4" t="s">
        <v>519</v>
      </c>
      <c r="B410" s="0" t="s">
        <v>51</v>
      </c>
      <c r="C410" s="9" t="n">
        <f aca="false">C409/C401</f>
        <v>0.247620163439852</v>
      </c>
      <c r="D410" s="9" t="n">
        <f aca="false">D409/D401</f>
        <v>0.211064891978754</v>
      </c>
      <c r="E410" s="9" t="n">
        <f aca="false">E409/E401</f>
        <v>0.177009985049641</v>
      </c>
      <c r="F410" s="9" t="n">
        <f aca="false">F409/F401</f>
        <v>0.169267688866921</v>
      </c>
      <c r="G410" s="9" t="n">
        <f aca="false">G409/G401</f>
        <v>0.168247297466118</v>
      </c>
    </row>
    <row r="411" customFormat="false" ht="15" hidden="false" customHeight="false" outlineLevel="0" collapsed="false">
      <c r="A411" s="4" t="s">
        <v>521</v>
      </c>
      <c r="B411" s="0" t="s">
        <v>278</v>
      </c>
      <c r="C411" s="20" t="n">
        <f aca="false">a25_opx</f>
        <v>4.104</v>
      </c>
      <c r="D411" s="20" t="n">
        <f aca="false">a26_opx</f>
        <v>5.365972</v>
      </c>
      <c r="E411" s="20" t="n">
        <f aca="false">D411*(1+MAX(g_opx_min,phi*E402))+0*E401</f>
        <v>7.68995529035393</v>
      </c>
      <c r="F411" s="20" t="n">
        <f aca="false">E411*(1+MAX(g_opx_min,phi*F402))+0*F401</f>
        <v>8.70808103020262</v>
      </c>
      <c r="G411" s="20" t="n">
        <f aca="false">F411*(1+MAX(g_opx_min,phi*G402))+0*G401</f>
        <v>9.40472751261883</v>
      </c>
    </row>
    <row r="412" customFormat="false" ht="15" hidden="false" customHeight="false" outlineLevel="0" collapsed="false">
      <c r="A412" s="4" t="s">
        <v>524</v>
      </c>
      <c r="B412" s="0" t="s">
        <v>278</v>
      </c>
      <c r="C412" s="20" t="n">
        <f aca="false">C409-C411</f>
        <v>4.35</v>
      </c>
      <c r="D412" s="20" t="n">
        <f aca="false">D409-D411</f>
        <v>9.2854985</v>
      </c>
      <c r="E412" s="20" t="n">
        <f aca="false">E409-E411</f>
        <v>22.3364144093262</v>
      </c>
      <c r="F412" s="20" t="n">
        <f aca="false">F409-F411</f>
        <v>32.6766729787958</v>
      </c>
      <c r="G412" s="20" t="n">
        <f aca="false">G409-G411</f>
        <v>37.8093911547318</v>
      </c>
    </row>
    <row r="413" customFormat="false" ht="15" hidden="false" customHeight="false" outlineLevel="0" collapsed="false">
      <c r="A413" s="4" t="s">
        <v>621</v>
      </c>
      <c r="B413" s="0" t="s">
        <v>51</v>
      </c>
      <c r="C413" s="9" t="n">
        <f aca="false">C412/C401</f>
        <v>0.127412788143288</v>
      </c>
      <c r="D413" s="9" t="n">
        <f aca="false">D412/D401</f>
        <v>0.13376423464603</v>
      </c>
      <c r="E413" s="9" t="n">
        <f aca="false">E412/E401</f>
        <v>0.131676536997396</v>
      </c>
      <c r="F413" s="9" t="n">
        <f aca="false">F412/F401</f>
        <v>0.133650786320448</v>
      </c>
      <c r="G413" s="9" t="n">
        <f aca="false">G412/G401</f>
        <v>0.134733593682898</v>
      </c>
    </row>
    <row r="414" customFormat="false" ht="15" hidden="false" customHeight="false" outlineLevel="0" collapsed="false">
      <c r="A414" s="4" t="s">
        <v>527</v>
      </c>
      <c r="B414" s="0" t="s">
        <v>278</v>
      </c>
      <c r="C414" s="20" t="n">
        <f aca="false">a25_nonop</f>
        <v>0.0920000000000005</v>
      </c>
      <c r="D414" s="20" t="n">
        <f aca="false">a26_nonop</f>
        <v>0.384548</v>
      </c>
      <c r="E414" s="20" t="n">
        <f aca="false">nonop_f</f>
        <v>0.5</v>
      </c>
      <c r="F414" s="20" t="n">
        <f aca="false">nonop_f</f>
        <v>0.5</v>
      </c>
      <c r="G414" s="20" t="n">
        <f aca="false">nonop_f</f>
        <v>0.5</v>
      </c>
    </row>
    <row r="415" customFormat="false" ht="15" hidden="false" customHeight="false" outlineLevel="0" collapsed="false">
      <c r="A415" s="4" t="s">
        <v>529</v>
      </c>
      <c r="B415" s="0" t="s">
        <v>278</v>
      </c>
      <c r="C415" s="20" t="n">
        <f aca="false">C412+C414</f>
        <v>4.442</v>
      </c>
      <c r="D415" s="20" t="n">
        <f aca="false">D412+D414</f>
        <v>9.6700465</v>
      </c>
      <c r="E415" s="20" t="n">
        <f aca="false">E412+E414</f>
        <v>22.8364144093262</v>
      </c>
      <c r="F415" s="20" t="n">
        <f aca="false">F412+F414</f>
        <v>33.1766729787958</v>
      </c>
      <c r="G415" s="20" t="n">
        <f aca="false">G412+G414</f>
        <v>38.3093911547318</v>
      </c>
    </row>
    <row r="416" customFormat="false" ht="15" hidden="false" customHeight="false" outlineLevel="0" collapsed="false">
      <c r="A416" s="4" t="s">
        <v>531</v>
      </c>
      <c r="B416" s="0" t="s">
        <v>278</v>
      </c>
      <c r="C416" s="20" t="n">
        <f aca="false">a25_tax</f>
        <v>0.672</v>
      </c>
      <c r="D416" s="20" t="n">
        <f aca="false">a26_tax</f>
        <v>1.337361725</v>
      </c>
      <c r="E416" s="20" t="n">
        <f aca="false">E415*tax</f>
        <v>3.42546216139893</v>
      </c>
      <c r="F416" s="20" t="n">
        <f aca="false">F415*tax</f>
        <v>4.97650094681937</v>
      </c>
      <c r="G416" s="20" t="n">
        <f aca="false">G415*tax</f>
        <v>5.74640867320978</v>
      </c>
    </row>
    <row r="417" customFormat="false" ht="15" hidden="false" customHeight="false" outlineLevel="0" collapsed="false">
      <c r="A417" s="4" t="s">
        <v>534</v>
      </c>
      <c r="B417" s="0" t="s">
        <v>278</v>
      </c>
      <c r="C417" s="20" t="n">
        <f aca="false">C415-C416</f>
        <v>3.77</v>
      </c>
      <c r="D417" s="20" t="n">
        <f aca="false">D415-D416</f>
        <v>8.332684775</v>
      </c>
      <c r="E417" s="20" t="n">
        <f aca="false">E415-E416</f>
        <v>19.4109522479273</v>
      </c>
      <c r="F417" s="20" t="n">
        <f aca="false">F415-F416</f>
        <v>28.2001720319764</v>
      </c>
      <c r="G417" s="20" t="n">
        <f aca="false">G415-G416</f>
        <v>32.5629824815221</v>
      </c>
      <c r="H417" s="28" t="n">
        <f aca="false">H401*H421</f>
        <v>36.5025637692459</v>
      </c>
      <c r="I417" s="28" t="n">
        <f aca="false">I401*I421</f>
        <v>39.8481949484502</v>
      </c>
      <c r="J417" s="28" t="n">
        <f aca="false">J401*J421</f>
        <v>42.3317838151464</v>
      </c>
    </row>
    <row r="418" customFormat="false" ht="15" hidden="false" customHeight="false" outlineLevel="0" collapsed="false">
      <c r="A418" s="4" t="s">
        <v>312</v>
      </c>
      <c r="B418" s="4" t="s">
        <v>313</v>
      </c>
      <c r="C418" s="19" t="n">
        <f aca="false">a25_sh</f>
        <v>0.134020618556701</v>
      </c>
      <c r="D418" s="19" t="n">
        <f aca="false">a26_sh</f>
        <v>0.13399883744778</v>
      </c>
      <c r="E418" s="19" t="n">
        <f aca="false">q_sh*(1+sh_g)</f>
        <v>0.13401</v>
      </c>
      <c r="F418" s="19" t="n">
        <f aca="false">E418*(1+sh_g)</f>
        <v>0.13401</v>
      </c>
      <c r="G418" s="19" t="n">
        <f aca="false">F418*(1+sh_g)</f>
        <v>0.13401</v>
      </c>
      <c r="H418" s="30" t="n">
        <f aca="false">G418*(1+sh_g)</f>
        <v>0.13401</v>
      </c>
      <c r="I418" s="30" t="n">
        <f aca="false">H418*(1+sh_g)</f>
        <v>0.13401</v>
      </c>
      <c r="J418" s="30" t="n">
        <f aca="false">I418*(1+sh_g)</f>
        <v>0.13401</v>
      </c>
    </row>
    <row r="419" customFormat="false" ht="17.15" hidden="false" customHeight="false" outlineLevel="0" collapsed="false">
      <c r="A419" s="0" t="s">
        <v>538</v>
      </c>
      <c r="B419" s="0" t="s">
        <v>356</v>
      </c>
      <c r="C419" s="20" t="n">
        <f aca="false">C417/C418</f>
        <v>28.13</v>
      </c>
      <c r="D419" s="20" t="n">
        <f aca="false">D417/D418</f>
        <v>62.1847542389856</v>
      </c>
      <c r="E419" s="20" t="n">
        <f aca="false">E417/E418</f>
        <v>144.847043115643</v>
      </c>
      <c r="F419" s="20" t="n">
        <f aca="false">F417/F418</f>
        <v>210.433341034075</v>
      </c>
      <c r="G419" s="20" t="n">
        <f aca="false">G417/G418</f>
        <v>242.989198429386</v>
      </c>
      <c r="H419" s="28" t="n">
        <f aca="false">H417/H418</f>
        <v>272.386864929826</v>
      </c>
      <c r="I419" s="28" t="n">
        <f aca="false">I417/I418</f>
        <v>297.352398690025</v>
      </c>
      <c r="J419" s="28" t="n">
        <f aca="false">J417/J418</f>
        <v>315.885260914458</v>
      </c>
    </row>
    <row r="420" customFormat="false" ht="17.15" hidden="false" customHeight="false" outlineLevel="0" collapsed="false">
      <c r="A420" s="0" t="s">
        <v>661</v>
      </c>
      <c r="B420" s="0" t="s">
        <v>51</v>
      </c>
      <c r="D420" s="18" t="n">
        <f aca="false">D419/C419-1</f>
        <v>1.21062048485551</v>
      </c>
      <c r="E420" s="18" t="n">
        <f aca="false">E419/D419-1</f>
        <v>1.32930152877944</v>
      </c>
      <c r="F420" s="18" t="n">
        <f aca="false">F419/E419-1</f>
        <v>0.452796940190695</v>
      </c>
      <c r="G420" s="18" t="n">
        <f aca="false">G419/F419-1</f>
        <v>0.154708646620971</v>
      </c>
      <c r="H420" s="26" t="n">
        <f aca="false">H419/G419-1</f>
        <v>0.120983429265406</v>
      </c>
      <c r="I420" s="26" t="n">
        <f aca="false">I419/H419-1</f>
        <v>0.0916546903487092</v>
      </c>
      <c r="J420" s="26" t="n">
        <f aca="false">J419/I419-1</f>
        <v>0.0623262576864314</v>
      </c>
    </row>
    <row r="421" customFormat="false" ht="17.15" hidden="false" customHeight="false" outlineLevel="0" collapsed="false">
      <c r="A421" s="4" t="s">
        <v>662</v>
      </c>
      <c r="B421" s="0" t="s">
        <v>51</v>
      </c>
      <c r="C421" s="9" t="n">
        <f aca="false">C417/C401</f>
        <v>0.11042441639085</v>
      </c>
      <c r="D421" s="9" t="n">
        <f aca="false">D417/D401</f>
        <v>0.1200382727405</v>
      </c>
      <c r="E421" s="9" t="n">
        <f aca="false">E417/E401</f>
        <v>0.114430495646682</v>
      </c>
      <c r="F421" s="9" t="n">
        <f aca="false">F417/F401</f>
        <v>0.11534145991213</v>
      </c>
      <c r="G421" s="9" t="n">
        <f aca="false">G417/G401</f>
        <v>0.116038040200487</v>
      </c>
      <c r="H421" s="27" t="n">
        <f aca="false">$G421+(fade_mA-$G421)*1/3</f>
        <v>0.116293817929498</v>
      </c>
      <c r="I421" s="27" t="n">
        <f aca="false">$G421+(fade_mA-$G421)*2/3</f>
        <v>0.116549595658508</v>
      </c>
      <c r="J421" s="27" t="n">
        <f aca="false">$G421+(fade_mA-$G421)*3/3</f>
        <v>0.116805373387519</v>
      </c>
    </row>
    <row r="424" customFormat="false" ht="17.15" hidden="false" customHeight="false" outlineLevel="0" collapsed="false">
      <c r="A424" s="1" t="s">
        <v>989</v>
      </c>
    </row>
    <row r="425" customFormat="false" ht="17.15" hidden="false" customHeight="false" outlineLevel="0" collapsed="false">
      <c r="A425" s="5" t="s">
        <v>27</v>
      </c>
      <c r="B425" s="5" t="s">
        <v>28</v>
      </c>
      <c r="C425" s="16" t="s">
        <v>497</v>
      </c>
      <c r="D425" s="16" t="s">
        <v>610</v>
      </c>
      <c r="E425" s="16" t="s">
        <v>611</v>
      </c>
      <c r="F425" s="16" t="s">
        <v>612</v>
      </c>
      <c r="G425" s="16" t="s">
        <v>613</v>
      </c>
      <c r="H425" s="16" t="s">
        <v>614</v>
      </c>
      <c r="I425" s="16" t="s">
        <v>615</v>
      </c>
      <c r="J425" s="16" t="s">
        <v>616</v>
      </c>
      <c r="K425" s="5" t="s">
        <v>450</v>
      </c>
    </row>
    <row r="426" customFormat="false" ht="17.15" hidden="false" customHeight="false" outlineLevel="0" collapsed="false">
      <c r="A426" s="6" t="s">
        <v>632</v>
      </c>
    </row>
    <row r="427" customFormat="false" ht="17.15" hidden="false" customHeight="false" outlineLevel="0" collapsed="false">
      <c r="A427" s="0" t="s">
        <v>633</v>
      </c>
      <c r="B427" s="4" t="s">
        <v>38</v>
      </c>
      <c r="D427" s="22" t="n">
        <f aca="false">u_tpu_26</f>
        <v>3.85</v>
      </c>
      <c r="E427" s="22" t="n">
        <f aca="false">u_tpu_27</f>
        <v>5.5</v>
      </c>
      <c r="F427" s="22" t="n">
        <f aca="false">u_tpu_28*um28_A</f>
        <v>7</v>
      </c>
      <c r="G427" s="22" t="n">
        <f aca="false">u_tpu_28*(1+g29_tpu)*um29_A</f>
        <v>8.05</v>
      </c>
    </row>
    <row r="428" customFormat="false" ht="17.15" hidden="false" customHeight="false" outlineLevel="0" collapsed="false">
      <c r="A428" s="0" t="s">
        <v>574</v>
      </c>
      <c r="B428" s="0" t="s">
        <v>70</v>
      </c>
      <c r="D428" s="22" t="n">
        <f aca="false">att26</f>
        <v>0.325</v>
      </c>
      <c r="E428" s="22" t="n">
        <f aca="false">MAX(0,att_A+0)</f>
        <v>0.6</v>
      </c>
      <c r="F428" s="22" t="n">
        <f aca="false">MAX(0,att_A+0)</f>
        <v>0.6</v>
      </c>
      <c r="G428" s="22" t="n">
        <f aca="false">MAX(0,att_A+0)</f>
        <v>0.6</v>
      </c>
    </row>
    <row r="429" customFormat="false" ht="17.15" hidden="false" customHeight="false" outlineLevel="0" collapsed="false">
      <c r="A429" s="4" t="s">
        <v>634</v>
      </c>
      <c r="B429" s="0" t="s">
        <v>51</v>
      </c>
      <c r="D429" s="18" t="n">
        <f aca="false">gsh26</f>
        <v>1</v>
      </c>
      <c r="E429" s="18" t="n">
        <f aca="false">gsh26</f>
        <v>1</v>
      </c>
      <c r="F429" s="18" t="n">
        <f aca="false">MIN(1,gsh28_A)</f>
        <v>1</v>
      </c>
      <c r="G429" s="18" t="n">
        <f aca="false">MIN(1,gsh28_A)</f>
        <v>1</v>
      </c>
    </row>
    <row r="430" customFormat="false" ht="17.15" hidden="false" customHeight="false" outlineLevel="0" collapsed="false">
      <c r="A430" s="4" t="s">
        <v>576</v>
      </c>
      <c r="B430" s="4" t="s">
        <v>38</v>
      </c>
      <c r="D430" s="22" t="n">
        <f aca="false">D427*D428*D429</f>
        <v>1.25125</v>
      </c>
      <c r="E430" s="22" t="n">
        <f aca="false">E427*E428*E429*1</f>
        <v>3.3</v>
      </c>
      <c r="F430" s="22" t="n">
        <f aca="false">F427*F428*F429*1</f>
        <v>4.2</v>
      </c>
      <c r="G430" s="22" t="n">
        <f aca="false">G427*G428*G429*1</f>
        <v>4.83</v>
      </c>
    </row>
    <row r="431" customFormat="false" ht="17.15" hidden="false" customHeight="false" outlineLevel="0" collapsed="false">
      <c r="A431" s="4" t="s">
        <v>635</v>
      </c>
      <c r="B431" s="0" t="s">
        <v>116</v>
      </c>
      <c r="D431" s="20" t="n">
        <f aca="false">pc_cpu</f>
        <v>1</v>
      </c>
      <c r="E431" s="20" t="n">
        <f aca="false">pc_cpu</f>
        <v>1</v>
      </c>
      <c r="F431" s="20" t="n">
        <f aca="false">pc_cpu*pfc_A</f>
        <v>1.2</v>
      </c>
      <c r="G431" s="20" t="n">
        <f aca="false">pc_cpu*pfc_A</f>
        <v>1.2</v>
      </c>
    </row>
    <row r="432" customFormat="false" ht="17.15" hidden="false" customHeight="false" outlineLevel="0" collapsed="false">
      <c r="A432" s="0" t="s">
        <v>636</v>
      </c>
      <c r="B432" s="0" t="s">
        <v>581</v>
      </c>
      <c r="D432" s="20" t="n">
        <f aca="false">D430*D431</f>
        <v>1.25125</v>
      </c>
      <c r="E432" s="20" t="n">
        <f aca="false">E430*E431</f>
        <v>3.3</v>
      </c>
      <c r="F432" s="20" t="n">
        <f aca="false">F430*F431</f>
        <v>5.04</v>
      </c>
      <c r="G432" s="20" t="n">
        <f aca="false">G430*G431</f>
        <v>5.796</v>
      </c>
    </row>
    <row r="433" customFormat="false" ht="17.15" hidden="false" customHeight="false" outlineLevel="0" collapsed="false">
      <c r="A433" s="0" t="s">
        <v>637</v>
      </c>
      <c r="B433" s="0" t="s">
        <v>70</v>
      </c>
      <c r="D433" s="22" t="n">
        <f aca="false">a26_cpu/fx26/D432</f>
        <v>0.842704434805701</v>
      </c>
      <c r="K433" s="8" t="s">
        <v>638</v>
      </c>
    </row>
    <row r="434" customFormat="false" ht="17.15" hidden="false" customHeight="false" outlineLevel="0" collapsed="false">
      <c r="A434" s="0" t="s">
        <v>639</v>
      </c>
      <c r="B434" s="0" t="s">
        <v>581</v>
      </c>
      <c r="D434" s="20" t="n">
        <f aca="false">D432*$D$433</f>
        <v>1.05443392405063</v>
      </c>
      <c r="E434" s="20" t="n">
        <f aca="false">E432*$D$433</f>
        <v>2.78092463485881</v>
      </c>
      <c r="F434" s="20" t="n">
        <f aca="false">F432*$D$433</f>
        <v>4.24723035142073</v>
      </c>
      <c r="G434" s="20" t="n">
        <f aca="false">G432*$D$433</f>
        <v>4.88431490413384</v>
      </c>
    </row>
    <row r="435" customFormat="false" ht="15" hidden="false" customHeight="false" outlineLevel="0" collapsed="false">
      <c r="A435" s="4" t="s">
        <v>640</v>
      </c>
      <c r="B435" s="0" t="s">
        <v>273</v>
      </c>
      <c r="D435" s="20" t="n">
        <f aca="false">fx26</f>
        <v>31.6</v>
      </c>
      <c r="E435" s="20" t="n">
        <f aca="false">fx</f>
        <v>32</v>
      </c>
      <c r="F435" s="20" t="n">
        <f aca="false">fx</f>
        <v>32</v>
      </c>
      <c r="G435" s="20" t="n">
        <f aca="false">fx</f>
        <v>32</v>
      </c>
    </row>
    <row r="436" customFormat="false" ht="17.15" hidden="false" customHeight="false" outlineLevel="0" collapsed="false">
      <c r="A436" s="0" t="s">
        <v>641</v>
      </c>
      <c r="B436" s="0" t="s">
        <v>278</v>
      </c>
      <c r="C436" s="20" t="n">
        <f aca="false">a25_cpu</f>
        <v>6.14538</v>
      </c>
      <c r="D436" s="20" t="n">
        <f aca="false">D434*D435</f>
        <v>33.320112</v>
      </c>
      <c r="E436" s="20" t="n">
        <f aca="false">E434*E435</f>
        <v>88.989588315482</v>
      </c>
      <c r="F436" s="20" t="n">
        <f aca="false">F434*F435</f>
        <v>135.911371245463</v>
      </c>
      <c r="G436" s="20" t="n">
        <f aca="false">G434*G435</f>
        <v>156.298076932283</v>
      </c>
    </row>
    <row r="437" customFormat="false" ht="17.15" hidden="false" customHeight="false" outlineLevel="0" collapsed="false">
      <c r="A437" s="4" t="s">
        <v>578</v>
      </c>
      <c r="B437" s="0" t="s">
        <v>116</v>
      </c>
      <c r="D437" s="20" t="n">
        <f aca="false">IF(D430&gt;0,D434/D430,0)</f>
        <v>0.842704434805701</v>
      </c>
      <c r="E437" s="20" t="n">
        <f aca="false">IF(E430&gt;0,E434/E430,0)</f>
        <v>0.842704434805701</v>
      </c>
      <c r="F437" s="20" t="n">
        <f aca="false">IF(F430&gt;0,F434/F430,0)</f>
        <v>1.01124532176684</v>
      </c>
      <c r="G437" s="20" t="n">
        <f aca="false">IF(G430&gt;0,G434/G430,0)</f>
        <v>1.01124532176684</v>
      </c>
    </row>
    <row r="438" customFormat="false" ht="17.15" hidden="false" customHeight="false" outlineLevel="0" collapsed="false">
      <c r="A438" s="6" t="s">
        <v>642</v>
      </c>
    </row>
    <row r="439" customFormat="false" ht="17.15" hidden="false" customHeight="false" outlineLevel="0" collapsed="false">
      <c r="A439" s="4" t="s">
        <v>643</v>
      </c>
      <c r="B439" s="4" t="s">
        <v>38</v>
      </c>
      <c r="D439" s="22" t="n">
        <f aca="false">u_oth_26</f>
        <v>1</v>
      </c>
      <c r="E439" s="22" t="n">
        <f aca="false">u_oth_27</f>
        <v>4.5</v>
      </c>
      <c r="F439" s="22" t="n">
        <f aca="false">u_oth_28*um28_A</f>
        <v>5</v>
      </c>
      <c r="G439" s="22" t="n">
        <f aca="false">u_oth_28*(1+g29_oth)*um29_A</f>
        <v>5.75</v>
      </c>
    </row>
    <row r="440" customFormat="false" ht="17.15" hidden="false" customHeight="false" outlineLevel="0" collapsed="false">
      <c r="A440" s="4" t="s">
        <v>584</v>
      </c>
      <c r="B440" s="0" t="s">
        <v>51</v>
      </c>
      <c r="D440" s="18" t="n">
        <f aca="false">guc_oth_26</f>
        <v>0.03</v>
      </c>
      <c r="E440" s="18" t="n">
        <f aca="false">MIN(1,MAX(0,go27_A+(-1)))</f>
        <v>0</v>
      </c>
      <c r="F440" s="18" t="n">
        <f aca="false">MIN(1,MAX(0,go28_A+(-1)))</f>
        <v>0</v>
      </c>
      <c r="G440" s="18" t="n">
        <f aca="false">MIN(1,MAX(0,go28_A+(-1)))</f>
        <v>0</v>
      </c>
    </row>
    <row r="441" customFormat="false" ht="17.15" hidden="false" customHeight="false" outlineLevel="0" collapsed="false">
      <c r="A441" s="4" t="s">
        <v>586</v>
      </c>
      <c r="B441" s="4" t="s">
        <v>38</v>
      </c>
      <c r="D441" s="22" t="n">
        <f aca="false">D439*D440</f>
        <v>0.03</v>
      </c>
      <c r="E441" s="22" t="n">
        <f aca="false">E439*E440*1</f>
        <v>0</v>
      </c>
      <c r="F441" s="22" t="n">
        <f aca="false">F439*F440*1</f>
        <v>0</v>
      </c>
      <c r="G441" s="22" t="n">
        <f aca="false">G439*G440*1</f>
        <v>0</v>
      </c>
    </row>
    <row r="442" customFormat="false" ht="17.15" hidden="false" customHeight="false" outlineLevel="0" collapsed="false">
      <c r="A442" s="0" t="s">
        <v>644</v>
      </c>
      <c r="B442" s="0" t="s">
        <v>581</v>
      </c>
      <c r="D442" s="20" t="n">
        <f aca="false">D441*core_oth</f>
        <v>0.18</v>
      </c>
      <c r="E442" s="20" t="n">
        <f aca="false">E441*core_oth</f>
        <v>0</v>
      </c>
      <c r="F442" s="20" t="n">
        <f aca="false">F441*core_oth</f>
        <v>0</v>
      </c>
      <c r="G442" s="20" t="n">
        <f aca="false">G441*core_oth</f>
        <v>0</v>
      </c>
    </row>
    <row r="443" customFormat="false" ht="17.15" hidden="false" customHeight="false" outlineLevel="0" collapsed="false">
      <c r="A443" s="0" t="s">
        <v>645</v>
      </c>
      <c r="B443" s="0" t="s">
        <v>70</v>
      </c>
      <c r="D443" s="22" t="n">
        <f aca="false">a26_asic/fx26/D442</f>
        <v>0.366122890295359</v>
      </c>
      <c r="K443" s="8" t="s">
        <v>646</v>
      </c>
    </row>
    <row r="444" customFormat="false" ht="17.15" hidden="false" customHeight="false" outlineLevel="0" collapsed="false">
      <c r="A444" s="0" t="s">
        <v>647</v>
      </c>
      <c r="B444" s="0" t="s">
        <v>581</v>
      </c>
      <c r="D444" s="20" t="n">
        <f aca="false">D442*$D$443</f>
        <v>0.0659021202531645</v>
      </c>
      <c r="E444" s="20" t="n">
        <f aca="false">E442*$D$443</f>
        <v>0</v>
      </c>
      <c r="F444" s="20" t="n">
        <f aca="false">F442*$D$443</f>
        <v>0</v>
      </c>
      <c r="G444" s="20" t="n">
        <f aca="false">G442*$D$443</f>
        <v>0</v>
      </c>
    </row>
    <row r="445" customFormat="false" ht="17.15" hidden="false" customHeight="false" outlineLevel="0" collapsed="false">
      <c r="A445" s="0" t="s">
        <v>648</v>
      </c>
      <c r="B445" s="0" t="s">
        <v>278</v>
      </c>
      <c r="C445" s="20" t="n">
        <f aca="false">a25_asic</f>
        <v>1.70705</v>
      </c>
      <c r="D445" s="20" t="n">
        <f aca="false">D444*D435</f>
        <v>2.082507</v>
      </c>
      <c r="E445" s="20" t="n">
        <f aca="false">E444*E435</f>
        <v>0</v>
      </c>
      <c r="F445" s="20" t="n">
        <f aca="false">F444*F435</f>
        <v>0</v>
      </c>
      <c r="G445" s="20" t="n">
        <f aca="false">G444*G435</f>
        <v>0</v>
      </c>
    </row>
    <row r="446" customFormat="false" ht="17.15" hidden="false" customHeight="false" outlineLevel="0" collapsed="false">
      <c r="A446" s="6" t="s">
        <v>649</v>
      </c>
    </row>
    <row r="447" customFormat="false" ht="17.15" hidden="false" customHeight="false" outlineLevel="0" collapsed="false">
      <c r="A447" s="4" t="s">
        <v>650</v>
      </c>
      <c r="B447" s="0" t="s">
        <v>278</v>
      </c>
      <c r="C447" s="20" t="n">
        <f aca="false">a25_auto</f>
        <v>1.02423</v>
      </c>
      <c r="D447" s="20" t="n">
        <f aca="false">a26_auto</f>
        <v>3.470845</v>
      </c>
      <c r="E447" s="20" t="n">
        <f aca="false">D447*am27_A</f>
        <v>13.88338</v>
      </c>
      <c r="F447" s="20" t="n">
        <f aca="false">E447*am28_A</f>
        <v>27.76676</v>
      </c>
      <c r="G447" s="20" t="n">
        <f aca="false">F447*(1+ag29_A)</f>
        <v>33.320112</v>
      </c>
    </row>
    <row r="448" customFormat="false" ht="17.15" hidden="false" customHeight="false" outlineLevel="0" collapsed="false">
      <c r="A448" s="4" t="s">
        <v>651</v>
      </c>
      <c r="B448" s="0" t="s">
        <v>278</v>
      </c>
      <c r="C448" s="20" t="n">
        <f aca="false">a25_oth</f>
        <v>25.26434</v>
      </c>
      <c r="D448" s="20" t="n">
        <f aca="false">a26_oth</f>
        <v>30.543436</v>
      </c>
      <c r="E448" s="20" t="n">
        <f aca="false">D448*(1+g_o27_A)</f>
        <v>35.1249514</v>
      </c>
      <c r="F448" s="20" t="n">
        <f aca="false">E448*(1+g_oL_A)</f>
        <v>38.63744654</v>
      </c>
      <c r="G448" s="20" t="n">
        <f aca="false">F448*(1+g_oL_A)</f>
        <v>42.501191194</v>
      </c>
    </row>
    <row r="449" customFormat="false" ht="17.15" hidden="false" customHeight="false" outlineLevel="0" collapsed="false">
      <c r="A449" s="4" t="s">
        <v>503</v>
      </c>
      <c r="B449" s="0" t="s">
        <v>278</v>
      </c>
      <c r="C449" s="20" t="n">
        <f aca="false">C436+C445+C447+C448</f>
        <v>34.141</v>
      </c>
      <c r="D449" s="20" t="n">
        <f aca="false">D436+D445+D447+D448</f>
        <v>69.4169</v>
      </c>
      <c r="E449" s="20" t="n">
        <f aca="false">E436+E445+E447+E448</f>
        <v>137.997919715482</v>
      </c>
      <c r="F449" s="20" t="n">
        <f aca="false">F436+F445+F447+F448</f>
        <v>202.315577785463</v>
      </c>
      <c r="G449" s="20" t="n">
        <f aca="false">G436+G445+G447+G448</f>
        <v>232.119380126283</v>
      </c>
      <c r="H449" s="28" t="n">
        <f aca="false">G449*(1+H450)</f>
        <v>259.557969584944</v>
      </c>
      <c r="I449" s="28" t="n">
        <f aca="false">H449*(1+I450)</f>
        <v>282.685746900947</v>
      </c>
      <c r="J449" s="28" t="n">
        <f aca="false">I449*(1+J450)</f>
        <v>299.646891715004</v>
      </c>
      <c r="K449" s="8" t="s">
        <v>652</v>
      </c>
    </row>
    <row r="450" customFormat="false" ht="15" hidden="false" customHeight="false" outlineLevel="0" collapsed="false">
      <c r="A450" s="4" t="s">
        <v>653</v>
      </c>
      <c r="B450" s="0" t="s">
        <v>51</v>
      </c>
      <c r="D450" s="18" t="n">
        <f aca="false">D449/C449-1</f>
        <v>1.03324155707214</v>
      </c>
      <c r="E450" s="18" t="n">
        <f aca="false">E449/D449-1</f>
        <v>0.987958547781332</v>
      </c>
      <c r="F450" s="18" t="n">
        <f aca="false">F449/E449-1</f>
        <v>0.466077011904156</v>
      </c>
      <c r="G450" s="18" t="n">
        <f aca="false">G449/F449-1</f>
        <v>0.147313433137727</v>
      </c>
      <c r="H450" s="26" t="n">
        <f aca="false">$G450+(fade_gA-$G450)*1/3</f>
        <v>0.118208955425151</v>
      </c>
      <c r="I450" s="26" t="n">
        <f aca="false">$G450+(fade_gA-$G450)*2/3</f>
        <v>0.0891044777125757</v>
      </c>
      <c r="J450" s="26" t="n">
        <f aca="false">$G450+(fade_gA-$G450)*3/3</f>
        <v>0.06</v>
      </c>
    </row>
    <row r="451" customFormat="false" ht="17.15" hidden="false" customHeight="false" outlineLevel="0" collapsed="false">
      <c r="A451" s="0" t="s">
        <v>654</v>
      </c>
      <c r="B451" s="0" t="s">
        <v>51</v>
      </c>
      <c r="C451" s="18" t="n">
        <f aca="false">C436/C449</f>
        <v>0.18</v>
      </c>
      <c r="D451" s="18" t="n">
        <f aca="false">D436/D449</f>
        <v>0.48</v>
      </c>
      <c r="E451" s="18" t="n">
        <f aca="false">E436/E449</f>
        <v>0.644861810228421</v>
      </c>
      <c r="F451" s="18" t="n">
        <f aca="false">F436/F449</f>
        <v>0.671779072739444</v>
      </c>
      <c r="G451" s="18" t="n">
        <f aca="false">G436/G449</f>
        <v>0.673352120995886</v>
      </c>
    </row>
    <row r="452" customFormat="false" ht="17.15" hidden="false" customHeight="false" outlineLevel="0" collapsed="false">
      <c r="A452" s="4" t="s">
        <v>655</v>
      </c>
      <c r="B452" s="0" t="s">
        <v>51</v>
      </c>
      <c r="C452" s="18" t="n">
        <f aca="false">C447/C449</f>
        <v>0.03</v>
      </c>
      <c r="D452" s="18" t="n">
        <f aca="false">D447/D449</f>
        <v>0.05</v>
      </c>
      <c r="E452" s="18" t="n">
        <f aca="false">E447/E449</f>
        <v>0.100605719482034</v>
      </c>
      <c r="F452" s="18" t="n">
        <f aca="false">F447/F449</f>
        <v>0.13724479500755</v>
      </c>
      <c r="G452" s="18" t="n">
        <f aca="false">G447/G449</f>
        <v>0.143547307346213</v>
      </c>
    </row>
    <row r="453" customFormat="false" ht="17.15" hidden="false" customHeight="false" outlineLevel="0" collapsed="false">
      <c r="A453" s="6" t="s">
        <v>656</v>
      </c>
    </row>
    <row r="454" customFormat="false" ht="17.15" hidden="false" customHeight="false" outlineLevel="0" collapsed="false">
      <c r="A454" s="0" t="s">
        <v>657</v>
      </c>
      <c r="B454" s="0" t="s">
        <v>278</v>
      </c>
      <c r="D454" s="20" t="n">
        <f aca="false">m_tk*(D436+D445)</f>
        <v>4.60234047</v>
      </c>
      <c r="E454" s="20" t="n">
        <f aca="false">(m_tk+gta_A)*(E436+E445)</f>
        <v>12.4585423641675</v>
      </c>
      <c r="F454" s="20" t="n">
        <f aca="false">(m_tk+gta_A)*(F436+F445)</f>
        <v>19.0275919743649</v>
      </c>
      <c r="G454" s="20" t="n">
        <f aca="false">(m_tk+gta_A)*(G436+G445)</f>
        <v>21.8817307705196</v>
      </c>
    </row>
    <row r="455" customFormat="false" ht="17.15" hidden="false" customHeight="false" outlineLevel="0" collapsed="false">
      <c r="A455" s="4" t="s">
        <v>658</v>
      </c>
      <c r="B455" s="0" t="s">
        <v>278</v>
      </c>
      <c r="D455" s="20" t="n">
        <f aca="false">m_auto*D447</f>
        <v>0.5553352</v>
      </c>
      <c r="E455" s="20" t="n">
        <f aca="false">m_auto*E447</f>
        <v>2.2213408</v>
      </c>
      <c r="F455" s="20" t="n">
        <f aca="false">m_auto*F447</f>
        <v>4.4426816</v>
      </c>
      <c r="G455" s="20" t="n">
        <f aca="false">m_auto*G447</f>
        <v>5.33121792</v>
      </c>
    </row>
    <row r="456" customFormat="false" ht="17.15" hidden="false" customHeight="false" outlineLevel="0" collapsed="false">
      <c r="A456" s="4" t="s">
        <v>659</v>
      </c>
      <c r="B456" s="0" t="s">
        <v>51</v>
      </c>
      <c r="C456" s="9" t="n">
        <f aca="false">(a25_gp-m_tk*(C436+C445)-m_auto*C447)/C448</f>
        <v>0.287729950594395</v>
      </c>
      <c r="D456" s="9" t="n">
        <f aca="false">(a26_gp-D454-D455)/D448</f>
        <v>0.310829299951715</v>
      </c>
      <c r="E456" s="9" t="n">
        <f aca="false">$D456+0</f>
        <v>0.310829299951715</v>
      </c>
      <c r="F456" s="9" t="n">
        <f aca="false">$D456+0</f>
        <v>0.310829299951715</v>
      </c>
      <c r="G456" s="9" t="n">
        <f aca="false">$D456+0</f>
        <v>0.310829299951715</v>
      </c>
      <c r="K456" s="8" t="s">
        <v>660</v>
      </c>
    </row>
    <row r="457" customFormat="false" ht="15" hidden="false" customHeight="false" outlineLevel="0" collapsed="false">
      <c r="A457" s="4" t="s">
        <v>516</v>
      </c>
      <c r="B457" s="0" t="s">
        <v>278</v>
      </c>
      <c r="C457" s="20" t="n">
        <f aca="false">a25_gp</f>
        <v>8.454</v>
      </c>
      <c r="D457" s="20" t="n">
        <f aca="false">a26_gp</f>
        <v>14.6514705</v>
      </c>
      <c r="E457" s="20" t="n">
        <f aca="false">E456*E448+E454+E455</f>
        <v>25.5977472186675</v>
      </c>
      <c r="F457" s="20" t="n">
        <f aca="false">F456*F448+F454+F455</f>
        <v>35.4799240343149</v>
      </c>
      <c r="G457" s="20" t="n">
        <f aca="false">G456*G448+G454+G455</f>
        <v>40.4235641964646</v>
      </c>
    </row>
    <row r="458" customFormat="false" ht="15" hidden="false" customHeight="false" outlineLevel="0" collapsed="false">
      <c r="A458" s="4" t="s">
        <v>519</v>
      </c>
      <c r="B458" s="0" t="s">
        <v>51</v>
      </c>
      <c r="C458" s="9" t="n">
        <f aca="false">C457/C449</f>
        <v>0.247620163439852</v>
      </c>
      <c r="D458" s="9" t="n">
        <f aca="false">D457/D449</f>
        <v>0.211064891978754</v>
      </c>
      <c r="E458" s="9" t="n">
        <f aca="false">E457/E449</f>
        <v>0.185493718104184</v>
      </c>
      <c r="F458" s="9" t="n">
        <f aca="false">F457/F449</f>
        <v>0.175369214880418</v>
      </c>
      <c r="G458" s="9" t="n">
        <f aca="false">G457/G449</f>
        <v>0.174149888624002</v>
      </c>
    </row>
    <row r="459" customFormat="false" ht="15" hidden="false" customHeight="false" outlineLevel="0" collapsed="false">
      <c r="A459" s="4" t="s">
        <v>521</v>
      </c>
      <c r="B459" s="0" t="s">
        <v>278</v>
      </c>
      <c r="C459" s="20" t="n">
        <f aca="false">a25_opx</f>
        <v>4.104</v>
      </c>
      <c r="D459" s="20" t="n">
        <f aca="false">a26_opx</f>
        <v>5.365972</v>
      </c>
      <c r="E459" s="20" t="n">
        <f aca="false">D459*(1+MAX(g_opx_min,phi*E450))+0*E449</f>
        <v>6.95637937136659</v>
      </c>
      <c r="F459" s="20" t="n">
        <f aca="false">E459*(1+MAX(g_opx_min,phi*F450))+0*F449</f>
        <v>7.92904192469006</v>
      </c>
      <c r="G459" s="20" t="n">
        <f aca="false">F459*(1+MAX(g_opx_min,phi*G450))+0*G449</f>
        <v>8.56336527866527</v>
      </c>
    </row>
    <row r="460" customFormat="false" ht="15" hidden="false" customHeight="false" outlineLevel="0" collapsed="false">
      <c r="A460" s="4" t="s">
        <v>524</v>
      </c>
      <c r="B460" s="0" t="s">
        <v>278</v>
      </c>
      <c r="C460" s="20" t="n">
        <f aca="false">C457-C459</f>
        <v>4.35</v>
      </c>
      <c r="D460" s="20" t="n">
        <f aca="false">D457-D459</f>
        <v>9.2854985</v>
      </c>
      <c r="E460" s="20" t="n">
        <f aca="false">E457-E459</f>
        <v>18.6413678473009</v>
      </c>
      <c r="F460" s="20" t="n">
        <f aca="false">F457-F459</f>
        <v>27.5508821096248</v>
      </c>
      <c r="G460" s="20" t="n">
        <f aca="false">G457-G459</f>
        <v>31.8601989177993</v>
      </c>
    </row>
    <row r="461" customFormat="false" ht="15" hidden="false" customHeight="false" outlineLevel="0" collapsed="false">
      <c r="A461" s="4" t="s">
        <v>621</v>
      </c>
      <c r="B461" s="0" t="s">
        <v>51</v>
      </c>
      <c r="C461" s="9" t="n">
        <f aca="false">C460/C449</f>
        <v>0.127412788143288</v>
      </c>
      <c r="D461" s="9" t="n">
        <f aca="false">D460/D449</f>
        <v>0.13376423464603</v>
      </c>
      <c r="E461" s="9" t="n">
        <f aca="false">E460/E449</f>
        <v>0.135084412038492</v>
      </c>
      <c r="F461" s="9" t="n">
        <f aca="false">F460/F449</f>
        <v>0.136177759573412</v>
      </c>
      <c r="G461" s="9" t="n">
        <f aca="false">G460/G449</f>
        <v>0.137257814924657</v>
      </c>
    </row>
    <row r="462" customFormat="false" ht="15" hidden="false" customHeight="false" outlineLevel="0" collapsed="false">
      <c r="A462" s="4" t="s">
        <v>527</v>
      </c>
      <c r="B462" s="0" t="s">
        <v>278</v>
      </c>
      <c r="C462" s="20" t="n">
        <f aca="false">a25_nonop</f>
        <v>0.0920000000000005</v>
      </c>
      <c r="D462" s="20" t="n">
        <f aca="false">a26_nonop</f>
        <v>0.384548</v>
      </c>
      <c r="E462" s="20" t="n">
        <f aca="false">nonop_f</f>
        <v>0.5</v>
      </c>
      <c r="F462" s="20" t="n">
        <f aca="false">nonop_f</f>
        <v>0.5</v>
      </c>
      <c r="G462" s="20" t="n">
        <f aca="false">nonop_f</f>
        <v>0.5</v>
      </c>
    </row>
    <row r="463" customFormat="false" ht="15" hidden="false" customHeight="false" outlineLevel="0" collapsed="false">
      <c r="A463" s="4" t="s">
        <v>529</v>
      </c>
      <c r="B463" s="0" t="s">
        <v>278</v>
      </c>
      <c r="C463" s="20" t="n">
        <f aca="false">C460+C462</f>
        <v>4.442</v>
      </c>
      <c r="D463" s="20" t="n">
        <f aca="false">D460+D462</f>
        <v>9.6700465</v>
      </c>
      <c r="E463" s="20" t="n">
        <f aca="false">E460+E462</f>
        <v>19.1413678473009</v>
      </c>
      <c r="F463" s="20" t="n">
        <f aca="false">F460+F462</f>
        <v>28.0508821096248</v>
      </c>
      <c r="G463" s="20" t="n">
        <f aca="false">G460+G462</f>
        <v>32.3601989177993</v>
      </c>
    </row>
    <row r="464" customFormat="false" ht="15" hidden="false" customHeight="false" outlineLevel="0" collapsed="false">
      <c r="A464" s="4" t="s">
        <v>531</v>
      </c>
      <c r="B464" s="0" t="s">
        <v>278</v>
      </c>
      <c r="C464" s="20" t="n">
        <f aca="false">a25_tax</f>
        <v>0.672</v>
      </c>
      <c r="D464" s="20" t="n">
        <f aca="false">a26_tax</f>
        <v>1.337361725</v>
      </c>
      <c r="E464" s="20" t="n">
        <f aca="false">E463*tax</f>
        <v>2.87120517709513</v>
      </c>
      <c r="F464" s="20" t="n">
        <f aca="false">F463*tax</f>
        <v>4.20763231644372</v>
      </c>
      <c r="G464" s="20" t="n">
        <f aca="false">G463*tax</f>
        <v>4.8540298376699</v>
      </c>
    </row>
    <row r="465" customFormat="false" ht="15" hidden="false" customHeight="false" outlineLevel="0" collapsed="false">
      <c r="A465" s="4" t="s">
        <v>534</v>
      </c>
      <c r="B465" s="0" t="s">
        <v>278</v>
      </c>
      <c r="C465" s="20" t="n">
        <f aca="false">C463-C464</f>
        <v>3.77</v>
      </c>
      <c r="D465" s="20" t="n">
        <f aca="false">D463-D464</f>
        <v>8.332684775</v>
      </c>
      <c r="E465" s="20" t="n">
        <f aca="false">E463-E464</f>
        <v>16.2701626702058</v>
      </c>
      <c r="F465" s="20" t="n">
        <f aca="false">F463-F464</f>
        <v>23.8432497931811</v>
      </c>
      <c r="G465" s="20" t="n">
        <f aca="false">G463-G464</f>
        <v>27.5061690801294</v>
      </c>
      <c r="H465" s="28" t="n">
        <f aca="false">H449*H469</f>
        <v>30.6110182475846</v>
      </c>
      <c r="I465" s="28" t="n">
        <f aca="false">I449*I469</f>
        <v>33.1789056294403</v>
      </c>
      <c r="J465" s="28" t="n">
        <f aca="false">J449*J469</f>
        <v>35.0003670711804</v>
      </c>
    </row>
    <row r="466" customFormat="false" ht="15" hidden="false" customHeight="false" outlineLevel="0" collapsed="false">
      <c r="A466" s="4" t="s">
        <v>312</v>
      </c>
      <c r="B466" s="4" t="s">
        <v>313</v>
      </c>
      <c r="C466" s="19" t="n">
        <f aca="false">a25_sh</f>
        <v>0.134020618556701</v>
      </c>
      <c r="D466" s="19" t="n">
        <f aca="false">a26_sh</f>
        <v>0.13399883744778</v>
      </c>
      <c r="E466" s="19" t="n">
        <f aca="false">q_sh*(1+sh_g)</f>
        <v>0.13401</v>
      </c>
      <c r="F466" s="19" t="n">
        <f aca="false">E466*(1+sh_g)</f>
        <v>0.13401</v>
      </c>
      <c r="G466" s="19" t="n">
        <f aca="false">F466*(1+sh_g)</f>
        <v>0.13401</v>
      </c>
      <c r="H466" s="30" t="n">
        <f aca="false">G466*(1+sh_g)</f>
        <v>0.13401</v>
      </c>
      <c r="I466" s="30" t="n">
        <f aca="false">H466*(1+sh_g)</f>
        <v>0.13401</v>
      </c>
      <c r="J466" s="30" t="n">
        <f aca="false">I466*(1+sh_g)</f>
        <v>0.13401</v>
      </c>
    </row>
    <row r="467" customFormat="false" ht="17.15" hidden="false" customHeight="false" outlineLevel="0" collapsed="false">
      <c r="A467" s="0" t="s">
        <v>538</v>
      </c>
      <c r="B467" s="0" t="s">
        <v>356</v>
      </c>
      <c r="C467" s="20" t="n">
        <f aca="false">C465/C466</f>
        <v>28.13</v>
      </c>
      <c r="D467" s="20" t="n">
        <f aca="false">D465/D466</f>
        <v>62.1847542389856</v>
      </c>
      <c r="E467" s="20" t="n">
        <f aca="false">E465/E466</f>
        <v>121.410063951987</v>
      </c>
      <c r="F467" s="20" t="n">
        <f aca="false">F465/F466</f>
        <v>177.921422231036</v>
      </c>
      <c r="G467" s="20" t="n">
        <f aca="false">G465/G466</f>
        <v>205.254601000891</v>
      </c>
      <c r="H467" s="28" t="n">
        <f aca="false">H465/H466</f>
        <v>228.423388161963</v>
      </c>
      <c r="I467" s="28" t="n">
        <f aca="false">I465/I466</f>
        <v>247.585296839342</v>
      </c>
      <c r="J467" s="28" t="n">
        <f aca="false">J465/J466</f>
        <v>261.177278346246</v>
      </c>
    </row>
    <row r="468" customFormat="false" ht="17.15" hidden="false" customHeight="false" outlineLevel="0" collapsed="false">
      <c r="A468" s="0" t="s">
        <v>661</v>
      </c>
      <c r="B468" s="0" t="s">
        <v>51</v>
      </c>
      <c r="D468" s="18" t="n">
        <f aca="false">D467/C467-1</f>
        <v>1.21062048485551</v>
      </c>
      <c r="E468" s="18" t="n">
        <f aca="false">E467/D467-1</f>
        <v>0.952408841006097</v>
      </c>
      <c r="F468" s="18" t="n">
        <f aca="false">F467/E467-1</f>
        <v>0.465458599061417</v>
      </c>
      <c r="G468" s="18" t="n">
        <f aca="false">G467/F467-1</f>
        <v>0.153625001571552</v>
      </c>
      <c r="H468" s="26" t="n">
        <f aca="false">H467/G467-1</f>
        <v>0.112878284082757</v>
      </c>
      <c r="I468" s="26" t="n">
        <f aca="false">I467/H467-1</f>
        <v>0.0838876825686206</v>
      </c>
      <c r="J468" s="26" t="n">
        <f aca="false">J467/I467-1</f>
        <v>0.0548981772359589</v>
      </c>
    </row>
    <row r="469" customFormat="false" ht="17.15" hidden="false" customHeight="false" outlineLevel="0" collapsed="false">
      <c r="A469" s="4" t="s">
        <v>662</v>
      </c>
      <c r="B469" s="0" t="s">
        <v>51</v>
      </c>
      <c r="C469" s="9" t="n">
        <f aca="false">C465/C449</f>
        <v>0.11042441639085</v>
      </c>
      <c r="D469" s="9" t="n">
        <f aca="false">D465/D449</f>
        <v>0.1200382727405</v>
      </c>
      <c r="E469" s="9" t="n">
        <f aca="false">E465/E449</f>
        <v>0.117901506803515</v>
      </c>
      <c r="F469" s="9" t="n">
        <f aca="false">F465/F449</f>
        <v>0.117851774214167</v>
      </c>
      <c r="G469" s="9" t="n">
        <f aca="false">G465/G449</f>
        <v>0.118500097084375</v>
      </c>
      <c r="H469" s="27" t="n">
        <f aca="false">$G469+(fade_mA-$G469)*1/3</f>
        <v>0.117935189185423</v>
      </c>
      <c r="I469" s="27" t="n">
        <f aca="false">$G469+(fade_mA-$G469)*2/3</f>
        <v>0.117370281286471</v>
      </c>
      <c r="J469" s="27" t="n">
        <f aca="false">$G469+(fade_mA-$G469)*3/3</f>
        <v>0.116805373387519</v>
      </c>
    </row>
    <row r="472" customFormat="false" ht="17.15" hidden="false" customHeight="false" outlineLevel="0" collapsed="false">
      <c r="A472" s="1" t="s">
        <v>990</v>
      </c>
    </row>
    <row r="473" customFormat="false" ht="17.15" hidden="false" customHeight="false" outlineLevel="0" collapsed="false">
      <c r="A473" s="5" t="s">
        <v>27</v>
      </c>
      <c r="B473" s="5" t="s">
        <v>28</v>
      </c>
      <c r="C473" s="16" t="s">
        <v>497</v>
      </c>
      <c r="D473" s="16" t="s">
        <v>610</v>
      </c>
      <c r="E473" s="16" t="s">
        <v>611</v>
      </c>
      <c r="F473" s="16" t="s">
        <v>612</v>
      </c>
      <c r="G473" s="16" t="s">
        <v>613</v>
      </c>
      <c r="H473" s="16" t="s">
        <v>614</v>
      </c>
      <c r="I473" s="16" t="s">
        <v>615</v>
      </c>
      <c r="J473" s="16" t="s">
        <v>616</v>
      </c>
      <c r="K473" s="5" t="s">
        <v>450</v>
      </c>
    </row>
    <row r="474" customFormat="false" ht="17.15" hidden="false" customHeight="false" outlineLevel="0" collapsed="false">
      <c r="A474" s="6" t="s">
        <v>632</v>
      </c>
    </row>
    <row r="475" customFormat="false" ht="17.15" hidden="false" customHeight="false" outlineLevel="0" collapsed="false">
      <c r="A475" s="0" t="s">
        <v>633</v>
      </c>
      <c r="B475" s="4" t="s">
        <v>38</v>
      </c>
      <c r="D475" s="22" t="n">
        <f aca="false">u_tpu_26</f>
        <v>3.85</v>
      </c>
      <c r="E475" s="22" t="n">
        <f aca="false">u_tpu_27</f>
        <v>5.5</v>
      </c>
      <c r="F475" s="22" t="n">
        <f aca="false">u_tpu_28*um28_A</f>
        <v>7</v>
      </c>
      <c r="G475" s="22" t="n">
        <f aca="false">u_tpu_28*(1+g29_tpu)*um29_A</f>
        <v>8.05</v>
      </c>
    </row>
    <row r="476" customFormat="false" ht="17.15" hidden="false" customHeight="false" outlineLevel="0" collapsed="false">
      <c r="A476" s="0" t="s">
        <v>574</v>
      </c>
      <c r="B476" s="0" t="s">
        <v>70</v>
      </c>
      <c r="D476" s="22" t="n">
        <f aca="false">att26</f>
        <v>0.325</v>
      </c>
      <c r="E476" s="22" t="n">
        <f aca="false">MAX(0,att_A+0)</f>
        <v>0.6</v>
      </c>
      <c r="F476" s="22" t="n">
        <f aca="false">MAX(0,att_A+0)</f>
        <v>0.6</v>
      </c>
      <c r="G476" s="22" t="n">
        <f aca="false">MAX(0,att_A+0)</f>
        <v>0.6</v>
      </c>
    </row>
    <row r="477" customFormat="false" ht="17.15" hidden="false" customHeight="false" outlineLevel="0" collapsed="false">
      <c r="A477" s="4" t="s">
        <v>634</v>
      </c>
      <c r="B477" s="0" t="s">
        <v>51</v>
      </c>
      <c r="D477" s="18" t="n">
        <f aca="false">gsh26</f>
        <v>1</v>
      </c>
      <c r="E477" s="18" t="n">
        <f aca="false">gsh26</f>
        <v>1</v>
      </c>
      <c r="F477" s="18" t="n">
        <f aca="false">MIN(1,gsh28_A)</f>
        <v>1</v>
      </c>
      <c r="G477" s="18" t="n">
        <f aca="false">MIN(1,gsh28_A)</f>
        <v>1</v>
      </c>
    </row>
    <row r="478" customFormat="false" ht="17.15" hidden="false" customHeight="false" outlineLevel="0" collapsed="false">
      <c r="A478" s="4" t="s">
        <v>576</v>
      </c>
      <c r="B478" s="4" t="s">
        <v>38</v>
      </c>
      <c r="D478" s="22" t="n">
        <f aca="false">D475*D476*D477</f>
        <v>1.25125</v>
      </c>
      <c r="E478" s="22" t="n">
        <f aca="false">E475*E476*E477*1</f>
        <v>3.3</v>
      </c>
      <c r="F478" s="22" t="n">
        <f aca="false">F475*F476*F477*1</f>
        <v>4.2</v>
      </c>
      <c r="G478" s="22" t="n">
        <f aca="false">G475*G476*G477*1</f>
        <v>4.83</v>
      </c>
    </row>
    <row r="479" customFormat="false" ht="17.15" hidden="false" customHeight="false" outlineLevel="0" collapsed="false">
      <c r="A479" s="4" t="s">
        <v>635</v>
      </c>
      <c r="B479" s="0" t="s">
        <v>116</v>
      </c>
      <c r="D479" s="20" t="n">
        <f aca="false">pc_cpu</f>
        <v>1</v>
      </c>
      <c r="E479" s="20" t="n">
        <f aca="false">pc_cpu</f>
        <v>1</v>
      </c>
      <c r="F479" s="20" t="n">
        <f aca="false">pc_cpu*pfc_A</f>
        <v>1.2</v>
      </c>
      <c r="G479" s="20" t="n">
        <f aca="false">pc_cpu*pfc_A</f>
        <v>1.2</v>
      </c>
    </row>
    <row r="480" customFormat="false" ht="17.15" hidden="false" customHeight="false" outlineLevel="0" collapsed="false">
      <c r="A480" s="0" t="s">
        <v>636</v>
      </c>
      <c r="B480" s="0" t="s">
        <v>581</v>
      </c>
      <c r="D480" s="20" t="n">
        <f aca="false">D478*D479</f>
        <v>1.25125</v>
      </c>
      <c r="E480" s="20" t="n">
        <f aca="false">E478*E479</f>
        <v>3.3</v>
      </c>
      <c r="F480" s="20" t="n">
        <f aca="false">F478*F479</f>
        <v>5.04</v>
      </c>
      <c r="G480" s="20" t="n">
        <f aca="false">G478*G479</f>
        <v>5.796</v>
      </c>
    </row>
    <row r="481" customFormat="false" ht="17.15" hidden="false" customHeight="false" outlineLevel="0" collapsed="false">
      <c r="A481" s="0" t="s">
        <v>637</v>
      </c>
      <c r="B481" s="0" t="s">
        <v>70</v>
      </c>
      <c r="D481" s="22" t="n">
        <f aca="false">a26_cpu/fx26/D480</f>
        <v>0.842704434805701</v>
      </c>
      <c r="K481" s="8" t="s">
        <v>638</v>
      </c>
    </row>
    <row r="482" customFormat="false" ht="17.15" hidden="false" customHeight="false" outlineLevel="0" collapsed="false">
      <c r="A482" s="0" t="s">
        <v>639</v>
      </c>
      <c r="B482" s="0" t="s">
        <v>581</v>
      </c>
      <c r="D482" s="20" t="n">
        <f aca="false">D480*$D$481</f>
        <v>1.05443392405063</v>
      </c>
      <c r="E482" s="20" t="n">
        <f aca="false">E480*$D$481</f>
        <v>2.78092463485881</v>
      </c>
      <c r="F482" s="20" t="n">
        <f aca="false">F480*$D$481</f>
        <v>4.24723035142073</v>
      </c>
      <c r="G482" s="20" t="n">
        <f aca="false">G480*$D$481</f>
        <v>4.88431490413384</v>
      </c>
    </row>
    <row r="483" customFormat="false" ht="15" hidden="false" customHeight="false" outlineLevel="0" collapsed="false">
      <c r="A483" s="4" t="s">
        <v>640</v>
      </c>
      <c r="B483" s="0" t="s">
        <v>273</v>
      </c>
      <c r="D483" s="20" t="n">
        <f aca="false">fx26</f>
        <v>31.6</v>
      </c>
      <c r="E483" s="20" t="n">
        <f aca="false">fx</f>
        <v>32</v>
      </c>
      <c r="F483" s="20" t="n">
        <f aca="false">fx</f>
        <v>32</v>
      </c>
      <c r="G483" s="20" t="n">
        <f aca="false">fx</f>
        <v>32</v>
      </c>
    </row>
    <row r="484" customFormat="false" ht="17.15" hidden="false" customHeight="false" outlineLevel="0" collapsed="false">
      <c r="A484" s="0" t="s">
        <v>641</v>
      </c>
      <c r="B484" s="0" t="s">
        <v>278</v>
      </c>
      <c r="C484" s="20" t="n">
        <f aca="false">a25_cpu</f>
        <v>6.14538</v>
      </c>
      <c r="D484" s="20" t="n">
        <f aca="false">D482*D483</f>
        <v>33.320112</v>
      </c>
      <c r="E484" s="20" t="n">
        <f aca="false">E482*E483</f>
        <v>88.989588315482</v>
      </c>
      <c r="F484" s="20" t="n">
        <f aca="false">F482*F483</f>
        <v>135.911371245463</v>
      </c>
      <c r="G484" s="20" t="n">
        <f aca="false">G482*G483</f>
        <v>156.298076932283</v>
      </c>
    </row>
    <row r="485" customFormat="false" ht="17.15" hidden="false" customHeight="false" outlineLevel="0" collapsed="false">
      <c r="A485" s="4" t="s">
        <v>578</v>
      </c>
      <c r="B485" s="0" t="s">
        <v>116</v>
      </c>
      <c r="D485" s="20" t="n">
        <f aca="false">IF(D478&gt;0,D482/D478,0)</f>
        <v>0.842704434805701</v>
      </c>
      <c r="E485" s="20" t="n">
        <f aca="false">IF(E478&gt;0,E482/E478,0)</f>
        <v>0.842704434805701</v>
      </c>
      <c r="F485" s="20" t="n">
        <f aca="false">IF(F478&gt;0,F482/F478,0)</f>
        <v>1.01124532176684</v>
      </c>
      <c r="G485" s="20" t="n">
        <f aca="false">IF(G478&gt;0,G482/G478,0)</f>
        <v>1.01124532176684</v>
      </c>
    </row>
    <row r="486" customFormat="false" ht="17.15" hidden="false" customHeight="false" outlineLevel="0" collapsed="false">
      <c r="A486" s="6" t="s">
        <v>642</v>
      </c>
    </row>
    <row r="487" customFormat="false" ht="17.15" hidden="false" customHeight="false" outlineLevel="0" collapsed="false">
      <c r="A487" s="4" t="s">
        <v>643</v>
      </c>
      <c r="B487" s="4" t="s">
        <v>38</v>
      </c>
      <c r="D487" s="22" t="n">
        <f aca="false">u_oth_26</f>
        <v>1</v>
      </c>
      <c r="E487" s="22" t="n">
        <f aca="false">u_oth_27</f>
        <v>4.5</v>
      </c>
      <c r="F487" s="22" t="n">
        <f aca="false">u_oth_28*um28_A</f>
        <v>5</v>
      </c>
      <c r="G487" s="22" t="n">
        <f aca="false">u_oth_28*(1+g29_oth)*um29_A</f>
        <v>5.75</v>
      </c>
    </row>
    <row r="488" customFormat="false" ht="17.15" hidden="false" customHeight="false" outlineLevel="0" collapsed="false">
      <c r="A488" s="4" t="s">
        <v>584</v>
      </c>
      <c r="B488" s="0" t="s">
        <v>51</v>
      </c>
      <c r="D488" s="18" t="n">
        <f aca="false">guc_oth_26</f>
        <v>0.03</v>
      </c>
      <c r="E488" s="18" t="n">
        <f aca="false">MIN(1,MAX(0,go27_A+0))</f>
        <v>0.06</v>
      </c>
      <c r="F488" s="18" t="n">
        <f aca="false">MIN(1,MAX(0,go28_A+0))</f>
        <v>0.08</v>
      </c>
      <c r="G488" s="18" t="n">
        <f aca="false">MIN(1,MAX(0,go28_A+0))</f>
        <v>0.08</v>
      </c>
    </row>
    <row r="489" customFormat="false" ht="17.15" hidden="false" customHeight="false" outlineLevel="0" collapsed="false">
      <c r="A489" s="4" t="s">
        <v>586</v>
      </c>
      <c r="B489" s="4" t="s">
        <v>38</v>
      </c>
      <c r="D489" s="22" t="n">
        <f aca="false">D487*D488</f>
        <v>0.03</v>
      </c>
      <c r="E489" s="22" t="n">
        <f aca="false">E487*E488*1</f>
        <v>0.27</v>
      </c>
      <c r="F489" s="22" t="n">
        <f aca="false">F487*F488*1</f>
        <v>0.4</v>
      </c>
      <c r="G489" s="22" t="n">
        <f aca="false">G487*G488*1</f>
        <v>0.46</v>
      </c>
    </row>
    <row r="490" customFormat="false" ht="17.15" hidden="false" customHeight="false" outlineLevel="0" collapsed="false">
      <c r="A490" s="0" t="s">
        <v>644</v>
      </c>
      <c r="B490" s="0" t="s">
        <v>581</v>
      </c>
      <c r="D490" s="20" t="n">
        <f aca="false">D489*core_oth</f>
        <v>0.18</v>
      </c>
      <c r="E490" s="20" t="n">
        <f aca="false">E489*core_oth</f>
        <v>1.62</v>
      </c>
      <c r="F490" s="20" t="n">
        <f aca="false">F489*core_oth</f>
        <v>2.4</v>
      </c>
      <c r="G490" s="20" t="n">
        <f aca="false">G489*core_oth</f>
        <v>2.76</v>
      </c>
    </row>
    <row r="491" customFormat="false" ht="17.15" hidden="false" customHeight="false" outlineLevel="0" collapsed="false">
      <c r="A491" s="0" t="s">
        <v>645</v>
      </c>
      <c r="B491" s="0" t="s">
        <v>70</v>
      </c>
      <c r="D491" s="22" t="n">
        <f aca="false">a26_asic/fx26/D490</f>
        <v>0.366122890295359</v>
      </c>
      <c r="K491" s="8" t="s">
        <v>646</v>
      </c>
    </row>
    <row r="492" customFormat="false" ht="17.15" hidden="false" customHeight="false" outlineLevel="0" collapsed="false">
      <c r="A492" s="0" t="s">
        <v>647</v>
      </c>
      <c r="B492" s="0" t="s">
        <v>581</v>
      </c>
      <c r="D492" s="20" t="n">
        <f aca="false">D490*$D$491</f>
        <v>0.0659021202531645</v>
      </c>
      <c r="E492" s="20" t="n">
        <f aca="false">E490*$D$491</f>
        <v>0.593119082278481</v>
      </c>
      <c r="F492" s="20" t="n">
        <f aca="false">F490*$D$491</f>
        <v>0.878694936708861</v>
      </c>
      <c r="G492" s="20" t="n">
        <f aca="false">G490*$D$491</f>
        <v>1.01049917721519</v>
      </c>
    </row>
    <row r="493" customFormat="false" ht="17.15" hidden="false" customHeight="false" outlineLevel="0" collapsed="false">
      <c r="A493" s="0" t="s">
        <v>648</v>
      </c>
      <c r="B493" s="0" t="s">
        <v>278</v>
      </c>
      <c r="C493" s="20" t="n">
        <f aca="false">a25_asic</f>
        <v>1.70705</v>
      </c>
      <c r="D493" s="20" t="n">
        <f aca="false">D492*D483</f>
        <v>2.082507</v>
      </c>
      <c r="E493" s="20" t="n">
        <f aca="false">E492*E483</f>
        <v>18.9798106329114</v>
      </c>
      <c r="F493" s="20" t="n">
        <f aca="false">F492*F483</f>
        <v>28.1182379746835</v>
      </c>
      <c r="G493" s="20" t="n">
        <f aca="false">G492*G483</f>
        <v>32.3359736708861</v>
      </c>
    </row>
    <row r="494" customFormat="false" ht="17.15" hidden="false" customHeight="false" outlineLevel="0" collapsed="false">
      <c r="A494" s="6" t="s">
        <v>649</v>
      </c>
    </row>
    <row r="495" customFormat="false" ht="17.15" hidden="false" customHeight="false" outlineLevel="0" collapsed="false">
      <c r="A495" s="4" t="s">
        <v>650</v>
      </c>
      <c r="B495" s="0" t="s">
        <v>278</v>
      </c>
      <c r="C495" s="20" t="n">
        <f aca="false">a25_auto</f>
        <v>1.02423</v>
      </c>
      <c r="D495" s="20" t="n">
        <f aca="false">a26_auto</f>
        <v>3.470845</v>
      </c>
      <c r="E495" s="20" t="n">
        <f aca="false">D495*am27_A</f>
        <v>13.88338</v>
      </c>
      <c r="F495" s="20" t="n">
        <f aca="false">E495*am28_A</f>
        <v>27.76676</v>
      </c>
      <c r="G495" s="20" t="n">
        <f aca="false">F495*(1+ag29_A)</f>
        <v>33.320112</v>
      </c>
    </row>
    <row r="496" customFormat="false" ht="17.15" hidden="false" customHeight="false" outlineLevel="0" collapsed="false">
      <c r="A496" s="4" t="s">
        <v>651</v>
      </c>
      <c r="B496" s="0" t="s">
        <v>278</v>
      </c>
      <c r="C496" s="20" t="n">
        <f aca="false">a25_oth</f>
        <v>25.26434</v>
      </c>
      <c r="D496" s="20" t="n">
        <f aca="false">a26_oth</f>
        <v>30.543436</v>
      </c>
      <c r="E496" s="20" t="n">
        <f aca="false">D496*(1+g_o27_A)</f>
        <v>35.1249514</v>
      </c>
      <c r="F496" s="20" t="n">
        <f aca="false">E496*(1+g_oL_A)</f>
        <v>38.63744654</v>
      </c>
      <c r="G496" s="20" t="n">
        <f aca="false">F496*(1+g_oL_A)</f>
        <v>42.501191194</v>
      </c>
    </row>
    <row r="497" customFormat="false" ht="17.15" hidden="false" customHeight="false" outlineLevel="0" collapsed="false">
      <c r="A497" s="4" t="s">
        <v>503</v>
      </c>
      <c r="B497" s="0" t="s">
        <v>278</v>
      </c>
      <c r="C497" s="20" t="n">
        <f aca="false">C484+C493+C495+C496</f>
        <v>34.141</v>
      </c>
      <c r="D497" s="20" t="n">
        <f aca="false">D484+D493+D495+D496</f>
        <v>69.4169</v>
      </c>
      <c r="E497" s="20" t="n">
        <f aca="false">E484+E493+E495+E496</f>
        <v>156.977730348393</v>
      </c>
      <c r="F497" s="20" t="n">
        <f aca="false">F484+F493+F495+F496</f>
        <v>230.433815760147</v>
      </c>
      <c r="G497" s="20" t="n">
        <f aca="false">G484+G493+G495+G496</f>
        <v>264.455353797169</v>
      </c>
      <c r="H497" s="28" t="n">
        <f aca="false">G497*(1+H498)</f>
        <v>295.7741413076</v>
      </c>
      <c r="I497" s="28" t="n">
        <f aca="false">H497*(1+I498)</f>
        <v>322.161262221043</v>
      </c>
      <c r="J497" s="28" t="n">
        <f aca="false">I497*(1+J498)</f>
        <v>341.490937954306</v>
      </c>
      <c r="K497" s="8" t="s">
        <v>652</v>
      </c>
    </row>
    <row r="498" customFormat="false" ht="15" hidden="false" customHeight="false" outlineLevel="0" collapsed="false">
      <c r="A498" s="4" t="s">
        <v>653</v>
      </c>
      <c r="B498" s="0" t="s">
        <v>51</v>
      </c>
      <c r="D498" s="18" t="n">
        <f aca="false">D497/C497-1</f>
        <v>1.03324155707214</v>
      </c>
      <c r="E498" s="18" t="n">
        <f aca="false">E497/D497-1</f>
        <v>1.26137626930032</v>
      </c>
      <c r="F498" s="18" t="n">
        <f aca="false">F497/E497-1</f>
        <v>0.467939530331637</v>
      </c>
      <c r="G498" s="18" t="n">
        <f aca="false">G497/F497-1</f>
        <v>0.147641256231395</v>
      </c>
      <c r="H498" s="26" t="n">
        <f aca="false">$G498+(fade_gA-$G498)*1/3</f>
        <v>0.118427504154264</v>
      </c>
      <c r="I498" s="26" t="n">
        <f aca="false">$G498+(fade_gA-$G498)*2/3</f>
        <v>0.0892137520771318</v>
      </c>
      <c r="J498" s="26" t="n">
        <f aca="false">$G498+(fade_gA-$G498)*3/3</f>
        <v>0.06</v>
      </c>
    </row>
    <row r="499" customFormat="false" ht="17.15" hidden="false" customHeight="false" outlineLevel="0" collapsed="false">
      <c r="A499" s="0" t="s">
        <v>654</v>
      </c>
      <c r="B499" s="0" t="s">
        <v>51</v>
      </c>
      <c r="C499" s="18" t="n">
        <f aca="false">C484/C497</f>
        <v>0.18</v>
      </c>
      <c r="D499" s="18" t="n">
        <f aca="false">D484/D497</f>
        <v>0.48</v>
      </c>
      <c r="E499" s="18" t="n">
        <f aca="false">E484/E497</f>
        <v>0.566893075329731</v>
      </c>
      <c r="F499" s="18" t="n">
        <f aca="false">F484/F497</f>
        <v>0.589806538580823</v>
      </c>
      <c r="G499" s="18" t="n">
        <f aca="false">G484/G497</f>
        <v>0.591018766260863</v>
      </c>
    </row>
    <row r="500" customFormat="false" ht="17.15" hidden="false" customHeight="false" outlineLevel="0" collapsed="false">
      <c r="A500" s="4" t="s">
        <v>655</v>
      </c>
      <c r="B500" s="0" t="s">
        <v>51</v>
      </c>
      <c r="C500" s="18" t="n">
        <f aca="false">C495/C497</f>
        <v>0.03</v>
      </c>
      <c r="D500" s="18" t="n">
        <f aca="false">D495/D497</f>
        <v>0.05</v>
      </c>
      <c r="E500" s="18" t="n">
        <f aca="false">E495/E497</f>
        <v>0.0884417169823229</v>
      </c>
      <c r="F500" s="18" t="n">
        <f aca="false">F495/F497</f>
        <v>0.120497765956806</v>
      </c>
      <c r="G500" s="18" t="n">
        <f aca="false">G495/G497</f>
        <v>0.125995225740658</v>
      </c>
    </row>
    <row r="501" customFormat="false" ht="17.15" hidden="false" customHeight="false" outlineLevel="0" collapsed="false">
      <c r="A501" s="6" t="s">
        <v>656</v>
      </c>
    </row>
    <row r="502" customFormat="false" ht="17.15" hidden="false" customHeight="false" outlineLevel="0" collapsed="false">
      <c r="A502" s="0" t="s">
        <v>657</v>
      </c>
      <c r="B502" s="0" t="s">
        <v>278</v>
      </c>
      <c r="D502" s="20" t="n">
        <f aca="false">m_tk_lo*(D484+D493)</f>
        <v>3.5402619</v>
      </c>
      <c r="E502" s="20" t="n">
        <f aca="false">(m_tk_lo+gta_A)*(E484+E493)</f>
        <v>11.8766338843233</v>
      </c>
      <c r="F502" s="20" t="n">
        <f aca="false">(m_tk_lo+gta_A)*(F484+F493)</f>
        <v>18.0432570142162</v>
      </c>
      <c r="G502" s="20" t="n">
        <f aca="false">(m_tk_lo+gta_A)*(G484+G493)</f>
        <v>20.7497455663486</v>
      </c>
    </row>
    <row r="503" customFormat="false" ht="17.15" hidden="false" customHeight="false" outlineLevel="0" collapsed="false">
      <c r="A503" s="4" t="s">
        <v>658</v>
      </c>
      <c r="B503" s="0" t="s">
        <v>278</v>
      </c>
      <c r="D503" s="20" t="n">
        <f aca="false">m_auto*D495</f>
        <v>0.5553352</v>
      </c>
      <c r="E503" s="20" t="n">
        <f aca="false">m_auto*E495</f>
        <v>2.2213408</v>
      </c>
      <c r="F503" s="20" t="n">
        <f aca="false">m_auto*F495</f>
        <v>4.4426816</v>
      </c>
      <c r="G503" s="20" t="n">
        <f aca="false">m_auto*G495</f>
        <v>5.33121792</v>
      </c>
    </row>
    <row r="504" customFormat="false" ht="17.15" hidden="false" customHeight="false" outlineLevel="0" collapsed="false">
      <c r="A504" s="4" t="s">
        <v>659</v>
      </c>
      <c r="B504" s="0" t="s">
        <v>51</v>
      </c>
      <c r="C504" s="9" t="n">
        <f aca="false">(a25_gp-m_tk*(C484+C493)-m_auto*C495)/C496</f>
        <v>0.287729950594395</v>
      </c>
      <c r="D504" s="9" t="n">
        <f aca="false">(a26_gp-D502-D503)/D496</f>
        <v>0.345602027224442</v>
      </c>
      <c r="E504" s="9" t="n">
        <f aca="false">$D504+0</f>
        <v>0.345602027224442</v>
      </c>
      <c r="F504" s="9" t="n">
        <f aca="false">$D504+0</f>
        <v>0.345602027224442</v>
      </c>
      <c r="G504" s="9" t="n">
        <f aca="false">$D504+0</f>
        <v>0.345602027224442</v>
      </c>
      <c r="K504" s="8" t="s">
        <v>660</v>
      </c>
    </row>
    <row r="505" customFormat="false" ht="15" hidden="false" customHeight="false" outlineLevel="0" collapsed="false">
      <c r="A505" s="4" t="s">
        <v>516</v>
      </c>
      <c r="B505" s="0" t="s">
        <v>278</v>
      </c>
      <c r="C505" s="20" t="n">
        <f aca="false">a25_gp</f>
        <v>8.454</v>
      </c>
      <c r="D505" s="20" t="n">
        <f aca="false">a26_gp</f>
        <v>14.6514705</v>
      </c>
      <c r="E505" s="20" t="n">
        <f aca="false">E504*E496+E502+E503</f>
        <v>26.2372290943233</v>
      </c>
      <c r="F505" s="20" t="n">
        <f aca="false">F504*F496+F502+F503</f>
        <v>35.8391184652162</v>
      </c>
      <c r="G505" s="20" t="n">
        <f aca="false">G504*G496+G502+G503</f>
        <v>40.7694613224486</v>
      </c>
    </row>
    <row r="506" customFormat="false" ht="15" hidden="false" customHeight="false" outlineLevel="0" collapsed="false">
      <c r="A506" s="4" t="s">
        <v>519</v>
      </c>
      <c r="B506" s="0" t="s">
        <v>51</v>
      </c>
      <c r="C506" s="9" t="n">
        <f aca="false">C505/C497</f>
        <v>0.247620163439852</v>
      </c>
      <c r="D506" s="9" t="n">
        <f aca="false">D505/D497</f>
        <v>0.211064891978754</v>
      </c>
      <c r="E506" s="9" t="n">
        <f aca="false">E505/E497</f>
        <v>0.167139816814098</v>
      </c>
      <c r="F506" s="9" t="n">
        <f aca="false">F505/F497</f>
        <v>0.155528902505005</v>
      </c>
      <c r="G506" s="9" t="n">
        <f aca="false">G505/G497</f>
        <v>0.154163872037614</v>
      </c>
    </row>
    <row r="507" customFormat="false" ht="15" hidden="false" customHeight="false" outlineLevel="0" collapsed="false">
      <c r="A507" s="4" t="s">
        <v>521</v>
      </c>
      <c r="B507" s="0" t="s">
        <v>278</v>
      </c>
      <c r="C507" s="20" t="n">
        <f aca="false">a25_opx</f>
        <v>4.104</v>
      </c>
      <c r="D507" s="20" t="n">
        <f aca="false">a26_opx</f>
        <v>5.365972</v>
      </c>
      <c r="E507" s="20" t="n">
        <f aca="false">D507*(1+MAX(g_opx_min,phi*E498))+0*E497</f>
        <v>7.39652492275899</v>
      </c>
      <c r="F507" s="20" t="n">
        <f aca="false">E507*(1+MAX(g_opx_min,phi*F498))+0*F497</f>
        <v>8.43486284229162</v>
      </c>
      <c r="G507" s="20" t="n">
        <f aca="false">F507*(1+MAX(g_opx_min,phi*G498))+0*G497</f>
        <v>9.10965186967495</v>
      </c>
    </row>
    <row r="508" customFormat="false" ht="15" hidden="false" customHeight="false" outlineLevel="0" collapsed="false">
      <c r="A508" s="4" t="s">
        <v>524</v>
      </c>
      <c r="B508" s="0" t="s">
        <v>278</v>
      </c>
      <c r="C508" s="20" t="n">
        <f aca="false">C505-C507</f>
        <v>4.35</v>
      </c>
      <c r="D508" s="20" t="n">
        <f aca="false">D505-D507</f>
        <v>9.2854985</v>
      </c>
      <c r="E508" s="20" t="n">
        <f aca="false">E505-E507</f>
        <v>18.8407041715643</v>
      </c>
      <c r="F508" s="20" t="n">
        <f aca="false">F505-F507</f>
        <v>27.4042556229245</v>
      </c>
      <c r="G508" s="20" t="n">
        <f aca="false">G505-G507</f>
        <v>31.6598094527736</v>
      </c>
    </row>
    <row r="509" customFormat="false" ht="15" hidden="false" customHeight="false" outlineLevel="0" collapsed="false">
      <c r="A509" s="4" t="s">
        <v>621</v>
      </c>
      <c r="B509" s="0" t="s">
        <v>51</v>
      </c>
      <c r="C509" s="9" t="n">
        <f aca="false">C508/C497</f>
        <v>0.127412788143288</v>
      </c>
      <c r="D509" s="9" t="n">
        <f aca="false">D508/D497</f>
        <v>0.13376423464603</v>
      </c>
      <c r="E509" s="9" t="n">
        <f aca="false">E508/E497</f>
        <v>0.120021509609991</v>
      </c>
      <c r="F509" s="9" t="n">
        <f aca="false">F508/F497</f>
        <v>0.118924627153894</v>
      </c>
      <c r="G509" s="9" t="n">
        <f aca="false">G508/G497</f>
        <v>0.119717029729925</v>
      </c>
    </row>
    <row r="510" customFormat="false" ht="15" hidden="false" customHeight="false" outlineLevel="0" collapsed="false">
      <c r="A510" s="4" t="s">
        <v>527</v>
      </c>
      <c r="B510" s="0" t="s">
        <v>278</v>
      </c>
      <c r="C510" s="20" t="n">
        <f aca="false">a25_nonop</f>
        <v>0.0920000000000005</v>
      </c>
      <c r="D510" s="20" t="n">
        <f aca="false">a26_nonop</f>
        <v>0.384548</v>
      </c>
      <c r="E510" s="20" t="n">
        <f aca="false">nonop_f</f>
        <v>0.5</v>
      </c>
      <c r="F510" s="20" t="n">
        <f aca="false">nonop_f</f>
        <v>0.5</v>
      </c>
      <c r="G510" s="20" t="n">
        <f aca="false">nonop_f</f>
        <v>0.5</v>
      </c>
    </row>
    <row r="511" customFormat="false" ht="15" hidden="false" customHeight="false" outlineLevel="0" collapsed="false">
      <c r="A511" s="4" t="s">
        <v>529</v>
      </c>
      <c r="B511" s="0" t="s">
        <v>278</v>
      </c>
      <c r="C511" s="20" t="n">
        <f aca="false">C508+C510</f>
        <v>4.442</v>
      </c>
      <c r="D511" s="20" t="n">
        <f aca="false">D508+D510</f>
        <v>9.6700465</v>
      </c>
      <c r="E511" s="20" t="n">
        <f aca="false">E508+E510</f>
        <v>19.3407041715643</v>
      </c>
      <c r="F511" s="20" t="n">
        <f aca="false">F508+F510</f>
        <v>27.9042556229245</v>
      </c>
      <c r="G511" s="20" t="n">
        <f aca="false">G508+G510</f>
        <v>32.1598094527736</v>
      </c>
    </row>
    <row r="512" customFormat="false" ht="15" hidden="false" customHeight="false" outlineLevel="0" collapsed="false">
      <c r="A512" s="4" t="s">
        <v>531</v>
      </c>
      <c r="B512" s="0" t="s">
        <v>278</v>
      </c>
      <c r="C512" s="20" t="n">
        <f aca="false">a25_tax</f>
        <v>0.672</v>
      </c>
      <c r="D512" s="20" t="n">
        <f aca="false">a26_tax</f>
        <v>1.337361725</v>
      </c>
      <c r="E512" s="20" t="n">
        <f aca="false">E511*tax</f>
        <v>2.90110562573464</v>
      </c>
      <c r="F512" s="20" t="n">
        <f aca="false">F511*tax</f>
        <v>4.18563834343868</v>
      </c>
      <c r="G512" s="20" t="n">
        <f aca="false">G511*tax</f>
        <v>4.82397141791604</v>
      </c>
    </row>
    <row r="513" customFormat="false" ht="15" hidden="false" customHeight="false" outlineLevel="0" collapsed="false">
      <c r="A513" s="4" t="s">
        <v>534</v>
      </c>
      <c r="B513" s="0" t="s">
        <v>278</v>
      </c>
      <c r="C513" s="20" t="n">
        <f aca="false">C511-C512</f>
        <v>3.77</v>
      </c>
      <c r="D513" s="20" t="n">
        <f aca="false">D511-D512</f>
        <v>8.332684775</v>
      </c>
      <c r="E513" s="20" t="n">
        <f aca="false">E511-E512</f>
        <v>16.4395985458296</v>
      </c>
      <c r="F513" s="20" t="n">
        <f aca="false">F511-F512</f>
        <v>23.7186172794859</v>
      </c>
      <c r="G513" s="20" t="n">
        <f aca="false">G511-G512</f>
        <v>27.3358380348576</v>
      </c>
      <c r="H513" s="28" t="n">
        <f aca="false">H497*H517</f>
        <v>31.8981050761296</v>
      </c>
      <c r="I513" s="28" t="n">
        <f aca="false">I497*I517</f>
        <v>36.1870106194225</v>
      </c>
      <c r="J513" s="28" t="n">
        <f aca="false">J497*J517</f>
        <v>39.8879765162066</v>
      </c>
    </row>
    <row r="514" customFormat="false" ht="15" hidden="false" customHeight="false" outlineLevel="0" collapsed="false">
      <c r="A514" s="4" t="s">
        <v>312</v>
      </c>
      <c r="B514" s="4" t="s">
        <v>313</v>
      </c>
      <c r="C514" s="19" t="n">
        <f aca="false">a25_sh</f>
        <v>0.134020618556701</v>
      </c>
      <c r="D514" s="19" t="n">
        <f aca="false">a26_sh</f>
        <v>0.13399883744778</v>
      </c>
      <c r="E514" s="19" t="n">
        <f aca="false">q_sh*(1+sh_g)</f>
        <v>0.13401</v>
      </c>
      <c r="F514" s="19" t="n">
        <f aca="false">E514*(1+sh_g)</f>
        <v>0.13401</v>
      </c>
      <c r="G514" s="19" t="n">
        <f aca="false">F514*(1+sh_g)</f>
        <v>0.13401</v>
      </c>
      <c r="H514" s="30" t="n">
        <f aca="false">G514*(1+sh_g)</f>
        <v>0.13401</v>
      </c>
      <c r="I514" s="30" t="n">
        <f aca="false">H514*(1+sh_g)</f>
        <v>0.13401</v>
      </c>
      <c r="J514" s="30" t="n">
        <f aca="false">I514*(1+sh_g)</f>
        <v>0.13401</v>
      </c>
    </row>
    <row r="515" customFormat="false" ht="17.15" hidden="false" customHeight="false" outlineLevel="0" collapsed="false">
      <c r="A515" s="0" t="s">
        <v>538</v>
      </c>
      <c r="B515" s="0" t="s">
        <v>356</v>
      </c>
      <c r="C515" s="20" t="n">
        <f aca="false">C513/C514</f>
        <v>28.13</v>
      </c>
      <c r="D515" s="20" t="n">
        <f aca="false">D513/D514</f>
        <v>62.1847542389856</v>
      </c>
      <c r="E515" s="20" t="n">
        <f aca="false">E513/E514</f>
        <v>122.674416430338</v>
      </c>
      <c r="F515" s="20" t="n">
        <f aca="false">F513/F514</f>
        <v>176.991398250025</v>
      </c>
      <c r="G515" s="20" t="n">
        <f aca="false">G513/G514</f>
        <v>203.98356865053</v>
      </c>
      <c r="H515" s="28" t="n">
        <f aca="false">H513/H514</f>
        <v>238.027797001191</v>
      </c>
      <c r="I515" s="28" t="n">
        <f aca="false">I513/I514</f>
        <v>270.032166401183</v>
      </c>
      <c r="J515" s="28" t="n">
        <f aca="false">J513/J514</f>
        <v>297.649253907967</v>
      </c>
    </row>
    <row r="516" customFormat="false" ht="17.15" hidden="false" customHeight="false" outlineLevel="0" collapsed="false">
      <c r="A516" s="0" t="s">
        <v>661</v>
      </c>
      <c r="B516" s="0" t="s">
        <v>51</v>
      </c>
      <c r="D516" s="18" t="n">
        <f aca="false">D515/C515-1</f>
        <v>1.21062048485551</v>
      </c>
      <c r="E516" s="18" t="n">
        <f aca="false">E515/D515-1</f>
        <v>0.972741034866546</v>
      </c>
      <c r="F516" s="18" t="n">
        <f aca="false">F515/E515-1</f>
        <v>0.442773508937221</v>
      </c>
      <c r="G516" s="18" t="n">
        <f aca="false">G515/F515-1</f>
        <v>0.152505549237908</v>
      </c>
      <c r="H516" s="26" t="n">
        <f aca="false">H515/G515-1</f>
        <v>0.166896915157838</v>
      </c>
      <c r="I516" s="26" t="n">
        <f aca="false">I515/H515-1</f>
        <v>0.13445643661455</v>
      </c>
      <c r="J516" s="26" t="n">
        <f aca="false">J515/I515-1</f>
        <v>0.102273324970307</v>
      </c>
    </row>
    <row r="517" customFormat="false" ht="17.15" hidden="false" customHeight="false" outlineLevel="0" collapsed="false">
      <c r="A517" s="4" t="s">
        <v>662</v>
      </c>
      <c r="B517" s="0" t="s">
        <v>51</v>
      </c>
      <c r="C517" s="9" t="n">
        <f aca="false">C513/C497</f>
        <v>0.11042441639085</v>
      </c>
      <c r="D517" s="9" t="n">
        <f aca="false">D513/D497</f>
        <v>0.1200382727405</v>
      </c>
      <c r="E517" s="9" t="n">
        <f aca="false">E513/E497</f>
        <v>0.104725673567479</v>
      </c>
      <c r="F517" s="9" t="n">
        <f aca="false">F513/F497</f>
        <v>0.102930280441886</v>
      </c>
      <c r="G517" s="9" t="n">
        <f aca="false">G513/G497</f>
        <v>0.103366551829476</v>
      </c>
      <c r="H517" s="27" t="n">
        <f aca="false">$G517+(fade_mA-$G517)*1/3</f>
        <v>0.10784615901549</v>
      </c>
      <c r="I517" s="27" t="n">
        <f aca="false">$G517+(fade_mA-$G517)*2/3</f>
        <v>0.112325766201505</v>
      </c>
      <c r="J517" s="27" t="n">
        <f aca="false">$G517+(fade_mA-$G517)*3/3</f>
        <v>0.116805373387519</v>
      </c>
    </row>
    <row r="520" customFormat="false" ht="17.15" hidden="false" customHeight="false" outlineLevel="0" collapsed="false">
      <c r="A520" s="1" t="s">
        <v>991</v>
      </c>
    </row>
    <row r="521" customFormat="false" ht="17.15" hidden="false" customHeight="false" outlineLevel="0" collapsed="false">
      <c r="A521" s="5" t="s">
        <v>27</v>
      </c>
      <c r="B521" s="5" t="s">
        <v>28</v>
      </c>
      <c r="C521" s="16" t="s">
        <v>497</v>
      </c>
      <c r="D521" s="16" t="s">
        <v>610</v>
      </c>
      <c r="E521" s="16" t="s">
        <v>611</v>
      </c>
      <c r="F521" s="16" t="s">
        <v>612</v>
      </c>
      <c r="G521" s="16" t="s">
        <v>613</v>
      </c>
      <c r="H521" s="16" t="s">
        <v>614</v>
      </c>
      <c r="I521" s="16" t="s">
        <v>615</v>
      </c>
      <c r="J521" s="16" t="s">
        <v>616</v>
      </c>
      <c r="K521" s="5" t="s">
        <v>450</v>
      </c>
    </row>
    <row r="522" customFormat="false" ht="17.15" hidden="false" customHeight="false" outlineLevel="0" collapsed="false">
      <c r="A522" s="6" t="s">
        <v>632</v>
      </c>
    </row>
    <row r="523" customFormat="false" ht="17.15" hidden="false" customHeight="false" outlineLevel="0" collapsed="false">
      <c r="A523" s="0" t="s">
        <v>633</v>
      </c>
      <c r="B523" s="4" t="s">
        <v>38</v>
      </c>
      <c r="D523" s="22" t="n">
        <f aca="false">u_tpu_26</f>
        <v>3.85</v>
      </c>
      <c r="E523" s="22" t="n">
        <f aca="false">u_tpu_27</f>
        <v>5.5</v>
      </c>
      <c r="F523" s="22" t="n">
        <f aca="false">u_tpu_28*um28_A</f>
        <v>7</v>
      </c>
      <c r="G523" s="22" t="n">
        <f aca="false">u_tpu_28*(1+g29_tpu)*um29_A</f>
        <v>8.05</v>
      </c>
    </row>
    <row r="524" customFormat="false" ht="17.15" hidden="false" customHeight="false" outlineLevel="0" collapsed="false">
      <c r="A524" s="0" t="s">
        <v>574</v>
      </c>
      <c r="B524" s="0" t="s">
        <v>70</v>
      </c>
      <c r="D524" s="22" t="n">
        <f aca="false">att26</f>
        <v>0.325</v>
      </c>
      <c r="E524" s="22" t="n">
        <f aca="false">MAX(0,att_A+0)</f>
        <v>0.6</v>
      </c>
      <c r="F524" s="22" t="n">
        <f aca="false">MAX(0,att_A+0)</f>
        <v>0.6</v>
      </c>
      <c r="G524" s="22" t="n">
        <f aca="false">MAX(0,att_A+0)</f>
        <v>0.6</v>
      </c>
    </row>
    <row r="525" customFormat="false" ht="17.15" hidden="false" customHeight="false" outlineLevel="0" collapsed="false">
      <c r="A525" s="4" t="s">
        <v>634</v>
      </c>
      <c r="B525" s="0" t="s">
        <v>51</v>
      </c>
      <c r="D525" s="18" t="n">
        <f aca="false">gsh26</f>
        <v>1</v>
      </c>
      <c r="E525" s="18" t="n">
        <f aca="false">gsh26</f>
        <v>1</v>
      </c>
      <c r="F525" s="18" t="n">
        <f aca="false">MIN(1,gsh28_A)</f>
        <v>1</v>
      </c>
      <c r="G525" s="18" t="n">
        <f aca="false">MIN(1,gsh28_A)</f>
        <v>1</v>
      </c>
    </row>
    <row r="526" customFormat="false" ht="17.15" hidden="false" customHeight="false" outlineLevel="0" collapsed="false">
      <c r="A526" s="4" t="s">
        <v>576</v>
      </c>
      <c r="B526" s="4" t="s">
        <v>38</v>
      </c>
      <c r="D526" s="22" t="n">
        <f aca="false">D523*D524*D525</f>
        <v>1.25125</v>
      </c>
      <c r="E526" s="22" t="n">
        <f aca="false">E523*E524*E525*1</f>
        <v>3.3</v>
      </c>
      <c r="F526" s="22" t="n">
        <f aca="false">F523*F524*F525*1</f>
        <v>4.2</v>
      </c>
      <c r="G526" s="22" t="n">
        <f aca="false">G523*G524*G525*1</f>
        <v>4.83</v>
      </c>
    </row>
    <row r="527" customFormat="false" ht="17.15" hidden="false" customHeight="false" outlineLevel="0" collapsed="false">
      <c r="A527" s="4" t="s">
        <v>635</v>
      </c>
      <c r="B527" s="0" t="s">
        <v>116</v>
      </c>
      <c r="D527" s="20" t="n">
        <f aca="false">pc_cpu</f>
        <v>1</v>
      </c>
      <c r="E527" s="20" t="n">
        <f aca="false">pc_cpu</f>
        <v>1</v>
      </c>
      <c r="F527" s="20" t="n">
        <f aca="false">pc_cpu*pfc_A</f>
        <v>1.2</v>
      </c>
      <c r="G527" s="20" t="n">
        <f aca="false">pc_cpu*pfc_A</f>
        <v>1.2</v>
      </c>
    </row>
    <row r="528" customFormat="false" ht="17.15" hidden="false" customHeight="false" outlineLevel="0" collapsed="false">
      <c r="A528" s="0" t="s">
        <v>636</v>
      </c>
      <c r="B528" s="0" t="s">
        <v>581</v>
      </c>
      <c r="D528" s="20" t="n">
        <f aca="false">D526*D527</f>
        <v>1.25125</v>
      </c>
      <c r="E528" s="20" t="n">
        <f aca="false">E526*E527</f>
        <v>3.3</v>
      </c>
      <c r="F528" s="20" t="n">
        <f aca="false">F526*F527</f>
        <v>5.04</v>
      </c>
      <c r="G528" s="20" t="n">
        <f aca="false">G526*G527</f>
        <v>5.796</v>
      </c>
    </row>
    <row r="529" customFormat="false" ht="17.15" hidden="false" customHeight="false" outlineLevel="0" collapsed="false">
      <c r="A529" s="0" t="s">
        <v>637</v>
      </c>
      <c r="B529" s="0" t="s">
        <v>70</v>
      </c>
      <c r="D529" s="22" t="n">
        <f aca="false">a26_cpu/fx26/D528</f>
        <v>0.842704434805701</v>
      </c>
      <c r="K529" s="8" t="s">
        <v>638</v>
      </c>
    </row>
    <row r="530" customFormat="false" ht="17.15" hidden="false" customHeight="false" outlineLevel="0" collapsed="false">
      <c r="A530" s="0" t="s">
        <v>639</v>
      </c>
      <c r="B530" s="0" t="s">
        <v>581</v>
      </c>
      <c r="D530" s="20" t="n">
        <f aca="false">D528*$D$529</f>
        <v>1.05443392405063</v>
      </c>
      <c r="E530" s="20" t="n">
        <f aca="false">E528*$D$529</f>
        <v>2.78092463485881</v>
      </c>
      <c r="F530" s="20" t="n">
        <f aca="false">F528*$D$529</f>
        <v>4.24723035142073</v>
      </c>
      <c r="G530" s="20" t="n">
        <f aca="false">G528*$D$529</f>
        <v>4.88431490413384</v>
      </c>
    </row>
    <row r="531" customFormat="false" ht="15" hidden="false" customHeight="false" outlineLevel="0" collapsed="false">
      <c r="A531" s="4" t="s">
        <v>640</v>
      </c>
      <c r="B531" s="0" t="s">
        <v>273</v>
      </c>
      <c r="D531" s="20" t="n">
        <f aca="false">fx26</f>
        <v>31.6</v>
      </c>
      <c r="E531" s="20" t="n">
        <f aca="false">fx</f>
        <v>32</v>
      </c>
      <c r="F531" s="20" t="n">
        <f aca="false">fx</f>
        <v>32</v>
      </c>
      <c r="G531" s="20" t="n">
        <f aca="false">fx</f>
        <v>32</v>
      </c>
    </row>
    <row r="532" customFormat="false" ht="17.15" hidden="false" customHeight="false" outlineLevel="0" collapsed="false">
      <c r="A532" s="0" t="s">
        <v>641</v>
      </c>
      <c r="B532" s="0" t="s">
        <v>278</v>
      </c>
      <c r="C532" s="20" t="n">
        <f aca="false">a25_cpu</f>
        <v>6.14538</v>
      </c>
      <c r="D532" s="20" t="n">
        <f aca="false">D530*D531</f>
        <v>33.320112</v>
      </c>
      <c r="E532" s="20" t="n">
        <f aca="false">E530*E531</f>
        <v>88.989588315482</v>
      </c>
      <c r="F532" s="20" t="n">
        <f aca="false">F530*F531</f>
        <v>135.911371245463</v>
      </c>
      <c r="G532" s="20" t="n">
        <f aca="false">G530*G531</f>
        <v>156.298076932283</v>
      </c>
    </row>
    <row r="533" customFormat="false" ht="17.15" hidden="false" customHeight="false" outlineLevel="0" collapsed="false">
      <c r="A533" s="4" t="s">
        <v>578</v>
      </c>
      <c r="B533" s="0" t="s">
        <v>116</v>
      </c>
      <c r="D533" s="20" t="n">
        <f aca="false">IF(D526&gt;0,D530/D526,0)</f>
        <v>0.842704434805701</v>
      </c>
      <c r="E533" s="20" t="n">
        <f aca="false">IF(E526&gt;0,E530/E526,0)</f>
        <v>0.842704434805701</v>
      </c>
      <c r="F533" s="20" t="n">
        <f aca="false">IF(F526&gt;0,F530/F526,0)</f>
        <v>1.01124532176684</v>
      </c>
      <c r="G533" s="20" t="n">
        <f aca="false">IF(G526&gt;0,G530/G526,0)</f>
        <v>1.01124532176684</v>
      </c>
    </row>
    <row r="534" customFormat="false" ht="17.15" hidden="false" customHeight="false" outlineLevel="0" collapsed="false">
      <c r="A534" s="6" t="s">
        <v>642</v>
      </c>
    </row>
    <row r="535" customFormat="false" ht="17.15" hidden="false" customHeight="false" outlineLevel="0" collapsed="false">
      <c r="A535" s="4" t="s">
        <v>643</v>
      </c>
      <c r="B535" s="4" t="s">
        <v>38</v>
      </c>
      <c r="D535" s="22" t="n">
        <f aca="false">u_oth_26</f>
        <v>1</v>
      </c>
      <c r="E535" s="22" t="n">
        <f aca="false">u_oth_27</f>
        <v>4.5</v>
      </c>
      <c r="F535" s="22" t="n">
        <f aca="false">u_oth_28*um28_A</f>
        <v>5</v>
      </c>
      <c r="G535" s="22" t="n">
        <f aca="false">u_oth_28*(1+g29_oth)*um29_A</f>
        <v>5.75</v>
      </c>
    </row>
    <row r="536" customFormat="false" ht="17.15" hidden="false" customHeight="false" outlineLevel="0" collapsed="false">
      <c r="A536" s="4" t="s">
        <v>584</v>
      </c>
      <c r="B536" s="0" t="s">
        <v>51</v>
      </c>
      <c r="D536" s="18" t="n">
        <f aca="false">guc_oth_26</f>
        <v>0.03</v>
      </c>
      <c r="E536" s="18" t="n">
        <f aca="false">MIN(1,MAX(0,go27_A+0))</f>
        <v>0.06</v>
      </c>
      <c r="F536" s="18" t="n">
        <f aca="false">MIN(1,MAX(0,go28_A+0))</f>
        <v>0.08</v>
      </c>
      <c r="G536" s="18" t="n">
        <f aca="false">MIN(1,MAX(0,go28_A+0))</f>
        <v>0.08</v>
      </c>
    </row>
    <row r="537" customFormat="false" ht="17.15" hidden="false" customHeight="false" outlineLevel="0" collapsed="false">
      <c r="A537" s="4" t="s">
        <v>586</v>
      </c>
      <c r="B537" s="4" t="s">
        <v>38</v>
      </c>
      <c r="D537" s="22" t="n">
        <f aca="false">D535*D536</f>
        <v>0.03</v>
      </c>
      <c r="E537" s="22" t="n">
        <f aca="false">E535*E536*1</f>
        <v>0.27</v>
      </c>
      <c r="F537" s="22" t="n">
        <f aca="false">F535*F536*1</f>
        <v>0.4</v>
      </c>
      <c r="G537" s="22" t="n">
        <f aca="false">G535*G536*1</f>
        <v>0.46</v>
      </c>
    </row>
    <row r="538" customFormat="false" ht="17.15" hidden="false" customHeight="false" outlineLevel="0" collapsed="false">
      <c r="A538" s="0" t="s">
        <v>644</v>
      </c>
      <c r="B538" s="0" t="s">
        <v>581</v>
      </c>
      <c r="D538" s="20" t="n">
        <f aca="false">D537*core_oth</f>
        <v>0.18</v>
      </c>
      <c r="E538" s="20" t="n">
        <f aca="false">E537*core_oth</f>
        <v>1.62</v>
      </c>
      <c r="F538" s="20" t="n">
        <f aca="false">F537*core_oth</f>
        <v>2.4</v>
      </c>
      <c r="G538" s="20" t="n">
        <f aca="false">G537*core_oth</f>
        <v>2.76</v>
      </c>
    </row>
    <row r="539" customFormat="false" ht="17.15" hidden="false" customHeight="false" outlineLevel="0" collapsed="false">
      <c r="A539" s="0" t="s">
        <v>645</v>
      </c>
      <c r="B539" s="0" t="s">
        <v>70</v>
      </c>
      <c r="D539" s="22" t="n">
        <f aca="false">a26_asic/fx26/D538</f>
        <v>0.366122890295359</v>
      </c>
      <c r="K539" s="8" t="s">
        <v>646</v>
      </c>
    </row>
    <row r="540" customFormat="false" ht="17.15" hidden="false" customHeight="false" outlineLevel="0" collapsed="false">
      <c r="A540" s="0" t="s">
        <v>647</v>
      </c>
      <c r="B540" s="0" t="s">
        <v>581</v>
      </c>
      <c r="D540" s="20" t="n">
        <f aca="false">D538*$D$539</f>
        <v>0.0659021202531645</v>
      </c>
      <c r="E540" s="20" t="n">
        <f aca="false">E538*$D$539</f>
        <v>0.593119082278481</v>
      </c>
      <c r="F540" s="20" t="n">
        <f aca="false">F538*$D$539</f>
        <v>0.878694936708861</v>
      </c>
      <c r="G540" s="20" t="n">
        <f aca="false">G538*$D$539</f>
        <v>1.01049917721519</v>
      </c>
    </row>
    <row r="541" customFormat="false" ht="17.15" hidden="false" customHeight="false" outlineLevel="0" collapsed="false">
      <c r="A541" s="0" t="s">
        <v>648</v>
      </c>
      <c r="B541" s="0" t="s">
        <v>278</v>
      </c>
      <c r="C541" s="20" t="n">
        <f aca="false">a25_asic</f>
        <v>1.70705</v>
      </c>
      <c r="D541" s="20" t="n">
        <f aca="false">D540*D531</f>
        <v>2.082507</v>
      </c>
      <c r="E541" s="20" t="n">
        <f aca="false">E540*E531</f>
        <v>18.9798106329114</v>
      </c>
      <c r="F541" s="20" t="n">
        <f aca="false">F540*F531</f>
        <v>28.1182379746835</v>
      </c>
      <c r="G541" s="20" t="n">
        <f aca="false">G540*G531</f>
        <v>32.3359736708861</v>
      </c>
    </row>
    <row r="542" customFormat="false" ht="17.15" hidden="false" customHeight="false" outlineLevel="0" collapsed="false">
      <c r="A542" s="6" t="s">
        <v>649</v>
      </c>
    </row>
    <row r="543" customFormat="false" ht="17.15" hidden="false" customHeight="false" outlineLevel="0" collapsed="false">
      <c r="A543" s="4" t="s">
        <v>650</v>
      </c>
      <c r="B543" s="0" t="s">
        <v>278</v>
      </c>
      <c r="C543" s="20" t="n">
        <f aca="false">a25_auto</f>
        <v>1.02423</v>
      </c>
      <c r="D543" s="20" t="n">
        <f aca="false">a26_auto</f>
        <v>3.470845</v>
      </c>
      <c r="E543" s="20" t="n">
        <f aca="false">D543*am27_A</f>
        <v>13.88338</v>
      </c>
      <c r="F543" s="20" t="n">
        <f aca="false">E543*am28_A</f>
        <v>27.76676</v>
      </c>
      <c r="G543" s="20" t="n">
        <f aca="false">F543*(1+ag29_A)</f>
        <v>33.320112</v>
      </c>
    </row>
    <row r="544" customFormat="false" ht="17.15" hidden="false" customHeight="false" outlineLevel="0" collapsed="false">
      <c r="A544" s="4" t="s">
        <v>651</v>
      </c>
      <c r="B544" s="0" t="s">
        <v>278</v>
      </c>
      <c r="C544" s="20" t="n">
        <f aca="false">a25_oth</f>
        <v>25.26434</v>
      </c>
      <c r="D544" s="20" t="n">
        <f aca="false">a26_oth</f>
        <v>30.543436</v>
      </c>
      <c r="E544" s="20" t="n">
        <f aca="false">D544*(1+g_o27_A)</f>
        <v>35.1249514</v>
      </c>
      <c r="F544" s="20" t="n">
        <f aca="false">E544*(1+g_oL_A)</f>
        <v>38.63744654</v>
      </c>
      <c r="G544" s="20" t="n">
        <f aca="false">F544*(1+g_oL_A)</f>
        <v>42.501191194</v>
      </c>
    </row>
    <row r="545" customFormat="false" ht="17.15" hidden="false" customHeight="false" outlineLevel="0" collapsed="false">
      <c r="A545" s="4" t="s">
        <v>503</v>
      </c>
      <c r="B545" s="0" t="s">
        <v>278</v>
      </c>
      <c r="C545" s="20" t="n">
        <f aca="false">C532+C541+C543+C544</f>
        <v>34.141</v>
      </c>
      <c r="D545" s="20" t="n">
        <f aca="false">D532+D541+D543+D544</f>
        <v>69.4169</v>
      </c>
      <c r="E545" s="20" t="n">
        <f aca="false">E532+E541+E543+E544</f>
        <v>156.977730348393</v>
      </c>
      <c r="F545" s="20" t="n">
        <f aca="false">F532+F541+F543+F544</f>
        <v>230.433815760147</v>
      </c>
      <c r="G545" s="20" t="n">
        <f aca="false">G532+G541+G543+G544</f>
        <v>264.455353797169</v>
      </c>
      <c r="H545" s="28" t="n">
        <f aca="false">G545*(1+H546)</f>
        <v>295.7741413076</v>
      </c>
      <c r="I545" s="28" t="n">
        <f aca="false">H545*(1+I546)</f>
        <v>322.161262221043</v>
      </c>
      <c r="J545" s="28" t="n">
        <f aca="false">I545*(1+J546)</f>
        <v>341.490937954306</v>
      </c>
      <c r="K545" s="8" t="s">
        <v>652</v>
      </c>
    </row>
    <row r="546" customFormat="false" ht="15" hidden="false" customHeight="false" outlineLevel="0" collapsed="false">
      <c r="A546" s="4" t="s">
        <v>653</v>
      </c>
      <c r="B546" s="0" t="s">
        <v>51</v>
      </c>
      <c r="D546" s="18" t="n">
        <f aca="false">D545/C545-1</f>
        <v>1.03324155707214</v>
      </c>
      <c r="E546" s="18" t="n">
        <f aca="false">E545/D545-1</f>
        <v>1.26137626930032</v>
      </c>
      <c r="F546" s="18" t="n">
        <f aca="false">F545/E545-1</f>
        <v>0.467939530331637</v>
      </c>
      <c r="G546" s="18" t="n">
        <f aca="false">G545/F545-1</f>
        <v>0.147641256231395</v>
      </c>
      <c r="H546" s="26" t="n">
        <f aca="false">$G546+(fade_gA-$G546)*1/3</f>
        <v>0.118427504154264</v>
      </c>
      <c r="I546" s="26" t="n">
        <f aca="false">$G546+(fade_gA-$G546)*2/3</f>
        <v>0.0892137520771318</v>
      </c>
      <c r="J546" s="26" t="n">
        <f aca="false">$G546+(fade_gA-$G546)*3/3</f>
        <v>0.06</v>
      </c>
    </row>
    <row r="547" customFormat="false" ht="17.15" hidden="false" customHeight="false" outlineLevel="0" collapsed="false">
      <c r="A547" s="0" t="s">
        <v>654</v>
      </c>
      <c r="B547" s="0" t="s">
        <v>51</v>
      </c>
      <c r="C547" s="18" t="n">
        <f aca="false">C532/C545</f>
        <v>0.18</v>
      </c>
      <c r="D547" s="18" t="n">
        <f aca="false">D532/D545</f>
        <v>0.48</v>
      </c>
      <c r="E547" s="18" t="n">
        <f aca="false">E532/E545</f>
        <v>0.566893075329731</v>
      </c>
      <c r="F547" s="18" t="n">
        <f aca="false">F532/F545</f>
        <v>0.589806538580823</v>
      </c>
      <c r="G547" s="18" t="n">
        <f aca="false">G532/G545</f>
        <v>0.591018766260863</v>
      </c>
    </row>
    <row r="548" customFormat="false" ht="17.15" hidden="false" customHeight="false" outlineLevel="0" collapsed="false">
      <c r="A548" s="4" t="s">
        <v>655</v>
      </c>
      <c r="B548" s="0" t="s">
        <v>51</v>
      </c>
      <c r="C548" s="18" t="n">
        <f aca="false">C543/C545</f>
        <v>0.03</v>
      </c>
      <c r="D548" s="18" t="n">
        <f aca="false">D543/D545</f>
        <v>0.05</v>
      </c>
      <c r="E548" s="18" t="n">
        <f aca="false">E543/E545</f>
        <v>0.0884417169823229</v>
      </c>
      <c r="F548" s="18" t="n">
        <f aca="false">F543/F545</f>
        <v>0.120497765956806</v>
      </c>
      <c r="G548" s="18" t="n">
        <f aca="false">G543/G545</f>
        <v>0.125995225740658</v>
      </c>
    </row>
    <row r="549" customFormat="false" ht="17.15" hidden="false" customHeight="false" outlineLevel="0" collapsed="false">
      <c r="A549" s="6" t="s">
        <v>656</v>
      </c>
    </row>
    <row r="550" customFormat="false" ht="17.15" hidden="false" customHeight="false" outlineLevel="0" collapsed="false">
      <c r="A550" s="0" t="s">
        <v>657</v>
      </c>
      <c r="B550" s="0" t="s">
        <v>278</v>
      </c>
      <c r="D550" s="20" t="n">
        <f aca="false">m_tk_hi*(D532+D541)</f>
        <v>5.66441904</v>
      </c>
      <c r="E550" s="20" t="n">
        <f aca="false">(m_tk_hi+gta_A)*(E532+E541)</f>
        <v>18.3547978212269</v>
      </c>
      <c r="F550" s="20" t="n">
        <f aca="false">(m_tk_hi+gta_A)*(F532+F541)</f>
        <v>27.885033567425</v>
      </c>
      <c r="G550" s="20" t="n">
        <f aca="false">(m_tk_hi+gta_A)*(G532+G541)</f>
        <v>32.0677886025387</v>
      </c>
    </row>
    <row r="551" customFormat="false" ht="17.15" hidden="false" customHeight="false" outlineLevel="0" collapsed="false">
      <c r="A551" s="4" t="s">
        <v>658</v>
      </c>
      <c r="B551" s="0" t="s">
        <v>278</v>
      </c>
      <c r="D551" s="20" t="n">
        <f aca="false">m_auto*D543</f>
        <v>0.5553352</v>
      </c>
      <c r="E551" s="20" t="n">
        <f aca="false">m_auto*E543</f>
        <v>2.2213408</v>
      </c>
      <c r="F551" s="20" t="n">
        <f aca="false">m_auto*F543</f>
        <v>4.4426816</v>
      </c>
      <c r="G551" s="20" t="n">
        <f aca="false">m_auto*G543</f>
        <v>5.33121792</v>
      </c>
    </row>
    <row r="552" customFormat="false" ht="17.15" hidden="false" customHeight="false" outlineLevel="0" collapsed="false">
      <c r="A552" s="4" t="s">
        <v>659</v>
      </c>
      <c r="B552" s="0" t="s">
        <v>51</v>
      </c>
      <c r="C552" s="9" t="n">
        <f aca="false">(a25_gp-m_tk*(C532+C541)-m_auto*C543)/C544</f>
        <v>0.287729950594395</v>
      </c>
      <c r="D552" s="9" t="n">
        <f aca="false">(a26_gp-D550-D551)/D544</f>
        <v>0.276056572678987</v>
      </c>
      <c r="E552" s="9" t="n">
        <f aca="false">$D552+0</f>
        <v>0.276056572678987</v>
      </c>
      <c r="F552" s="9" t="n">
        <f aca="false">$D552+0</f>
        <v>0.276056572678987</v>
      </c>
      <c r="G552" s="9" t="n">
        <f aca="false">$D552+0</f>
        <v>0.276056572678987</v>
      </c>
      <c r="K552" s="8" t="s">
        <v>660</v>
      </c>
    </row>
    <row r="553" customFormat="false" ht="15" hidden="false" customHeight="false" outlineLevel="0" collapsed="false">
      <c r="A553" s="4" t="s">
        <v>516</v>
      </c>
      <c r="B553" s="0" t="s">
        <v>278</v>
      </c>
      <c r="C553" s="20" t="n">
        <f aca="false">a25_gp</f>
        <v>8.454</v>
      </c>
      <c r="D553" s="20" t="n">
        <f aca="false">a26_gp</f>
        <v>14.6514705</v>
      </c>
      <c r="E553" s="20" t="n">
        <f aca="false">E552*E544+E550+E551</f>
        <v>30.2726123202269</v>
      </c>
      <c r="F553" s="20" t="n">
        <f aca="false">F552*F544+F550+F551</f>
        <v>42.993836236325</v>
      </c>
      <c r="G553" s="20" t="n">
        <f aca="false">G552*G544+G550+G551</f>
        <v>49.1317396983287</v>
      </c>
    </row>
    <row r="554" customFormat="false" ht="15" hidden="false" customHeight="false" outlineLevel="0" collapsed="false">
      <c r="A554" s="4" t="s">
        <v>519</v>
      </c>
      <c r="B554" s="0" t="s">
        <v>51</v>
      </c>
      <c r="C554" s="9" t="n">
        <f aca="false">C553/C545</f>
        <v>0.247620163439852</v>
      </c>
      <c r="D554" s="9" t="n">
        <f aca="false">D553/D545</f>
        <v>0.211064891978754</v>
      </c>
      <c r="E554" s="9" t="n">
        <f aca="false">E553/E545</f>
        <v>0.192846541054202</v>
      </c>
      <c r="F554" s="9" t="n">
        <f aca="false">F553/F545</f>
        <v>0.186577808011808</v>
      </c>
      <c r="G554" s="9" t="n">
        <f aca="false">G553/G545</f>
        <v>0.185784628644772</v>
      </c>
    </row>
    <row r="555" customFormat="false" ht="15" hidden="false" customHeight="false" outlineLevel="0" collapsed="false">
      <c r="A555" s="4" t="s">
        <v>521</v>
      </c>
      <c r="B555" s="0" t="s">
        <v>278</v>
      </c>
      <c r="C555" s="20" t="n">
        <f aca="false">a25_opx</f>
        <v>4.104</v>
      </c>
      <c r="D555" s="20" t="n">
        <f aca="false">a26_opx</f>
        <v>5.365972</v>
      </c>
      <c r="E555" s="20" t="n">
        <f aca="false">D555*(1+MAX(g_opx_min,phi*E546))+0*E545</f>
        <v>7.39652492275899</v>
      </c>
      <c r="F555" s="20" t="n">
        <f aca="false">E555*(1+MAX(g_opx_min,phi*F546))+0*F545</f>
        <v>8.43486284229162</v>
      </c>
      <c r="G555" s="20" t="n">
        <f aca="false">F555*(1+MAX(g_opx_min,phi*G546))+0*G545</f>
        <v>9.10965186967495</v>
      </c>
    </row>
    <row r="556" customFormat="false" ht="15" hidden="false" customHeight="false" outlineLevel="0" collapsed="false">
      <c r="A556" s="4" t="s">
        <v>524</v>
      </c>
      <c r="B556" s="0" t="s">
        <v>278</v>
      </c>
      <c r="C556" s="20" t="n">
        <f aca="false">C553-C555</f>
        <v>4.35</v>
      </c>
      <c r="D556" s="20" t="n">
        <f aca="false">D553-D555</f>
        <v>9.2854985</v>
      </c>
      <c r="E556" s="20" t="n">
        <f aca="false">E553-E555</f>
        <v>22.8760873974679</v>
      </c>
      <c r="F556" s="20" t="n">
        <f aca="false">F553-F555</f>
        <v>34.5589733940334</v>
      </c>
      <c r="G556" s="20" t="n">
        <f aca="false">G553-G555</f>
        <v>40.0220878286538</v>
      </c>
    </row>
    <row r="557" customFormat="false" ht="15" hidden="false" customHeight="false" outlineLevel="0" collapsed="false">
      <c r="A557" s="4" t="s">
        <v>621</v>
      </c>
      <c r="B557" s="0" t="s">
        <v>51</v>
      </c>
      <c r="C557" s="9" t="n">
        <f aca="false">C556/C545</f>
        <v>0.127412788143288</v>
      </c>
      <c r="D557" s="9" t="n">
        <f aca="false">D556/D545</f>
        <v>0.13376423464603</v>
      </c>
      <c r="E557" s="9" t="n">
        <f aca="false">E556/E545</f>
        <v>0.145728233850095</v>
      </c>
      <c r="F557" s="9" t="n">
        <f aca="false">F556/F545</f>
        <v>0.149973532660697</v>
      </c>
      <c r="G557" s="9" t="n">
        <f aca="false">G556/G545</f>
        <v>0.151337786337083</v>
      </c>
    </row>
    <row r="558" customFormat="false" ht="15" hidden="false" customHeight="false" outlineLevel="0" collapsed="false">
      <c r="A558" s="4" t="s">
        <v>527</v>
      </c>
      <c r="B558" s="0" t="s">
        <v>278</v>
      </c>
      <c r="C558" s="20" t="n">
        <f aca="false">a25_nonop</f>
        <v>0.0920000000000005</v>
      </c>
      <c r="D558" s="20" t="n">
        <f aca="false">a26_nonop</f>
        <v>0.384548</v>
      </c>
      <c r="E558" s="20" t="n">
        <f aca="false">nonop_f</f>
        <v>0.5</v>
      </c>
      <c r="F558" s="20" t="n">
        <f aca="false">nonop_f</f>
        <v>0.5</v>
      </c>
      <c r="G558" s="20" t="n">
        <f aca="false">nonop_f</f>
        <v>0.5</v>
      </c>
    </row>
    <row r="559" customFormat="false" ht="15" hidden="false" customHeight="false" outlineLevel="0" collapsed="false">
      <c r="A559" s="4" t="s">
        <v>529</v>
      </c>
      <c r="B559" s="0" t="s">
        <v>278</v>
      </c>
      <c r="C559" s="20" t="n">
        <f aca="false">C556+C558</f>
        <v>4.442</v>
      </c>
      <c r="D559" s="20" t="n">
        <f aca="false">D556+D558</f>
        <v>9.6700465</v>
      </c>
      <c r="E559" s="20" t="n">
        <f aca="false">E556+E558</f>
        <v>23.3760873974679</v>
      </c>
      <c r="F559" s="20" t="n">
        <f aca="false">F556+F558</f>
        <v>35.0589733940334</v>
      </c>
      <c r="G559" s="20" t="n">
        <f aca="false">G556+G558</f>
        <v>40.5220878286538</v>
      </c>
    </row>
    <row r="560" customFormat="false" ht="15" hidden="false" customHeight="false" outlineLevel="0" collapsed="false">
      <c r="A560" s="4" t="s">
        <v>531</v>
      </c>
      <c r="B560" s="0" t="s">
        <v>278</v>
      </c>
      <c r="C560" s="20" t="n">
        <f aca="false">a25_tax</f>
        <v>0.672</v>
      </c>
      <c r="D560" s="20" t="n">
        <f aca="false">a26_tax</f>
        <v>1.337361725</v>
      </c>
      <c r="E560" s="20" t="n">
        <f aca="false">E559*tax</f>
        <v>3.50641310962018</v>
      </c>
      <c r="F560" s="20" t="n">
        <f aca="false">F559*tax</f>
        <v>5.258846009105</v>
      </c>
      <c r="G560" s="20" t="n">
        <f aca="false">G559*tax</f>
        <v>6.07831317429806</v>
      </c>
    </row>
    <row r="561" customFormat="false" ht="15" hidden="false" customHeight="false" outlineLevel="0" collapsed="false">
      <c r="A561" s="4" t="s">
        <v>534</v>
      </c>
      <c r="B561" s="0" t="s">
        <v>278</v>
      </c>
      <c r="C561" s="20" t="n">
        <f aca="false">C559-C560</f>
        <v>3.77</v>
      </c>
      <c r="D561" s="20" t="n">
        <f aca="false">D559-D560</f>
        <v>8.332684775</v>
      </c>
      <c r="E561" s="20" t="n">
        <f aca="false">E559-E560</f>
        <v>19.8696742878477</v>
      </c>
      <c r="F561" s="20" t="n">
        <f aca="false">F559-F560</f>
        <v>29.8001273849284</v>
      </c>
      <c r="G561" s="20" t="n">
        <f aca="false">G559-G560</f>
        <v>34.4437746543557</v>
      </c>
      <c r="H561" s="28" t="n">
        <f aca="false">H545*H565</f>
        <v>37.1979129514843</v>
      </c>
      <c r="I561" s="28" t="n">
        <f aca="false">I545*I565</f>
        <v>39.073322430024</v>
      </c>
      <c r="J561" s="28" t="n">
        <f aca="false">J545*J565</f>
        <v>39.8879765162066</v>
      </c>
    </row>
    <row r="562" customFormat="false" ht="15" hidden="false" customHeight="false" outlineLevel="0" collapsed="false">
      <c r="A562" s="4" t="s">
        <v>312</v>
      </c>
      <c r="B562" s="4" t="s">
        <v>313</v>
      </c>
      <c r="C562" s="19" t="n">
        <f aca="false">a25_sh</f>
        <v>0.134020618556701</v>
      </c>
      <c r="D562" s="19" t="n">
        <f aca="false">a26_sh</f>
        <v>0.13399883744778</v>
      </c>
      <c r="E562" s="19" t="n">
        <f aca="false">q_sh*(1+sh_g)</f>
        <v>0.13401</v>
      </c>
      <c r="F562" s="19" t="n">
        <f aca="false">E562*(1+sh_g)</f>
        <v>0.13401</v>
      </c>
      <c r="G562" s="19" t="n">
        <f aca="false">F562*(1+sh_g)</f>
        <v>0.13401</v>
      </c>
      <c r="H562" s="30" t="n">
        <f aca="false">G562*(1+sh_g)</f>
        <v>0.13401</v>
      </c>
      <c r="I562" s="30" t="n">
        <f aca="false">H562*(1+sh_g)</f>
        <v>0.13401</v>
      </c>
      <c r="J562" s="30" t="n">
        <f aca="false">I562*(1+sh_g)</f>
        <v>0.13401</v>
      </c>
    </row>
    <row r="563" customFormat="false" ht="17.15" hidden="false" customHeight="false" outlineLevel="0" collapsed="false">
      <c r="A563" s="0" t="s">
        <v>538</v>
      </c>
      <c r="B563" s="0" t="s">
        <v>356</v>
      </c>
      <c r="C563" s="20" t="n">
        <f aca="false">C561/C562</f>
        <v>28.13</v>
      </c>
      <c r="D563" s="20" t="n">
        <f aca="false">D561/D562</f>
        <v>62.1847542389856</v>
      </c>
      <c r="E563" s="20" t="n">
        <f aca="false">E561/E562</f>
        <v>148.270086470022</v>
      </c>
      <c r="F563" s="20" t="n">
        <f aca="false">F561/F562</f>
        <v>222.372415378915</v>
      </c>
      <c r="G563" s="20" t="n">
        <f aca="false">G561/G562</f>
        <v>257.02391354642</v>
      </c>
      <c r="H563" s="28" t="n">
        <f aca="false">H561/H562</f>
        <v>277.575650708785</v>
      </c>
      <c r="I563" s="28" t="n">
        <f aca="false">I561/I562</f>
        <v>291.570199462906</v>
      </c>
      <c r="J563" s="28" t="n">
        <f aca="false">J561/J562</f>
        <v>297.649253907967</v>
      </c>
    </row>
    <row r="564" customFormat="false" ht="17.15" hidden="false" customHeight="false" outlineLevel="0" collapsed="false">
      <c r="A564" s="0" t="s">
        <v>661</v>
      </c>
      <c r="B564" s="0" t="s">
        <v>51</v>
      </c>
      <c r="D564" s="18" t="n">
        <f aca="false">D563/C563-1</f>
        <v>1.21062048485551</v>
      </c>
      <c r="E564" s="18" t="n">
        <f aca="false">E563/D563-1</f>
        <v>1.38434787247365</v>
      </c>
      <c r="F564" s="18" t="n">
        <f aca="false">F563/E563-1</f>
        <v>0.499779359903958</v>
      </c>
      <c r="G564" s="18" t="n">
        <f aca="false">G563/F563-1</f>
        <v>0.155826423472804</v>
      </c>
      <c r="H564" s="26" t="n">
        <f aca="false">H563/G563-1</f>
        <v>0.0799604086592258</v>
      </c>
      <c r="I564" s="26" t="n">
        <f aca="false">I563/H563-1</f>
        <v>0.0504170618654256</v>
      </c>
      <c r="J564" s="26" t="n">
        <f aca="false">J563/I563-1</f>
        <v>0.0208493682010691</v>
      </c>
    </row>
    <row r="565" customFormat="false" ht="17.15" hidden="false" customHeight="false" outlineLevel="0" collapsed="false">
      <c r="A565" s="4" t="s">
        <v>662</v>
      </c>
      <c r="B565" s="0" t="s">
        <v>51</v>
      </c>
      <c r="C565" s="9" t="n">
        <f aca="false">C561/C545</f>
        <v>0.11042441639085</v>
      </c>
      <c r="D565" s="9" t="n">
        <f aca="false">D561/D545</f>
        <v>0.1200382727405</v>
      </c>
      <c r="E565" s="9" t="n">
        <f aca="false">E561/E545</f>
        <v>0.126576389171568</v>
      </c>
      <c r="F565" s="9" t="n">
        <f aca="false">F561/F545</f>
        <v>0.129321850122669</v>
      </c>
      <c r="G565" s="9" t="n">
        <f aca="false">G561/G545</f>
        <v>0.130244194945561</v>
      </c>
      <c r="H565" s="27" t="n">
        <f aca="false">$G565+(fade_mA-$G565)*1/3</f>
        <v>0.125764587759547</v>
      </c>
      <c r="I565" s="27" t="n">
        <f aca="false">$G565+(fade_mA-$G565)*2/3</f>
        <v>0.121284980573533</v>
      </c>
      <c r="J565" s="27" t="n">
        <f aca="false">$G565+(fade_mA-$G565)*3/3</f>
        <v>0.116805373387519</v>
      </c>
    </row>
    <row r="568" customFormat="false" ht="17.15" hidden="false" customHeight="false" outlineLevel="0" collapsed="false">
      <c r="A568" s="1" t="s">
        <v>992</v>
      </c>
    </row>
    <row r="569" customFormat="false" ht="17.15" hidden="false" customHeight="false" outlineLevel="0" collapsed="false">
      <c r="A569" s="5" t="s">
        <v>27</v>
      </c>
      <c r="B569" s="5" t="s">
        <v>28</v>
      </c>
      <c r="C569" s="16" t="s">
        <v>497</v>
      </c>
      <c r="D569" s="16" t="s">
        <v>610</v>
      </c>
      <c r="E569" s="16" t="s">
        <v>611</v>
      </c>
      <c r="F569" s="16" t="s">
        <v>612</v>
      </c>
      <c r="G569" s="16" t="s">
        <v>613</v>
      </c>
      <c r="H569" s="16" t="s">
        <v>614</v>
      </c>
      <c r="I569" s="16" t="s">
        <v>615</v>
      </c>
      <c r="J569" s="16" t="s">
        <v>616</v>
      </c>
      <c r="K569" s="5" t="s">
        <v>450</v>
      </c>
    </row>
    <row r="570" customFormat="false" ht="17.15" hidden="false" customHeight="false" outlineLevel="0" collapsed="false">
      <c r="A570" s="6" t="s">
        <v>632</v>
      </c>
    </row>
    <row r="571" customFormat="false" ht="17.15" hidden="false" customHeight="false" outlineLevel="0" collapsed="false">
      <c r="A571" s="0" t="s">
        <v>633</v>
      </c>
      <c r="B571" s="4" t="s">
        <v>38</v>
      </c>
      <c r="D571" s="22" t="n">
        <f aca="false">u_tpu_26</f>
        <v>3.85</v>
      </c>
      <c r="E571" s="22" t="n">
        <f aca="false">u_tpu_27</f>
        <v>5.5</v>
      </c>
      <c r="F571" s="22" t="n">
        <f aca="false">u_tpu_28*um28_A</f>
        <v>7</v>
      </c>
      <c r="G571" s="22" t="n">
        <f aca="false">u_tpu_28*(1+g29_tpu)*um29_A</f>
        <v>8.05</v>
      </c>
    </row>
    <row r="572" customFormat="false" ht="17.15" hidden="false" customHeight="false" outlineLevel="0" collapsed="false">
      <c r="A572" s="0" t="s">
        <v>574</v>
      </c>
      <c r="B572" s="0" t="s">
        <v>70</v>
      </c>
      <c r="D572" s="22" t="n">
        <f aca="false">att26</f>
        <v>0.325</v>
      </c>
      <c r="E572" s="22" t="n">
        <f aca="false">MAX(0,att_A+0)</f>
        <v>0.6</v>
      </c>
      <c r="F572" s="22" t="n">
        <f aca="false">MAX(0,att_A+0)</f>
        <v>0.6</v>
      </c>
      <c r="G572" s="22" t="n">
        <f aca="false">MAX(0,att_A+0)</f>
        <v>0.6</v>
      </c>
    </row>
    <row r="573" customFormat="false" ht="17.15" hidden="false" customHeight="false" outlineLevel="0" collapsed="false">
      <c r="A573" s="4" t="s">
        <v>634</v>
      </c>
      <c r="B573" s="0" t="s">
        <v>51</v>
      </c>
      <c r="D573" s="18" t="n">
        <f aca="false">gsh26</f>
        <v>1</v>
      </c>
      <c r="E573" s="18" t="n">
        <f aca="false">gsh26</f>
        <v>1</v>
      </c>
      <c r="F573" s="18" t="n">
        <f aca="false">MIN(1,gsh28_A)</f>
        <v>1</v>
      </c>
      <c r="G573" s="18" t="n">
        <f aca="false">MIN(1,gsh28_A)</f>
        <v>1</v>
      </c>
    </row>
    <row r="574" customFormat="false" ht="17.15" hidden="false" customHeight="false" outlineLevel="0" collapsed="false">
      <c r="A574" s="4" t="s">
        <v>576</v>
      </c>
      <c r="B574" s="4" t="s">
        <v>38</v>
      </c>
      <c r="D574" s="22" t="n">
        <f aca="false">D571*D572*D573</f>
        <v>1.25125</v>
      </c>
      <c r="E574" s="22" t="n">
        <f aca="false">E571*E572*E573*1</f>
        <v>3.3</v>
      </c>
      <c r="F574" s="22" t="n">
        <f aca="false">F571*F572*F573*1</f>
        <v>4.2</v>
      </c>
      <c r="G574" s="22" t="n">
        <f aca="false">G571*G572*G573*1</f>
        <v>4.83</v>
      </c>
    </row>
    <row r="575" customFormat="false" ht="17.15" hidden="false" customHeight="false" outlineLevel="0" collapsed="false">
      <c r="A575" s="4" t="s">
        <v>635</v>
      </c>
      <c r="B575" s="0" t="s">
        <v>116</v>
      </c>
      <c r="D575" s="20" t="n">
        <f aca="false">pc_cpu</f>
        <v>1</v>
      </c>
      <c r="E575" s="20" t="n">
        <f aca="false">pc_cpu</f>
        <v>1</v>
      </c>
      <c r="F575" s="20" t="n">
        <f aca="false">pc_cpu*pfc_A</f>
        <v>1.2</v>
      </c>
      <c r="G575" s="20" t="n">
        <f aca="false">pc_cpu*pfc_A</f>
        <v>1.2</v>
      </c>
    </row>
    <row r="576" customFormat="false" ht="17.15" hidden="false" customHeight="false" outlineLevel="0" collapsed="false">
      <c r="A576" s="0" t="s">
        <v>636</v>
      </c>
      <c r="B576" s="0" t="s">
        <v>581</v>
      </c>
      <c r="D576" s="20" t="n">
        <f aca="false">D574*D575</f>
        <v>1.25125</v>
      </c>
      <c r="E576" s="20" t="n">
        <f aca="false">E574*E575</f>
        <v>3.3</v>
      </c>
      <c r="F576" s="20" t="n">
        <f aca="false">F574*F575</f>
        <v>5.04</v>
      </c>
      <c r="G576" s="20" t="n">
        <f aca="false">G574*G575</f>
        <v>5.796</v>
      </c>
    </row>
    <row r="577" customFormat="false" ht="17.15" hidden="false" customHeight="false" outlineLevel="0" collapsed="false">
      <c r="A577" s="0" t="s">
        <v>637</v>
      </c>
      <c r="B577" s="0" t="s">
        <v>70</v>
      </c>
      <c r="D577" s="22" t="n">
        <f aca="false">a26_cpu/fx26/D576</f>
        <v>0.842704434805701</v>
      </c>
      <c r="K577" s="8" t="s">
        <v>638</v>
      </c>
    </row>
    <row r="578" customFormat="false" ht="17.15" hidden="false" customHeight="false" outlineLevel="0" collapsed="false">
      <c r="A578" s="0" t="s">
        <v>639</v>
      </c>
      <c r="B578" s="0" t="s">
        <v>581</v>
      </c>
      <c r="D578" s="20" t="n">
        <f aca="false">D576*$D$577</f>
        <v>1.05443392405063</v>
      </c>
      <c r="E578" s="20" t="n">
        <f aca="false">E576*$D$577</f>
        <v>2.78092463485881</v>
      </c>
      <c r="F578" s="20" t="n">
        <f aca="false">F576*$D$577</f>
        <v>4.24723035142073</v>
      </c>
      <c r="G578" s="20" t="n">
        <f aca="false">G576*$D$577</f>
        <v>4.88431490413384</v>
      </c>
    </row>
    <row r="579" customFormat="false" ht="15" hidden="false" customHeight="false" outlineLevel="0" collapsed="false">
      <c r="A579" s="4" t="s">
        <v>640</v>
      </c>
      <c r="B579" s="0" t="s">
        <v>273</v>
      </c>
      <c r="D579" s="20" t="n">
        <f aca="false">fx26</f>
        <v>31.6</v>
      </c>
      <c r="E579" s="20" t="n">
        <f aca="false">fx</f>
        <v>32</v>
      </c>
      <c r="F579" s="20" t="n">
        <f aca="false">fx</f>
        <v>32</v>
      </c>
      <c r="G579" s="20" t="n">
        <f aca="false">fx</f>
        <v>32</v>
      </c>
    </row>
    <row r="580" customFormat="false" ht="17.15" hidden="false" customHeight="false" outlineLevel="0" collapsed="false">
      <c r="A580" s="0" t="s">
        <v>641</v>
      </c>
      <c r="B580" s="0" t="s">
        <v>278</v>
      </c>
      <c r="C580" s="20" t="n">
        <f aca="false">a25_cpu</f>
        <v>6.14538</v>
      </c>
      <c r="D580" s="20" t="n">
        <f aca="false">D578*D579</f>
        <v>33.320112</v>
      </c>
      <c r="E580" s="20" t="n">
        <f aca="false">E578*E579</f>
        <v>88.989588315482</v>
      </c>
      <c r="F580" s="20" t="n">
        <f aca="false">F578*F579</f>
        <v>135.911371245463</v>
      </c>
      <c r="G580" s="20" t="n">
        <f aca="false">G578*G579</f>
        <v>156.298076932283</v>
      </c>
    </row>
    <row r="581" customFormat="false" ht="17.15" hidden="false" customHeight="false" outlineLevel="0" collapsed="false">
      <c r="A581" s="4" t="s">
        <v>578</v>
      </c>
      <c r="B581" s="0" t="s">
        <v>116</v>
      </c>
      <c r="D581" s="20" t="n">
        <f aca="false">IF(D574&gt;0,D578/D574,0)</f>
        <v>0.842704434805701</v>
      </c>
      <c r="E581" s="20" t="n">
        <f aca="false">IF(E574&gt;0,E578/E574,0)</f>
        <v>0.842704434805701</v>
      </c>
      <c r="F581" s="20" t="n">
        <f aca="false">IF(F574&gt;0,F578/F574,0)</f>
        <v>1.01124532176684</v>
      </c>
      <c r="G581" s="20" t="n">
        <f aca="false">IF(G574&gt;0,G578/G574,0)</f>
        <v>1.01124532176684</v>
      </c>
    </row>
    <row r="582" customFormat="false" ht="17.15" hidden="false" customHeight="false" outlineLevel="0" collapsed="false">
      <c r="A582" s="6" t="s">
        <v>642</v>
      </c>
    </row>
    <row r="583" customFormat="false" ht="17.15" hidden="false" customHeight="false" outlineLevel="0" collapsed="false">
      <c r="A583" s="4" t="s">
        <v>643</v>
      </c>
      <c r="B583" s="4" t="s">
        <v>38</v>
      </c>
      <c r="D583" s="22" t="n">
        <f aca="false">u_oth_26</f>
        <v>1</v>
      </c>
      <c r="E583" s="22" t="n">
        <f aca="false">u_oth_27</f>
        <v>4.5</v>
      </c>
      <c r="F583" s="22" t="n">
        <f aca="false">u_oth_28*um28_A</f>
        <v>5</v>
      </c>
      <c r="G583" s="22" t="n">
        <f aca="false">u_oth_28*(1+g29_oth)*um29_A</f>
        <v>5.75</v>
      </c>
    </row>
    <row r="584" customFormat="false" ht="17.15" hidden="false" customHeight="false" outlineLevel="0" collapsed="false">
      <c r="A584" s="4" t="s">
        <v>584</v>
      </c>
      <c r="B584" s="0" t="s">
        <v>51</v>
      </c>
      <c r="D584" s="18" t="n">
        <f aca="false">guc_oth_26</f>
        <v>0.03</v>
      </c>
      <c r="E584" s="18" t="n">
        <f aca="false">MIN(1,MAX(0,go27_A+0))</f>
        <v>0.06</v>
      </c>
      <c r="F584" s="18" t="n">
        <f aca="false">MIN(1,MAX(0,go28_A+0))</f>
        <v>0.08</v>
      </c>
      <c r="G584" s="18" t="n">
        <f aca="false">MIN(1,MAX(0,go28_A+0))</f>
        <v>0.08</v>
      </c>
    </row>
    <row r="585" customFormat="false" ht="17.15" hidden="false" customHeight="false" outlineLevel="0" collapsed="false">
      <c r="A585" s="4" t="s">
        <v>586</v>
      </c>
      <c r="B585" s="4" t="s">
        <v>38</v>
      </c>
      <c r="D585" s="22" t="n">
        <f aca="false">D583*D584</f>
        <v>0.03</v>
      </c>
      <c r="E585" s="22" t="n">
        <f aca="false">E583*E584*1</f>
        <v>0.27</v>
      </c>
      <c r="F585" s="22" t="n">
        <f aca="false">F583*F584*1</f>
        <v>0.4</v>
      </c>
      <c r="G585" s="22" t="n">
        <f aca="false">G583*G584*1</f>
        <v>0.46</v>
      </c>
    </row>
    <row r="586" customFormat="false" ht="17.15" hidden="false" customHeight="false" outlineLevel="0" collapsed="false">
      <c r="A586" s="0" t="s">
        <v>644</v>
      </c>
      <c r="B586" s="0" t="s">
        <v>581</v>
      </c>
      <c r="D586" s="20" t="n">
        <f aca="false">D585*core_oth</f>
        <v>0.18</v>
      </c>
      <c r="E586" s="20" t="n">
        <f aca="false">E585*core_oth</f>
        <v>1.62</v>
      </c>
      <c r="F586" s="20" t="n">
        <f aca="false">F585*core_oth</f>
        <v>2.4</v>
      </c>
      <c r="G586" s="20" t="n">
        <f aca="false">G585*core_oth</f>
        <v>2.76</v>
      </c>
    </row>
    <row r="587" customFormat="false" ht="17.15" hidden="false" customHeight="false" outlineLevel="0" collapsed="false">
      <c r="A587" s="0" t="s">
        <v>645</v>
      </c>
      <c r="B587" s="0" t="s">
        <v>70</v>
      </c>
      <c r="D587" s="22" t="n">
        <f aca="false">a26_asic/fx26/D586</f>
        <v>0.366122890295359</v>
      </c>
      <c r="K587" s="8" t="s">
        <v>646</v>
      </c>
    </row>
    <row r="588" customFormat="false" ht="17.15" hidden="false" customHeight="false" outlineLevel="0" collapsed="false">
      <c r="A588" s="0" t="s">
        <v>647</v>
      </c>
      <c r="B588" s="0" t="s">
        <v>581</v>
      </c>
      <c r="D588" s="20" t="n">
        <f aca="false">D586*$D$587</f>
        <v>0.0659021202531645</v>
      </c>
      <c r="E588" s="20" t="n">
        <f aca="false">E586*$D$587</f>
        <v>0.593119082278481</v>
      </c>
      <c r="F588" s="20" t="n">
        <f aca="false">F586*$D$587</f>
        <v>0.878694936708861</v>
      </c>
      <c r="G588" s="20" t="n">
        <f aca="false">G586*$D$587</f>
        <v>1.01049917721519</v>
      </c>
    </row>
    <row r="589" customFormat="false" ht="17.15" hidden="false" customHeight="false" outlineLevel="0" collapsed="false">
      <c r="A589" s="0" t="s">
        <v>648</v>
      </c>
      <c r="B589" s="0" t="s">
        <v>278</v>
      </c>
      <c r="C589" s="20" t="n">
        <f aca="false">a25_asic</f>
        <v>1.70705</v>
      </c>
      <c r="D589" s="20" t="n">
        <f aca="false">D588*D579</f>
        <v>2.082507</v>
      </c>
      <c r="E589" s="20" t="n">
        <f aca="false">E588*E579</f>
        <v>18.9798106329114</v>
      </c>
      <c r="F589" s="20" t="n">
        <f aca="false">F588*F579</f>
        <v>28.1182379746835</v>
      </c>
      <c r="G589" s="20" t="n">
        <f aca="false">G588*G579</f>
        <v>32.3359736708861</v>
      </c>
    </row>
    <row r="590" customFormat="false" ht="17.15" hidden="false" customHeight="false" outlineLevel="0" collapsed="false">
      <c r="A590" s="6" t="s">
        <v>649</v>
      </c>
    </row>
    <row r="591" customFormat="false" ht="17.15" hidden="false" customHeight="false" outlineLevel="0" collapsed="false">
      <c r="A591" s="4" t="s">
        <v>650</v>
      </c>
      <c r="B591" s="0" t="s">
        <v>278</v>
      </c>
      <c r="C591" s="20" t="n">
        <f aca="false">a25_auto</f>
        <v>1.02423</v>
      </c>
      <c r="D591" s="20" t="n">
        <f aca="false">a26_auto</f>
        <v>3.470845</v>
      </c>
      <c r="E591" s="20" t="n">
        <f aca="false">D591*am27_C</f>
        <v>6.94169</v>
      </c>
      <c r="F591" s="20" t="n">
        <f aca="false">E591*am28_C</f>
        <v>8.330028</v>
      </c>
      <c r="G591" s="20" t="n">
        <f aca="false">F591*(1+ag29_C)</f>
        <v>8.330028</v>
      </c>
    </row>
    <row r="592" customFormat="false" ht="17.15" hidden="false" customHeight="false" outlineLevel="0" collapsed="false">
      <c r="A592" s="4" t="s">
        <v>651</v>
      </c>
      <c r="B592" s="0" t="s">
        <v>278</v>
      </c>
      <c r="C592" s="20" t="n">
        <f aca="false">a25_oth</f>
        <v>25.26434</v>
      </c>
      <c r="D592" s="20" t="n">
        <f aca="false">a26_oth</f>
        <v>30.543436</v>
      </c>
      <c r="E592" s="20" t="n">
        <f aca="false">D592*(1+g_o27_A)</f>
        <v>35.1249514</v>
      </c>
      <c r="F592" s="20" t="n">
        <f aca="false">E592*(1+g_oL_A)</f>
        <v>38.63744654</v>
      </c>
      <c r="G592" s="20" t="n">
        <f aca="false">F592*(1+g_oL_A)</f>
        <v>42.501191194</v>
      </c>
    </row>
    <row r="593" customFormat="false" ht="17.15" hidden="false" customHeight="false" outlineLevel="0" collapsed="false">
      <c r="A593" s="4" t="s">
        <v>503</v>
      </c>
      <c r="B593" s="0" t="s">
        <v>278</v>
      </c>
      <c r="C593" s="20" t="n">
        <f aca="false">C580+C589+C591+C592</f>
        <v>34.141</v>
      </c>
      <c r="D593" s="20" t="n">
        <f aca="false">D580+D589+D591+D592</f>
        <v>69.4169</v>
      </c>
      <c r="E593" s="20" t="n">
        <f aca="false">E580+E589+E591+E592</f>
        <v>150.036040348393</v>
      </c>
      <c r="F593" s="20" t="n">
        <f aca="false">F580+F589+F591+F592</f>
        <v>210.997083760147</v>
      </c>
      <c r="G593" s="20" t="n">
        <f aca="false">G580+G589+G591+G592</f>
        <v>239.465269797169</v>
      </c>
      <c r="H593" s="28" t="n">
        <f aca="false">G593*(1+H594)</f>
        <v>265.794025655347</v>
      </c>
      <c r="I593" s="28" t="n">
        <f aca="false">H593*(1+I594)</f>
        <v>288.379622938506</v>
      </c>
      <c r="J593" s="28" t="n">
        <f aca="false">I593*(1+J594)</f>
        <v>305.682400314817</v>
      </c>
      <c r="K593" s="8" t="s">
        <v>652</v>
      </c>
    </row>
    <row r="594" customFormat="false" ht="15" hidden="false" customHeight="false" outlineLevel="0" collapsed="false">
      <c r="A594" s="4" t="s">
        <v>653</v>
      </c>
      <c r="B594" s="0" t="s">
        <v>51</v>
      </c>
      <c r="D594" s="18" t="n">
        <f aca="false">D593/C593-1</f>
        <v>1.03324155707214</v>
      </c>
      <c r="E594" s="18" t="n">
        <f aca="false">E593/D593-1</f>
        <v>1.16137626930032</v>
      </c>
      <c r="F594" s="18" t="n">
        <f aca="false">F593/E593-1</f>
        <v>0.406309332545688</v>
      </c>
      <c r="G594" s="18" t="n">
        <f aca="false">G593/F593-1</f>
        <v>0.134922177736748</v>
      </c>
      <c r="H594" s="26" t="n">
        <f aca="false">$G594+(fade_gA-$G594)*1/3</f>
        <v>0.109948118491165</v>
      </c>
      <c r="I594" s="26" t="n">
        <f aca="false">$G594+(fade_gA-$G594)*2/3</f>
        <v>0.0849740592455826</v>
      </c>
      <c r="J594" s="26" t="n">
        <f aca="false">$G594+(fade_gA-$G594)*3/3</f>
        <v>0.06</v>
      </c>
    </row>
    <row r="595" customFormat="false" ht="17.15" hidden="false" customHeight="false" outlineLevel="0" collapsed="false">
      <c r="A595" s="0" t="s">
        <v>654</v>
      </c>
      <c r="B595" s="0" t="s">
        <v>51</v>
      </c>
      <c r="C595" s="18" t="n">
        <f aca="false">C580/C593</f>
        <v>0.18</v>
      </c>
      <c r="D595" s="18" t="n">
        <f aca="false">D580/D593</f>
        <v>0.48</v>
      </c>
      <c r="E595" s="18" t="n">
        <f aca="false">E580/E593</f>
        <v>0.593121413420685</v>
      </c>
      <c r="F595" s="18" t="n">
        <f aca="false">F580/F593</f>
        <v>0.644138624209432</v>
      </c>
      <c r="G595" s="18" t="n">
        <f aca="false">G580/G593</f>
        <v>0.65269622214808</v>
      </c>
    </row>
    <row r="596" customFormat="false" ht="17.15" hidden="false" customHeight="false" outlineLevel="0" collapsed="false">
      <c r="A596" s="4" t="s">
        <v>655</v>
      </c>
      <c r="B596" s="0" t="s">
        <v>51</v>
      </c>
      <c r="C596" s="18" t="n">
        <f aca="false">C591/C593</f>
        <v>0.03</v>
      </c>
      <c r="D596" s="18" t="n">
        <f aca="false">D591/D593</f>
        <v>0.05</v>
      </c>
      <c r="E596" s="18" t="n">
        <f aca="false">E591/E593</f>
        <v>0.0462668168520107</v>
      </c>
      <c r="F596" s="18" t="n">
        <f aca="false">F591/F593</f>
        <v>0.039479351332975</v>
      </c>
      <c r="G596" s="18" t="n">
        <f aca="false">G591/G593</f>
        <v>0.0347859545856302</v>
      </c>
    </row>
    <row r="597" customFormat="false" ht="17.15" hidden="false" customHeight="false" outlineLevel="0" collapsed="false">
      <c r="A597" s="6" t="s">
        <v>656</v>
      </c>
    </row>
    <row r="598" customFormat="false" ht="17.15" hidden="false" customHeight="false" outlineLevel="0" collapsed="false">
      <c r="A598" s="0" t="s">
        <v>657</v>
      </c>
      <c r="B598" s="0" t="s">
        <v>278</v>
      </c>
      <c r="D598" s="20" t="n">
        <f aca="false">m_tk*(D580+D589)</f>
        <v>4.60234047</v>
      </c>
      <c r="E598" s="20" t="n">
        <f aca="false">(m_tk+gta_A)*(E580+E589)</f>
        <v>15.1157158527751</v>
      </c>
      <c r="F598" s="20" t="n">
        <f aca="false">(m_tk+gta_A)*(F580+F589)</f>
        <v>22.9641452908206</v>
      </c>
      <c r="G598" s="20" t="n">
        <f aca="false">(m_tk+gta_A)*(G580+G589)</f>
        <v>26.4087670844437</v>
      </c>
    </row>
    <row r="599" customFormat="false" ht="17.15" hidden="false" customHeight="false" outlineLevel="0" collapsed="false">
      <c r="A599" s="4" t="s">
        <v>658</v>
      </c>
      <c r="B599" s="0" t="s">
        <v>278</v>
      </c>
      <c r="D599" s="20" t="n">
        <f aca="false">m_auto*D591</f>
        <v>0.5553352</v>
      </c>
      <c r="E599" s="20" t="n">
        <f aca="false">m_auto*E591</f>
        <v>1.1106704</v>
      </c>
      <c r="F599" s="20" t="n">
        <f aca="false">m_auto*F591</f>
        <v>1.33280448</v>
      </c>
      <c r="G599" s="20" t="n">
        <f aca="false">m_auto*G591</f>
        <v>1.33280448</v>
      </c>
    </row>
    <row r="600" customFormat="false" ht="17.15" hidden="false" customHeight="false" outlineLevel="0" collapsed="false">
      <c r="A600" s="4" t="s">
        <v>659</v>
      </c>
      <c r="B600" s="0" t="s">
        <v>51</v>
      </c>
      <c r="C600" s="9" t="n">
        <f aca="false">(a25_gp-m_tk*(C580+C589)-m_auto*C591)/C592</f>
        <v>0.287729950594395</v>
      </c>
      <c r="D600" s="9" t="n">
        <f aca="false">(a26_gp-D598-D599)/D592</f>
        <v>0.310829299951715</v>
      </c>
      <c r="E600" s="9" t="n">
        <f aca="false">$D600+0</f>
        <v>0.310829299951715</v>
      </c>
      <c r="F600" s="9" t="n">
        <f aca="false">$D600+0</f>
        <v>0.310829299951715</v>
      </c>
      <c r="G600" s="9" t="n">
        <f aca="false">$D600+0</f>
        <v>0.310829299951715</v>
      </c>
      <c r="K600" s="8" t="s">
        <v>660</v>
      </c>
    </row>
    <row r="601" customFormat="false" ht="15" hidden="false" customHeight="false" outlineLevel="0" collapsed="false">
      <c r="A601" s="4" t="s">
        <v>516</v>
      </c>
      <c r="B601" s="0" t="s">
        <v>278</v>
      </c>
      <c r="C601" s="20" t="n">
        <f aca="false">a25_gp</f>
        <v>8.454</v>
      </c>
      <c r="D601" s="20" t="n">
        <f aca="false">a26_gp</f>
        <v>14.6514705</v>
      </c>
      <c r="E601" s="20" t="n">
        <f aca="false">E600*E592+E598+E599</f>
        <v>27.1442503072751</v>
      </c>
      <c r="F601" s="20" t="n">
        <f aca="false">F600*F592+F598+F599</f>
        <v>36.3066002307706</v>
      </c>
      <c r="G601" s="20" t="n">
        <f aca="false">G600*G592+G598+G599</f>
        <v>40.9521870703887</v>
      </c>
    </row>
    <row r="602" customFormat="false" ht="15" hidden="false" customHeight="false" outlineLevel="0" collapsed="false">
      <c r="A602" s="4" t="s">
        <v>519</v>
      </c>
      <c r="B602" s="0" t="s">
        <v>51</v>
      </c>
      <c r="C602" s="9" t="n">
        <f aca="false">C601/C593</f>
        <v>0.247620163439852</v>
      </c>
      <c r="D602" s="9" t="n">
        <f aca="false">D601/D593</f>
        <v>0.211064891978754</v>
      </c>
      <c r="E602" s="9" t="n">
        <f aca="false">E601/E593</f>
        <v>0.180918199682186</v>
      </c>
      <c r="F602" s="9" t="n">
        <f aca="false">F601/F593</f>
        <v>0.172071573614934</v>
      </c>
      <c r="G602" s="9" t="n">
        <f aca="false">G601/G593</f>
        <v>0.171015141799376</v>
      </c>
    </row>
    <row r="603" customFormat="false" ht="15" hidden="false" customHeight="false" outlineLevel="0" collapsed="false">
      <c r="A603" s="4" t="s">
        <v>521</v>
      </c>
      <c r="B603" s="0" t="s">
        <v>278</v>
      </c>
      <c r="C603" s="20" t="n">
        <f aca="false">a25_opx</f>
        <v>4.104</v>
      </c>
      <c r="D603" s="20" t="n">
        <f aca="false">a26_opx</f>
        <v>5.365972</v>
      </c>
      <c r="E603" s="20" t="n">
        <f aca="false">D603*(1+MAX(g_opx_min,phi*E594))+0*E593</f>
        <v>7.23554576275899</v>
      </c>
      <c r="F603" s="20" t="n">
        <f aca="false">E603*(1+MAX(g_opx_min,phi*F594))+0*F593</f>
        <v>8.11750669360011</v>
      </c>
      <c r="G603" s="20" t="n">
        <f aca="false">F603*(1+MAX(g_opx_min,phi*G594))+0*G593</f>
        <v>8.76690722908812</v>
      </c>
    </row>
    <row r="604" customFormat="false" ht="15" hidden="false" customHeight="false" outlineLevel="0" collapsed="false">
      <c r="A604" s="4" t="s">
        <v>524</v>
      </c>
      <c r="B604" s="0" t="s">
        <v>278</v>
      </c>
      <c r="C604" s="20" t="n">
        <f aca="false">C601-C603</f>
        <v>4.35</v>
      </c>
      <c r="D604" s="20" t="n">
        <f aca="false">D601-D603</f>
        <v>9.2854985</v>
      </c>
      <c r="E604" s="20" t="n">
        <f aca="false">E601-E603</f>
        <v>19.9087045445161</v>
      </c>
      <c r="F604" s="20" t="n">
        <f aca="false">F601-F603</f>
        <v>28.1890935371705</v>
      </c>
      <c r="G604" s="20" t="n">
        <f aca="false">G601-G603</f>
        <v>32.1852798413005</v>
      </c>
    </row>
    <row r="605" customFormat="false" ht="15" hidden="false" customHeight="false" outlineLevel="0" collapsed="false">
      <c r="A605" s="4" t="s">
        <v>621</v>
      </c>
      <c r="B605" s="0" t="s">
        <v>51</v>
      </c>
      <c r="C605" s="9" t="n">
        <f aca="false">C604/C593</f>
        <v>0.127412788143288</v>
      </c>
      <c r="D605" s="9" t="n">
        <f aca="false">D604/D593</f>
        <v>0.13376423464603</v>
      </c>
      <c r="E605" s="9" t="n">
        <f aca="false">E604/E593</f>
        <v>0.132692814994896</v>
      </c>
      <c r="F605" s="9" t="n">
        <f aca="false">F604/F593</f>
        <v>0.133599446185781</v>
      </c>
      <c r="G605" s="9" t="n">
        <f aca="false">G604/G593</f>
        <v>0.134404792263037</v>
      </c>
    </row>
    <row r="606" customFormat="false" ht="15" hidden="false" customHeight="false" outlineLevel="0" collapsed="false">
      <c r="A606" s="4" t="s">
        <v>527</v>
      </c>
      <c r="B606" s="0" t="s">
        <v>278</v>
      </c>
      <c r="C606" s="20" t="n">
        <f aca="false">a25_nonop</f>
        <v>0.0920000000000005</v>
      </c>
      <c r="D606" s="20" t="n">
        <f aca="false">a26_nonop</f>
        <v>0.384548</v>
      </c>
      <c r="E606" s="20" t="n">
        <f aca="false">nonop_f</f>
        <v>0.5</v>
      </c>
      <c r="F606" s="20" t="n">
        <f aca="false">nonop_f</f>
        <v>0.5</v>
      </c>
      <c r="G606" s="20" t="n">
        <f aca="false">nonop_f</f>
        <v>0.5</v>
      </c>
    </row>
    <row r="607" customFormat="false" ht="15" hidden="false" customHeight="false" outlineLevel="0" collapsed="false">
      <c r="A607" s="4" t="s">
        <v>529</v>
      </c>
      <c r="B607" s="0" t="s">
        <v>278</v>
      </c>
      <c r="C607" s="20" t="n">
        <f aca="false">C604+C606</f>
        <v>4.442</v>
      </c>
      <c r="D607" s="20" t="n">
        <f aca="false">D604+D606</f>
        <v>9.6700465</v>
      </c>
      <c r="E607" s="20" t="n">
        <f aca="false">E604+E606</f>
        <v>20.4087045445161</v>
      </c>
      <c r="F607" s="20" t="n">
        <f aca="false">F604+F606</f>
        <v>28.6890935371705</v>
      </c>
      <c r="G607" s="20" t="n">
        <f aca="false">G604+G606</f>
        <v>32.6852798413005</v>
      </c>
    </row>
    <row r="608" customFormat="false" ht="15" hidden="false" customHeight="false" outlineLevel="0" collapsed="false">
      <c r="A608" s="4" t="s">
        <v>531</v>
      </c>
      <c r="B608" s="0" t="s">
        <v>278</v>
      </c>
      <c r="C608" s="20" t="n">
        <f aca="false">a25_tax</f>
        <v>0.672</v>
      </c>
      <c r="D608" s="20" t="n">
        <f aca="false">a26_tax</f>
        <v>1.337361725</v>
      </c>
      <c r="E608" s="20" t="n">
        <f aca="false">E607*tax</f>
        <v>3.06130568167741</v>
      </c>
      <c r="F608" s="20" t="n">
        <f aca="false">F607*tax</f>
        <v>4.30336403057557</v>
      </c>
      <c r="G608" s="20" t="n">
        <f aca="false">G607*tax</f>
        <v>4.90279197619508</v>
      </c>
    </row>
    <row r="609" customFormat="false" ht="15" hidden="false" customHeight="false" outlineLevel="0" collapsed="false">
      <c r="A609" s="4" t="s">
        <v>534</v>
      </c>
      <c r="B609" s="0" t="s">
        <v>278</v>
      </c>
      <c r="C609" s="20" t="n">
        <f aca="false">C607-C608</f>
        <v>3.77</v>
      </c>
      <c r="D609" s="20" t="n">
        <f aca="false">D607-D608</f>
        <v>8.332684775</v>
      </c>
      <c r="E609" s="20" t="n">
        <f aca="false">E607-E608</f>
        <v>17.3473988628387</v>
      </c>
      <c r="F609" s="20" t="n">
        <f aca="false">F607-F608</f>
        <v>24.3857295065949</v>
      </c>
      <c r="G609" s="20" t="n">
        <f aca="false">G607-G608</f>
        <v>27.7824878651055</v>
      </c>
      <c r="H609" s="28" t="n">
        <f aca="false">H593*H613</f>
        <v>30.9068035588665</v>
      </c>
      <c r="I609" s="28" t="n">
        <f aca="false">I593*I613</f>
        <v>33.6086848251266</v>
      </c>
      <c r="J609" s="28" t="n">
        <f aca="false">J593*J613</f>
        <v>35.7053469067651</v>
      </c>
    </row>
    <row r="610" customFormat="false" ht="15" hidden="false" customHeight="false" outlineLevel="0" collapsed="false">
      <c r="A610" s="4" t="s">
        <v>312</v>
      </c>
      <c r="B610" s="4" t="s">
        <v>313</v>
      </c>
      <c r="C610" s="19" t="n">
        <f aca="false">a25_sh</f>
        <v>0.134020618556701</v>
      </c>
      <c r="D610" s="19" t="n">
        <f aca="false">a26_sh</f>
        <v>0.13399883744778</v>
      </c>
      <c r="E610" s="19" t="n">
        <f aca="false">q_sh*(1+sh_g)</f>
        <v>0.13401</v>
      </c>
      <c r="F610" s="19" t="n">
        <f aca="false">E610*(1+sh_g)</f>
        <v>0.13401</v>
      </c>
      <c r="G610" s="19" t="n">
        <f aca="false">F610*(1+sh_g)</f>
        <v>0.13401</v>
      </c>
      <c r="H610" s="30" t="n">
        <f aca="false">G610*(1+sh_g)</f>
        <v>0.13401</v>
      </c>
      <c r="I610" s="30" t="n">
        <f aca="false">H610*(1+sh_g)</f>
        <v>0.13401</v>
      </c>
      <c r="J610" s="30" t="n">
        <f aca="false">I610*(1+sh_g)</f>
        <v>0.13401</v>
      </c>
    </row>
    <row r="611" customFormat="false" ht="17.15" hidden="false" customHeight="false" outlineLevel="0" collapsed="false">
      <c r="A611" s="0" t="s">
        <v>538</v>
      </c>
      <c r="B611" s="0" t="s">
        <v>356</v>
      </c>
      <c r="C611" s="20" t="n">
        <f aca="false">C609/C610</f>
        <v>28.13</v>
      </c>
      <c r="D611" s="20" t="n">
        <f aca="false">D609/D610</f>
        <v>62.1847542389856</v>
      </c>
      <c r="E611" s="20" t="n">
        <f aca="false">E609/E610</f>
        <v>129.44854013013</v>
      </c>
      <c r="F611" s="20" t="n">
        <f aca="false">F609/F610</f>
        <v>181.969476207708</v>
      </c>
      <c r="G611" s="20" t="n">
        <f aca="false">G609/G610</f>
        <v>207.316527610667</v>
      </c>
      <c r="H611" s="28" t="n">
        <f aca="false">H609/H610</f>
        <v>230.630576515681</v>
      </c>
      <c r="I611" s="28" t="n">
        <f aca="false">I609/I610</f>
        <v>250.792364936397</v>
      </c>
      <c r="J611" s="28" t="n">
        <f aca="false">J609/J610</f>
        <v>266.437929309493</v>
      </c>
    </row>
    <row r="612" customFormat="false" ht="17.15" hidden="false" customHeight="false" outlineLevel="0" collapsed="false">
      <c r="A612" s="0" t="s">
        <v>661</v>
      </c>
      <c r="B612" s="0" t="s">
        <v>51</v>
      </c>
      <c r="D612" s="18" t="n">
        <f aca="false">D611/C611-1</f>
        <v>1.21062048485551</v>
      </c>
      <c r="E612" s="18" t="n">
        <f aca="false">E611/D611-1</f>
        <v>1.08167647704514</v>
      </c>
      <c r="F612" s="18" t="n">
        <f aca="false">F611/E611-1</f>
        <v>0.405728299637684</v>
      </c>
      <c r="G612" s="18" t="n">
        <f aca="false">G611/F611-1</f>
        <v>0.139292874449048</v>
      </c>
      <c r="H612" s="26" t="n">
        <f aca="false">H611/G611-1</f>
        <v>0.112456296532216</v>
      </c>
      <c r="I612" s="26" t="n">
        <f aca="false">I611/H611-1</f>
        <v>0.0874202749926576</v>
      </c>
      <c r="J612" s="26" t="n">
        <f aca="false">J611/I611-1</f>
        <v>0.0623845322287346</v>
      </c>
    </row>
    <row r="613" customFormat="false" ht="17.15" hidden="false" customHeight="false" outlineLevel="0" collapsed="false">
      <c r="A613" s="4" t="s">
        <v>662</v>
      </c>
      <c r="B613" s="0" t="s">
        <v>51</v>
      </c>
      <c r="C613" s="9" t="n">
        <f aca="false">C609/C593</f>
        <v>0.11042441639085</v>
      </c>
      <c r="D613" s="9" t="n">
        <f aca="false">D609/D593</f>
        <v>0.1200382727405</v>
      </c>
      <c r="E613" s="9" t="n">
        <f aca="false">E609/E593</f>
        <v>0.115621545480385</v>
      </c>
      <c r="F613" s="9" t="n">
        <f aca="false">F609/F593</f>
        <v>0.115573775106369</v>
      </c>
      <c r="G613" s="9" t="n">
        <f aca="false">G609/G593</f>
        <v>0.116018861059216</v>
      </c>
      <c r="H613" s="27" t="n">
        <f aca="false">$G613+(fade_mA-$G613)*1/3</f>
        <v>0.116281031835317</v>
      </c>
      <c r="I613" s="27" t="n">
        <f aca="false">$G613+(fade_mA-$G613)*2/3</f>
        <v>0.116543202611418</v>
      </c>
      <c r="J613" s="27" t="n">
        <f aca="false">$G613+(fade_mA-$G613)*3/3</f>
        <v>0.116805373387519</v>
      </c>
    </row>
    <row r="616" customFormat="false" ht="17.15" hidden="false" customHeight="false" outlineLevel="0" collapsed="false">
      <c r="A616" s="1" t="s">
        <v>993</v>
      </c>
    </row>
    <row r="617" customFormat="false" ht="17.15" hidden="false" customHeight="false" outlineLevel="0" collapsed="false">
      <c r="A617" s="5" t="s">
        <v>27</v>
      </c>
      <c r="B617" s="5" t="s">
        <v>28</v>
      </c>
      <c r="C617" s="16" t="s">
        <v>497</v>
      </c>
      <c r="D617" s="16" t="s">
        <v>610</v>
      </c>
      <c r="E617" s="16" t="s">
        <v>611</v>
      </c>
      <c r="F617" s="16" t="s">
        <v>612</v>
      </c>
      <c r="G617" s="16" t="s">
        <v>613</v>
      </c>
      <c r="H617" s="16" t="s">
        <v>614</v>
      </c>
      <c r="I617" s="16" t="s">
        <v>615</v>
      </c>
      <c r="J617" s="16" t="s">
        <v>616</v>
      </c>
      <c r="K617" s="5" t="s">
        <v>450</v>
      </c>
    </row>
    <row r="618" customFormat="false" ht="17.15" hidden="false" customHeight="false" outlineLevel="0" collapsed="false">
      <c r="A618" s="6" t="s">
        <v>632</v>
      </c>
    </row>
    <row r="619" customFormat="false" ht="17.15" hidden="false" customHeight="false" outlineLevel="0" collapsed="false">
      <c r="A619" s="0" t="s">
        <v>633</v>
      </c>
      <c r="B619" s="4" t="s">
        <v>38</v>
      </c>
      <c r="D619" s="22" t="n">
        <f aca="false">u_tpu_26</f>
        <v>3.85</v>
      </c>
      <c r="E619" s="22" t="n">
        <f aca="false">u_tpu_27</f>
        <v>5.5</v>
      </c>
      <c r="F619" s="22" t="n">
        <f aca="false">u_tpu_28*um28_A</f>
        <v>7</v>
      </c>
      <c r="G619" s="22" t="n">
        <f aca="false">u_tpu_28*(1+g29_tpu)*um29_A</f>
        <v>8.05</v>
      </c>
    </row>
    <row r="620" customFormat="false" ht="17.15" hidden="false" customHeight="false" outlineLevel="0" collapsed="false">
      <c r="A620" s="0" t="s">
        <v>574</v>
      </c>
      <c r="B620" s="0" t="s">
        <v>70</v>
      </c>
      <c r="D620" s="22" t="n">
        <f aca="false">att26</f>
        <v>0.325</v>
      </c>
      <c r="E620" s="22" t="n">
        <f aca="false">MAX(0,att_A+0)</f>
        <v>0.6</v>
      </c>
      <c r="F620" s="22" t="n">
        <f aca="false">MAX(0,att_A+0)</f>
        <v>0.6</v>
      </c>
      <c r="G620" s="22" t="n">
        <f aca="false">MAX(0,att_A+0)</f>
        <v>0.6</v>
      </c>
    </row>
    <row r="621" customFormat="false" ht="17.15" hidden="false" customHeight="false" outlineLevel="0" collapsed="false">
      <c r="A621" s="4" t="s">
        <v>634</v>
      </c>
      <c r="B621" s="0" t="s">
        <v>51</v>
      </c>
      <c r="D621" s="18" t="n">
        <f aca="false">gsh26</f>
        <v>1</v>
      </c>
      <c r="E621" s="18" t="n">
        <f aca="false">gsh26</f>
        <v>1</v>
      </c>
      <c r="F621" s="18" t="n">
        <f aca="false">MIN(1,gsh28_A)</f>
        <v>1</v>
      </c>
      <c r="G621" s="18" t="n">
        <f aca="false">MIN(1,gsh28_A)</f>
        <v>1</v>
      </c>
    </row>
    <row r="622" customFormat="false" ht="17.15" hidden="false" customHeight="false" outlineLevel="0" collapsed="false">
      <c r="A622" s="4" t="s">
        <v>576</v>
      </c>
      <c r="B622" s="4" t="s">
        <v>38</v>
      </c>
      <c r="D622" s="22" t="n">
        <f aca="false">D619*D620*D621</f>
        <v>1.25125</v>
      </c>
      <c r="E622" s="22" t="n">
        <f aca="false">E619*E620*E621*1</f>
        <v>3.3</v>
      </c>
      <c r="F622" s="22" t="n">
        <f aca="false">F619*F620*F621*1</f>
        <v>4.2</v>
      </c>
      <c r="G622" s="22" t="n">
        <f aca="false">G619*G620*G621*1</f>
        <v>4.83</v>
      </c>
    </row>
    <row r="623" customFormat="false" ht="17.15" hidden="false" customHeight="false" outlineLevel="0" collapsed="false">
      <c r="A623" s="4" t="s">
        <v>635</v>
      </c>
      <c r="B623" s="0" t="s">
        <v>116</v>
      </c>
      <c r="D623" s="20" t="n">
        <f aca="false">pc_cpu</f>
        <v>1</v>
      </c>
      <c r="E623" s="20" t="n">
        <f aca="false">pc_cpu</f>
        <v>1</v>
      </c>
      <c r="F623" s="20" t="n">
        <f aca="false">pc_cpu*pfc_A</f>
        <v>1.2</v>
      </c>
      <c r="G623" s="20" t="n">
        <f aca="false">pc_cpu*pfc_A</f>
        <v>1.2</v>
      </c>
    </row>
    <row r="624" customFormat="false" ht="17.15" hidden="false" customHeight="false" outlineLevel="0" collapsed="false">
      <c r="A624" s="0" t="s">
        <v>636</v>
      </c>
      <c r="B624" s="0" t="s">
        <v>581</v>
      </c>
      <c r="D624" s="20" t="n">
        <f aca="false">D622*D623</f>
        <v>1.25125</v>
      </c>
      <c r="E624" s="20" t="n">
        <f aca="false">E622*E623</f>
        <v>3.3</v>
      </c>
      <c r="F624" s="20" t="n">
        <f aca="false">F622*F623</f>
        <v>5.04</v>
      </c>
      <c r="G624" s="20" t="n">
        <f aca="false">G622*G623</f>
        <v>5.796</v>
      </c>
    </row>
    <row r="625" customFormat="false" ht="17.15" hidden="false" customHeight="false" outlineLevel="0" collapsed="false">
      <c r="A625" s="0" t="s">
        <v>637</v>
      </c>
      <c r="B625" s="0" t="s">
        <v>70</v>
      </c>
      <c r="D625" s="22" t="n">
        <f aca="false">a26_cpu/fx26/D624</f>
        <v>0.842704434805701</v>
      </c>
      <c r="K625" s="8" t="s">
        <v>638</v>
      </c>
    </row>
    <row r="626" customFormat="false" ht="17.15" hidden="false" customHeight="false" outlineLevel="0" collapsed="false">
      <c r="A626" s="0" t="s">
        <v>639</v>
      </c>
      <c r="B626" s="0" t="s">
        <v>581</v>
      </c>
      <c r="D626" s="20" t="n">
        <f aca="false">D624*$D$625</f>
        <v>1.05443392405063</v>
      </c>
      <c r="E626" s="20" t="n">
        <f aca="false">E624*$D$625</f>
        <v>2.78092463485881</v>
      </c>
      <c r="F626" s="20" t="n">
        <f aca="false">F624*$D$625</f>
        <v>4.24723035142073</v>
      </c>
      <c r="G626" s="20" t="n">
        <f aca="false">G624*$D$625</f>
        <v>4.88431490413384</v>
      </c>
    </row>
    <row r="627" customFormat="false" ht="15" hidden="false" customHeight="false" outlineLevel="0" collapsed="false">
      <c r="A627" s="4" t="s">
        <v>640</v>
      </c>
      <c r="B627" s="0" t="s">
        <v>273</v>
      </c>
      <c r="D627" s="20" t="n">
        <f aca="false">fx26</f>
        <v>31.6</v>
      </c>
      <c r="E627" s="20" t="n">
        <f aca="false">fx</f>
        <v>32</v>
      </c>
      <c r="F627" s="20" t="n">
        <f aca="false">fx</f>
        <v>32</v>
      </c>
      <c r="G627" s="20" t="n">
        <f aca="false">fx</f>
        <v>32</v>
      </c>
    </row>
    <row r="628" customFormat="false" ht="17.15" hidden="false" customHeight="false" outlineLevel="0" collapsed="false">
      <c r="A628" s="0" t="s">
        <v>641</v>
      </c>
      <c r="B628" s="0" t="s">
        <v>278</v>
      </c>
      <c r="C628" s="20" t="n">
        <f aca="false">a25_cpu</f>
        <v>6.14538</v>
      </c>
      <c r="D628" s="20" t="n">
        <f aca="false">D626*D627</f>
        <v>33.320112</v>
      </c>
      <c r="E628" s="20" t="n">
        <f aca="false">E626*E627</f>
        <v>88.989588315482</v>
      </c>
      <c r="F628" s="20" t="n">
        <f aca="false">F626*F627</f>
        <v>135.911371245463</v>
      </c>
      <c r="G628" s="20" t="n">
        <f aca="false">G626*G627</f>
        <v>156.298076932283</v>
      </c>
    </row>
    <row r="629" customFormat="false" ht="17.15" hidden="false" customHeight="false" outlineLevel="0" collapsed="false">
      <c r="A629" s="4" t="s">
        <v>578</v>
      </c>
      <c r="B629" s="0" t="s">
        <v>116</v>
      </c>
      <c r="D629" s="20" t="n">
        <f aca="false">IF(D622&gt;0,D626/D622,0)</f>
        <v>0.842704434805701</v>
      </c>
      <c r="E629" s="20" t="n">
        <f aca="false">IF(E622&gt;0,E626/E622,0)</f>
        <v>0.842704434805701</v>
      </c>
      <c r="F629" s="20" t="n">
        <f aca="false">IF(F622&gt;0,F626/F622,0)</f>
        <v>1.01124532176684</v>
      </c>
      <c r="G629" s="20" t="n">
        <f aca="false">IF(G622&gt;0,G626/G622,0)</f>
        <v>1.01124532176684</v>
      </c>
    </row>
    <row r="630" customFormat="false" ht="17.15" hidden="false" customHeight="false" outlineLevel="0" collapsed="false">
      <c r="A630" s="6" t="s">
        <v>642</v>
      </c>
    </row>
    <row r="631" customFormat="false" ht="17.15" hidden="false" customHeight="false" outlineLevel="0" collapsed="false">
      <c r="A631" s="4" t="s">
        <v>643</v>
      </c>
      <c r="B631" s="4" t="s">
        <v>38</v>
      </c>
      <c r="D631" s="22" t="n">
        <f aca="false">u_oth_26</f>
        <v>1</v>
      </c>
      <c r="E631" s="22" t="n">
        <f aca="false">u_oth_27</f>
        <v>4.5</v>
      </c>
      <c r="F631" s="22" t="n">
        <f aca="false">u_oth_28*um28_A</f>
        <v>5</v>
      </c>
      <c r="G631" s="22" t="n">
        <f aca="false">u_oth_28*(1+g29_oth)*um29_A</f>
        <v>5.75</v>
      </c>
    </row>
    <row r="632" customFormat="false" ht="17.15" hidden="false" customHeight="false" outlineLevel="0" collapsed="false">
      <c r="A632" s="4" t="s">
        <v>584</v>
      </c>
      <c r="B632" s="0" t="s">
        <v>51</v>
      </c>
      <c r="D632" s="18" t="n">
        <f aca="false">guc_oth_26</f>
        <v>0.03</v>
      </c>
      <c r="E632" s="18" t="n">
        <f aca="false">MIN(1,MAX(0,go27_A+0))</f>
        <v>0.06</v>
      </c>
      <c r="F632" s="18" t="n">
        <f aca="false">MIN(1,MAX(0,go28_A+0))</f>
        <v>0.08</v>
      </c>
      <c r="G632" s="18" t="n">
        <f aca="false">MIN(1,MAX(0,go28_A+0))</f>
        <v>0.08</v>
      </c>
    </row>
    <row r="633" customFormat="false" ht="17.15" hidden="false" customHeight="false" outlineLevel="0" collapsed="false">
      <c r="A633" s="4" t="s">
        <v>586</v>
      </c>
      <c r="B633" s="4" t="s">
        <v>38</v>
      </c>
      <c r="D633" s="22" t="n">
        <f aca="false">D631*D632</f>
        <v>0.03</v>
      </c>
      <c r="E633" s="22" t="n">
        <f aca="false">E631*E632*1</f>
        <v>0.27</v>
      </c>
      <c r="F633" s="22" t="n">
        <f aca="false">F631*F632*1</f>
        <v>0.4</v>
      </c>
      <c r="G633" s="22" t="n">
        <f aca="false">G631*G632*1</f>
        <v>0.46</v>
      </c>
    </row>
    <row r="634" customFormat="false" ht="17.15" hidden="false" customHeight="false" outlineLevel="0" collapsed="false">
      <c r="A634" s="0" t="s">
        <v>644</v>
      </c>
      <c r="B634" s="0" t="s">
        <v>581</v>
      </c>
      <c r="D634" s="20" t="n">
        <f aca="false">D633*core_oth</f>
        <v>0.18</v>
      </c>
      <c r="E634" s="20" t="n">
        <f aca="false">E633*core_oth</f>
        <v>1.62</v>
      </c>
      <c r="F634" s="20" t="n">
        <f aca="false">F633*core_oth</f>
        <v>2.4</v>
      </c>
      <c r="G634" s="20" t="n">
        <f aca="false">G633*core_oth</f>
        <v>2.76</v>
      </c>
    </row>
    <row r="635" customFormat="false" ht="17.15" hidden="false" customHeight="false" outlineLevel="0" collapsed="false">
      <c r="A635" s="0" t="s">
        <v>645</v>
      </c>
      <c r="B635" s="0" t="s">
        <v>70</v>
      </c>
      <c r="D635" s="22" t="n">
        <f aca="false">a26_asic/fx26/D634</f>
        <v>0.366122890295359</v>
      </c>
      <c r="K635" s="8" t="s">
        <v>646</v>
      </c>
    </row>
    <row r="636" customFormat="false" ht="17.15" hidden="false" customHeight="false" outlineLevel="0" collapsed="false">
      <c r="A636" s="0" t="s">
        <v>647</v>
      </c>
      <c r="B636" s="0" t="s">
        <v>581</v>
      </c>
      <c r="D636" s="20" t="n">
        <f aca="false">D634*$D$635</f>
        <v>0.0659021202531645</v>
      </c>
      <c r="E636" s="20" t="n">
        <f aca="false">E634*$D$635</f>
        <v>0.593119082278481</v>
      </c>
      <c r="F636" s="20" t="n">
        <f aca="false">F634*$D$635</f>
        <v>0.878694936708861</v>
      </c>
      <c r="G636" s="20" t="n">
        <f aca="false">G634*$D$635</f>
        <v>1.01049917721519</v>
      </c>
    </row>
    <row r="637" customFormat="false" ht="17.15" hidden="false" customHeight="false" outlineLevel="0" collapsed="false">
      <c r="A637" s="0" t="s">
        <v>648</v>
      </c>
      <c r="B637" s="0" t="s">
        <v>278</v>
      </c>
      <c r="C637" s="20" t="n">
        <f aca="false">a25_asic</f>
        <v>1.70705</v>
      </c>
      <c r="D637" s="20" t="n">
        <f aca="false">D636*D627</f>
        <v>2.082507</v>
      </c>
      <c r="E637" s="20" t="n">
        <f aca="false">E636*E627</f>
        <v>18.9798106329114</v>
      </c>
      <c r="F637" s="20" t="n">
        <f aca="false">F636*F627</f>
        <v>28.1182379746835</v>
      </c>
      <c r="G637" s="20" t="n">
        <f aca="false">G636*G627</f>
        <v>32.3359736708861</v>
      </c>
    </row>
    <row r="638" customFormat="false" ht="17.15" hidden="false" customHeight="false" outlineLevel="0" collapsed="false">
      <c r="A638" s="6" t="s">
        <v>649</v>
      </c>
    </row>
    <row r="639" customFormat="false" ht="17.15" hidden="false" customHeight="false" outlineLevel="0" collapsed="false">
      <c r="A639" s="4" t="s">
        <v>650</v>
      </c>
      <c r="B639" s="0" t="s">
        <v>278</v>
      </c>
      <c r="C639" s="20" t="n">
        <f aca="false">a25_auto</f>
        <v>1.02423</v>
      </c>
      <c r="D639" s="20" t="n">
        <f aca="false">a26_auto</f>
        <v>3.470845</v>
      </c>
      <c r="E639" s="20" t="n">
        <f aca="false">D639*am27_A</f>
        <v>13.88338</v>
      </c>
      <c r="F639" s="20" t="n">
        <f aca="false">E639*am28_A</f>
        <v>27.76676</v>
      </c>
      <c r="G639" s="20" t="n">
        <f aca="false">F639*(1+ag29_A)</f>
        <v>33.320112</v>
      </c>
    </row>
    <row r="640" customFormat="false" ht="17.15" hidden="false" customHeight="false" outlineLevel="0" collapsed="false">
      <c r="A640" s="4" t="s">
        <v>651</v>
      </c>
      <c r="B640" s="0" t="s">
        <v>278</v>
      </c>
      <c r="C640" s="20" t="n">
        <f aca="false">a25_oth</f>
        <v>25.26434</v>
      </c>
      <c r="D640" s="20" t="n">
        <f aca="false">a26_oth</f>
        <v>30.543436</v>
      </c>
      <c r="E640" s="20" t="n">
        <f aca="false">D640*(1+g_o27_C)</f>
        <v>29.0162642</v>
      </c>
      <c r="F640" s="20" t="n">
        <f aca="false">E640*(1+g_oL_C)</f>
        <v>29.0162642</v>
      </c>
      <c r="G640" s="20" t="n">
        <f aca="false">F640*(1+g_oL_C)</f>
        <v>29.0162642</v>
      </c>
    </row>
    <row r="641" customFormat="false" ht="17.15" hidden="false" customHeight="false" outlineLevel="0" collapsed="false">
      <c r="A641" s="4" t="s">
        <v>503</v>
      </c>
      <c r="B641" s="0" t="s">
        <v>278</v>
      </c>
      <c r="C641" s="20" t="n">
        <f aca="false">C628+C637+C639+C640</f>
        <v>34.141</v>
      </c>
      <c r="D641" s="20" t="n">
        <f aca="false">D628+D637+D639+D640</f>
        <v>69.4169</v>
      </c>
      <c r="E641" s="20" t="n">
        <f aca="false">E628+E637+E639+E640</f>
        <v>150.869043148393</v>
      </c>
      <c r="F641" s="20" t="n">
        <f aca="false">F628+F637+F639+F640</f>
        <v>220.812633420147</v>
      </c>
      <c r="G641" s="20" t="n">
        <f aca="false">G628+G637+G639+G640</f>
        <v>250.970426803169</v>
      </c>
      <c r="H641" s="28" t="n">
        <f aca="false">G641*(1+H642)</f>
        <v>278.840926056726</v>
      </c>
      <c r="I641" s="28" t="n">
        <f aca="false">H641*(1+I642)</f>
        <v>302.68892589352</v>
      </c>
      <c r="J641" s="28" t="n">
        <f aca="false">I641*(1+J642)</f>
        <v>320.850261447131</v>
      </c>
      <c r="K641" s="8" t="s">
        <v>652</v>
      </c>
    </row>
    <row r="642" customFormat="false" ht="15" hidden="false" customHeight="false" outlineLevel="0" collapsed="false">
      <c r="A642" s="4" t="s">
        <v>653</v>
      </c>
      <c r="B642" s="0" t="s">
        <v>51</v>
      </c>
      <c r="D642" s="18" t="n">
        <f aca="false">D641/C641-1</f>
        <v>1.03324155707214</v>
      </c>
      <c r="E642" s="18" t="n">
        <f aca="false">E641/D641-1</f>
        <v>1.17337626930032</v>
      </c>
      <c r="F642" s="18" t="n">
        <f aca="false">F641/E641-1</f>
        <v>0.463604652168157</v>
      </c>
      <c r="G642" s="18" t="n">
        <f aca="false">G641/F641-1</f>
        <v>0.136576394728466</v>
      </c>
      <c r="H642" s="26" t="n">
        <f aca="false">$G642+(fade_gA-$G642)*1/3</f>
        <v>0.111050929818977</v>
      </c>
      <c r="I642" s="26" t="n">
        <f aca="false">$G642+(fade_gA-$G642)*2/3</f>
        <v>0.0855254649094886</v>
      </c>
      <c r="J642" s="26" t="n">
        <f aca="false">$G642+(fade_gA-$G642)*3/3</f>
        <v>0.06</v>
      </c>
    </row>
    <row r="643" customFormat="false" ht="17.15" hidden="false" customHeight="false" outlineLevel="0" collapsed="false">
      <c r="A643" s="0" t="s">
        <v>654</v>
      </c>
      <c r="B643" s="0" t="s">
        <v>51</v>
      </c>
      <c r="C643" s="18" t="n">
        <f aca="false">C628/C641</f>
        <v>0.18</v>
      </c>
      <c r="D643" s="18" t="n">
        <f aca="false">D628/D641</f>
        <v>0.48</v>
      </c>
      <c r="E643" s="18" t="n">
        <f aca="false">E628/E641</f>
        <v>0.589846574608103</v>
      </c>
      <c r="F643" s="18" t="n">
        <f aca="false">F628/F641</f>
        <v>0.615505413527951</v>
      </c>
      <c r="G643" s="18" t="n">
        <f aca="false">G628/G641</f>
        <v>0.622774877993351</v>
      </c>
    </row>
    <row r="644" customFormat="false" ht="17.15" hidden="false" customHeight="false" outlineLevel="0" collapsed="false">
      <c r="A644" s="4" t="s">
        <v>655</v>
      </c>
      <c r="B644" s="0" t="s">
        <v>51</v>
      </c>
      <c r="C644" s="18" t="n">
        <f aca="false">C639/C641</f>
        <v>0.03</v>
      </c>
      <c r="D644" s="18" t="n">
        <f aca="false">D639/D641</f>
        <v>0.05</v>
      </c>
      <c r="E644" s="18" t="n">
        <f aca="false">E639/E641</f>
        <v>0.0920227218936123</v>
      </c>
      <c r="F644" s="18" t="n">
        <f aca="false">F639/F641</f>
        <v>0.125748058749734</v>
      </c>
      <c r="G644" s="18" t="n">
        <f aca="false">G639/G641</f>
        <v>0.132765092781758</v>
      </c>
    </row>
    <row r="645" customFormat="false" ht="17.15" hidden="false" customHeight="false" outlineLevel="0" collapsed="false">
      <c r="A645" s="6" t="s">
        <v>656</v>
      </c>
    </row>
    <row r="646" customFormat="false" ht="17.15" hidden="false" customHeight="false" outlineLevel="0" collapsed="false">
      <c r="A646" s="0" t="s">
        <v>657</v>
      </c>
      <c r="B646" s="0" t="s">
        <v>278</v>
      </c>
      <c r="D646" s="20" t="n">
        <f aca="false">m_tk*(D628+D637)</f>
        <v>4.60234047</v>
      </c>
      <c r="E646" s="20" t="n">
        <f aca="false">(m_tk+gta_A)*(E628+E637)</f>
        <v>15.1157158527751</v>
      </c>
      <c r="F646" s="20" t="n">
        <f aca="false">(m_tk+gta_A)*(F628+F637)</f>
        <v>22.9641452908206</v>
      </c>
      <c r="G646" s="20" t="n">
        <f aca="false">(m_tk+gta_A)*(G628+G637)</f>
        <v>26.4087670844437</v>
      </c>
    </row>
    <row r="647" customFormat="false" ht="17.15" hidden="false" customHeight="false" outlineLevel="0" collapsed="false">
      <c r="A647" s="4" t="s">
        <v>658</v>
      </c>
      <c r="B647" s="0" t="s">
        <v>278</v>
      </c>
      <c r="D647" s="20" t="n">
        <f aca="false">m_auto*D639</f>
        <v>0.5553352</v>
      </c>
      <c r="E647" s="20" t="n">
        <f aca="false">m_auto*E639</f>
        <v>2.2213408</v>
      </c>
      <c r="F647" s="20" t="n">
        <f aca="false">m_auto*F639</f>
        <v>4.4426816</v>
      </c>
      <c r="G647" s="20" t="n">
        <f aca="false">m_auto*G639</f>
        <v>5.33121792</v>
      </c>
    </row>
    <row r="648" customFormat="false" ht="17.15" hidden="false" customHeight="false" outlineLevel="0" collapsed="false">
      <c r="A648" s="4" t="s">
        <v>659</v>
      </c>
      <c r="B648" s="0" t="s">
        <v>51</v>
      </c>
      <c r="C648" s="9" t="n">
        <f aca="false">(a25_gp-m_tk*(C628+C637)-m_auto*C639)/C640</f>
        <v>0.287729950594395</v>
      </c>
      <c r="D648" s="9" t="n">
        <f aca="false">(a26_gp-D646-D647)/D640</f>
        <v>0.310829299951715</v>
      </c>
      <c r="E648" s="9" t="n">
        <f aca="false">$D648+0</f>
        <v>0.310829299951715</v>
      </c>
      <c r="F648" s="9" t="n">
        <f aca="false">$D648+0</f>
        <v>0.310829299951715</v>
      </c>
      <c r="G648" s="9" t="n">
        <f aca="false">$D648+0</f>
        <v>0.310829299951715</v>
      </c>
      <c r="K648" s="8" t="s">
        <v>660</v>
      </c>
    </row>
    <row r="649" customFormat="false" ht="15" hidden="false" customHeight="false" outlineLevel="0" collapsed="false">
      <c r="A649" s="4" t="s">
        <v>516</v>
      </c>
      <c r="B649" s="0" t="s">
        <v>278</v>
      </c>
      <c r="C649" s="20" t="n">
        <f aca="false">a25_gp</f>
        <v>8.454</v>
      </c>
      <c r="D649" s="20" t="n">
        <f aca="false">a26_gp</f>
        <v>14.6514705</v>
      </c>
      <c r="E649" s="20" t="n">
        <f aca="false">E648*E640+E646+E647</f>
        <v>26.3561617412751</v>
      </c>
      <c r="F649" s="20" t="n">
        <f aca="false">F648*F640+F646+F647</f>
        <v>36.4259319793206</v>
      </c>
      <c r="G649" s="20" t="n">
        <f aca="false">G648*G640+G646+G647</f>
        <v>40.7590900929437</v>
      </c>
    </row>
    <row r="650" customFormat="false" ht="15" hidden="false" customHeight="false" outlineLevel="0" collapsed="false">
      <c r="A650" s="4" t="s">
        <v>519</v>
      </c>
      <c r="B650" s="0" t="s">
        <v>51</v>
      </c>
      <c r="C650" s="9" t="n">
        <f aca="false">C649/C641</f>
        <v>0.247620163439852</v>
      </c>
      <c r="D650" s="9" t="n">
        <f aca="false">D649/D641</f>
        <v>0.211064891978754</v>
      </c>
      <c r="E650" s="9" t="n">
        <f aca="false">E649/E641</f>
        <v>0.174695624703813</v>
      </c>
      <c r="F650" s="9" t="n">
        <f aca="false">F649/F641</f>
        <v>0.164963079399591</v>
      </c>
      <c r="G650" s="9" t="n">
        <f aca="false">G649/G641</f>
        <v>0.162405948031918</v>
      </c>
    </row>
    <row r="651" customFormat="false" ht="15" hidden="false" customHeight="false" outlineLevel="0" collapsed="false">
      <c r="A651" s="4" t="s">
        <v>521</v>
      </c>
      <c r="B651" s="0" t="s">
        <v>278</v>
      </c>
      <c r="C651" s="20" t="n">
        <f aca="false">a25_opx</f>
        <v>4.104</v>
      </c>
      <c r="D651" s="20" t="n">
        <f aca="false">a26_opx</f>
        <v>5.365972</v>
      </c>
      <c r="E651" s="20" t="n">
        <f aca="false">D651*(1+MAX(g_opx_min,phi*E642))+0*E641</f>
        <v>7.25486326195899</v>
      </c>
      <c r="F651" s="20" t="n">
        <f aca="false">E651*(1+MAX(g_opx_min,phi*F642))+0*F641</f>
        <v>8.2638797696854</v>
      </c>
      <c r="G651" s="20" t="n">
        <f aca="false">F651*(1+MAX(g_opx_min,phi*G642))+0*G641</f>
        <v>8.92499015126024</v>
      </c>
    </row>
    <row r="652" customFormat="false" ht="15" hidden="false" customHeight="false" outlineLevel="0" collapsed="false">
      <c r="A652" s="4" t="s">
        <v>524</v>
      </c>
      <c r="B652" s="0" t="s">
        <v>278</v>
      </c>
      <c r="C652" s="20" t="n">
        <f aca="false">C649-C651</f>
        <v>4.35</v>
      </c>
      <c r="D652" s="20" t="n">
        <f aca="false">D649-D651</f>
        <v>9.2854985</v>
      </c>
      <c r="E652" s="20" t="n">
        <f aca="false">E649-E651</f>
        <v>19.1012984793161</v>
      </c>
      <c r="F652" s="20" t="n">
        <f aca="false">F649-F651</f>
        <v>28.1620522096352</v>
      </c>
      <c r="G652" s="20" t="n">
        <f aca="false">G649-G651</f>
        <v>31.8340999416834</v>
      </c>
    </row>
    <row r="653" customFormat="false" ht="15" hidden="false" customHeight="false" outlineLevel="0" collapsed="false">
      <c r="A653" s="4" t="s">
        <v>621</v>
      </c>
      <c r="B653" s="0" t="s">
        <v>51</v>
      </c>
      <c r="C653" s="9" t="n">
        <f aca="false">C652/C641</f>
        <v>0.127412788143288</v>
      </c>
      <c r="D653" s="9" t="n">
        <f aca="false">D652/D641</f>
        <v>0.13376423464603</v>
      </c>
      <c r="E653" s="9" t="n">
        <f aca="false">E652/E641</f>
        <v>0.126608468382266</v>
      </c>
      <c r="F653" s="9" t="n">
        <f aca="false">F652/F641</f>
        <v>0.127538229010884</v>
      </c>
      <c r="G653" s="9" t="n">
        <f aca="false">G652/G641</f>
        <v>0.12684402838686</v>
      </c>
    </row>
    <row r="654" customFormat="false" ht="15" hidden="false" customHeight="false" outlineLevel="0" collapsed="false">
      <c r="A654" s="4" t="s">
        <v>527</v>
      </c>
      <c r="B654" s="0" t="s">
        <v>278</v>
      </c>
      <c r="C654" s="20" t="n">
        <f aca="false">a25_nonop</f>
        <v>0.0920000000000005</v>
      </c>
      <c r="D654" s="20" t="n">
        <f aca="false">a26_nonop</f>
        <v>0.384548</v>
      </c>
      <c r="E654" s="20" t="n">
        <f aca="false">nonop_f</f>
        <v>0.5</v>
      </c>
      <c r="F654" s="20" t="n">
        <f aca="false">nonop_f</f>
        <v>0.5</v>
      </c>
      <c r="G654" s="20" t="n">
        <f aca="false">nonop_f</f>
        <v>0.5</v>
      </c>
    </row>
    <row r="655" customFormat="false" ht="15" hidden="false" customHeight="false" outlineLevel="0" collapsed="false">
      <c r="A655" s="4" t="s">
        <v>529</v>
      </c>
      <c r="B655" s="0" t="s">
        <v>278</v>
      </c>
      <c r="C655" s="20" t="n">
        <f aca="false">C652+C654</f>
        <v>4.442</v>
      </c>
      <c r="D655" s="20" t="n">
        <f aca="false">D652+D654</f>
        <v>9.6700465</v>
      </c>
      <c r="E655" s="20" t="n">
        <f aca="false">E652+E654</f>
        <v>19.6012984793161</v>
      </c>
      <c r="F655" s="20" t="n">
        <f aca="false">F652+F654</f>
        <v>28.6620522096352</v>
      </c>
      <c r="G655" s="20" t="n">
        <f aca="false">G652+G654</f>
        <v>32.3340999416834</v>
      </c>
    </row>
    <row r="656" customFormat="false" ht="15" hidden="false" customHeight="false" outlineLevel="0" collapsed="false">
      <c r="A656" s="4" t="s">
        <v>531</v>
      </c>
      <c r="B656" s="0" t="s">
        <v>278</v>
      </c>
      <c r="C656" s="20" t="n">
        <f aca="false">a25_tax</f>
        <v>0.672</v>
      </c>
      <c r="D656" s="20" t="n">
        <f aca="false">a26_tax</f>
        <v>1.337361725</v>
      </c>
      <c r="E656" s="20" t="n">
        <f aca="false">E655*tax</f>
        <v>2.94019477189741</v>
      </c>
      <c r="F656" s="20" t="n">
        <f aca="false">F655*tax</f>
        <v>4.29930783144527</v>
      </c>
      <c r="G656" s="20" t="n">
        <f aca="false">G655*tax</f>
        <v>4.85011499125251</v>
      </c>
    </row>
    <row r="657" customFormat="false" ht="15" hidden="false" customHeight="false" outlineLevel="0" collapsed="false">
      <c r="A657" s="4" t="s">
        <v>534</v>
      </c>
      <c r="B657" s="0" t="s">
        <v>278</v>
      </c>
      <c r="C657" s="20" t="n">
        <f aca="false">C655-C656</f>
        <v>3.77</v>
      </c>
      <c r="D657" s="20" t="n">
        <f aca="false">D655-D656</f>
        <v>8.332684775</v>
      </c>
      <c r="E657" s="20" t="n">
        <f aca="false">E655-E656</f>
        <v>16.6611037074187</v>
      </c>
      <c r="F657" s="20" t="n">
        <f aca="false">F655-F656</f>
        <v>24.3627443781899</v>
      </c>
      <c r="G657" s="20" t="n">
        <f aca="false">G655-G656</f>
        <v>27.4839849504309</v>
      </c>
      <c r="H657" s="28" t="n">
        <f aca="false">H641*H661</f>
        <v>31.2141108507972</v>
      </c>
      <c r="I657" s="28" t="n">
        <f aca="false">I641*I661</f>
        <v>34.6197026011537</v>
      </c>
      <c r="J657" s="28" t="n">
        <f aca="false">J641*J661</f>
        <v>37.4770345898152</v>
      </c>
    </row>
    <row r="658" customFormat="false" ht="15" hidden="false" customHeight="false" outlineLevel="0" collapsed="false">
      <c r="A658" s="4" t="s">
        <v>312</v>
      </c>
      <c r="B658" s="4" t="s">
        <v>313</v>
      </c>
      <c r="C658" s="19" t="n">
        <f aca="false">a25_sh</f>
        <v>0.134020618556701</v>
      </c>
      <c r="D658" s="19" t="n">
        <f aca="false">a26_sh</f>
        <v>0.13399883744778</v>
      </c>
      <c r="E658" s="19" t="n">
        <f aca="false">q_sh*(1+sh_g)</f>
        <v>0.13401</v>
      </c>
      <c r="F658" s="19" t="n">
        <f aca="false">E658*(1+sh_g)</f>
        <v>0.13401</v>
      </c>
      <c r="G658" s="19" t="n">
        <f aca="false">F658*(1+sh_g)</f>
        <v>0.13401</v>
      </c>
      <c r="H658" s="30" t="n">
        <f aca="false">G658*(1+sh_g)</f>
        <v>0.13401</v>
      </c>
      <c r="I658" s="30" t="n">
        <f aca="false">H658*(1+sh_g)</f>
        <v>0.13401</v>
      </c>
      <c r="J658" s="30" t="n">
        <f aca="false">I658*(1+sh_g)</f>
        <v>0.13401</v>
      </c>
    </row>
    <row r="659" customFormat="false" ht="17.15" hidden="false" customHeight="false" outlineLevel="0" collapsed="false">
      <c r="A659" s="0" t="s">
        <v>538</v>
      </c>
      <c r="B659" s="0" t="s">
        <v>356</v>
      </c>
      <c r="C659" s="20" t="n">
        <f aca="false">C657/C658</f>
        <v>28.13</v>
      </c>
      <c r="D659" s="20" t="n">
        <f aca="false">D657/D658</f>
        <v>62.1847542389856</v>
      </c>
      <c r="E659" s="20" t="n">
        <f aca="false">E657/E658</f>
        <v>124.327316673522</v>
      </c>
      <c r="F659" s="20" t="n">
        <f aca="false">F657/F658</f>
        <v>181.797958198566</v>
      </c>
      <c r="G659" s="20" t="n">
        <f aca="false">G657/G658</f>
        <v>205.089060147981</v>
      </c>
      <c r="H659" s="28" t="n">
        <f aca="false">H657/H658</f>
        <v>232.923743383308</v>
      </c>
      <c r="I659" s="28" t="n">
        <f aca="false">I657/I658</f>
        <v>258.336710701841</v>
      </c>
      <c r="J659" s="28" t="n">
        <f aca="false">J657/J658</f>
        <v>279.658492573802</v>
      </c>
    </row>
    <row r="660" customFormat="false" ht="17.15" hidden="false" customHeight="false" outlineLevel="0" collapsed="false">
      <c r="A660" s="0" t="s">
        <v>661</v>
      </c>
      <c r="B660" s="0" t="s">
        <v>51</v>
      </c>
      <c r="D660" s="18" t="n">
        <f aca="false">D659/C659-1</f>
        <v>1.21062048485551</v>
      </c>
      <c r="E660" s="18" t="n">
        <f aca="false">E659/D659-1</f>
        <v>0.999321508865546</v>
      </c>
      <c r="F660" s="18" t="n">
        <f aca="false">F659/E659-1</f>
        <v>0.462252729832173</v>
      </c>
      <c r="G660" s="18" t="n">
        <f aca="false">G659/F659-1</f>
        <v>0.128115310976018</v>
      </c>
      <c r="H660" s="26" t="n">
        <f aca="false">H659/G659-1</f>
        <v>0.135719980457483</v>
      </c>
      <c r="I660" s="26" t="n">
        <f aca="false">I659/H659-1</f>
        <v>0.109104237075188</v>
      </c>
      <c r="J660" s="26" t="n">
        <f aca="false">J659/I659-1</f>
        <v>0.0825348507923405</v>
      </c>
    </row>
    <row r="661" customFormat="false" ht="17.15" hidden="false" customHeight="false" outlineLevel="0" collapsed="false">
      <c r="A661" s="4" t="s">
        <v>662</v>
      </c>
      <c r="B661" s="0" t="s">
        <v>51</v>
      </c>
      <c r="C661" s="9" t="n">
        <f aca="false">C657/C641</f>
        <v>0.11042441639085</v>
      </c>
      <c r="D661" s="9" t="n">
        <f aca="false">D657/D641</f>
        <v>0.1200382727405</v>
      </c>
      <c r="E661" s="9" t="n">
        <f aca="false">E657/E641</f>
        <v>0.11043421075476</v>
      </c>
      <c r="F661" s="9" t="n">
        <f aca="false">F657/F641</f>
        <v>0.110332203374588</v>
      </c>
      <c r="G661" s="9" t="n">
        <f aca="false">G657/G641</f>
        <v>0.10951085074253</v>
      </c>
      <c r="H661" s="27" t="n">
        <f aca="false">$G661+(fade_mA-$G661)*1/3</f>
        <v>0.11194235829086</v>
      </c>
      <c r="I661" s="27" t="n">
        <f aca="false">$G661+(fade_mA-$G661)*2/3</f>
        <v>0.114373865839189</v>
      </c>
      <c r="J661" s="27" t="n">
        <f aca="false">$G661+(fade_mA-$G661)*3/3</f>
        <v>0.116805373387519</v>
      </c>
    </row>
    <row r="664" customFormat="false" ht="17.15" hidden="false" customHeight="false" outlineLevel="0" collapsed="false">
      <c r="A664" s="1" t="s">
        <v>994</v>
      </c>
    </row>
    <row r="665" customFormat="false" ht="17.15" hidden="false" customHeight="false" outlineLevel="0" collapsed="false">
      <c r="A665" s="5" t="s">
        <v>27</v>
      </c>
      <c r="B665" s="5" t="s">
        <v>28</v>
      </c>
      <c r="C665" s="16" t="s">
        <v>497</v>
      </c>
      <c r="D665" s="16" t="s">
        <v>610</v>
      </c>
      <c r="E665" s="16" t="s">
        <v>611</v>
      </c>
      <c r="F665" s="16" t="s">
        <v>612</v>
      </c>
      <c r="G665" s="16" t="s">
        <v>613</v>
      </c>
      <c r="H665" s="16" t="s">
        <v>614</v>
      </c>
      <c r="I665" s="16" t="s">
        <v>615</v>
      </c>
      <c r="J665" s="16" t="s">
        <v>616</v>
      </c>
      <c r="K665" s="5" t="s">
        <v>450</v>
      </c>
    </row>
    <row r="666" customFormat="false" ht="17.15" hidden="false" customHeight="false" outlineLevel="0" collapsed="false">
      <c r="A666" s="6" t="s">
        <v>632</v>
      </c>
    </row>
    <row r="667" customFormat="false" ht="17.15" hidden="false" customHeight="false" outlineLevel="0" collapsed="false">
      <c r="A667" s="0" t="s">
        <v>633</v>
      </c>
      <c r="B667" s="4" t="s">
        <v>38</v>
      </c>
      <c r="D667" s="22" t="n">
        <f aca="false">u_tpu_26</f>
        <v>3.85</v>
      </c>
      <c r="E667" s="22" t="n">
        <f aca="false">u_tpu_27</f>
        <v>5.5</v>
      </c>
      <c r="F667" s="22" t="n">
        <f aca="false">u_tpu_28*um28_A</f>
        <v>7</v>
      </c>
      <c r="G667" s="22" t="n">
        <f aca="false">u_tpu_28*(1+g29_tpu)*um29_A</f>
        <v>8.05</v>
      </c>
    </row>
    <row r="668" customFormat="false" ht="17.15" hidden="false" customHeight="false" outlineLevel="0" collapsed="false">
      <c r="A668" s="0" t="s">
        <v>574</v>
      </c>
      <c r="B668" s="0" t="s">
        <v>70</v>
      </c>
      <c r="D668" s="22" t="n">
        <f aca="false">att26</f>
        <v>0.325</v>
      </c>
      <c r="E668" s="22" t="n">
        <f aca="false">MAX(0,att_A+0)</f>
        <v>0.6</v>
      </c>
      <c r="F668" s="22" t="n">
        <f aca="false">MAX(0,att_A+0)</f>
        <v>0.6</v>
      </c>
      <c r="G668" s="22" t="n">
        <f aca="false">MAX(0,att_A+0)</f>
        <v>0.6</v>
      </c>
    </row>
    <row r="669" customFormat="false" ht="17.15" hidden="false" customHeight="false" outlineLevel="0" collapsed="false">
      <c r="A669" s="4" t="s">
        <v>634</v>
      </c>
      <c r="B669" s="0" t="s">
        <v>51</v>
      </c>
      <c r="D669" s="18" t="n">
        <f aca="false">gsh26</f>
        <v>1</v>
      </c>
      <c r="E669" s="18" t="n">
        <f aca="false">gsh26</f>
        <v>1</v>
      </c>
      <c r="F669" s="18" t="n">
        <f aca="false">MIN(1,gsh28_A)</f>
        <v>1</v>
      </c>
      <c r="G669" s="18" t="n">
        <f aca="false">MIN(1,gsh28_A)</f>
        <v>1</v>
      </c>
    </row>
    <row r="670" customFormat="false" ht="17.15" hidden="false" customHeight="false" outlineLevel="0" collapsed="false">
      <c r="A670" s="4" t="s">
        <v>576</v>
      </c>
      <c r="B670" s="4" t="s">
        <v>38</v>
      </c>
      <c r="D670" s="22" t="n">
        <f aca="false">D667*D668*D669</f>
        <v>1.25125</v>
      </c>
      <c r="E670" s="22" t="n">
        <f aca="false">E667*E668*E669*1</f>
        <v>3.3</v>
      </c>
      <c r="F670" s="22" t="n">
        <f aca="false">F667*F668*F669*1</f>
        <v>4.2</v>
      </c>
      <c r="G670" s="22" t="n">
        <f aca="false">G667*G668*G669*1</f>
        <v>4.83</v>
      </c>
    </row>
    <row r="671" customFormat="false" ht="17.15" hidden="false" customHeight="false" outlineLevel="0" collapsed="false">
      <c r="A671" s="4" t="s">
        <v>635</v>
      </c>
      <c r="B671" s="0" t="s">
        <v>116</v>
      </c>
      <c r="D671" s="20" t="n">
        <f aca="false">pc_cpu</f>
        <v>1</v>
      </c>
      <c r="E671" s="20" t="n">
        <f aca="false">pc_cpu</f>
        <v>1</v>
      </c>
      <c r="F671" s="20" t="n">
        <f aca="false">pc_cpu*pfc_A</f>
        <v>1.2</v>
      </c>
      <c r="G671" s="20" t="n">
        <f aca="false">pc_cpu*pfc_A</f>
        <v>1.2</v>
      </c>
    </row>
    <row r="672" customFormat="false" ht="17.15" hidden="false" customHeight="false" outlineLevel="0" collapsed="false">
      <c r="A672" s="0" t="s">
        <v>636</v>
      </c>
      <c r="B672" s="0" t="s">
        <v>581</v>
      </c>
      <c r="D672" s="20" t="n">
        <f aca="false">D670*D671</f>
        <v>1.25125</v>
      </c>
      <c r="E672" s="20" t="n">
        <f aca="false">E670*E671</f>
        <v>3.3</v>
      </c>
      <c r="F672" s="20" t="n">
        <f aca="false">F670*F671</f>
        <v>5.04</v>
      </c>
      <c r="G672" s="20" t="n">
        <f aca="false">G670*G671</f>
        <v>5.796</v>
      </c>
    </row>
    <row r="673" customFormat="false" ht="17.15" hidden="false" customHeight="false" outlineLevel="0" collapsed="false">
      <c r="A673" s="0" t="s">
        <v>637</v>
      </c>
      <c r="B673" s="0" t="s">
        <v>70</v>
      </c>
      <c r="D673" s="22" t="n">
        <f aca="false">a26_cpu/fx26/D672</f>
        <v>0.842704434805701</v>
      </c>
      <c r="K673" s="8" t="s">
        <v>638</v>
      </c>
    </row>
    <row r="674" customFormat="false" ht="17.15" hidden="false" customHeight="false" outlineLevel="0" collapsed="false">
      <c r="A674" s="0" t="s">
        <v>639</v>
      </c>
      <c r="B674" s="0" t="s">
        <v>581</v>
      </c>
      <c r="D674" s="20" t="n">
        <f aca="false">D672*$D$673</f>
        <v>1.05443392405063</v>
      </c>
      <c r="E674" s="20" t="n">
        <f aca="false">E672*$D$673</f>
        <v>2.78092463485881</v>
      </c>
      <c r="F674" s="20" t="n">
        <f aca="false">F672*$D$673</f>
        <v>4.24723035142073</v>
      </c>
      <c r="G674" s="20" t="n">
        <f aca="false">G672*$D$673</f>
        <v>4.88431490413384</v>
      </c>
    </row>
    <row r="675" customFormat="false" ht="15" hidden="false" customHeight="false" outlineLevel="0" collapsed="false">
      <c r="A675" s="4" t="s">
        <v>640</v>
      </c>
      <c r="B675" s="0" t="s">
        <v>273</v>
      </c>
      <c r="D675" s="20" t="n">
        <f aca="false">fx26</f>
        <v>31.6</v>
      </c>
      <c r="E675" s="20" t="n">
        <f aca="false">fx</f>
        <v>32</v>
      </c>
      <c r="F675" s="20" t="n">
        <f aca="false">fx</f>
        <v>32</v>
      </c>
      <c r="G675" s="20" t="n">
        <f aca="false">fx</f>
        <v>32</v>
      </c>
    </row>
    <row r="676" customFormat="false" ht="17.15" hidden="false" customHeight="false" outlineLevel="0" collapsed="false">
      <c r="A676" s="0" t="s">
        <v>641</v>
      </c>
      <c r="B676" s="0" t="s">
        <v>278</v>
      </c>
      <c r="C676" s="20" t="n">
        <f aca="false">a25_cpu</f>
        <v>6.14538</v>
      </c>
      <c r="D676" s="20" t="n">
        <f aca="false">D674*D675</f>
        <v>33.320112</v>
      </c>
      <c r="E676" s="20" t="n">
        <f aca="false">E674*E675</f>
        <v>88.989588315482</v>
      </c>
      <c r="F676" s="20" t="n">
        <f aca="false">F674*F675</f>
        <v>135.911371245463</v>
      </c>
      <c r="G676" s="20" t="n">
        <f aca="false">G674*G675</f>
        <v>156.298076932283</v>
      </c>
    </row>
    <row r="677" customFormat="false" ht="17.15" hidden="false" customHeight="false" outlineLevel="0" collapsed="false">
      <c r="A677" s="4" t="s">
        <v>578</v>
      </c>
      <c r="B677" s="0" t="s">
        <v>116</v>
      </c>
      <c r="D677" s="20" t="n">
        <f aca="false">IF(D670&gt;0,D674/D670,0)</f>
        <v>0.842704434805701</v>
      </c>
      <c r="E677" s="20" t="n">
        <f aca="false">IF(E670&gt;0,E674/E670,0)</f>
        <v>0.842704434805701</v>
      </c>
      <c r="F677" s="20" t="n">
        <f aca="false">IF(F670&gt;0,F674/F670,0)</f>
        <v>1.01124532176684</v>
      </c>
      <c r="G677" s="20" t="n">
        <f aca="false">IF(G670&gt;0,G674/G670,0)</f>
        <v>1.01124532176684</v>
      </c>
    </row>
    <row r="678" customFormat="false" ht="17.15" hidden="false" customHeight="false" outlineLevel="0" collapsed="false">
      <c r="A678" s="6" t="s">
        <v>642</v>
      </c>
    </row>
    <row r="679" customFormat="false" ht="17.15" hidden="false" customHeight="false" outlineLevel="0" collapsed="false">
      <c r="A679" s="4" t="s">
        <v>643</v>
      </c>
      <c r="B679" s="4" t="s">
        <v>38</v>
      </c>
      <c r="D679" s="22" t="n">
        <f aca="false">u_oth_26</f>
        <v>1</v>
      </c>
      <c r="E679" s="22" t="n">
        <f aca="false">u_oth_27</f>
        <v>4.5</v>
      </c>
      <c r="F679" s="22" t="n">
        <f aca="false">u_oth_28*um28_A</f>
        <v>5</v>
      </c>
      <c r="G679" s="22" t="n">
        <f aca="false">u_oth_28*(1+g29_oth)*um29_A</f>
        <v>5.75</v>
      </c>
    </row>
    <row r="680" customFormat="false" ht="17.15" hidden="false" customHeight="false" outlineLevel="0" collapsed="false">
      <c r="A680" s="4" t="s">
        <v>584</v>
      </c>
      <c r="B680" s="0" t="s">
        <v>51</v>
      </c>
      <c r="D680" s="18" t="n">
        <f aca="false">guc_oth_26</f>
        <v>0.03</v>
      </c>
      <c r="E680" s="18" t="n">
        <f aca="false">MIN(1,MAX(0,go27_A+0))</f>
        <v>0.06</v>
      </c>
      <c r="F680" s="18" t="n">
        <f aca="false">MIN(1,MAX(0,go28_A+0))</f>
        <v>0.08</v>
      </c>
      <c r="G680" s="18" t="n">
        <f aca="false">MIN(1,MAX(0,go28_A+0))</f>
        <v>0.08</v>
      </c>
    </row>
    <row r="681" customFormat="false" ht="17.15" hidden="false" customHeight="false" outlineLevel="0" collapsed="false">
      <c r="A681" s="4" t="s">
        <v>586</v>
      </c>
      <c r="B681" s="4" t="s">
        <v>38</v>
      </c>
      <c r="D681" s="22" t="n">
        <f aca="false">D679*D680</f>
        <v>0.03</v>
      </c>
      <c r="E681" s="22" t="n">
        <f aca="false">E679*E680*1</f>
        <v>0.27</v>
      </c>
      <c r="F681" s="22" t="n">
        <f aca="false">F679*F680*1</f>
        <v>0.4</v>
      </c>
      <c r="G681" s="22" t="n">
        <f aca="false">G679*G680*1</f>
        <v>0.46</v>
      </c>
    </row>
    <row r="682" customFormat="false" ht="17.15" hidden="false" customHeight="false" outlineLevel="0" collapsed="false">
      <c r="A682" s="0" t="s">
        <v>644</v>
      </c>
      <c r="B682" s="0" t="s">
        <v>581</v>
      </c>
      <c r="D682" s="20" t="n">
        <f aca="false">D681*core_oth</f>
        <v>0.18</v>
      </c>
      <c r="E682" s="20" t="n">
        <f aca="false">E681*core_oth</f>
        <v>1.62</v>
      </c>
      <c r="F682" s="20" t="n">
        <f aca="false">F681*core_oth</f>
        <v>2.4</v>
      </c>
      <c r="G682" s="20" t="n">
        <f aca="false">G681*core_oth</f>
        <v>2.76</v>
      </c>
    </row>
    <row r="683" customFormat="false" ht="17.15" hidden="false" customHeight="false" outlineLevel="0" collapsed="false">
      <c r="A683" s="0" t="s">
        <v>645</v>
      </c>
      <c r="B683" s="0" t="s">
        <v>70</v>
      </c>
      <c r="D683" s="22" t="n">
        <f aca="false">a26_asic/fx26/D682</f>
        <v>0.366122890295359</v>
      </c>
      <c r="K683" s="8" t="s">
        <v>646</v>
      </c>
    </row>
    <row r="684" customFormat="false" ht="17.15" hidden="false" customHeight="false" outlineLevel="0" collapsed="false">
      <c r="A684" s="0" t="s">
        <v>647</v>
      </c>
      <c r="B684" s="0" t="s">
        <v>581</v>
      </c>
      <c r="D684" s="20" t="n">
        <f aca="false">D682*$D$683</f>
        <v>0.0659021202531645</v>
      </c>
      <c r="E684" s="20" t="n">
        <f aca="false">E682*$D$683</f>
        <v>0.593119082278481</v>
      </c>
      <c r="F684" s="20" t="n">
        <f aca="false">F682*$D$683</f>
        <v>0.878694936708861</v>
      </c>
      <c r="G684" s="20" t="n">
        <f aca="false">G682*$D$683</f>
        <v>1.01049917721519</v>
      </c>
    </row>
    <row r="685" customFormat="false" ht="17.15" hidden="false" customHeight="false" outlineLevel="0" collapsed="false">
      <c r="A685" s="0" t="s">
        <v>648</v>
      </c>
      <c r="B685" s="0" t="s">
        <v>278</v>
      </c>
      <c r="C685" s="20" t="n">
        <f aca="false">a25_asic</f>
        <v>1.70705</v>
      </c>
      <c r="D685" s="20" t="n">
        <f aca="false">D684*D675</f>
        <v>2.082507</v>
      </c>
      <c r="E685" s="20" t="n">
        <f aca="false">E684*E675</f>
        <v>18.9798106329114</v>
      </c>
      <c r="F685" s="20" t="n">
        <f aca="false">F684*F675</f>
        <v>28.1182379746835</v>
      </c>
      <c r="G685" s="20" t="n">
        <f aca="false">G684*G675</f>
        <v>32.3359736708861</v>
      </c>
    </row>
    <row r="686" customFormat="false" ht="17.15" hidden="false" customHeight="false" outlineLevel="0" collapsed="false">
      <c r="A686" s="6" t="s">
        <v>649</v>
      </c>
    </row>
    <row r="687" customFormat="false" ht="17.15" hidden="false" customHeight="false" outlineLevel="0" collapsed="false">
      <c r="A687" s="4" t="s">
        <v>650</v>
      </c>
      <c r="B687" s="0" t="s">
        <v>278</v>
      </c>
      <c r="C687" s="20" t="n">
        <f aca="false">a25_auto</f>
        <v>1.02423</v>
      </c>
      <c r="D687" s="20" t="n">
        <f aca="false">a26_auto</f>
        <v>3.470845</v>
      </c>
      <c r="E687" s="20" t="n">
        <f aca="false">D687*am27_A</f>
        <v>13.88338</v>
      </c>
      <c r="F687" s="20" t="n">
        <f aca="false">E687*am28_A</f>
        <v>27.76676</v>
      </c>
      <c r="G687" s="20" t="n">
        <f aca="false">F687*(1+ag29_A)</f>
        <v>33.320112</v>
      </c>
    </row>
    <row r="688" customFormat="false" ht="17.15" hidden="false" customHeight="false" outlineLevel="0" collapsed="false">
      <c r="A688" s="4" t="s">
        <v>651</v>
      </c>
      <c r="B688" s="0" t="s">
        <v>278</v>
      </c>
      <c r="C688" s="20" t="n">
        <f aca="false">a25_oth</f>
        <v>25.26434</v>
      </c>
      <c r="D688" s="20" t="n">
        <f aca="false">a26_oth</f>
        <v>30.543436</v>
      </c>
      <c r="E688" s="20" t="n">
        <f aca="false">D688*(1+g_o27_A)</f>
        <v>35.1249514</v>
      </c>
      <c r="F688" s="20" t="n">
        <f aca="false">E688*(1+g_oL_A)</f>
        <v>38.63744654</v>
      </c>
      <c r="G688" s="20" t="n">
        <f aca="false">F688*(1+g_oL_A)</f>
        <v>42.501191194</v>
      </c>
    </row>
    <row r="689" customFormat="false" ht="17.15" hidden="false" customHeight="false" outlineLevel="0" collapsed="false">
      <c r="A689" s="4" t="s">
        <v>503</v>
      </c>
      <c r="B689" s="0" t="s">
        <v>278</v>
      </c>
      <c r="C689" s="20" t="n">
        <f aca="false">C676+C685+C687+C688</f>
        <v>34.141</v>
      </c>
      <c r="D689" s="20" t="n">
        <f aca="false">D676+D685+D687+D688</f>
        <v>69.4169</v>
      </c>
      <c r="E689" s="20" t="n">
        <f aca="false">E676+E685+E687+E688</f>
        <v>156.977730348393</v>
      </c>
      <c r="F689" s="20" t="n">
        <f aca="false">F676+F685+F687+F688</f>
        <v>230.433815760147</v>
      </c>
      <c r="G689" s="20" t="n">
        <f aca="false">G676+G685+G687+G688</f>
        <v>264.455353797169</v>
      </c>
      <c r="H689" s="28" t="n">
        <f aca="false">G689*(1+H690)</f>
        <v>295.7741413076</v>
      </c>
      <c r="I689" s="28" t="n">
        <f aca="false">H689*(1+I690)</f>
        <v>322.161262221043</v>
      </c>
      <c r="J689" s="28" t="n">
        <f aca="false">I689*(1+J690)</f>
        <v>341.490937954306</v>
      </c>
      <c r="K689" s="8" t="s">
        <v>652</v>
      </c>
    </row>
    <row r="690" customFormat="false" ht="15" hidden="false" customHeight="false" outlineLevel="0" collapsed="false">
      <c r="A690" s="4" t="s">
        <v>653</v>
      </c>
      <c r="B690" s="0" t="s">
        <v>51</v>
      </c>
      <c r="D690" s="18" t="n">
        <f aca="false">D689/C689-1</f>
        <v>1.03324155707214</v>
      </c>
      <c r="E690" s="18" t="n">
        <f aca="false">E689/D689-1</f>
        <v>1.26137626930032</v>
      </c>
      <c r="F690" s="18" t="n">
        <f aca="false">F689/E689-1</f>
        <v>0.467939530331637</v>
      </c>
      <c r="G690" s="18" t="n">
        <f aca="false">G689/F689-1</f>
        <v>0.147641256231395</v>
      </c>
      <c r="H690" s="26" t="n">
        <f aca="false">$G690+(fade_gA-$G690)*1/3</f>
        <v>0.118427504154264</v>
      </c>
      <c r="I690" s="26" t="n">
        <f aca="false">$G690+(fade_gA-$G690)*2/3</f>
        <v>0.0892137520771318</v>
      </c>
      <c r="J690" s="26" t="n">
        <f aca="false">$G690+(fade_gA-$G690)*3/3</f>
        <v>0.06</v>
      </c>
    </row>
    <row r="691" customFormat="false" ht="17.15" hidden="false" customHeight="false" outlineLevel="0" collapsed="false">
      <c r="A691" s="0" t="s">
        <v>654</v>
      </c>
      <c r="B691" s="0" t="s">
        <v>51</v>
      </c>
      <c r="C691" s="18" t="n">
        <f aca="false">C676/C689</f>
        <v>0.18</v>
      </c>
      <c r="D691" s="18" t="n">
        <f aca="false">D676/D689</f>
        <v>0.48</v>
      </c>
      <c r="E691" s="18" t="n">
        <f aca="false">E676/E689</f>
        <v>0.566893075329731</v>
      </c>
      <c r="F691" s="18" t="n">
        <f aca="false">F676/F689</f>
        <v>0.589806538580823</v>
      </c>
      <c r="G691" s="18" t="n">
        <f aca="false">G676/G689</f>
        <v>0.591018766260863</v>
      </c>
    </row>
    <row r="692" customFormat="false" ht="17.15" hidden="false" customHeight="false" outlineLevel="0" collapsed="false">
      <c r="A692" s="4" t="s">
        <v>655</v>
      </c>
      <c r="B692" s="0" t="s">
        <v>51</v>
      </c>
      <c r="C692" s="18" t="n">
        <f aca="false">C687/C689</f>
        <v>0.03</v>
      </c>
      <c r="D692" s="18" t="n">
        <f aca="false">D687/D689</f>
        <v>0.05</v>
      </c>
      <c r="E692" s="18" t="n">
        <f aca="false">E687/E689</f>
        <v>0.0884417169823229</v>
      </c>
      <c r="F692" s="18" t="n">
        <f aca="false">F687/F689</f>
        <v>0.120497765956806</v>
      </c>
      <c r="G692" s="18" t="n">
        <f aca="false">G687/G689</f>
        <v>0.125995225740658</v>
      </c>
    </row>
    <row r="693" customFormat="false" ht="17.15" hidden="false" customHeight="false" outlineLevel="0" collapsed="false">
      <c r="A693" s="6" t="s">
        <v>656</v>
      </c>
    </row>
    <row r="694" customFormat="false" ht="17.15" hidden="false" customHeight="false" outlineLevel="0" collapsed="false">
      <c r="A694" s="0" t="s">
        <v>657</v>
      </c>
      <c r="B694" s="0" t="s">
        <v>278</v>
      </c>
      <c r="D694" s="20" t="n">
        <f aca="false">m_tk*(D676+D685)</f>
        <v>4.60234047</v>
      </c>
      <c r="E694" s="20" t="n">
        <f aca="false">(m_tk+gta_A)*(E676+E685)</f>
        <v>15.1157158527751</v>
      </c>
      <c r="F694" s="20" t="n">
        <f aca="false">(m_tk+gta_A)*(F676+F685)</f>
        <v>22.9641452908206</v>
      </c>
      <c r="G694" s="20" t="n">
        <f aca="false">(m_tk+gta_A)*(G676+G685)</f>
        <v>26.4087670844437</v>
      </c>
    </row>
    <row r="695" customFormat="false" ht="17.15" hidden="false" customHeight="false" outlineLevel="0" collapsed="false">
      <c r="A695" s="4" t="s">
        <v>658</v>
      </c>
      <c r="B695" s="0" t="s">
        <v>278</v>
      </c>
      <c r="D695" s="20" t="n">
        <f aca="false">m_auto*D687</f>
        <v>0.5553352</v>
      </c>
      <c r="E695" s="20" t="n">
        <f aca="false">m_auto*E687</f>
        <v>2.2213408</v>
      </c>
      <c r="F695" s="20" t="n">
        <f aca="false">m_auto*F687</f>
        <v>4.4426816</v>
      </c>
      <c r="G695" s="20" t="n">
        <f aca="false">m_auto*G687</f>
        <v>5.33121792</v>
      </c>
    </row>
    <row r="696" customFormat="false" ht="17.15" hidden="false" customHeight="false" outlineLevel="0" collapsed="false">
      <c r="A696" s="4" t="s">
        <v>659</v>
      </c>
      <c r="B696" s="0" t="s">
        <v>51</v>
      </c>
      <c r="C696" s="9" t="n">
        <f aca="false">(a25_gp-m_tk*(C676+C685)-m_auto*C687)/C688</f>
        <v>0.287729950594395</v>
      </c>
      <c r="D696" s="9" t="n">
        <f aca="false">(a26_gp-D694-D695)/D688</f>
        <v>0.310829299951715</v>
      </c>
      <c r="E696" s="9" t="n">
        <f aca="false">$D696+gmadj_lo</f>
        <v>0.280829299951715</v>
      </c>
      <c r="F696" s="9" t="n">
        <f aca="false">$D696+gmadj_lo</f>
        <v>0.280829299951715</v>
      </c>
      <c r="G696" s="9" t="n">
        <f aca="false">$D696+gmadj_lo</f>
        <v>0.280829299951715</v>
      </c>
      <c r="K696" s="8" t="s">
        <v>660</v>
      </c>
    </row>
    <row r="697" customFormat="false" ht="15" hidden="false" customHeight="false" outlineLevel="0" collapsed="false">
      <c r="A697" s="4" t="s">
        <v>516</v>
      </c>
      <c r="B697" s="0" t="s">
        <v>278</v>
      </c>
      <c r="C697" s="20" t="n">
        <f aca="false">a25_gp</f>
        <v>8.454</v>
      </c>
      <c r="D697" s="20" t="n">
        <f aca="false">a26_gp</f>
        <v>14.6514705</v>
      </c>
      <c r="E697" s="20" t="n">
        <f aca="false">E696*E688+E694+E695</f>
        <v>27.2011721652751</v>
      </c>
      <c r="F697" s="20" t="n">
        <f aca="false">F696*F688+F694+F695</f>
        <v>38.2573539545706</v>
      </c>
      <c r="G697" s="20" t="n">
        <f aca="false">G696*G688+G694+G695</f>
        <v>43.6755647745687</v>
      </c>
    </row>
    <row r="698" customFormat="false" ht="15" hidden="false" customHeight="false" outlineLevel="0" collapsed="false">
      <c r="A698" s="4" t="s">
        <v>519</v>
      </c>
      <c r="B698" s="0" t="s">
        <v>51</v>
      </c>
      <c r="C698" s="9" t="n">
        <f aca="false">C697/C689</f>
        <v>0.247620163439852</v>
      </c>
      <c r="D698" s="9" t="n">
        <f aca="false">D697/D689</f>
        <v>0.211064891978754</v>
      </c>
      <c r="E698" s="9" t="n">
        <f aca="false">E697/E689</f>
        <v>0.173280452615191</v>
      </c>
      <c r="F698" s="9" t="n">
        <f aca="false">F697/F689</f>
        <v>0.166023176018539</v>
      </c>
      <c r="G698" s="9" t="n">
        <f aca="false">G697/G689</f>
        <v>0.165152885534194</v>
      </c>
    </row>
    <row r="699" customFormat="false" ht="15" hidden="false" customHeight="false" outlineLevel="0" collapsed="false">
      <c r="A699" s="4" t="s">
        <v>521</v>
      </c>
      <c r="B699" s="0" t="s">
        <v>278</v>
      </c>
      <c r="C699" s="20" t="n">
        <f aca="false">a25_opx</f>
        <v>4.104</v>
      </c>
      <c r="D699" s="20" t="n">
        <f aca="false">a26_opx</f>
        <v>5.365972</v>
      </c>
      <c r="E699" s="20" t="n">
        <f aca="false">D699*(1+MAX(g_opx_min,phi*E690))+0*E689</f>
        <v>7.39652492275899</v>
      </c>
      <c r="F699" s="20" t="n">
        <f aca="false">E699*(1+MAX(g_opx_min,phi*F690))+0*F689</f>
        <v>8.43486284229162</v>
      </c>
      <c r="G699" s="20" t="n">
        <f aca="false">F699*(1+MAX(g_opx_min,phi*G690))+0*G689</f>
        <v>9.10965186967495</v>
      </c>
    </row>
    <row r="700" customFormat="false" ht="15" hidden="false" customHeight="false" outlineLevel="0" collapsed="false">
      <c r="A700" s="4" t="s">
        <v>524</v>
      </c>
      <c r="B700" s="0" t="s">
        <v>278</v>
      </c>
      <c r="C700" s="20" t="n">
        <f aca="false">C697-C699</f>
        <v>4.35</v>
      </c>
      <c r="D700" s="20" t="n">
        <f aca="false">D697-D699</f>
        <v>9.2854985</v>
      </c>
      <c r="E700" s="20" t="n">
        <f aca="false">E697-E699</f>
        <v>19.8046472425161</v>
      </c>
      <c r="F700" s="20" t="n">
        <f aca="false">F697-F699</f>
        <v>29.8224911122789</v>
      </c>
      <c r="G700" s="20" t="n">
        <f aca="false">G697-G699</f>
        <v>34.5659129048937</v>
      </c>
    </row>
    <row r="701" customFormat="false" ht="15" hidden="false" customHeight="false" outlineLevel="0" collapsed="false">
      <c r="A701" s="4" t="s">
        <v>621</v>
      </c>
      <c r="B701" s="0" t="s">
        <v>51</v>
      </c>
      <c r="C701" s="9" t="n">
        <f aca="false">C700/C689</f>
        <v>0.127412788143288</v>
      </c>
      <c r="D701" s="9" t="n">
        <f aca="false">D700/D689</f>
        <v>0.13376423464603</v>
      </c>
      <c r="E701" s="9" t="n">
        <f aca="false">E700/E689</f>
        <v>0.126162145411085</v>
      </c>
      <c r="F701" s="9" t="n">
        <f aca="false">F700/F689</f>
        <v>0.129418900667428</v>
      </c>
      <c r="G701" s="9" t="n">
        <f aca="false">G700/G689</f>
        <v>0.130706043226506</v>
      </c>
    </row>
    <row r="702" customFormat="false" ht="15" hidden="false" customHeight="false" outlineLevel="0" collapsed="false">
      <c r="A702" s="4" t="s">
        <v>527</v>
      </c>
      <c r="B702" s="0" t="s">
        <v>278</v>
      </c>
      <c r="C702" s="20" t="n">
        <f aca="false">a25_nonop</f>
        <v>0.0920000000000005</v>
      </c>
      <c r="D702" s="20" t="n">
        <f aca="false">a26_nonop</f>
        <v>0.384548</v>
      </c>
      <c r="E702" s="20" t="n">
        <f aca="false">nonop_f</f>
        <v>0.5</v>
      </c>
      <c r="F702" s="20" t="n">
        <f aca="false">nonop_f</f>
        <v>0.5</v>
      </c>
      <c r="G702" s="20" t="n">
        <f aca="false">nonop_f</f>
        <v>0.5</v>
      </c>
    </row>
    <row r="703" customFormat="false" ht="15" hidden="false" customHeight="false" outlineLevel="0" collapsed="false">
      <c r="A703" s="4" t="s">
        <v>529</v>
      </c>
      <c r="B703" s="0" t="s">
        <v>278</v>
      </c>
      <c r="C703" s="20" t="n">
        <f aca="false">C700+C702</f>
        <v>4.442</v>
      </c>
      <c r="D703" s="20" t="n">
        <f aca="false">D700+D702</f>
        <v>9.6700465</v>
      </c>
      <c r="E703" s="20" t="n">
        <f aca="false">E700+E702</f>
        <v>20.3046472425161</v>
      </c>
      <c r="F703" s="20" t="n">
        <f aca="false">F700+F702</f>
        <v>30.3224911122789</v>
      </c>
      <c r="G703" s="20" t="n">
        <f aca="false">G700+G702</f>
        <v>35.0659129048937</v>
      </c>
    </row>
    <row r="704" customFormat="false" ht="15" hidden="false" customHeight="false" outlineLevel="0" collapsed="false">
      <c r="A704" s="4" t="s">
        <v>531</v>
      </c>
      <c r="B704" s="0" t="s">
        <v>278</v>
      </c>
      <c r="C704" s="20" t="n">
        <f aca="false">a25_tax</f>
        <v>0.672</v>
      </c>
      <c r="D704" s="20" t="n">
        <f aca="false">a26_tax</f>
        <v>1.337361725</v>
      </c>
      <c r="E704" s="20" t="n">
        <f aca="false">E703*tax</f>
        <v>3.04569708637741</v>
      </c>
      <c r="F704" s="20" t="n">
        <f aca="false">F703*tax</f>
        <v>4.54837366684184</v>
      </c>
      <c r="G704" s="20" t="n">
        <f aca="false">G703*tax</f>
        <v>5.25988693573405</v>
      </c>
    </row>
    <row r="705" customFormat="false" ht="15" hidden="false" customHeight="false" outlineLevel="0" collapsed="false">
      <c r="A705" s="4" t="s">
        <v>534</v>
      </c>
      <c r="B705" s="0" t="s">
        <v>278</v>
      </c>
      <c r="C705" s="20" t="n">
        <f aca="false">C703-C704</f>
        <v>3.77</v>
      </c>
      <c r="D705" s="20" t="n">
        <f aca="false">D703-D704</f>
        <v>8.332684775</v>
      </c>
      <c r="E705" s="20" t="n">
        <f aca="false">E703-E704</f>
        <v>17.2589501561387</v>
      </c>
      <c r="F705" s="20" t="n">
        <f aca="false">F703-F704</f>
        <v>25.7741174454371</v>
      </c>
      <c r="G705" s="20" t="n">
        <f aca="false">G703-G704</f>
        <v>29.8060259691596</v>
      </c>
      <c r="H705" s="28" t="n">
        <f aca="false">H689*H709</f>
        <v>33.7399224935652</v>
      </c>
      <c r="I705" s="28" t="n">
        <f aca="false">I689*I709</f>
        <v>37.1900770493655</v>
      </c>
      <c r="J705" s="28" t="n">
        <f aca="false">J689*J709</f>
        <v>39.8879765162066</v>
      </c>
    </row>
    <row r="706" customFormat="false" ht="15" hidden="false" customHeight="false" outlineLevel="0" collapsed="false">
      <c r="A706" s="4" t="s">
        <v>312</v>
      </c>
      <c r="B706" s="4" t="s">
        <v>313</v>
      </c>
      <c r="C706" s="19" t="n">
        <f aca="false">a25_sh</f>
        <v>0.134020618556701</v>
      </c>
      <c r="D706" s="19" t="n">
        <f aca="false">a26_sh</f>
        <v>0.13399883744778</v>
      </c>
      <c r="E706" s="19" t="n">
        <f aca="false">q_sh*(1+sh_g)</f>
        <v>0.13401</v>
      </c>
      <c r="F706" s="19" t="n">
        <f aca="false">E706*(1+sh_g)</f>
        <v>0.13401</v>
      </c>
      <c r="G706" s="19" t="n">
        <f aca="false">F706*(1+sh_g)</f>
        <v>0.13401</v>
      </c>
      <c r="H706" s="30" t="n">
        <f aca="false">G706*(1+sh_g)</f>
        <v>0.13401</v>
      </c>
      <c r="I706" s="30" t="n">
        <f aca="false">H706*(1+sh_g)</f>
        <v>0.13401</v>
      </c>
      <c r="J706" s="30" t="n">
        <f aca="false">I706*(1+sh_g)</f>
        <v>0.13401</v>
      </c>
    </row>
    <row r="707" customFormat="false" ht="17.15" hidden="false" customHeight="false" outlineLevel="0" collapsed="false">
      <c r="A707" s="0" t="s">
        <v>538</v>
      </c>
      <c r="B707" s="0" t="s">
        <v>356</v>
      </c>
      <c r="C707" s="20" t="n">
        <f aca="false">C705/C706</f>
        <v>28.13</v>
      </c>
      <c r="D707" s="20" t="n">
        <f aca="false">D705/D706</f>
        <v>62.1847542389856</v>
      </c>
      <c r="E707" s="20" t="n">
        <f aca="false">E705/E706</f>
        <v>128.788524409661</v>
      </c>
      <c r="F707" s="20" t="n">
        <f aca="false">F705/F706</f>
        <v>192.329807069899</v>
      </c>
      <c r="G707" s="20" t="n">
        <f aca="false">G705/G706</f>
        <v>222.416431379447</v>
      </c>
      <c r="H707" s="28" t="n">
        <f aca="false">H705/H706</f>
        <v>251.771677438738</v>
      </c>
      <c r="I707" s="28" t="n">
        <f aca="false">I705/I706</f>
        <v>277.517178190923</v>
      </c>
      <c r="J707" s="28" t="n">
        <f aca="false">J705/J706</f>
        <v>297.649253907967</v>
      </c>
    </row>
    <row r="708" customFormat="false" ht="17.15" hidden="false" customHeight="false" outlineLevel="0" collapsed="false">
      <c r="A708" s="0" t="s">
        <v>661</v>
      </c>
      <c r="B708" s="0" t="s">
        <v>51</v>
      </c>
      <c r="D708" s="18" t="n">
        <f aca="false">D707/C707-1</f>
        <v>1.21062048485551</v>
      </c>
      <c r="E708" s="18" t="n">
        <f aca="false">E707/D707-1</f>
        <v>1.07106269029716</v>
      </c>
      <c r="F708" s="18" t="n">
        <f aca="false">F707/E707-1</f>
        <v>0.493376897914603</v>
      </c>
      <c r="G708" s="18" t="n">
        <f aca="false">G707/F707-1</f>
        <v>0.156432457183372</v>
      </c>
      <c r="H708" s="26" t="n">
        <f aca="false">H707/G707-1</f>
        <v>0.131983261655747</v>
      </c>
      <c r="I708" s="26" t="n">
        <f aca="false">I707/H707-1</f>
        <v>0.102257334955594</v>
      </c>
      <c r="J708" s="26" t="n">
        <f aca="false">J707/I707-1</f>
        <v>0.0725435299114858</v>
      </c>
    </row>
    <row r="709" customFormat="false" ht="17.15" hidden="false" customHeight="false" outlineLevel="0" collapsed="false">
      <c r="A709" s="4" t="s">
        <v>662</v>
      </c>
      <c r="B709" s="0" t="s">
        <v>51</v>
      </c>
      <c r="C709" s="9" t="n">
        <f aca="false">C705/C689</f>
        <v>0.11042441639085</v>
      </c>
      <c r="D709" s="9" t="n">
        <f aca="false">D705/D689</f>
        <v>0.1200382727405</v>
      </c>
      <c r="E709" s="9" t="n">
        <f aca="false">E705/E689</f>
        <v>0.109945213998409</v>
      </c>
      <c r="F709" s="9" t="n">
        <f aca="false">F705/F689</f>
        <v>0.111850412928391</v>
      </c>
      <c r="G709" s="9" t="n">
        <f aca="false">G705/G689</f>
        <v>0.11270721330157</v>
      </c>
      <c r="H709" s="27" t="n">
        <f aca="false">$G709+(fade_mA-$G709)*1/3</f>
        <v>0.114073266663553</v>
      </c>
      <c r="I709" s="27" t="n">
        <f aca="false">$G709+(fade_mA-$G709)*2/3</f>
        <v>0.115439320025536</v>
      </c>
      <c r="J709" s="27" t="n">
        <f aca="false">$G709+(fade_mA-$G709)*3/3</f>
        <v>0.116805373387519</v>
      </c>
    </row>
    <row r="712" customFormat="false" ht="17.15" hidden="false" customHeight="false" outlineLevel="0" collapsed="false">
      <c r="A712" s="1" t="s">
        <v>995</v>
      </c>
    </row>
    <row r="713" customFormat="false" ht="17.15" hidden="false" customHeight="false" outlineLevel="0" collapsed="false">
      <c r="A713" s="5" t="s">
        <v>27</v>
      </c>
      <c r="B713" s="5" t="s">
        <v>28</v>
      </c>
      <c r="C713" s="16" t="s">
        <v>497</v>
      </c>
      <c r="D713" s="16" t="s">
        <v>610</v>
      </c>
      <c r="E713" s="16" t="s">
        <v>611</v>
      </c>
      <c r="F713" s="16" t="s">
        <v>612</v>
      </c>
      <c r="G713" s="16" t="s">
        <v>613</v>
      </c>
      <c r="H713" s="16" t="s">
        <v>614</v>
      </c>
      <c r="I713" s="16" t="s">
        <v>615</v>
      </c>
      <c r="J713" s="16" t="s">
        <v>616</v>
      </c>
      <c r="K713" s="5" t="s">
        <v>450</v>
      </c>
    </row>
    <row r="714" customFormat="false" ht="17.15" hidden="false" customHeight="false" outlineLevel="0" collapsed="false">
      <c r="A714" s="6" t="s">
        <v>632</v>
      </c>
    </row>
    <row r="715" customFormat="false" ht="17.15" hidden="false" customHeight="false" outlineLevel="0" collapsed="false">
      <c r="A715" s="0" t="s">
        <v>633</v>
      </c>
      <c r="B715" s="4" t="s">
        <v>38</v>
      </c>
      <c r="D715" s="22" t="n">
        <f aca="false">u_tpu_26</f>
        <v>3.85</v>
      </c>
      <c r="E715" s="22" t="n">
        <f aca="false">u_tpu_27</f>
        <v>5.5</v>
      </c>
      <c r="F715" s="22" t="n">
        <f aca="false">u_tpu_28*um28_A</f>
        <v>7</v>
      </c>
      <c r="G715" s="22" t="n">
        <f aca="false">u_tpu_28*(1+g29_tpu)*um29_A</f>
        <v>8.05</v>
      </c>
    </row>
    <row r="716" customFormat="false" ht="17.15" hidden="false" customHeight="false" outlineLevel="0" collapsed="false">
      <c r="A716" s="0" t="s">
        <v>574</v>
      </c>
      <c r="B716" s="0" t="s">
        <v>70</v>
      </c>
      <c r="D716" s="22" t="n">
        <f aca="false">att26</f>
        <v>0.325</v>
      </c>
      <c r="E716" s="22" t="n">
        <f aca="false">MAX(0,att_A+0)</f>
        <v>0.6</v>
      </c>
      <c r="F716" s="22" t="n">
        <f aca="false">MAX(0,att_A+0)</f>
        <v>0.6</v>
      </c>
      <c r="G716" s="22" t="n">
        <f aca="false">MAX(0,att_A+0)</f>
        <v>0.6</v>
      </c>
    </row>
    <row r="717" customFormat="false" ht="17.15" hidden="false" customHeight="false" outlineLevel="0" collapsed="false">
      <c r="A717" s="4" t="s">
        <v>634</v>
      </c>
      <c r="B717" s="0" t="s">
        <v>51</v>
      </c>
      <c r="D717" s="18" t="n">
        <f aca="false">gsh26</f>
        <v>1</v>
      </c>
      <c r="E717" s="18" t="n">
        <f aca="false">gsh26</f>
        <v>1</v>
      </c>
      <c r="F717" s="18" t="n">
        <f aca="false">MIN(1,gsh28_A)</f>
        <v>1</v>
      </c>
      <c r="G717" s="18" t="n">
        <f aca="false">MIN(1,gsh28_A)</f>
        <v>1</v>
      </c>
    </row>
    <row r="718" customFormat="false" ht="17.15" hidden="false" customHeight="false" outlineLevel="0" collapsed="false">
      <c r="A718" s="4" t="s">
        <v>576</v>
      </c>
      <c r="B718" s="4" t="s">
        <v>38</v>
      </c>
      <c r="D718" s="22" t="n">
        <f aca="false">D715*D716*D717</f>
        <v>1.25125</v>
      </c>
      <c r="E718" s="22" t="n">
        <f aca="false">E715*E716*E717*1</f>
        <v>3.3</v>
      </c>
      <c r="F718" s="22" t="n">
        <f aca="false">F715*F716*F717*1</f>
        <v>4.2</v>
      </c>
      <c r="G718" s="22" t="n">
        <f aca="false">G715*G716*G717*1</f>
        <v>4.83</v>
      </c>
    </row>
    <row r="719" customFormat="false" ht="17.15" hidden="false" customHeight="false" outlineLevel="0" collapsed="false">
      <c r="A719" s="4" t="s">
        <v>635</v>
      </c>
      <c r="B719" s="0" t="s">
        <v>116</v>
      </c>
      <c r="D719" s="20" t="n">
        <f aca="false">pc_cpu</f>
        <v>1</v>
      </c>
      <c r="E719" s="20" t="n">
        <f aca="false">pc_cpu</f>
        <v>1</v>
      </c>
      <c r="F719" s="20" t="n">
        <f aca="false">pc_cpu*pfc_A</f>
        <v>1.2</v>
      </c>
      <c r="G719" s="20" t="n">
        <f aca="false">pc_cpu*pfc_A</f>
        <v>1.2</v>
      </c>
    </row>
    <row r="720" customFormat="false" ht="17.15" hidden="false" customHeight="false" outlineLevel="0" collapsed="false">
      <c r="A720" s="0" t="s">
        <v>636</v>
      </c>
      <c r="B720" s="0" t="s">
        <v>581</v>
      </c>
      <c r="D720" s="20" t="n">
        <f aca="false">D718*D719</f>
        <v>1.25125</v>
      </c>
      <c r="E720" s="20" t="n">
        <f aca="false">E718*E719</f>
        <v>3.3</v>
      </c>
      <c r="F720" s="20" t="n">
        <f aca="false">F718*F719</f>
        <v>5.04</v>
      </c>
      <c r="G720" s="20" t="n">
        <f aca="false">G718*G719</f>
        <v>5.796</v>
      </c>
    </row>
    <row r="721" customFormat="false" ht="17.15" hidden="false" customHeight="false" outlineLevel="0" collapsed="false">
      <c r="A721" s="0" t="s">
        <v>637</v>
      </c>
      <c r="B721" s="0" t="s">
        <v>70</v>
      </c>
      <c r="D721" s="22" t="n">
        <f aca="false">a26_cpu/fx26/D720</f>
        <v>0.842704434805701</v>
      </c>
      <c r="K721" s="8" t="s">
        <v>638</v>
      </c>
    </row>
    <row r="722" customFormat="false" ht="17.15" hidden="false" customHeight="false" outlineLevel="0" collapsed="false">
      <c r="A722" s="0" t="s">
        <v>639</v>
      </c>
      <c r="B722" s="0" t="s">
        <v>581</v>
      </c>
      <c r="D722" s="20" t="n">
        <f aca="false">D720*$D$721</f>
        <v>1.05443392405063</v>
      </c>
      <c r="E722" s="20" t="n">
        <f aca="false">E720*$D$721</f>
        <v>2.78092463485881</v>
      </c>
      <c r="F722" s="20" t="n">
        <f aca="false">F720*$D$721</f>
        <v>4.24723035142073</v>
      </c>
      <c r="G722" s="20" t="n">
        <f aca="false">G720*$D$721</f>
        <v>4.88431490413384</v>
      </c>
    </row>
    <row r="723" customFormat="false" ht="15" hidden="false" customHeight="false" outlineLevel="0" collapsed="false">
      <c r="A723" s="4" t="s">
        <v>640</v>
      </c>
      <c r="B723" s="0" t="s">
        <v>273</v>
      </c>
      <c r="D723" s="20" t="n">
        <f aca="false">fx26</f>
        <v>31.6</v>
      </c>
      <c r="E723" s="20" t="n">
        <f aca="false">fx</f>
        <v>32</v>
      </c>
      <c r="F723" s="20" t="n">
        <f aca="false">fx</f>
        <v>32</v>
      </c>
      <c r="G723" s="20" t="n">
        <f aca="false">fx</f>
        <v>32</v>
      </c>
    </row>
    <row r="724" customFormat="false" ht="17.15" hidden="false" customHeight="false" outlineLevel="0" collapsed="false">
      <c r="A724" s="0" t="s">
        <v>641</v>
      </c>
      <c r="B724" s="0" t="s">
        <v>278</v>
      </c>
      <c r="C724" s="20" t="n">
        <f aca="false">a25_cpu</f>
        <v>6.14538</v>
      </c>
      <c r="D724" s="20" t="n">
        <f aca="false">D722*D723</f>
        <v>33.320112</v>
      </c>
      <c r="E724" s="20" t="n">
        <f aca="false">E722*E723</f>
        <v>88.989588315482</v>
      </c>
      <c r="F724" s="20" t="n">
        <f aca="false">F722*F723</f>
        <v>135.911371245463</v>
      </c>
      <c r="G724" s="20" t="n">
        <f aca="false">G722*G723</f>
        <v>156.298076932283</v>
      </c>
    </row>
    <row r="725" customFormat="false" ht="17.15" hidden="false" customHeight="false" outlineLevel="0" collapsed="false">
      <c r="A725" s="4" t="s">
        <v>578</v>
      </c>
      <c r="B725" s="0" t="s">
        <v>116</v>
      </c>
      <c r="D725" s="20" t="n">
        <f aca="false">IF(D718&gt;0,D722/D718,0)</f>
        <v>0.842704434805701</v>
      </c>
      <c r="E725" s="20" t="n">
        <f aca="false">IF(E718&gt;0,E722/E718,0)</f>
        <v>0.842704434805701</v>
      </c>
      <c r="F725" s="20" t="n">
        <f aca="false">IF(F718&gt;0,F722/F718,0)</f>
        <v>1.01124532176684</v>
      </c>
      <c r="G725" s="20" t="n">
        <f aca="false">IF(G718&gt;0,G722/G718,0)</f>
        <v>1.01124532176684</v>
      </c>
    </row>
    <row r="726" customFormat="false" ht="17.15" hidden="false" customHeight="false" outlineLevel="0" collapsed="false">
      <c r="A726" s="6" t="s">
        <v>642</v>
      </c>
    </row>
    <row r="727" customFormat="false" ht="17.15" hidden="false" customHeight="false" outlineLevel="0" collapsed="false">
      <c r="A727" s="4" t="s">
        <v>643</v>
      </c>
      <c r="B727" s="4" t="s">
        <v>38</v>
      </c>
      <c r="D727" s="22" t="n">
        <f aca="false">u_oth_26</f>
        <v>1</v>
      </c>
      <c r="E727" s="22" t="n">
        <f aca="false">u_oth_27</f>
        <v>4.5</v>
      </c>
      <c r="F727" s="22" t="n">
        <f aca="false">u_oth_28*um28_A</f>
        <v>5</v>
      </c>
      <c r="G727" s="22" t="n">
        <f aca="false">u_oth_28*(1+g29_oth)*um29_A</f>
        <v>5.75</v>
      </c>
    </row>
    <row r="728" customFormat="false" ht="17.15" hidden="false" customHeight="false" outlineLevel="0" collapsed="false">
      <c r="A728" s="4" t="s">
        <v>584</v>
      </c>
      <c r="B728" s="0" t="s">
        <v>51</v>
      </c>
      <c r="D728" s="18" t="n">
        <f aca="false">guc_oth_26</f>
        <v>0.03</v>
      </c>
      <c r="E728" s="18" t="n">
        <f aca="false">MIN(1,MAX(0,go27_A+0))</f>
        <v>0.06</v>
      </c>
      <c r="F728" s="18" t="n">
        <f aca="false">MIN(1,MAX(0,go28_A+0))</f>
        <v>0.08</v>
      </c>
      <c r="G728" s="18" t="n">
        <f aca="false">MIN(1,MAX(0,go28_A+0))</f>
        <v>0.08</v>
      </c>
    </row>
    <row r="729" customFormat="false" ht="17.15" hidden="false" customHeight="false" outlineLevel="0" collapsed="false">
      <c r="A729" s="4" t="s">
        <v>586</v>
      </c>
      <c r="B729" s="4" t="s">
        <v>38</v>
      </c>
      <c r="D729" s="22" t="n">
        <f aca="false">D727*D728</f>
        <v>0.03</v>
      </c>
      <c r="E729" s="22" t="n">
        <f aca="false">E727*E728*1</f>
        <v>0.27</v>
      </c>
      <c r="F729" s="22" t="n">
        <f aca="false">F727*F728*1</f>
        <v>0.4</v>
      </c>
      <c r="G729" s="22" t="n">
        <f aca="false">G727*G728*1</f>
        <v>0.46</v>
      </c>
    </row>
    <row r="730" customFormat="false" ht="17.15" hidden="false" customHeight="false" outlineLevel="0" collapsed="false">
      <c r="A730" s="0" t="s">
        <v>644</v>
      </c>
      <c r="B730" s="0" t="s">
        <v>581</v>
      </c>
      <c r="D730" s="20" t="n">
        <f aca="false">D729*core_oth</f>
        <v>0.18</v>
      </c>
      <c r="E730" s="20" t="n">
        <f aca="false">E729*core_oth</f>
        <v>1.62</v>
      </c>
      <c r="F730" s="20" t="n">
        <f aca="false">F729*core_oth</f>
        <v>2.4</v>
      </c>
      <c r="G730" s="20" t="n">
        <f aca="false">G729*core_oth</f>
        <v>2.76</v>
      </c>
    </row>
    <row r="731" customFormat="false" ht="17.15" hidden="false" customHeight="false" outlineLevel="0" collapsed="false">
      <c r="A731" s="0" t="s">
        <v>645</v>
      </c>
      <c r="B731" s="0" t="s">
        <v>70</v>
      </c>
      <c r="D731" s="22" t="n">
        <f aca="false">a26_asic/fx26/D730</f>
        <v>0.366122890295359</v>
      </c>
      <c r="K731" s="8" t="s">
        <v>646</v>
      </c>
    </row>
    <row r="732" customFormat="false" ht="17.15" hidden="false" customHeight="false" outlineLevel="0" collapsed="false">
      <c r="A732" s="0" t="s">
        <v>647</v>
      </c>
      <c r="B732" s="0" t="s">
        <v>581</v>
      </c>
      <c r="D732" s="20" t="n">
        <f aca="false">D730*$D$731</f>
        <v>0.0659021202531645</v>
      </c>
      <c r="E732" s="20" t="n">
        <f aca="false">E730*$D$731</f>
        <v>0.593119082278481</v>
      </c>
      <c r="F732" s="20" t="n">
        <f aca="false">F730*$D$731</f>
        <v>0.878694936708861</v>
      </c>
      <c r="G732" s="20" t="n">
        <f aca="false">G730*$D$731</f>
        <v>1.01049917721519</v>
      </c>
    </row>
    <row r="733" customFormat="false" ht="17.15" hidden="false" customHeight="false" outlineLevel="0" collapsed="false">
      <c r="A733" s="0" t="s">
        <v>648</v>
      </c>
      <c r="B733" s="0" t="s">
        <v>278</v>
      </c>
      <c r="C733" s="20" t="n">
        <f aca="false">a25_asic</f>
        <v>1.70705</v>
      </c>
      <c r="D733" s="20" t="n">
        <f aca="false">D732*D723</f>
        <v>2.082507</v>
      </c>
      <c r="E733" s="20" t="n">
        <f aca="false">E732*E723</f>
        <v>18.9798106329114</v>
      </c>
      <c r="F733" s="20" t="n">
        <f aca="false">F732*F723</f>
        <v>28.1182379746835</v>
      </c>
      <c r="G733" s="20" t="n">
        <f aca="false">G732*G723</f>
        <v>32.3359736708861</v>
      </c>
    </row>
    <row r="734" customFormat="false" ht="17.15" hidden="false" customHeight="false" outlineLevel="0" collapsed="false">
      <c r="A734" s="6" t="s">
        <v>649</v>
      </c>
    </row>
    <row r="735" customFormat="false" ht="17.15" hidden="false" customHeight="false" outlineLevel="0" collapsed="false">
      <c r="A735" s="4" t="s">
        <v>650</v>
      </c>
      <c r="B735" s="0" t="s">
        <v>278</v>
      </c>
      <c r="C735" s="20" t="n">
        <f aca="false">a25_auto</f>
        <v>1.02423</v>
      </c>
      <c r="D735" s="20" t="n">
        <f aca="false">a26_auto</f>
        <v>3.470845</v>
      </c>
      <c r="E735" s="20" t="n">
        <f aca="false">D735*am27_A</f>
        <v>13.88338</v>
      </c>
      <c r="F735" s="20" t="n">
        <f aca="false">E735*am28_A</f>
        <v>27.76676</v>
      </c>
      <c r="G735" s="20" t="n">
        <f aca="false">F735*(1+ag29_A)</f>
        <v>33.320112</v>
      </c>
    </row>
    <row r="736" customFormat="false" ht="17.15" hidden="false" customHeight="false" outlineLevel="0" collapsed="false">
      <c r="A736" s="4" t="s">
        <v>651</v>
      </c>
      <c r="B736" s="0" t="s">
        <v>278</v>
      </c>
      <c r="C736" s="20" t="n">
        <f aca="false">a25_oth</f>
        <v>25.26434</v>
      </c>
      <c r="D736" s="20" t="n">
        <f aca="false">a26_oth</f>
        <v>30.543436</v>
      </c>
      <c r="E736" s="20" t="n">
        <f aca="false">D736*(1+g_o27_A)</f>
        <v>35.1249514</v>
      </c>
      <c r="F736" s="20" t="n">
        <f aca="false">E736*(1+g_oL_A)</f>
        <v>38.63744654</v>
      </c>
      <c r="G736" s="20" t="n">
        <f aca="false">F736*(1+g_oL_A)</f>
        <v>42.501191194</v>
      </c>
    </row>
    <row r="737" customFormat="false" ht="17.15" hidden="false" customHeight="false" outlineLevel="0" collapsed="false">
      <c r="A737" s="4" t="s">
        <v>503</v>
      </c>
      <c r="B737" s="0" t="s">
        <v>278</v>
      </c>
      <c r="C737" s="20" t="n">
        <f aca="false">C724+C733+C735+C736</f>
        <v>34.141</v>
      </c>
      <c r="D737" s="20" t="n">
        <f aca="false">D724+D733+D735+D736</f>
        <v>69.4169</v>
      </c>
      <c r="E737" s="20" t="n">
        <f aca="false">E724+E733+E735+E736</f>
        <v>156.977730348393</v>
      </c>
      <c r="F737" s="20" t="n">
        <f aca="false">F724+F733+F735+F736</f>
        <v>230.433815760147</v>
      </c>
      <c r="G737" s="20" t="n">
        <f aca="false">G724+G733+G735+G736</f>
        <v>264.455353797169</v>
      </c>
      <c r="H737" s="28" t="n">
        <f aca="false">G737*(1+H738)</f>
        <v>295.7741413076</v>
      </c>
      <c r="I737" s="28" t="n">
        <f aca="false">H737*(1+I738)</f>
        <v>322.161262221043</v>
      </c>
      <c r="J737" s="28" t="n">
        <f aca="false">I737*(1+J738)</f>
        <v>341.490937954306</v>
      </c>
      <c r="K737" s="8" t="s">
        <v>652</v>
      </c>
    </row>
    <row r="738" customFormat="false" ht="15" hidden="false" customHeight="false" outlineLevel="0" collapsed="false">
      <c r="A738" s="4" t="s">
        <v>653</v>
      </c>
      <c r="B738" s="0" t="s">
        <v>51</v>
      </c>
      <c r="D738" s="18" t="n">
        <f aca="false">D737/C737-1</f>
        <v>1.03324155707214</v>
      </c>
      <c r="E738" s="18" t="n">
        <f aca="false">E737/D737-1</f>
        <v>1.26137626930032</v>
      </c>
      <c r="F738" s="18" t="n">
        <f aca="false">F737/E737-1</f>
        <v>0.467939530331637</v>
      </c>
      <c r="G738" s="18" t="n">
        <f aca="false">G737/F737-1</f>
        <v>0.147641256231395</v>
      </c>
      <c r="H738" s="26" t="n">
        <f aca="false">$G738+(fade_gA-$G738)*1/3</f>
        <v>0.118427504154264</v>
      </c>
      <c r="I738" s="26" t="n">
        <f aca="false">$G738+(fade_gA-$G738)*2/3</f>
        <v>0.0892137520771318</v>
      </c>
      <c r="J738" s="26" t="n">
        <f aca="false">$G738+(fade_gA-$G738)*3/3</f>
        <v>0.06</v>
      </c>
    </row>
    <row r="739" customFormat="false" ht="17.15" hidden="false" customHeight="false" outlineLevel="0" collapsed="false">
      <c r="A739" s="0" t="s">
        <v>654</v>
      </c>
      <c r="B739" s="0" t="s">
        <v>51</v>
      </c>
      <c r="C739" s="18" t="n">
        <f aca="false">C724/C737</f>
        <v>0.18</v>
      </c>
      <c r="D739" s="18" t="n">
        <f aca="false">D724/D737</f>
        <v>0.48</v>
      </c>
      <c r="E739" s="18" t="n">
        <f aca="false">E724/E737</f>
        <v>0.566893075329731</v>
      </c>
      <c r="F739" s="18" t="n">
        <f aca="false">F724/F737</f>
        <v>0.589806538580823</v>
      </c>
      <c r="G739" s="18" t="n">
        <f aca="false">G724/G737</f>
        <v>0.591018766260863</v>
      </c>
    </row>
    <row r="740" customFormat="false" ht="17.15" hidden="false" customHeight="false" outlineLevel="0" collapsed="false">
      <c r="A740" s="4" t="s">
        <v>655</v>
      </c>
      <c r="B740" s="0" t="s">
        <v>51</v>
      </c>
      <c r="C740" s="18" t="n">
        <f aca="false">C735/C737</f>
        <v>0.03</v>
      </c>
      <c r="D740" s="18" t="n">
        <f aca="false">D735/D737</f>
        <v>0.05</v>
      </c>
      <c r="E740" s="18" t="n">
        <f aca="false">E735/E737</f>
        <v>0.0884417169823229</v>
      </c>
      <c r="F740" s="18" t="n">
        <f aca="false">F735/F737</f>
        <v>0.120497765956806</v>
      </c>
      <c r="G740" s="18" t="n">
        <f aca="false">G735/G737</f>
        <v>0.125995225740658</v>
      </c>
    </row>
    <row r="741" customFormat="false" ht="17.15" hidden="false" customHeight="false" outlineLevel="0" collapsed="false">
      <c r="A741" s="6" t="s">
        <v>656</v>
      </c>
    </row>
    <row r="742" customFormat="false" ht="17.15" hidden="false" customHeight="false" outlineLevel="0" collapsed="false">
      <c r="A742" s="0" t="s">
        <v>657</v>
      </c>
      <c r="B742" s="0" t="s">
        <v>278</v>
      </c>
      <c r="D742" s="20" t="n">
        <f aca="false">m_tk*(D724+D733)</f>
        <v>4.60234047</v>
      </c>
      <c r="E742" s="20" t="n">
        <f aca="false">(m_tk+gta_A)*(E724+E733)</f>
        <v>15.1157158527751</v>
      </c>
      <c r="F742" s="20" t="n">
        <f aca="false">(m_tk+gta_A)*(F724+F733)</f>
        <v>22.9641452908206</v>
      </c>
      <c r="G742" s="20" t="n">
        <f aca="false">(m_tk+gta_A)*(G724+G733)</f>
        <v>26.4087670844437</v>
      </c>
    </row>
    <row r="743" customFormat="false" ht="17.15" hidden="false" customHeight="false" outlineLevel="0" collapsed="false">
      <c r="A743" s="4" t="s">
        <v>658</v>
      </c>
      <c r="B743" s="0" t="s">
        <v>278</v>
      </c>
      <c r="D743" s="20" t="n">
        <f aca="false">m_auto*D735</f>
        <v>0.5553352</v>
      </c>
      <c r="E743" s="20" t="n">
        <f aca="false">m_auto*E735</f>
        <v>2.2213408</v>
      </c>
      <c r="F743" s="20" t="n">
        <f aca="false">m_auto*F735</f>
        <v>4.4426816</v>
      </c>
      <c r="G743" s="20" t="n">
        <f aca="false">m_auto*G735</f>
        <v>5.33121792</v>
      </c>
    </row>
    <row r="744" customFormat="false" ht="17.15" hidden="false" customHeight="false" outlineLevel="0" collapsed="false">
      <c r="A744" s="4" t="s">
        <v>659</v>
      </c>
      <c r="B744" s="0" t="s">
        <v>51</v>
      </c>
      <c r="C744" s="9" t="n">
        <f aca="false">(a25_gp-m_tk*(C724+C733)-m_auto*C735)/C736</f>
        <v>0.287729950594395</v>
      </c>
      <c r="D744" s="9" t="n">
        <f aca="false">(a26_gp-D742-D743)/D736</f>
        <v>0.310829299951715</v>
      </c>
      <c r="E744" s="9" t="n">
        <f aca="false">$D744+0</f>
        <v>0.310829299951715</v>
      </c>
      <c r="F744" s="9" t="n">
        <f aca="false">$D744+0</f>
        <v>0.310829299951715</v>
      </c>
      <c r="G744" s="9" t="n">
        <f aca="false">$D744+0</f>
        <v>0.310829299951715</v>
      </c>
      <c r="K744" s="8" t="s">
        <v>660</v>
      </c>
    </row>
    <row r="745" customFormat="false" ht="15" hidden="false" customHeight="false" outlineLevel="0" collapsed="false">
      <c r="A745" s="4" t="s">
        <v>516</v>
      </c>
      <c r="B745" s="0" t="s">
        <v>278</v>
      </c>
      <c r="C745" s="20" t="n">
        <f aca="false">a25_gp</f>
        <v>8.454</v>
      </c>
      <c r="D745" s="20" t="n">
        <f aca="false">a26_gp</f>
        <v>14.6514705</v>
      </c>
      <c r="E745" s="20" t="n">
        <f aca="false">E744*E736+E742+E743</f>
        <v>28.2549207072751</v>
      </c>
      <c r="F745" s="20" t="n">
        <f aca="false">F744*F736+F742+F743</f>
        <v>39.4164773507706</v>
      </c>
      <c r="G745" s="20" t="n">
        <f aca="false">G744*G736+G742+G743</f>
        <v>44.9506005103887</v>
      </c>
    </row>
    <row r="746" customFormat="false" ht="15" hidden="false" customHeight="false" outlineLevel="0" collapsed="false">
      <c r="A746" s="4" t="s">
        <v>519</v>
      </c>
      <c r="B746" s="0" t="s">
        <v>51</v>
      </c>
      <c r="C746" s="9" t="n">
        <f aca="false">C745/C737</f>
        <v>0.247620163439852</v>
      </c>
      <c r="D746" s="9" t="n">
        <f aca="false">D745/D737</f>
        <v>0.211064891978754</v>
      </c>
      <c r="E746" s="9" t="n">
        <f aca="false">E745/E737</f>
        <v>0.17999317893415</v>
      </c>
      <c r="F746" s="9" t="n">
        <f aca="false">F745/F737</f>
        <v>0.171053355258406</v>
      </c>
      <c r="G746" s="9" t="n">
        <f aca="false">G745/G737</f>
        <v>0.169974250341193</v>
      </c>
    </row>
    <row r="747" customFormat="false" ht="15" hidden="false" customHeight="false" outlineLevel="0" collapsed="false">
      <c r="A747" s="4" t="s">
        <v>521</v>
      </c>
      <c r="B747" s="0" t="s">
        <v>278</v>
      </c>
      <c r="C747" s="20" t="n">
        <f aca="false">a25_opx</f>
        <v>4.104</v>
      </c>
      <c r="D747" s="20" t="n">
        <f aca="false">a26_opx</f>
        <v>5.365972</v>
      </c>
      <c r="E747" s="20" t="n">
        <f aca="false">D747*(1+MAX(g_opx_min,phi_hi*E738))+0*E737</f>
        <v>9.42707784551799</v>
      </c>
      <c r="F747" s="20" t="n">
        <f aca="false">E747*(1+MAX(g_opx_min,phi_hi*F738))+0*F737</f>
        <v>12.0738592731769</v>
      </c>
      <c r="G747" s="20" t="n">
        <f aca="false">F747*(1+MAX(g_opx_min,phi_hi*G738))+0*G737</f>
        <v>13.1434191235686</v>
      </c>
    </row>
    <row r="748" customFormat="false" ht="15" hidden="false" customHeight="false" outlineLevel="0" collapsed="false">
      <c r="A748" s="4" t="s">
        <v>524</v>
      </c>
      <c r="B748" s="0" t="s">
        <v>278</v>
      </c>
      <c r="C748" s="20" t="n">
        <f aca="false">C745-C747</f>
        <v>4.35</v>
      </c>
      <c r="D748" s="20" t="n">
        <f aca="false">D745-D747</f>
        <v>9.2854985</v>
      </c>
      <c r="E748" s="20" t="n">
        <f aca="false">E745-E747</f>
        <v>18.8278428617571</v>
      </c>
      <c r="F748" s="20" t="n">
        <f aca="false">F745-F747</f>
        <v>27.3426180775937</v>
      </c>
      <c r="G748" s="20" t="n">
        <f aca="false">G745-G747</f>
        <v>31.80718138682</v>
      </c>
    </row>
    <row r="749" customFormat="false" ht="15" hidden="false" customHeight="false" outlineLevel="0" collapsed="false">
      <c r="A749" s="4" t="s">
        <v>621</v>
      </c>
      <c r="B749" s="0" t="s">
        <v>51</v>
      </c>
      <c r="C749" s="9" t="n">
        <f aca="false">C748/C737</f>
        <v>0.127412788143288</v>
      </c>
      <c r="D749" s="9" t="n">
        <f aca="false">D748/D737</f>
        <v>0.13376423464603</v>
      </c>
      <c r="E749" s="9" t="n">
        <f aca="false">E748/E737</f>
        <v>0.119939578817778</v>
      </c>
      <c r="F749" s="9" t="n">
        <f aca="false">F748/F737</f>
        <v>0.118657142344308</v>
      </c>
      <c r="G749" s="9" t="n">
        <f aca="false">G748/G737</f>
        <v>0.120274295566787</v>
      </c>
    </row>
    <row r="750" customFormat="false" ht="15" hidden="false" customHeight="false" outlineLevel="0" collapsed="false">
      <c r="A750" s="4" t="s">
        <v>527</v>
      </c>
      <c r="B750" s="0" t="s">
        <v>278</v>
      </c>
      <c r="C750" s="20" t="n">
        <f aca="false">a25_nonop</f>
        <v>0.0920000000000005</v>
      </c>
      <c r="D750" s="20" t="n">
        <f aca="false">a26_nonop</f>
        <v>0.384548</v>
      </c>
      <c r="E750" s="20" t="n">
        <f aca="false">nonop_f</f>
        <v>0.5</v>
      </c>
      <c r="F750" s="20" t="n">
        <f aca="false">nonop_f</f>
        <v>0.5</v>
      </c>
      <c r="G750" s="20" t="n">
        <f aca="false">nonop_f</f>
        <v>0.5</v>
      </c>
    </row>
    <row r="751" customFormat="false" ht="15" hidden="false" customHeight="false" outlineLevel="0" collapsed="false">
      <c r="A751" s="4" t="s">
        <v>529</v>
      </c>
      <c r="B751" s="0" t="s">
        <v>278</v>
      </c>
      <c r="C751" s="20" t="n">
        <f aca="false">C748+C750</f>
        <v>4.442</v>
      </c>
      <c r="D751" s="20" t="n">
        <f aca="false">D748+D750</f>
        <v>9.6700465</v>
      </c>
      <c r="E751" s="20" t="n">
        <f aca="false">E748+E750</f>
        <v>19.3278428617571</v>
      </c>
      <c r="F751" s="20" t="n">
        <f aca="false">F748+F750</f>
        <v>27.8426180775937</v>
      </c>
      <c r="G751" s="20" t="n">
        <f aca="false">G748+G750</f>
        <v>32.30718138682</v>
      </c>
    </row>
    <row r="752" customFormat="false" ht="15" hidden="false" customHeight="false" outlineLevel="0" collapsed="false">
      <c r="A752" s="4" t="s">
        <v>531</v>
      </c>
      <c r="B752" s="0" t="s">
        <v>278</v>
      </c>
      <c r="C752" s="20" t="n">
        <f aca="false">a25_tax</f>
        <v>0.672</v>
      </c>
      <c r="D752" s="20" t="n">
        <f aca="false">a26_tax</f>
        <v>1.337361725</v>
      </c>
      <c r="E752" s="20" t="n">
        <f aca="false">E751*tax</f>
        <v>2.89917642926356</v>
      </c>
      <c r="F752" s="20" t="n">
        <f aca="false">F751*tax</f>
        <v>4.17639271163905</v>
      </c>
      <c r="G752" s="20" t="n">
        <f aca="false">G751*tax</f>
        <v>4.84607720802301</v>
      </c>
    </row>
    <row r="753" customFormat="false" ht="15" hidden="false" customHeight="false" outlineLevel="0" collapsed="false">
      <c r="A753" s="4" t="s">
        <v>534</v>
      </c>
      <c r="B753" s="0" t="s">
        <v>278</v>
      </c>
      <c r="C753" s="20" t="n">
        <f aca="false">C751-C752</f>
        <v>3.77</v>
      </c>
      <c r="D753" s="20" t="n">
        <f aca="false">D751-D752</f>
        <v>8.332684775</v>
      </c>
      <c r="E753" s="20" t="n">
        <f aca="false">E751-E752</f>
        <v>16.4286664324935</v>
      </c>
      <c r="F753" s="20" t="n">
        <f aca="false">F751-F752</f>
        <v>23.6662253659546</v>
      </c>
      <c r="G753" s="20" t="n">
        <f aca="false">G751-G752</f>
        <v>27.461104178797</v>
      </c>
      <c r="H753" s="28" t="n">
        <f aca="false">H737*H757</f>
        <v>31.9915058099438</v>
      </c>
      <c r="I753" s="28" t="n">
        <f aca="false">I737*I757</f>
        <v>36.2378773012847</v>
      </c>
      <c r="J753" s="28" t="n">
        <f aca="false">J737*J757</f>
        <v>39.8879765162066</v>
      </c>
    </row>
    <row r="754" customFormat="false" ht="15" hidden="false" customHeight="false" outlineLevel="0" collapsed="false">
      <c r="A754" s="4" t="s">
        <v>312</v>
      </c>
      <c r="B754" s="4" t="s">
        <v>313</v>
      </c>
      <c r="C754" s="19" t="n">
        <f aca="false">a25_sh</f>
        <v>0.134020618556701</v>
      </c>
      <c r="D754" s="19" t="n">
        <f aca="false">a26_sh</f>
        <v>0.13399883744778</v>
      </c>
      <c r="E754" s="19" t="n">
        <f aca="false">q_sh*(1+sh_g)</f>
        <v>0.13401</v>
      </c>
      <c r="F754" s="19" t="n">
        <f aca="false">E754*(1+sh_g)</f>
        <v>0.13401</v>
      </c>
      <c r="G754" s="19" t="n">
        <f aca="false">F754*(1+sh_g)</f>
        <v>0.13401</v>
      </c>
      <c r="H754" s="30" t="n">
        <f aca="false">G754*(1+sh_g)</f>
        <v>0.13401</v>
      </c>
      <c r="I754" s="30" t="n">
        <f aca="false">H754*(1+sh_g)</f>
        <v>0.13401</v>
      </c>
      <c r="J754" s="30" t="n">
        <f aca="false">I754*(1+sh_g)</f>
        <v>0.13401</v>
      </c>
    </row>
    <row r="755" customFormat="false" ht="17.15" hidden="false" customHeight="false" outlineLevel="0" collapsed="false">
      <c r="A755" s="0" t="s">
        <v>538</v>
      </c>
      <c r="B755" s="0" t="s">
        <v>356</v>
      </c>
      <c r="C755" s="20" t="n">
        <f aca="false">C753/C754</f>
        <v>28.13</v>
      </c>
      <c r="D755" s="20" t="n">
        <f aca="false">D753/D754</f>
        <v>62.1847542389856</v>
      </c>
      <c r="E755" s="20" t="n">
        <f aca="false">E753/E754</f>
        <v>122.592839582819</v>
      </c>
      <c r="F755" s="20" t="n">
        <f aca="false">F753/F754</f>
        <v>176.600442996453</v>
      </c>
      <c r="G755" s="20" t="n">
        <f aca="false">G753/G754</f>
        <v>204.9183208626</v>
      </c>
      <c r="H755" s="28" t="n">
        <f aca="false">H753/H754</f>
        <v>238.724765390223</v>
      </c>
      <c r="I755" s="28" t="n">
        <f aca="false">I753/I754</f>
        <v>270.411740178231</v>
      </c>
      <c r="J755" s="28" t="n">
        <f aca="false">J753/J754</f>
        <v>297.649253907967</v>
      </c>
    </row>
    <row r="756" customFormat="false" ht="17.15" hidden="false" customHeight="false" outlineLevel="0" collapsed="false">
      <c r="A756" s="0" t="s">
        <v>661</v>
      </c>
      <c r="B756" s="0" t="s">
        <v>51</v>
      </c>
      <c r="D756" s="18" t="n">
        <f aca="false">D755/C755-1</f>
        <v>1.21062048485551</v>
      </c>
      <c r="E756" s="18" t="n">
        <f aca="false">E755/D755-1</f>
        <v>0.971429188441839</v>
      </c>
      <c r="F756" s="18" t="n">
        <f aca="false">F755/E755-1</f>
        <v>0.440544517913291</v>
      </c>
      <c r="G756" s="18" t="n">
        <f aca="false">G755/F755-1</f>
        <v>0.160349982059309</v>
      </c>
      <c r="H756" s="26" t="n">
        <f aca="false">H755/G755-1</f>
        <v>0.164975217371073</v>
      </c>
      <c r="I756" s="26" t="n">
        <f aca="false">I755/H755-1</f>
        <v>0.132734342564803</v>
      </c>
      <c r="J756" s="26" t="n">
        <f aca="false">J755/I755-1</f>
        <v>0.10072607687737</v>
      </c>
    </row>
    <row r="757" customFormat="false" ht="17.15" hidden="false" customHeight="false" outlineLevel="0" collapsed="false">
      <c r="A757" s="4" t="s">
        <v>662</v>
      </c>
      <c r="B757" s="0" t="s">
        <v>51</v>
      </c>
      <c r="C757" s="9" t="n">
        <f aca="false">C753/C737</f>
        <v>0.11042441639085</v>
      </c>
      <c r="D757" s="9" t="n">
        <f aca="false">D753/D737</f>
        <v>0.1200382727405</v>
      </c>
      <c r="E757" s="9" t="n">
        <f aca="false">E753/E737</f>
        <v>0.104656032394099</v>
      </c>
      <c r="F757" s="9" t="n">
        <f aca="false">F753/F737</f>
        <v>0.102702918353738</v>
      </c>
      <c r="G757" s="9" t="n">
        <f aca="false">G753/G737</f>
        <v>0.103840227790809</v>
      </c>
      <c r="H757" s="27" t="n">
        <f aca="false">$G757+(fade_mA-$G757)*1/3</f>
        <v>0.108161942989712</v>
      </c>
      <c r="I757" s="27" t="n">
        <f aca="false">$G757+(fade_mA-$G757)*2/3</f>
        <v>0.112483658188615</v>
      </c>
      <c r="J757" s="27" t="n">
        <f aca="false">$G757+(fade_mA-$G757)*3/3</f>
        <v>0.116805373387519</v>
      </c>
    </row>
    <row r="760" customFormat="false" ht="17.15" hidden="false" customHeight="false" outlineLevel="0" collapsed="false">
      <c r="A760" s="1" t="s">
        <v>996</v>
      </c>
    </row>
    <row r="761" customFormat="false" ht="17.15" hidden="false" customHeight="false" outlineLevel="0" collapsed="false">
      <c r="A761" s="5" t="s">
        <v>27</v>
      </c>
      <c r="B761" s="5" t="s">
        <v>28</v>
      </c>
      <c r="C761" s="16" t="s">
        <v>497</v>
      </c>
      <c r="D761" s="16" t="s">
        <v>610</v>
      </c>
      <c r="E761" s="16" t="s">
        <v>611</v>
      </c>
      <c r="F761" s="16" t="s">
        <v>612</v>
      </c>
      <c r="G761" s="16" t="s">
        <v>613</v>
      </c>
      <c r="H761" s="16" t="s">
        <v>614</v>
      </c>
      <c r="I761" s="16" t="s">
        <v>615</v>
      </c>
      <c r="J761" s="16" t="s">
        <v>616</v>
      </c>
      <c r="K761" s="5" t="s">
        <v>450</v>
      </c>
    </row>
    <row r="762" customFormat="false" ht="17.15" hidden="false" customHeight="false" outlineLevel="0" collapsed="false">
      <c r="A762" s="6" t="s">
        <v>632</v>
      </c>
    </row>
    <row r="763" customFormat="false" ht="17.15" hidden="false" customHeight="false" outlineLevel="0" collapsed="false">
      <c r="A763" s="0" t="s">
        <v>633</v>
      </c>
      <c r="B763" s="4" t="s">
        <v>38</v>
      </c>
      <c r="D763" s="22" t="n">
        <f aca="false">u_tpu_26</f>
        <v>3.85</v>
      </c>
      <c r="E763" s="22" t="n">
        <f aca="false">u_tpu_27</f>
        <v>5.5</v>
      </c>
      <c r="F763" s="22" t="n">
        <f aca="false">u_tpu_28*um28_A</f>
        <v>7</v>
      </c>
      <c r="G763" s="22" t="n">
        <f aca="false">u_tpu_28*(1+g29_tpu)*um29_A</f>
        <v>8.05</v>
      </c>
    </row>
    <row r="764" customFormat="false" ht="17.15" hidden="false" customHeight="false" outlineLevel="0" collapsed="false">
      <c r="A764" s="0" t="s">
        <v>574</v>
      </c>
      <c r="B764" s="0" t="s">
        <v>70</v>
      </c>
      <c r="D764" s="22" t="n">
        <f aca="false">att26</f>
        <v>0.325</v>
      </c>
      <c r="E764" s="22" t="n">
        <f aca="false">MAX(0,att_A+0)</f>
        <v>0.6</v>
      </c>
      <c r="F764" s="22" t="n">
        <f aca="false">MAX(0,att_A+0)</f>
        <v>0.6</v>
      </c>
      <c r="G764" s="22" t="n">
        <f aca="false">MAX(0,att_A+0)</f>
        <v>0.6</v>
      </c>
    </row>
    <row r="765" customFormat="false" ht="17.15" hidden="false" customHeight="false" outlineLevel="0" collapsed="false">
      <c r="A765" s="4" t="s">
        <v>634</v>
      </c>
      <c r="B765" s="0" t="s">
        <v>51</v>
      </c>
      <c r="D765" s="18" t="n">
        <f aca="false">gsh26</f>
        <v>1</v>
      </c>
      <c r="E765" s="18" t="n">
        <f aca="false">gsh26</f>
        <v>1</v>
      </c>
      <c r="F765" s="18" t="n">
        <f aca="false">MIN(1,gsh28_A)</f>
        <v>1</v>
      </c>
      <c r="G765" s="18" t="n">
        <f aca="false">MIN(1,gsh28_A)</f>
        <v>1</v>
      </c>
    </row>
    <row r="766" customFormat="false" ht="17.15" hidden="false" customHeight="false" outlineLevel="0" collapsed="false">
      <c r="A766" s="4" t="s">
        <v>576</v>
      </c>
      <c r="B766" s="4" t="s">
        <v>38</v>
      </c>
      <c r="D766" s="22" t="n">
        <f aca="false">D763*D764*D765</f>
        <v>1.25125</v>
      </c>
      <c r="E766" s="22" t="n">
        <f aca="false">E763*E764*E765*1</f>
        <v>3.3</v>
      </c>
      <c r="F766" s="22" t="n">
        <f aca="false">F763*F764*F765*1</f>
        <v>4.2</v>
      </c>
      <c r="G766" s="22" t="n">
        <f aca="false">G763*G764*G765*1</f>
        <v>4.83</v>
      </c>
    </row>
    <row r="767" customFormat="false" ht="17.15" hidden="false" customHeight="false" outlineLevel="0" collapsed="false">
      <c r="A767" s="4" t="s">
        <v>635</v>
      </c>
      <c r="B767" s="0" t="s">
        <v>116</v>
      </c>
      <c r="D767" s="20" t="n">
        <f aca="false">pc_cpu</f>
        <v>1</v>
      </c>
      <c r="E767" s="20" t="n">
        <f aca="false">pc_cpu</f>
        <v>1</v>
      </c>
      <c r="F767" s="20" t="n">
        <f aca="false">pc_cpu*pfc_A</f>
        <v>1.2</v>
      </c>
      <c r="G767" s="20" t="n">
        <f aca="false">pc_cpu*pfc_A</f>
        <v>1.2</v>
      </c>
    </row>
    <row r="768" customFormat="false" ht="17.15" hidden="false" customHeight="false" outlineLevel="0" collapsed="false">
      <c r="A768" s="0" t="s">
        <v>636</v>
      </c>
      <c r="B768" s="0" t="s">
        <v>581</v>
      </c>
      <c r="D768" s="20" t="n">
        <f aca="false">D766*D767</f>
        <v>1.25125</v>
      </c>
      <c r="E768" s="20" t="n">
        <f aca="false">E766*E767</f>
        <v>3.3</v>
      </c>
      <c r="F768" s="20" t="n">
        <f aca="false">F766*F767</f>
        <v>5.04</v>
      </c>
      <c r="G768" s="20" t="n">
        <f aca="false">G766*G767</f>
        <v>5.796</v>
      </c>
    </row>
    <row r="769" customFormat="false" ht="17.15" hidden="false" customHeight="false" outlineLevel="0" collapsed="false">
      <c r="A769" s="0" t="s">
        <v>637</v>
      </c>
      <c r="B769" s="0" t="s">
        <v>70</v>
      </c>
      <c r="D769" s="22" t="n">
        <f aca="false">a26_cpu/fx26/D768</f>
        <v>0.842704434805701</v>
      </c>
      <c r="K769" s="8" t="s">
        <v>638</v>
      </c>
    </row>
    <row r="770" customFormat="false" ht="17.15" hidden="false" customHeight="false" outlineLevel="0" collapsed="false">
      <c r="A770" s="0" t="s">
        <v>639</v>
      </c>
      <c r="B770" s="0" t="s">
        <v>581</v>
      </c>
      <c r="D770" s="20" t="n">
        <f aca="false">D768*$D$769</f>
        <v>1.05443392405063</v>
      </c>
      <c r="E770" s="20" t="n">
        <f aca="false">E768*$D$769</f>
        <v>2.78092463485881</v>
      </c>
      <c r="F770" s="20" t="n">
        <f aca="false">F768*$D$769</f>
        <v>4.24723035142073</v>
      </c>
      <c r="G770" s="20" t="n">
        <f aca="false">G768*$D$769</f>
        <v>4.88431490413384</v>
      </c>
    </row>
    <row r="771" customFormat="false" ht="15" hidden="false" customHeight="false" outlineLevel="0" collapsed="false">
      <c r="A771" s="4" t="s">
        <v>640</v>
      </c>
      <c r="B771" s="0" t="s">
        <v>273</v>
      </c>
      <c r="D771" s="20" t="n">
        <f aca="false">fx26</f>
        <v>31.6</v>
      </c>
      <c r="E771" s="20" t="n">
        <f aca="false">fx</f>
        <v>32</v>
      </c>
      <c r="F771" s="20" t="n">
        <f aca="false">fx</f>
        <v>32</v>
      </c>
      <c r="G771" s="20" t="n">
        <f aca="false">fx</f>
        <v>32</v>
      </c>
    </row>
    <row r="772" customFormat="false" ht="17.15" hidden="false" customHeight="false" outlineLevel="0" collapsed="false">
      <c r="A772" s="0" t="s">
        <v>641</v>
      </c>
      <c r="B772" s="0" t="s">
        <v>278</v>
      </c>
      <c r="C772" s="20" t="n">
        <f aca="false">a25_cpu</f>
        <v>6.14538</v>
      </c>
      <c r="D772" s="20" t="n">
        <f aca="false">D770*D771</f>
        <v>33.320112</v>
      </c>
      <c r="E772" s="20" t="n">
        <f aca="false">E770*E771</f>
        <v>88.989588315482</v>
      </c>
      <c r="F772" s="20" t="n">
        <f aca="false">F770*F771</f>
        <v>135.911371245463</v>
      </c>
      <c r="G772" s="20" t="n">
        <f aca="false">G770*G771</f>
        <v>156.298076932283</v>
      </c>
    </row>
    <row r="773" customFormat="false" ht="17.15" hidden="false" customHeight="false" outlineLevel="0" collapsed="false">
      <c r="A773" s="4" t="s">
        <v>578</v>
      </c>
      <c r="B773" s="0" t="s">
        <v>116</v>
      </c>
      <c r="D773" s="20" t="n">
        <f aca="false">IF(D766&gt;0,D770/D766,0)</f>
        <v>0.842704434805701</v>
      </c>
      <c r="E773" s="20" t="n">
        <f aca="false">IF(E766&gt;0,E770/E766,0)</f>
        <v>0.842704434805701</v>
      </c>
      <c r="F773" s="20" t="n">
        <f aca="false">IF(F766&gt;0,F770/F766,0)</f>
        <v>1.01124532176684</v>
      </c>
      <c r="G773" s="20" t="n">
        <f aca="false">IF(G766&gt;0,G770/G766,0)</f>
        <v>1.01124532176684</v>
      </c>
    </row>
    <row r="774" customFormat="false" ht="17.15" hidden="false" customHeight="false" outlineLevel="0" collapsed="false">
      <c r="A774" s="6" t="s">
        <v>642</v>
      </c>
    </row>
    <row r="775" customFormat="false" ht="17.15" hidden="false" customHeight="false" outlineLevel="0" collapsed="false">
      <c r="A775" s="4" t="s">
        <v>643</v>
      </c>
      <c r="B775" s="4" t="s">
        <v>38</v>
      </c>
      <c r="D775" s="22" t="n">
        <f aca="false">u_oth_26</f>
        <v>1</v>
      </c>
      <c r="E775" s="22" t="n">
        <f aca="false">u_oth_27</f>
        <v>4.5</v>
      </c>
      <c r="F775" s="22" t="n">
        <f aca="false">u_oth_28*um28_A</f>
        <v>5</v>
      </c>
      <c r="G775" s="22" t="n">
        <f aca="false">u_oth_28*(1+g29_oth)*um29_A</f>
        <v>5.75</v>
      </c>
    </row>
    <row r="776" customFormat="false" ht="17.15" hidden="false" customHeight="false" outlineLevel="0" collapsed="false">
      <c r="A776" s="4" t="s">
        <v>584</v>
      </c>
      <c r="B776" s="0" t="s">
        <v>51</v>
      </c>
      <c r="D776" s="18" t="n">
        <f aca="false">guc_oth_26</f>
        <v>0.03</v>
      </c>
      <c r="E776" s="18" t="n">
        <f aca="false">MIN(1,MAX(0,go27_A+0))</f>
        <v>0.06</v>
      </c>
      <c r="F776" s="18" t="n">
        <f aca="false">MIN(1,MAX(0,go28_A+0))</f>
        <v>0.08</v>
      </c>
      <c r="G776" s="18" t="n">
        <f aca="false">MIN(1,MAX(0,go28_A+0))</f>
        <v>0.08</v>
      </c>
    </row>
    <row r="777" customFormat="false" ht="17.15" hidden="false" customHeight="false" outlineLevel="0" collapsed="false">
      <c r="A777" s="4" t="s">
        <v>586</v>
      </c>
      <c r="B777" s="4" t="s">
        <v>38</v>
      </c>
      <c r="D777" s="22" t="n">
        <f aca="false">D775*D776</f>
        <v>0.03</v>
      </c>
      <c r="E777" s="22" t="n">
        <f aca="false">E775*E776*1</f>
        <v>0.27</v>
      </c>
      <c r="F777" s="22" t="n">
        <f aca="false">F775*F776*1</f>
        <v>0.4</v>
      </c>
      <c r="G777" s="22" t="n">
        <f aca="false">G775*G776*1</f>
        <v>0.46</v>
      </c>
    </row>
    <row r="778" customFormat="false" ht="17.15" hidden="false" customHeight="false" outlineLevel="0" collapsed="false">
      <c r="A778" s="0" t="s">
        <v>644</v>
      </c>
      <c r="B778" s="0" t="s">
        <v>581</v>
      </c>
      <c r="D778" s="20" t="n">
        <f aca="false">D777*core_oth</f>
        <v>0.18</v>
      </c>
      <c r="E778" s="20" t="n">
        <f aca="false">E777*core_oth</f>
        <v>1.62</v>
      </c>
      <c r="F778" s="20" t="n">
        <f aca="false">F777*core_oth</f>
        <v>2.4</v>
      </c>
      <c r="G778" s="20" t="n">
        <f aca="false">G777*core_oth</f>
        <v>2.76</v>
      </c>
    </row>
    <row r="779" customFormat="false" ht="17.15" hidden="false" customHeight="false" outlineLevel="0" collapsed="false">
      <c r="A779" s="0" t="s">
        <v>645</v>
      </c>
      <c r="B779" s="0" t="s">
        <v>70</v>
      </c>
      <c r="D779" s="22" t="n">
        <f aca="false">a26_asic/fx26/D778</f>
        <v>0.366122890295359</v>
      </c>
      <c r="K779" s="8" t="s">
        <v>646</v>
      </c>
    </row>
    <row r="780" customFormat="false" ht="17.15" hidden="false" customHeight="false" outlineLevel="0" collapsed="false">
      <c r="A780" s="0" t="s">
        <v>647</v>
      </c>
      <c r="B780" s="0" t="s">
        <v>581</v>
      </c>
      <c r="D780" s="20" t="n">
        <f aca="false">D778*$D$779</f>
        <v>0.0659021202531645</v>
      </c>
      <c r="E780" s="20" t="n">
        <f aca="false">E778*$D$779</f>
        <v>0.593119082278481</v>
      </c>
      <c r="F780" s="20" t="n">
        <f aca="false">F778*$D$779</f>
        <v>0.878694936708861</v>
      </c>
      <c r="G780" s="20" t="n">
        <f aca="false">G778*$D$779</f>
        <v>1.01049917721519</v>
      </c>
    </row>
    <row r="781" customFormat="false" ht="17.15" hidden="false" customHeight="false" outlineLevel="0" collapsed="false">
      <c r="A781" s="0" t="s">
        <v>648</v>
      </c>
      <c r="B781" s="0" t="s">
        <v>278</v>
      </c>
      <c r="C781" s="20" t="n">
        <f aca="false">a25_asic</f>
        <v>1.70705</v>
      </c>
      <c r="D781" s="20" t="n">
        <f aca="false">D780*D771</f>
        <v>2.082507</v>
      </c>
      <c r="E781" s="20" t="n">
        <f aca="false">E780*E771</f>
        <v>18.9798106329114</v>
      </c>
      <c r="F781" s="20" t="n">
        <f aca="false">F780*F771</f>
        <v>28.1182379746835</v>
      </c>
      <c r="G781" s="20" t="n">
        <f aca="false">G780*G771</f>
        <v>32.3359736708861</v>
      </c>
    </row>
    <row r="782" customFormat="false" ht="17.15" hidden="false" customHeight="false" outlineLevel="0" collapsed="false">
      <c r="A782" s="6" t="s">
        <v>649</v>
      </c>
    </row>
    <row r="783" customFormat="false" ht="17.15" hidden="false" customHeight="false" outlineLevel="0" collapsed="false">
      <c r="A783" s="4" t="s">
        <v>650</v>
      </c>
      <c r="B783" s="0" t="s">
        <v>278</v>
      </c>
      <c r="C783" s="20" t="n">
        <f aca="false">a25_auto</f>
        <v>1.02423</v>
      </c>
      <c r="D783" s="20" t="n">
        <f aca="false">a26_auto</f>
        <v>3.470845</v>
      </c>
      <c r="E783" s="20" t="n">
        <f aca="false">D783*am27_A</f>
        <v>13.88338</v>
      </c>
      <c r="F783" s="20" t="n">
        <f aca="false">E783*am28_A</f>
        <v>27.76676</v>
      </c>
      <c r="G783" s="20" t="n">
        <f aca="false">F783*(1+ag29_A)</f>
        <v>33.320112</v>
      </c>
    </row>
    <row r="784" customFormat="false" ht="17.15" hidden="false" customHeight="false" outlineLevel="0" collapsed="false">
      <c r="A784" s="4" t="s">
        <v>651</v>
      </c>
      <c r="B784" s="0" t="s">
        <v>278</v>
      </c>
      <c r="C784" s="20" t="n">
        <f aca="false">a25_oth</f>
        <v>25.26434</v>
      </c>
      <c r="D784" s="20" t="n">
        <f aca="false">a26_oth</f>
        <v>30.543436</v>
      </c>
      <c r="E784" s="20" t="n">
        <f aca="false">D784*(1+g_o27_A)</f>
        <v>35.1249514</v>
      </c>
      <c r="F784" s="20" t="n">
        <f aca="false">E784*(1+g_oL_A)</f>
        <v>38.63744654</v>
      </c>
      <c r="G784" s="20" t="n">
        <f aca="false">F784*(1+g_oL_A)</f>
        <v>42.501191194</v>
      </c>
    </row>
    <row r="785" customFormat="false" ht="17.15" hidden="false" customHeight="false" outlineLevel="0" collapsed="false">
      <c r="A785" s="4" t="s">
        <v>503</v>
      </c>
      <c r="B785" s="0" t="s">
        <v>278</v>
      </c>
      <c r="C785" s="20" t="n">
        <f aca="false">C772+C781+C783+C784</f>
        <v>34.141</v>
      </c>
      <c r="D785" s="20" t="n">
        <f aca="false">D772+D781+D783+D784</f>
        <v>69.4169</v>
      </c>
      <c r="E785" s="20" t="n">
        <f aca="false">E772+E781+E783+E784</f>
        <v>156.977730348393</v>
      </c>
      <c r="F785" s="20" t="n">
        <f aca="false">F772+F781+F783+F784</f>
        <v>230.433815760147</v>
      </c>
      <c r="G785" s="20" t="n">
        <f aca="false">G772+G781+G783+G784</f>
        <v>264.455353797169</v>
      </c>
      <c r="H785" s="28" t="n">
        <f aca="false">G785*(1+H786)</f>
        <v>295.7741413076</v>
      </c>
      <c r="I785" s="28" t="n">
        <f aca="false">H785*(1+I786)</f>
        <v>322.161262221043</v>
      </c>
      <c r="J785" s="28" t="n">
        <f aca="false">I785*(1+J786)</f>
        <v>341.490937954306</v>
      </c>
      <c r="K785" s="8" t="s">
        <v>652</v>
      </c>
    </row>
    <row r="786" customFormat="false" ht="15" hidden="false" customHeight="false" outlineLevel="0" collapsed="false">
      <c r="A786" s="4" t="s">
        <v>653</v>
      </c>
      <c r="B786" s="0" t="s">
        <v>51</v>
      </c>
      <c r="D786" s="18" t="n">
        <f aca="false">D785/C785-1</f>
        <v>1.03324155707214</v>
      </c>
      <c r="E786" s="18" t="n">
        <f aca="false">E785/D785-1</f>
        <v>1.26137626930032</v>
      </c>
      <c r="F786" s="18" t="n">
        <f aca="false">F785/E785-1</f>
        <v>0.467939530331637</v>
      </c>
      <c r="G786" s="18" t="n">
        <f aca="false">G785/F785-1</f>
        <v>0.147641256231395</v>
      </c>
      <c r="H786" s="26" t="n">
        <f aca="false">$G786+(fade_gA-$G786)*1/3</f>
        <v>0.118427504154264</v>
      </c>
      <c r="I786" s="26" t="n">
        <f aca="false">$G786+(fade_gA-$G786)*2/3</f>
        <v>0.0892137520771318</v>
      </c>
      <c r="J786" s="26" t="n">
        <f aca="false">$G786+(fade_gA-$G786)*3/3</f>
        <v>0.06</v>
      </c>
    </row>
    <row r="787" customFormat="false" ht="17.15" hidden="false" customHeight="false" outlineLevel="0" collapsed="false">
      <c r="A787" s="0" t="s">
        <v>654</v>
      </c>
      <c r="B787" s="0" t="s">
        <v>51</v>
      </c>
      <c r="C787" s="18" t="n">
        <f aca="false">C772/C785</f>
        <v>0.18</v>
      </c>
      <c r="D787" s="18" t="n">
        <f aca="false">D772/D785</f>
        <v>0.48</v>
      </c>
      <c r="E787" s="18" t="n">
        <f aca="false">E772/E785</f>
        <v>0.566893075329731</v>
      </c>
      <c r="F787" s="18" t="n">
        <f aca="false">F772/F785</f>
        <v>0.589806538580823</v>
      </c>
      <c r="G787" s="18" t="n">
        <f aca="false">G772/G785</f>
        <v>0.591018766260863</v>
      </c>
    </row>
    <row r="788" customFormat="false" ht="17.15" hidden="false" customHeight="false" outlineLevel="0" collapsed="false">
      <c r="A788" s="4" t="s">
        <v>655</v>
      </c>
      <c r="B788" s="0" t="s">
        <v>51</v>
      </c>
      <c r="C788" s="18" t="n">
        <f aca="false">C783/C785</f>
        <v>0.03</v>
      </c>
      <c r="D788" s="18" t="n">
        <f aca="false">D783/D785</f>
        <v>0.05</v>
      </c>
      <c r="E788" s="18" t="n">
        <f aca="false">E783/E785</f>
        <v>0.0884417169823229</v>
      </c>
      <c r="F788" s="18" t="n">
        <f aca="false">F783/F785</f>
        <v>0.120497765956806</v>
      </c>
      <c r="G788" s="18" t="n">
        <f aca="false">G783/G785</f>
        <v>0.125995225740658</v>
      </c>
    </row>
    <row r="789" customFormat="false" ht="17.15" hidden="false" customHeight="false" outlineLevel="0" collapsed="false">
      <c r="A789" s="6" t="s">
        <v>656</v>
      </c>
    </row>
    <row r="790" customFormat="false" ht="17.15" hidden="false" customHeight="false" outlineLevel="0" collapsed="false">
      <c r="A790" s="0" t="s">
        <v>657</v>
      </c>
      <c r="B790" s="0" t="s">
        <v>278</v>
      </c>
      <c r="D790" s="20" t="n">
        <f aca="false">m_tk*(D772+D781)</f>
        <v>4.60234047</v>
      </c>
      <c r="E790" s="20" t="n">
        <f aca="false">(m_tk+gta_A)*(E772+E781)</f>
        <v>15.1157158527751</v>
      </c>
      <c r="F790" s="20" t="n">
        <f aca="false">(m_tk+gta_A)*(F772+F781)</f>
        <v>22.9641452908206</v>
      </c>
      <c r="G790" s="20" t="n">
        <f aca="false">(m_tk+gta_A)*(G772+G781)</f>
        <v>26.4087670844437</v>
      </c>
    </row>
    <row r="791" customFormat="false" ht="17.15" hidden="false" customHeight="false" outlineLevel="0" collapsed="false">
      <c r="A791" s="4" t="s">
        <v>658</v>
      </c>
      <c r="B791" s="0" t="s">
        <v>278</v>
      </c>
      <c r="D791" s="20" t="n">
        <f aca="false">m_auto*D783</f>
        <v>0.5553352</v>
      </c>
      <c r="E791" s="20" t="n">
        <f aca="false">m_auto*E783</f>
        <v>2.2213408</v>
      </c>
      <c r="F791" s="20" t="n">
        <f aca="false">m_auto*F783</f>
        <v>4.4426816</v>
      </c>
      <c r="G791" s="20" t="n">
        <f aca="false">m_auto*G783</f>
        <v>5.33121792</v>
      </c>
    </row>
    <row r="792" customFormat="false" ht="17.15" hidden="false" customHeight="false" outlineLevel="0" collapsed="false">
      <c r="A792" s="4" t="s">
        <v>659</v>
      </c>
      <c r="B792" s="0" t="s">
        <v>51</v>
      </c>
      <c r="C792" s="9" t="n">
        <f aca="false">(a25_gp-m_tk*(C772+C781)-m_auto*C783)/C784</f>
        <v>0.287729950594395</v>
      </c>
      <c r="D792" s="9" t="n">
        <f aca="false">(a26_gp-D790-D791)/D784</f>
        <v>0.310829299951715</v>
      </c>
      <c r="E792" s="9" t="n">
        <f aca="false">$D792+0</f>
        <v>0.310829299951715</v>
      </c>
      <c r="F792" s="9" t="n">
        <f aca="false">$D792+0</f>
        <v>0.310829299951715</v>
      </c>
      <c r="G792" s="9" t="n">
        <f aca="false">$D792+0</f>
        <v>0.310829299951715</v>
      </c>
      <c r="K792" s="8" t="s">
        <v>660</v>
      </c>
    </row>
    <row r="793" customFormat="false" ht="15" hidden="false" customHeight="false" outlineLevel="0" collapsed="false">
      <c r="A793" s="4" t="s">
        <v>516</v>
      </c>
      <c r="B793" s="0" t="s">
        <v>278</v>
      </c>
      <c r="C793" s="20" t="n">
        <f aca="false">a25_gp</f>
        <v>8.454</v>
      </c>
      <c r="D793" s="20" t="n">
        <f aca="false">a26_gp</f>
        <v>14.6514705</v>
      </c>
      <c r="E793" s="20" t="n">
        <f aca="false">E792*E784+E790+E791</f>
        <v>28.2549207072751</v>
      </c>
      <c r="F793" s="20" t="n">
        <f aca="false">F792*F784+F790+F791</f>
        <v>39.4164773507706</v>
      </c>
      <c r="G793" s="20" t="n">
        <f aca="false">G792*G784+G790+G791</f>
        <v>44.9506005103887</v>
      </c>
    </row>
    <row r="794" customFormat="false" ht="15" hidden="false" customHeight="false" outlineLevel="0" collapsed="false">
      <c r="A794" s="4" t="s">
        <v>519</v>
      </c>
      <c r="B794" s="0" t="s">
        <v>51</v>
      </c>
      <c r="C794" s="9" t="n">
        <f aca="false">C793/C785</f>
        <v>0.247620163439852</v>
      </c>
      <c r="D794" s="9" t="n">
        <f aca="false">D793/D785</f>
        <v>0.211064891978754</v>
      </c>
      <c r="E794" s="9" t="n">
        <f aca="false">E793/E785</f>
        <v>0.17999317893415</v>
      </c>
      <c r="F794" s="9" t="n">
        <f aca="false">F793/F785</f>
        <v>0.171053355258406</v>
      </c>
      <c r="G794" s="9" t="n">
        <f aca="false">G793/G785</f>
        <v>0.169974250341193</v>
      </c>
    </row>
    <row r="795" customFormat="false" ht="15" hidden="false" customHeight="false" outlineLevel="0" collapsed="false">
      <c r="A795" s="4" t="s">
        <v>521</v>
      </c>
      <c r="B795" s="0" t="s">
        <v>278</v>
      </c>
      <c r="C795" s="20" t="n">
        <f aca="false">a25_opx</f>
        <v>4.104</v>
      </c>
      <c r="D795" s="20" t="n">
        <f aca="false">a26_opx</f>
        <v>5.365972</v>
      </c>
      <c r="E795" s="20" t="n">
        <f aca="false">D795*(1+MAX(g_opx_min,phi*E786))+opx_adj_hi*E785</f>
        <v>10.5360795297269</v>
      </c>
      <c r="F795" s="20" t="n">
        <f aca="false">E795*(1+MAX(g_opx_min,phi*F786))+opx_adj_hi*F785</f>
        <v>16.623830276933</v>
      </c>
      <c r="G795" s="20" t="n">
        <f aca="false">F795*(1+MAX(g_opx_min,phi*G786))+opx_adj_hi*G785</f>
        <v>23.242843775031</v>
      </c>
    </row>
    <row r="796" customFormat="false" ht="15" hidden="false" customHeight="false" outlineLevel="0" collapsed="false">
      <c r="A796" s="4" t="s">
        <v>524</v>
      </c>
      <c r="B796" s="0" t="s">
        <v>278</v>
      </c>
      <c r="C796" s="20" t="n">
        <f aca="false">C793-C795</f>
        <v>4.35</v>
      </c>
      <c r="D796" s="20" t="n">
        <f aca="false">D793-D795</f>
        <v>9.2854985</v>
      </c>
      <c r="E796" s="20" t="n">
        <f aca="false">E793-E795</f>
        <v>17.7188411775482</v>
      </c>
      <c r="F796" s="20" t="n">
        <f aca="false">F793-F795</f>
        <v>22.7926470738376</v>
      </c>
      <c r="G796" s="20" t="n">
        <f aca="false">G793-G795</f>
        <v>21.7077567353577</v>
      </c>
    </row>
    <row r="797" customFormat="false" ht="15" hidden="false" customHeight="false" outlineLevel="0" collapsed="false">
      <c r="A797" s="4" t="s">
        <v>621</v>
      </c>
      <c r="B797" s="0" t="s">
        <v>51</v>
      </c>
      <c r="C797" s="9" t="n">
        <f aca="false">C796/C785</f>
        <v>0.127412788143288</v>
      </c>
      <c r="D797" s="9" t="n">
        <f aca="false">D796/D785</f>
        <v>0.13376423464603</v>
      </c>
      <c r="E797" s="9" t="n">
        <f aca="false">E796/E785</f>
        <v>0.112874871730043</v>
      </c>
      <c r="F797" s="9" t="n">
        <f aca="false">F796/F785</f>
        <v>0.0989119023119503</v>
      </c>
      <c r="G797" s="9" t="n">
        <f aca="false">G796/G785</f>
        <v>0.082084769408779</v>
      </c>
    </row>
    <row r="798" customFormat="false" ht="15" hidden="false" customHeight="false" outlineLevel="0" collapsed="false">
      <c r="A798" s="4" t="s">
        <v>527</v>
      </c>
      <c r="B798" s="0" t="s">
        <v>278</v>
      </c>
      <c r="C798" s="20" t="n">
        <f aca="false">a25_nonop</f>
        <v>0.0920000000000005</v>
      </c>
      <c r="D798" s="20" t="n">
        <f aca="false">a26_nonop</f>
        <v>0.384548</v>
      </c>
      <c r="E798" s="20" t="n">
        <f aca="false">nonop_f</f>
        <v>0.5</v>
      </c>
      <c r="F798" s="20" t="n">
        <f aca="false">nonop_f</f>
        <v>0.5</v>
      </c>
      <c r="G798" s="20" t="n">
        <f aca="false">nonop_f</f>
        <v>0.5</v>
      </c>
    </row>
    <row r="799" customFormat="false" ht="15" hidden="false" customHeight="false" outlineLevel="0" collapsed="false">
      <c r="A799" s="4" t="s">
        <v>529</v>
      </c>
      <c r="B799" s="0" t="s">
        <v>278</v>
      </c>
      <c r="C799" s="20" t="n">
        <f aca="false">C796+C798</f>
        <v>4.442</v>
      </c>
      <c r="D799" s="20" t="n">
        <f aca="false">D796+D798</f>
        <v>9.6700465</v>
      </c>
      <c r="E799" s="20" t="n">
        <f aca="false">E796+E798</f>
        <v>18.2188411775482</v>
      </c>
      <c r="F799" s="20" t="n">
        <f aca="false">F796+F798</f>
        <v>23.2926470738376</v>
      </c>
      <c r="G799" s="20" t="n">
        <f aca="false">G796+G798</f>
        <v>22.2077567353577</v>
      </c>
    </row>
    <row r="800" customFormat="false" ht="15" hidden="false" customHeight="false" outlineLevel="0" collapsed="false">
      <c r="A800" s="4" t="s">
        <v>531</v>
      </c>
      <c r="B800" s="0" t="s">
        <v>278</v>
      </c>
      <c r="C800" s="20" t="n">
        <f aca="false">a25_tax</f>
        <v>0.672</v>
      </c>
      <c r="D800" s="20" t="n">
        <f aca="false">a26_tax</f>
        <v>1.337361725</v>
      </c>
      <c r="E800" s="20" t="n">
        <f aca="false">E799*tax</f>
        <v>2.73282617663223</v>
      </c>
      <c r="F800" s="20" t="n">
        <f aca="false">F799*tax</f>
        <v>3.49389706107564</v>
      </c>
      <c r="G800" s="20" t="n">
        <f aca="false">G799*tax</f>
        <v>3.33116351030365</v>
      </c>
    </row>
    <row r="801" customFormat="false" ht="15" hidden="false" customHeight="false" outlineLevel="0" collapsed="false">
      <c r="A801" s="4" t="s">
        <v>534</v>
      </c>
      <c r="B801" s="0" t="s">
        <v>278</v>
      </c>
      <c r="C801" s="20" t="n">
        <f aca="false">C799-C800</f>
        <v>3.77</v>
      </c>
      <c r="D801" s="20" t="n">
        <f aca="false">D799-D800</f>
        <v>8.332684775</v>
      </c>
      <c r="E801" s="20" t="n">
        <f aca="false">E799-E800</f>
        <v>15.486015000916</v>
      </c>
      <c r="F801" s="20" t="n">
        <f aca="false">F799-F800</f>
        <v>19.798750012762</v>
      </c>
      <c r="G801" s="20" t="n">
        <f aca="false">G799-G800</f>
        <v>18.876593225054</v>
      </c>
      <c r="H801" s="28" t="n">
        <f aca="false">H785*H805</f>
        <v>25.5907370363573</v>
      </c>
      <c r="I801" s="28" t="n">
        <f aca="false">I785*I805</f>
        <v>32.7519746152566</v>
      </c>
      <c r="J801" s="28" t="n">
        <f aca="false">J785*J805</f>
        <v>39.8879765162066</v>
      </c>
    </row>
    <row r="802" customFormat="false" ht="15" hidden="false" customHeight="false" outlineLevel="0" collapsed="false">
      <c r="A802" s="4" t="s">
        <v>312</v>
      </c>
      <c r="B802" s="4" t="s">
        <v>313</v>
      </c>
      <c r="C802" s="19" t="n">
        <f aca="false">a25_sh</f>
        <v>0.134020618556701</v>
      </c>
      <c r="D802" s="19" t="n">
        <f aca="false">a26_sh</f>
        <v>0.13399883744778</v>
      </c>
      <c r="E802" s="19" t="n">
        <f aca="false">q_sh*(1+sh_g)</f>
        <v>0.13401</v>
      </c>
      <c r="F802" s="19" t="n">
        <f aca="false">E802*(1+sh_g)</f>
        <v>0.13401</v>
      </c>
      <c r="G802" s="19" t="n">
        <f aca="false">F802*(1+sh_g)</f>
        <v>0.13401</v>
      </c>
      <c r="H802" s="30" t="n">
        <f aca="false">G802*(1+sh_g)</f>
        <v>0.13401</v>
      </c>
      <c r="I802" s="30" t="n">
        <f aca="false">H802*(1+sh_g)</f>
        <v>0.13401</v>
      </c>
      <c r="J802" s="30" t="n">
        <f aca="false">I802*(1+sh_g)</f>
        <v>0.13401</v>
      </c>
    </row>
    <row r="803" customFormat="false" ht="17.15" hidden="false" customHeight="false" outlineLevel="0" collapsed="false">
      <c r="A803" s="0" t="s">
        <v>538</v>
      </c>
      <c r="B803" s="0" t="s">
        <v>356</v>
      </c>
      <c r="C803" s="20" t="n">
        <f aca="false">C801/C802</f>
        <v>28.13</v>
      </c>
      <c r="D803" s="20" t="n">
        <f aca="false">D801/D802</f>
        <v>62.1847542389856</v>
      </c>
      <c r="E803" s="20" t="n">
        <f aca="false">E801/E802</f>
        <v>115.558652346213</v>
      </c>
      <c r="F803" s="20" t="n">
        <f aca="false">F801/F802</f>
        <v>147.740840331035</v>
      </c>
      <c r="G803" s="20" t="n">
        <f aca="false">G801/G802</f>
        <v>140.859586784972</v>
      </c>
      <c r="H803" s="28" t="n">
        <f aca="false">H801/H802</f>
        <v>190.961398674407</v>
      </c>
      <c r="I803" s="28" t="n">
        <f aca="false">I801/I802</f>
        <v>244.399482242046</v>
      </c>
      <c r="J803" s="28" t="n">
        <f aca="false">J801/J802</f>
        <v>297.649253907967</v>
      </c>
    </row>
    <row r="804" customFormat="false" ht="17.15" hidden="false" customHeight="false" outlineLevel="0" collapsed="false">
      <c r="A804" s="0" t="s">
        <v>661</v>
      </c>
      <c r="B804" s="0" t="s">
        <v>51</v>
      </c>
      <c r="D804" s="18" t="n">
        <f aca="false">D803/C803-1</f>
        <v>1.21062048485551</v>
      </c>
      <c r="E804" s="18" t="n">
        <f aca="false">E803/D803-1</f>
        <v>0.858311635390615</v>
      </c>
      <c r="F804" s="18" t="n">
        <f aca="false">F803/E803-1</f>
        <v>0.278492240359505</v>
      </c>
      <c r="G804" s="18" t="n">
        <f aca="false">G803/F803-1</f>
        <v>-0.0465765155433312</v>
      </c>
      <c r="H804" s="26" t="n">
        <f aca="false">H803/G803-1</f>
        <v>0.355686205198928</v>
      </c>
      <c r="I804" s="26" t="n">
        <f aca="false">I803/H803-1</f>
        <v>0.279837097646901</v>
      </c>
      <c r="J804" s="26" t="n">
        <f aca="false">J803/I803-1</f>
        <v>0.217880051043577</v>
      </c>
    </row>
    <row r="805" customFormat="false" ht="17.15" hidden="false" customHeight="false" outlineLevel="0" collapsed="false">
      <c r="A805" s="4" t="s">
        <v>662</v>
      </c>
      <c r="B805" s="0" t="s">
        <v>51</v>
      </c>
      <c r="C805" s="9" t="n">
        <f aca="false">C801/C785</f>
        <v>0.11042441639085</v>
      </c>
      <c r="D805" s="9" t="n">
        <f aca="false">D801/D785</f>
        <v>0.1200382727405</v>
      </c>
      <c r="E805" s="9" t="n">
        <f aca="false">E801/E785</f>
        <v>0.0986510313695237</v>
      </c>
      <c r="F805" s="9" t="n">
        <f aca="false">F801/F785</f>
        <v>0.0859194643262342</v>
      </c>
      <c r="G805" s="9" t="n">
        <f aca="false">G801/G785</f>
        <v>0.071379130556502</v>
      </c>
      <c r="H805" s="27" t="n">
        <f aca="false">$G805+(fade_mA-$G805)*1/3</f>
        <v>0.0865212115001742</v>
      </c>
      <c r="I805" s="27" t="n">
        <f aca="false">$G805+(fade_mA-$G805)*2/3</f>
        <v>0.101663292443846</v>
      </c>
      <c r="J805" s="27" t="n">
        <f aca="false">$G805+(fade_mA-$G805)*3/3</f>
        <v>0.116805373387519</v>
      </c>
    </row>
    <row r="808" customFormat="false" ht="17.15" hidden="false" customHeight="false" outlineLevel="0" collapsed="false">
      <c r="A808" s="1" t="s">
        <v>997</v>
      </c>
    </row>
    <row r="809" customFormat="false" ht="17.15" hidden="false" customHeight="false" outlineLevel="0" collapsed="false">
      <c r="A809" s="5" t="s">
        <v>27</v>
      </c>
      <c r="B809" s="5" t="s">
        <v>28</v>
      </c>
      <c r="C809" s="16" t="s">
        <v>497</v>
      </c>
      <c r="D809" s="16" t="s">
        <v>610</v>
      </c>
      <c r="E809" s="16" t="s">
        <v>611</v>
      </c>
      <c r="F809" s="16" t="s">
        <v>612</v>
      </c>
      <c r="G809" s="16" t="s">
        <v>613</v>
      </c>
      <c r="H809" s="16" t="s">
        <v>614</v>
      </c>
      <c r="I809" s="16" t="s">
        <v>615</v>
      </c>
      <c r="J809" s="16" t="s">
        <v>616</v>
      </c>
      <c r="K809" s="5" t="s">
        <v>450</v>
      </c>
    </row>
    <row r="810" customFormat="false" ht="17.15" hidden="false" customHeight="false" outlineLevel="0" collapsed="false">
      <c r="A810" s="6" t="s">
        <v>632</v>
      </c>
    </row>
    <row r="811" customFormat="false" ht="17.15" hidden="false" customHeight="false" outlineLevel="0" collapsed="false">
      <c r="A811" s="0" t="s">
        <v>633</v>
      </c>
      <c r="B811" s="4" t="s">
        <v>38</v>
      </c>
      <c r="D811" s="22" t="n">
        <f aca="false">u_tpu_26</f>
        <v>3.85</v>
      </c>
      <c r="E811" s="22" t="n">
        <f aca="false">u_tpu_27</f>
        <v>5.5</v>
      </c>
      <c r="F811" s="22" t="n">
        <f aca="false">u_tpu_28*um28_A</f>
        <v>7</v>
      </c>
      <c r="G811" s="22" t="n">
        <f aca="false">u_tpu_28*(1+g29_tpu)*um29_A</f>
        <v>8.05</v>
      </c>
    </row>
    <row r="812" customFormat="false" ht="17.15" hidden="false" customHeight="false" outlineLevel="0" collapsed="false">
      <c r="A812" s="0" t="s">
        <v>574</v>
      </c>
      <c r="B812" s="0" t="s">
        <v>70</v>
      </c>
      <c r="D812" s="22" t="n">
        <f aca="false">att26</f>
        <v>0.325</v>
      </c>
      <c r="E812" s="22" t="n">
        <f aca="false">MAX(0,att_A+0)</f>
        <v>0.6</v>
      </c>
      <c r="F812" s="22" t="n">
        <f aca="false">MAX(0,att_A+0)</f>
        <v>0.6</v>
      </c>
      <c r="G812" s="22" t="n">
        <f aca="false">MAX(0,att_A+0)</f>
        <v>0.6</v>
      </c>
    </row>
    <row r="813" customFormat="false" ht="17.15" hidden="false" customHeight="false" outlineLevel="0" collapsed="false">
      <c r="A813" s="4" t="s">
        <v>634</v>
      </c>
      <c r="B813" s="0" t="s">
        <v>51</v>
      </c>
      <c r="D813" s="18" t="n">
        <f aca="false">gsh26</f>
        <v>1</v>
      </c>
      <c r="E813" s="18" t="n">
        <f aca="false">gsh26</f>
        <v>1</v>
      </c>
      <c r="F813" s="18" t="n">
        <f aca="false">MIN(1,gsh28_A)</f>
        <v>1</v>
      </c>
      <c r="G813" s="18" t="n">
        <f aca="false">MIN(1,gsh28_A)</f>
        <v>1</v>
      </c>
    </row>
    <row r="814" customFormat="false" ht="17.15" hidden="false" customHeight="false" outlineLevel="0" collapsed="false">
      <c r="A814" s="4" t="s">
        <v>576</v>
      </c>
      <c r="B814" s="4" t="s">
        <v>38</v>
      </c>
      <c r="D814" s="22" t="n">
        <f aca="false">D811*D812*D813</f>
        <v>1.25125</v>
      </c>
      <c r="E814" s="22" t="n">
        <f aca="false">E811*E812*E813*1</f>
        <v>3.3</v>
      </c>
      <c r="F814" s="22" t="n">
        <f aca="false">F811*F812*F813*1</f>
        <v>4.2</v>
      </c>
      <c r="G814" s="22" t="n">
        <f aca="false">G811*G812*G813*1</f>
        <v>4.83</v>
      </c>
    </row>
    <row r="815" customFormat="false" ht="17.15" hidden="false" customHeight="false" outlineLevel="0" collapsed="false">
      <c r="A815" s="4" t="s">
        <v>635</v>
      </c>
      <c r="B815" s="0" t="s">
        <v>116</v>
      </c>
      <c r="D815" s="20" t="n">
        <f aca="false">pc_cpu</f>
        <v>1</v>
      </c>
      <c r="E815" s="20" t="n">
        <f aca="false">pc_cpu</f>
        <v>1</v>
      </c>
      <c r="F815" s="20" t="n">
        <f aca="false">pc_cpu*pfc_A</f>
        <v>1.2</v>
      </c>
      <c r="G815" s="20" t="n">
        <f aca="false">pc_cpu*pfc_A</f>
        <v>1.2</v>
      </c>
    </row>
    <row r="816" customFormat="false" ht="17.15" hidden="false" customHeight="false" outlineLevel="0" collapsed="false">
      <c r="A816" s="0" t="s">
        <v>636</v>
      </c>
      <c r="B816" s="0" t="s">
        <v>581</v>
      </c>
      <c r="D816" s="20" t="n">
        <f aca="false">D814*D815</f>
        <v>1.25125</v>
      </c>
      <c r="E816" s="20" t="n">
        <f aca="false">E814*E815</f>
        <v>3.3</v>
      </c>
      <c r="F816" s="20" t="n">
        <f aca="false">F814*F815</f>
        <v>5.04</v>
      </c>
      <c r="G816" s="20" t="n">
        <f aca="false">G814*G815</f>
        <v>5.796</v>
      </c>
    </row>
    <row r="817" customFormat="false" ht="17.15" hidden="false" customHeight="false" outlineLevel="0" collapsed="false">
      <c r="A817" s="0" t="s">
        <v>637</v>
      </c>
      <c r="B817" s="0" t="s">
        <v>70</v>
      </c>
      <c r="D817" s="22" t="n">
        <f aca="false">a26_cpu/fx26/D816</f>
        <v>0.842704434805701</v>
      </c>
      <c r="K817" s="8" t="s">
        <v>638</v>
      </c>
    </row>
    <row r="818" customFormat="false" ht="17.15" hidden="false" customHeight="false" outlineLevel="0" collapsed="false">
      <c r="A818" s="0" t="s">
        <v>639</v>
      </c>
      <c r="B818" s="0" t="s">
        <v>581</v>
      </c>
      <c r="D818" s="20" t="n">
        <f aca="false">D816*$D$817</f>
        <v>1.05443392405063</v>
      </c>
      <c r="E818" s="20" t="n">
        <f aca="false">E816*$D$817</f>
        <v>2.78092463485881</v>
      </c>
      <c r="F818" s="20" t="n">
        <f aca="false">F816*$D$817</f>
        <v>4.24723035142073</v>
      </c>
      <c r="G818" s="20" t="n">
        <f aca="false">G816*$D$817</f>
        <v>4.88431490413384</v>
      </c>
    </row>
    <row r="819" customFormat="false" ht="15" hidden="false" customHeight="false" outlineLevel="0" collapsed="false">
      <c r="A819" s="4" t="s">
        <v>640</v>
      </c>
      <c r="B819" s="0" t="s">
        <v>273</v>
      </c>
      <c r="D819" s="20" t="n">
        <f aca="false">fx26</f>
        <v>31.6</v>
      </c>
      <c r="E819" s="20" t="n">
        <f aca="false">fx_lo</f>
        <v>30</v>
      </c>
      <c r="F819" s="20" t="n">
        <f aca="false">fx_lo</f>
        <v>30</v>
      </c>
      <c r="G819" s="20" t="n">
        <f aca="false">fx_lo</f>
        <v>30</v>
      </c>
    </row>
    <row r="820" customFormat="false" ht="17.15" hidden="false" customHeight="false" outlineLevel="0" collapsed="false">
      <c r="A820" s="0" t="s">
        <v>641</v>
      </c>
      <c r="B820" s="0" t="s">
        <v>278</v>
      </c>
      <c r="C820" s="20" t="n">
        <f aca="false">a25_cpu</f>
        <v>6.14538</v>
      </c>
      <c r="D820" s="20" t="n">
        <f aca="false">D818*D819</f>
        <v>33.320112</v>
      </c>
      <c r="E820" s="20" t="n">
        <f aca="false">E818*E819</f>
        <v>83.4277390457643</v>
      </c>
      <c r="F820" s="20" t="n">
        <f aca="false">F818*F819</f>
        <v>127.416910542622</v>
      </c>
      <c r="G820" s="20" t="n">
        <f aca="false">G818*G819</f>
        <v>146.529447124015</v>
      </c>
    </row>
    <row r="821" customFormat="false" ht="17.15" hidden="false" customHeight="false" outlineLevel="0" collapsed="false">
      <c r="A821" s="4" t="s">
        <v>578</v>
      </c>
      <c r="B821" s="0" t="s">
        <v>116</v>
      </c>
      <c r="D821" s="20" t="n">
        <f aca="false">IF(D814&gt;0,D818/D814,0)</f>
        <v>0.842704434805701</v>
      </c>
      <c r="E821" s="20" t="n">
        <f aca="false">IF(E814&gt;0,E818/E814,0)</f>
        <v>0.842704434805701</v>
      </c>
      <c r="F821" s="20" t="n">
        <f aca="false">IF(F814&gt;0,F818/F814,0)</f>
        <v>1.01124532176684</v>
      </c>
      <c r="G821" s="20" t="n">
        <f aca="false">IF(G814&gt;0,G818/G814,0)</f>
        <v>1.01124532176684</v>
      </c>
    </row>
    <row r="822" customFormat="false" ht="17.15" hidden="false" customHeight="false" outlineLevel="0" collapsed="false">
      <c r="A822" s="6" t="s">
        <v>642</v>
      </c>
    </row>
    <row r="823" customFormat="false" ht="17.15" hidden="false" customHeight="false" outlineLevel="0" collapsed="false">
      <c r="A823" s="4" t="s">
        <v>643</v>
      </c>
      <c r="B823" s="4" t="s">
        <v>38</v>
      </c>
      <c r="D823" s="22" t="n">
        <f aca="false">u_oth_26</f>
        <v>1</v>
      </c>
      <c r="E823" s="22" t="n">
        <f aca="false">u_oth_27</f>
        <v>4.5</v>
      </c>
      <c r="F823" s="22" t="n">
        <f aca="false">u_oth_28*um28_A</f>
        <v>5</v>
      </c>
      <c r="G823" s="22" t="n">
        <f aca="false">u_oth_28*(1+g29_oth)*um29_A</f>
        <v>5.75</v>
      </c>
    </row>
    <row r="824" customFormat="false" ht="17.15" hidden="false" customHeight="false" outlineLevel="0" collapsed="false">
      <c r="A824" s="4" t="s">
        <v>584</v>
      </c>
      <c r="B824" s="0" t="s">
        <v>51</v>
      </c>
      <c r="D824" s="18" t="n">
        <f aca="false">guc_oth_26</f>
        <v>0.03</v>
      </c>
      <c r="E824" s="18" t="n">
        <f aca="false">MIN(1,MAX(0,go27_A+0))</f>
        <v>0.06</v>
      </c>
      <c r="F824" s="18" t="n">
        <f aca="false">MIN(1,MAX(0,go28_A+0))</f>
        <v>0.08</v>
      </c>
      <c r="G824" s="18" t="n">
        <f aca="false">MIN(1,MAX(0,go28_A+0))</f>
        <v>0.08</v>
      </c>
    </row>
    <row r="825" customFormat="false" ht="17.15" hidden="false" customHeight="false" outlineLevel="0" collapsed="false">
      <c r="A825" s="4" t="s">
        <v>586</v>
      </c>
      <c r="B825" s="4" t="s">
        <v>38</v>
      </c>
      <c r="D825" s="22" t="n">
        <f aca="false">D823*D824</f>
        <v>0.03</v>
      </c>
      <c r="E825" s="22" t="n">
        <f aca="false">E823*E824*1</f>
        <v>0.27</v>
      </c>
      <c r="F825" s="22" t="n">
        <f aca="false">F823*F824*1</f>
        <v>0.4</v>
      </c>
      <c r="G825" s="22" t="n">
        <f aca="false">G823*G824*1</f>
        <v>0.46</v>
      </c>
    </row>
    <row r="826" customFormat="false" ht="17.15" hidden="false" customHeight="false" outlineLevel="0" collapsed="false">
      <c r="A826" s="0" t="s">
        <v>644</v>
      </c>
      <c r="B826" s="0" t="s">
        <v>581</v>
      </c>
      <c r="D826" s="20" t="n">
        <f aca="false">D825*core_oth</f>
        <v>0.18</v>
      </c>
      <c r="E826" s="20" t="n">
        <f aca="false">E825*core_oth</f>
        <v>1.62</v>
      </c>
      <c r="F826" s="20" t="n">
        <f aca="false">F825*core_oth</f>
        <v>2.4</v>
      </c>
      <c r="G826" s="20" t="n">
        <f aca="false">G825*core_oth</f>
        <v>2.76</v>
      </c>
    </row>
    <row r="827" customFormat="false" ht="17.15" hidden="false" customHeight="false" outlineLevel="0" collapsed="false">
      <c r="A827" s="0" t="s">
        <v>645</v>
      </c>
      <c r="B827" s="0" t="s">
        <v>70</v>
      </c>
      <c r="D827" s="22" t="n">
        <f aca="false">a26_asic/fx26/D826</f>
        <v>0.366122890295359</v>
      </c>
      <c r="K827" s="8" t="s">
        <v>646</v>
      </c>
    </row>
    <row r="828" customFormat="false" ht="17.15" hidden="false" customHeight="false" outlineLevel="0" collapsed="false">
      <c r="A828" s="0" t="s">
        <v>647</v>
      </c>
      <c r="B828" s="0" t="s">
        <v>581</v>
      </c>
      <c r="D828" s="20" t="n">
        <f aca="false">D826*$D$827</f>
        <v>0.0659021202531645</v>
      </c>
      <c r="E828" s="20" t="n">
        <f aca="false">E826*$D$827</f>
        <v>0.593119082278481</v>
      </c>
      <c r="F828" s="20" t="n">
        <f aca="false">F826*$D$827</f>
        <v>0.878694936708861</v>
      </c>
      <c r="G828" s="20" t="n">
        <f aca="false">G826*$D$827</f>
        <v>1.01049917721519</v>
      </c>
    </row>
    <row r="829" customFormat="false" ht="17.15" hidden="false" customHeight="false" outlineLevel="0" collapsed="false">
      <c r="A829" s="0" t="s">
        <v>648</v>
      </c>
      <c r="B829" s="0" t="s">
        <v>278</v>
      </c>
      <c r="C829" s="20" t="n">
        <f aca="false">a25_asic</f>
        <v>1.70705</v>
      </c>
      <c r="D829" s="20" t="n">
        <f aca="false">D828*D819</f>
        <v>2.082507</v>
      </c>
      <c r="E829" s="20" t="n">
        <f aca="false">E828*E819</f>
        <v>17.7935724683544</v>
      </c>
      <c r="F829" s="20" t="n">
        <f aca="false">F828*F819</f>
        <v>26.3608481012658</v>
      </c>
      <c r="G829" s="20" t="n">
        <f aca="false">G828*G819</f>
        <v>30.3149753164557</v>
      </c>
    </row>
    <row r="830" customFormat="false" ht="17.15" hidden="false" customHeight="false" outlineLevel="0" collapsed="false">
      <c r="A830" s="6" t="s">
        <v>649</v>
      </c>
    </row>
    <row r="831" customFormat="false" ht="17.15" hidden="false" customHeight="false" outlineLevel="0" collapsed="false">
      <c r="A831" s="4" t="s">
        <v>650</v>
      </c>
      <c r="B831" s="0" t="s">
        <v>278</v>
      </c>
      <c r="C831" s="20" t="n">
        <f aca="false">a25_auto</f>
        <v>1.02423</v>
      </c>
      <c r="D831" s="20" t="n">
        <f aca="false">a26_auto</f>
        <v>3.470845</v>
      </c>
      <c r="E831" s="20" t="n">
        <f aca="false">D831*am27_A</f>
        <v>13.88338</v>
      </c>
      <c r="F831" s="20" t="n">
        <f aca="false">E831*am28_A</f>
        <v>27.76676</v>
      </c>
      <c r="G831" s="20" t="n">
        <f aca="false">F831*(1+ag29_A)</f>
        <v>33.320112</v>
      </c>
    </row>
    <row r="832" customFormat="false" ht="17.15" hidden="false" customHeight="false" outlineLevel="0" collapsed="false">
      <c r="A832" s="4" t="s">
        <v>651</v>
      </c>
      <c r="B832" s="0" t="s">
        <v>278</v>
      </c>
      <c r="C832" s="20" t="n">
        <f aca="false">a25_oth</f>
        <v>25.26434</v>
      </c>
      <c r="D832" s="20" t="n">
        <f aca="false">a26_oth</f>
        <v>30.543436</v>
      </c>
      <c r="E832" s="20" t="n">
        <f aca="false">D832*(1+g_o27_A)</f>
        <v>35.1249514</v>
      </c>
      <c r="F832" s="20" t="n">
        <f aca="false">E832*(1+g_oL_A)</f>
        <v>38.63744654</v>
      </c>
      <c r="G832" s="20" t="n">
        <f aca="false">F832*(1+g_oL_A)</f>
        <v>42.501191194</v>
      </c>
    </row>
    <row r="833" customFormat="false" ht="17.15" hidden="false" customHeight="false" outlineLevel="0" collapsed="false">
      <c r="A833" s="4" t="s">
        <v>503</v>
      </c>
      <c r="B833" s="0" t="s">
        <v>278</v>
      </c>
      <c r="C833" s="20" t="n">
        <f aca="false">C820+C829+C831+C832</f>
        <v>34.141</v>
      </c>
      <c r="D833" s="20" t="n">
        <f aca="false">D820+D829+D831+D832</f>
        <v>69.4169</v>
      </c>
      <c r="E833" s="20" t="n">
        <f aca="false">E820+E829+E831+E832</f>
        <v>150.229642914119</v>
      </c>
      <c r="F833" s="20" t="n">
        <f aca="false">F820+F829+F831+F832</f>
        <v>220.181965183888</v>
      </c>
      <c r="G833" s="20" t="n">
        <f aca="false">G820+G829+G831+G832</f>
        <v>252.665725634471</v>
      </c>
      <c r="H833" s="28" t="n">
        <f aca="false">G833*(1+H834)</f>
        <v>282.569797561157</v>
      </c>
      <c r="I833" s="28" t="n">
        <f aca="false">H833*(1+I834)</f>
        <v>307.768565014069</v>
      </c>
      <c r="J833" s="28" t="n">
        <f aca="false">I833*(1+J834)</f>
        <v>326.234678914914</v>
      </c>
      <c r="K833" s="8" t="s">
        <v>652</v>
      </c>
    </row>
    <row r="834" customFormat="false" ht="15" hidden="false" customHeight="false" outlineLevel="0" collapsed="false">
      <c r="A834" s="4" t="s">
        <v>653</v>
      </c>
      <c r="B834" s="0" t="s">
        <v>51</v>
      </c>
      <c r="D834" s="18" t="n">
        <f aca="false">D833/C833-1</f>
        <v>1.03324155707214</v>
      </c>
      <c r="E834" s="18" t="n">
        <f aca="false">E833/D833-1</f>
        <v>1.16416525246905</v>
      </c>
      <c r="F834" s="18" t="n">
        <f aca="false">F833/E833-1</f>
        <v>0.465635948490927</v>
      </c>
      <c r="G834" s="18" t="n">
        <f aca="false">G833/F833-1</f>
        <v>0.147531431211698</v>
      </c>
      <c r="H834" s="26" t="n">
        <f aca="false">$G834+(fade_gA-$G834)*1/3</f>
        <v>0.118354287474465</v>
      </c>
      <c r="I834" s="26" t="n">
        <f aca="false">$G834+(fade_gA-$G834)*2/3</f>
        <v>0.0891771437372325</v>
      </c>
      <c r="J834" s="26" t="n">
        <f aca="false">$G834+(fade_gA-$G834)*3/3</f>
        <v>0.06</v>
      </c>
    </row>
    <row r="835" customFormat="false" ht="17.15" hidden="false" customHeight="false" outlineLevel="0" collapsed="false">
      <c r="A835" s="0" t="s">
        <v>654</v>
      </c>
      <c r="B835" s="0" t="s">
        <v>51</v>
      </c>
      <c r="C835" s="18" t="n">
        <f aca="false">C820/C833</f>
        <v>0.18</v>
      </c>
      <c r="D835" s="18" t="n">
        <f aca="false">D820/D833</f>
        <v>0.48</v>
      </c>
      <c r="E835" s="18" t="n">
        <f aca="false">E820/E833</f>
        <v>0.555334735724941</v>
      </c>
      <c r="F835" s="18" t="n">
        <f aca="false">F820/F833</f>
        <v>0.578689133036886</v>
      </c>
      <c r="G835" s="18" t="n">
        <f aca="false">G820/G833</f>
        <v>0.579934008683069</v>
      </c>
    </row>
    <row r="836" customFormat="false" ht="17.15" hidden="false" customHeight="false" outlineLevel="0" collapsed="false">
      <c r="A836" s="4" t="s">
        <v>655</v>
      </c>
      <c r="B836" s="0" t="s">
        <v>51</v>
      </c>
      <c r="C836" s="18" t="n">
        <f aca="false">C831/C833</f>
        <v>0.03</v>
      </c>
      <c r="D836" s="18" t="n">
        <f aca="false">D831/D833</f>
        <v>0.05</v>
      </c>
      <c r="E836" s="18" t="n">
        <f aca="false">E831/E833</f>
        <v>0.092414384609412</v>
      </c>
      <c r="F836" s="18" t="n">
        <f aca="false">F831/F833</f>
        <v>0.126108239504585</v>
      </c>
      <c r="G836" s="18" t="n">
        <f aca="false">G831/G833</f>
        <v>0.13187428534808</v>
      </c>
    </row>
    <row r="837" customFormat="false" ht="17.15" hidden="false" customHeight="false" outlineLevel="0" collapsed="false">
      <c r="A837" s="6" t="s">
        <v>656</v>
      </c>
    </row>
    <row r="838" customFormat="false" ht="17.15" hidden="false" customHeight="false" outlineLevel="0" collapsed="false">
      <c r="A838" s="0" t="s">
        <v>657</v>
      </c>
      <c r="B838" s="0" t="s">
        <v>278</v>
      </c>
      <c r="D838" s="20" t="n">
        <f aca="false">m_tk*(D820+D829)</f>
        <v>4.60234047</v>
      </c>
      <c r="E838" s="20" t="n">
        <f aca="false">(m_tk+gta_A)*(E820+E829)</f>
        <v>14.1709836119766</v>
      </c>
      <c r="F838" s="20" t="n">
        <f aca="false">(m_tk+gta_A)*(F820+F829)</f>
        <v>21.5288862101443</v>
      </c>
      <c r="G838" s="20" t="n">
        <f aca="false">(m_tk+gta_A)*(G820+G829)</f>
        <v>24.7582191416659</v>
      </c>
    </row>
    <row r="839" customFormat="false" ht="17.15" hidden="false" customHeight="false" outlineLevel="0" collapsed="false">
      <c r="A839" s="4" t="s">
        <v>658</v>
      </c>
      <c r="B839" s="0" t="s">
        <v>278</v>
      </c>
      <c r="D839" s="20" t="n">
        <f aca="false">m_auto*D831</f>
        <v>0.5553352</v>
      </c>
      <c r="E839" s="20" t="n">
        <f aca="false">m_auto*E831</f>
        <v>2.2213408</v>
      </c>
      <c r="F839" s="20" t="n">
        <f aca="false">m_auto*F831</f>
        <v>4.4426816</v>
      </c>
      <c r="G839" s="20" t="n">
        <f aca="false">m_auto*G831</f>
        <v>5.33121792</v>
      </c>
    </row>
    <row r="840" customFormat="false" ht="17.15" hidden="false" customHeight="false" outlineLevel="0" collapsed="false">
      <c r="A840" s="4" t="s">
        <v>659</v>
      </c>
      <c r="B840" s="0" t="s">
        <v>51</v>
      </c>
      <c r="C840" s="9" t="n">
        <f aca="false">(a25_gp-m_tk*(C820+C829)-m_auto*C831)/C832</f>
        <v>0.287729950594395</v>
      </c>
      <c r="D840" s="9" t="n">
        <f aca="false">(a26_gp-D838-D839)/D832</f>
        <v>0.310829299951715</v>
      </c>
      <c r="E840" s="9" t="n">
        <f aca="false">$D840+0</f>
        <v>0.310829299951715</v>
      </c>
      <c r="F840" s="9" t="n">
        <f aca="false">$D840+0</f>
        <v>0.310829299951715</v>
      </c>
      <c r="G840" s="9" t="n">
        <f aca="false">$D840+0</f>
        <v>0.310829299951715</v>
      </c>
      <c r="K840" s="8" t="s">
        <v>660</v>
      </c>
    </row>
    <row r="841" customFormat="false" ht="15" hidden="false" customHeight="false" outlineLevel="0" collapsed="false">
      <c r="A841" s="4" t="s">
        <v>516</v>
      </c>
      <c r="B841" s="0" t="s">
        <v>278</v>
      </c>
      <c r="C841" s="20" t="n">
        <f aca="false">a25_gp</f>
        <v>8.454</v>
      </c>
      <c r="D841" s="20" t="n">
        <f aca="false">a26_gp</f>
        <v>14.6514705</v>
      </c>
      <c r="E841" s="20" t="n">
        <f aca="false">E840*E832+E838+E839</f>
        <v>27.3101884664766</v>
      </c>
      <c r="F841" s="20" t="n">
        <f aca="false">F840*F832+F838+F839</f>
        <v>37.9812182700943</v>
      </c>
      <c r="G841" s="20" t="n">
        <f aca="false">G840*G832+G838+G839</f>
        <v>43.3000525676109</v>
      </c>
    </row>
    <row r="842" customFormat="false" ht="15" hidden="false" customHeight="false" outlineLevel="0" collapsed="false">
      <c r="A842" s="4" t="s">
        <v>519</v>
      </c>
      <c r="B842" s="0" t="s">
        <v>51</v>
      </c>
      <c r="C842" s="9" t="n">
        <f aca="false">C841/C833</f>
        <v>0.247620163439852</v>
      </c>
      <c r="D842" s="9" t="n">
        <f aca="false">D841/D833</f>
        <v>0.211064891978754</v>
      </c>
      <c r="E842" s="9" t="n">
        <f aca="false">E841/E833</f>
        <v>0.181789611801773</v>
      </c>
      <c r="F842" s="9" t="n">
        <f aca="false">F841/F833</f>
        <v>0.17249922462257</v>
      </c>
      <c r="G842" s="9" t="n">
        <f aca="false">G841/G833</f>
        <v>0.17137287797496</v>
      </c>
    </row>
    <row r="843" customFormat="false" ht="15" hidden="false" customHeight="false" outlineLevel="0" collapsed="false">
      <c r="A843" s="4" t="s">
        <v>521</v>
      </c>
      <c r="B843" s="0" t="s">
        <v>278</v>
      </c>
      <c r="C843" s="20" t="n">
        <f aca="false">a25_opx</f>
        <v>4.104</v>
      </c>
      <c r="D843" s="20" t="n">
        <f aca="false">a26_opx</f>
        <v>5.365972</v>
      </c>
      <c r="E843" s="20" t="n">
        <f aca="false">D843*(1+MAX(g_opx_min,phi*E834))+0*E833</f>
        <v>7.24003544443656</v>
      </c>
      <c r="F843" s="20" t="n">
        <f aca="false">E843*(1+MAX(g_opx_min,phi*F834))+0*F833</f>
        <v>8.25140167582</v>
      </c>
      <c r="G843" s="20" t="n">
        <f aca="false">F843*(1+MAX(g_opx_min,phi*G834))+0*G833</f>
        <v>8.9115138098856</v>
      </c>
    </row>
    <row r="844" customFormat="false" ht="15" hidden="false" customHeight="false" outlineLevel="0" collapsed="false">
      <c r="A844" s="4" t="s">
        <v>524</v>
      </c>
      <c r="B844" s="0" t="s">
        <v>278</v>
      </c>
      <c r="C844" s="20" t="n">
        <f aca="false">C841-C843</f>
        <v>4.35</v>
      </c>
      <c r="D844" s="20" t="n">
        <f aca="false">D841-D843</f>
        <v>9.2854985</v>
      </c>
      <c r="E844" s="20" t="n">
        <f aca="false">E841-E843</f>
        <v>20.0701530220401</v>
      </c>
      <c r="F844" s="20" t="n">
        <f aca="false">F841-F843</f>
        <v>29.7298165942743</v>
      </c>
      <c r="G844" s="20" t="n">
        <f aca="false">G841-G843</f>
        <v>34.3885387577253</v>
      </c>
    </row>
    <row r="845" customFormat="false" ht="15" hidden="false" customHeight="false" outlineLevel="0" collapsed="false">
      <c r="A845" s="4" t="s">
        <v>621</v>
      </c>
      <c r="B845" s="0" t="s">
        <v>51</v>
      </c>
      <c r="C845" s="9" t="n">
        <f aca="false">C844/C833</f>
        <v>0.127412788143288</v>
      </c>
      <c r="D845" s="9" t="n">
        <f aca="false">D844/D833</f>
        <v>0.13376423464603</v>
      </c>
      <c r="E845" s="9" t="n">
        <f aca="false">E844/E833</f>
        <v>0.133596490231382</v>
      </c>
      <c r="F845" s="9" t="n">
        <f aca="false">F844/F833</f>
        <v>0.135023849793715</v>
      </c>
      <c r="G845" s="9" t="n">
        <f aca="false">G844/G833</f>
        <v>0.136102903040656</v>
      </c>
    </row>
    <row r="846" customFormat="false" ht="15" hidden="false" customHeight="false" outlineLevel="0" collapsed="false">
      <c r="A846" s="4" t="s">
        <v>527</v>
      </c>
      <c r="B846" s="0" t="s">
        <v>278</v>
      </c>
      <c r="C846" s="20" t="n">
        <f aca="false">a25_nonop</f>
        <v>0.0920000000000005</v>
      </c>
      <c r="D846" s="20" t="n">
        <f aca="false">a26_nonop</f>
        <v>0.384548</v>
      </c>
      <c r="E846" s="20" t="n">
        <f aca="false">nonop_f</f>
        <v>0.5</v>
      </c>
      <c r="F846" s="20" t="n">
        <f aca="false">nonop_f</f>
        <v>0.5</v>
      </c>
      <c r="G846" s="20" t="n">
        <f aca="false">nonop_f</f>
        <v>0.5</v>
      </c>
    </row>
    <row r="847" customFormat="false" ht="15" hidden="false" customHeight="false" outlineLevel="0" collapsed="false">
      <c r="A847" s="4" t="s">
        <v>529</v>
      </c>
      <c r="B847" s="0" t="s">
        <v>278</v>
      </c>
      <c r="C847" s="20" t="n">
        <f aca="false">C844+C846</f>
        <v>4.442</v>
      </c>
      <c r="D847" s="20" t="n">
        <f aca="false">D844+D846</f>
        <v>9.6700465</v>
      </c>
      <c r="E847" s="20" t="n">
        <f aca="false">E844+E846</f>
        <v>20.5701530220401</v>
      </c>
      <c r="F847" s="20" t="n">
        <f aca="false">F844+F846</f>
        <v>30.2298165942743</v>
      </c>
      <c r="G847" s="20" t="n">
        <f aca="false">G844+G846</f>
        <v>34.8885387577253</v>
      </c>
    </row>
    <row r="848" customFormat="false" ht="15" hidden="false" customHeight="false" outlineLevel="0" collapsed="false">
      <c r="A848" s="4" t="s">
        <v>531</v>
      </c>
      <c r="B848" s="0" t="s">
        <v>278</v>
      </c>
      <c r="C848" s="20" t="n">
        <f aca="false">a25_tax</f>
        <v>0.672</v>
      </c>
      <c r="D848" s="20" t="n">
        <f aca="false">a26_tax</f>
        <v>1.337361725</v>
      </c>
      <c r="E848" s="20" t="n">
        <f aca="false">E847*tax</f>
        <v>3.08552295330601</v>
      </c>
      <c r="F848" s="20" t="n">
        <f aca="false">F847*tax</f>
        <v>4.53447248914114</v>
      </c>
      <c r="G848" s="20" t="n">
        <f aca="false">G847*tax</f>
        <v>5.2332808136588</v>
      </c>
    </row>
    <row r="849" customFormat="false" ht="15" hidden="false" customHeight="false" outlineLevel="0" collapsed="false">
      <c r="A849" s="4" t="s">
        <v>534</v>
      </c>
      <c r="B849" s="0" t="s">
        <v>278</v>
      </c>
      <c r="C849" s="20" t="n">
        <f aca="false">C847-C848</f>
        <v>3.77</v>
      </c>
      <c r="D849" s="20" t="n">
        <f aca="false">D847-D848</f>
        <v>8.332684775</v>
      </c>
      <c r="E849" s="20" t="n">
        <f aca="false">E847-E848</f>
        <v>17.4846300687341</v>
      </c>
      <c r="F849" s="20" t="n">
        <f aca="false">F847-F848</f>
        <v>25.6953441051331</v>
      </c>
      <c r="G849" s="20" t="n">
        <f aca="false">G847-G848</f>
        <v>29.6552579440665</v>
      </c>
      <c r="H849" s="28" t="n">
        <f aca="false">H833*H853</f>
        <v>33.1119468159942</v>
      </c>
      <c r="I849" s="28" t="n">
        <f aca="false">I833*I853</f>
        <v>36.0068989050164</v>
      </c>
      <c r="J849" s="28" t="n">
        <f aca="false">J833*J853</f>
        <v>38.1059634826137</v>
      </c>
    </row>
    <row r="850" customFormat="false" ht="15" hidden="false" customHeight="false" outlineLevel="0" collapsed="false">
      <c r="A850" s="4" t="s">
        <v>312</v>
      </c>
      <c r="B850" s="4" t="s">
        <v>313</v>
      </c>
      <c r="C850" s="19" t="n">
        <f aca="false">a25_sh</f>
        <v>0.134020618556701</v>
      </c>
      <c r="D850" s="19" t="n">
        <f aca="false">a26_sh</f>
        <v>0.13399883744778</v>
      </c>
      <c r="E850" s="19" t="n">
        <f aca="false">q_sh*(1+sh_g)</f>
        <v>0.13401</v>
      </c>
      <c r="F850" s="19" t="n">
        <f aca="false">E850*(1+sh_g)</f>
        <v>0.13401</v>
      </c>
      <c r="G850" s="19" t="n">
        <f aca="false">F850*(1+sh_g)</f>
        <v>0.13401</v>
      </c>
      <c r="H850" s="30" t="n">
        <f aca="false">G850*(1+sh_g)</f>
        <v>0.13401</v>
      </c>
      <c r="I850" s="30" t="n">
        <f aca="false">H850*(1+sh_g)</f>
        <v>0.13401</v>
      </c>
      <c r="J850" s="30" t="n">
        <f aca="false">I850*(1+sh_g)</f>
        <v>0.13401</v>
      </c>
    </row>
    <row r="851" customFormat="false" ht="17.15" hidden="false" customHeight="false" outlineLevel="0" collapsed="false">
      <c r="A851" s="0" t="s">
        <v>538</v>
      </c>
      <c r="B851" s="0" t="s">
        <v>356</v>
      </c>
      <c r="C851" s="20" t="n">
        <f aca="false">C849/C850</f>
        <v>28.13</v>
      </c>
      <c r="D851" s="20" t="n">
        <f aca="false">D849/D850</f>
        <v>62.1847542389856</v>
      </c>
      <c r="E851" s="20" t="n">
        <f aca="false">E849/E850</f>
        <v>130.472577186285</v>
      </c>
      <c r="F851" s="20" t="n">
        <f aca="false">F849/F850</f>
        <v>191.741990188293</v>
      </c>
      <c r="G851" s="20" t="n">
        <f aca="false">G849/G850</f>
        <v>221.291380822823</v>
      </c>
      <c r="H851" s="28" t="n">
        <f aca="false">H849/H850</f>
        <v>247.085641489398</v>
      </c>
      <c r="I851" s="28" t="n">
        <f aca="false">I849/I850</f>
        <v>268.68814942927</v>
      </c>
      <c r="J851" s="28" t="n">
        <f aca="false">J849/J850</f>
        <v>284.351641538794</v>
      </c>
    </row>
    <row r="852" customFormat="false" ht="17.15" hidden="false" customHeight="false" outlineLevel="0" collapsed="false">
      <c r="A852" s="0" t="s">
        <v>661</v>
      </c>
      <c r="B852" s="0" t="s">
        <v>51</v>
      </c>
      <c r="D852" s="18" t="n">
        <f aca="false">D851/C851-1</f>
        <v>1.21062048485551</v>
      </c>
      <c r="E852" s="18" t="n">
        <f aca="false">E851/D851-1</f>
        <v>1.09814413167669</v>
      </c>
      <c r="F852" s="18" t="n">
        <f aca="false">F851/E851-1</f>
        <v>0.469596096921801</v>
      </c>
      <c r="G852" s="18" t="n">
        <f aca="false">G851/F851-1</f>
        <v>0.154110169637398</v>
      </c>
      <c r="H852" s="26" t="n">
        <f aca="false">H851/G851-1</f>
        <v>0.116562428101195</v>
      </c>
      <c r="I852" s="26" t="n">
        <f aca="false">I851/H851-1</f>
        <v>0.0874292322680312</v>
      </c>
      <c r="J852" s="26" t="n">
        <f aca="false">J851/I851-1</f>
        <v>0.058296177716789</v>
      </c>
    </row>
    <row r="853" customFormat="false" ht="17.15" hidden="false" customHeight="false" outlineLevel="0" collapsed="false">
      <c r="A853" s="4" t="s">
        <v>662</v>
      </c>
      <c r="B853" s="0" t="s">
        <v>51</v>
      </c>
      <c r="C853" s="9" t="n">
        <f aca="false">C849/C833</f>
        <v>0.11042441639085</v>
      </c>
      <c r="D853" s="9" t="n">
        <f aca="false">D849/D833</f>
        <v>0.1200382727405</v>
      </c>
      <c r="E853" s="9" t="n">
        <f aca="false">E849/E833</f>
        <v>0.116386018961181</v>
      </c>
      <c r="F853" s="9" t="n">
        <f aca="false">F849/F833</f>
        <v>0.1167004939922</v>
      </c>
      <c r="G853" s="9" t="n">
        <f aca="false">G849/G833</f>
        <v>0.117369531896734</v>
      </c>
      <c r="H853" s="27" t="n">
        <f aca="false">$G853+(fade_mA-$G853)*1/3</f>
        <v>0.117181479060329</v>
      </c>
      <c r="I853" s="27" t="n">
        <f aca="false">$G853+(fade_mA-$G853)*2/3</f>
        <v>0.116993426223924</v>
      </c>
      <c r="J853" s="27" t="n">
        <f aca="false">$G853+(fade_mA-$G853)*3/3</f>
        <v>0.116805373387519</v>
      </c>
    </row>
    <row r="856" customFormat="false" ht="17.15" hidden="false" customHeight="false" outlineLevel="0" collapsed="false">
      <c r="A856" s="1" t="s">
        <v>998</v>
      </c>
    </row>
    <row r="857" customFormat="false" ht="17.15" hidden="false" customHeight="false" outlineLevel="0" collapsed="false">
      <c r="A857" s="5" t="s">
        <v>27</v>
      </c>
      <c r="B857" s="5" t="s">
        <v>28</v>
      </c>
      <c r="C857" s="16" t="s">
        <v>497</v>
      </c>
      <c r="D857" s="16" t="s">
        <v>610</v>
      </c>
      <c r="E857" s="16" t="s">
        <v>611</v>
      </c>
      <c r="F857" s="16" t="s">
        <v>612</v>
      </c>
      <c r="G857" s="16" t="s">
        <v>613</v>
      </c>
      <c r="H857" s="16" t="s">
        <v>614</v>
      </c>
      <c r="I857" s="16" t="s">
        <v>615</v>
      </c>
      <c r="J857" s="16" t="s">
        <v>616</v>
      </c>
      <c r="K857" s="5" t="s">
        <v>450</v>
      </c>
    </row>
    <row r="858" customFormat="false" ht="17.15" hidden="false" customHeight="false" outlineLevel="0" collapsed="false">
      <c r="A858" s="6" t="s">
        <v>632</v>
      </c>
    </row>
    <row r="859" customFormat="false" ht="17.15" hidden="false" customHeight="false" outlineLevel="0" collapsed="false">
      <c r="A859" s="0" t="s">
        <v>633</v>
      </c>
      <c r="B859" s="4" t="s">
        <v>38</v>
      </c>
      <c r="D859" s="22" t="n">
        <f aca="false">u_tpu_26</f>
        <v>3.85</v>
      </c>
      <c r="E859" s="22" t="n">
        <f aca="false">u_tpu_27</f>
        <v>5.5</v>
      </c>
      <c r="F859" s="22" t="n">
        <f aca="false">u_tpu_28*um28_A</f>
        <v>7</v>
      </c>
      <c r="G859" s="22" t="n">
        <f aca="false">u_tpu_28*(1+g29_tpu)*um29_A</f>
        <v>8.05</v>
      </c>
    </row>
    <row r="860" customFormat="false" ht="17.15" hidden="false" customHeight="false" outlineLevel="0" collapsed="false">
      <c r="A860" s="0" t="s">
        <v>574</v>
      </c>
      <c r="B860" s="0" t="s">
        <v>70</v>
      </c>
      <c r="D860" s="22" t="n">
        <f aca="false">att26</f>
        <v>0.325</v>
      </c>
      <c r="E860" s="22" t="n">
        <f aca="false">MAX(0,att_A+0)</f>
        <v>0.6</v>
      </c>
      <c r="F860" s="22" t="n">
        <f aca="false">MAX(0,att_A+0)</f>
        <v>0.6</v>
      </c>
      <c r="G860" s="22" t="n">
        <f aca="false">MAX(0,att_A+0)</f>
        <v>0.6</v>
      </c>
    </row>
    <row r="861" customFormat="false" ht="17.15" hidden="false" customHeight="false" outlineLevel="0" collapsed="false">
      <c r="A861" s="4" t="s">
        <v>634</v>
      </c>
      <c r="B861" s="0" t="s">
        <v>51</v>
      </c>
      <c r="D861" s="18" t="n">
        <f aca="false">gsh26</f>
        <v>1</v>
      </c>
      <c r="E861" s="18" t="n">
        <f aca="false">gsh26</f>
        <v>1</v>
      </c>
      <c r="F861" s="18" t="n">
        <f aca="false">MIN(1,gsh28_A)</f>
        <v>1</v>
      </c>
      <c r="G861" s="18" t="n">
        <f aca="false">MIN(1,gsh28_A)</f>
        <v>1</v>
      </c>
    </row>
    <row r="862" customFormat="false" ht="17.15" hidden="false" customHeight="false" outlineLevel="0" collapsed="false">
      <c r="A862" s="4" t="s">
        <v>576</v>
      </c>
      <c r="B862" s="4" t="s">
        <v>38</v>
      </c>
      <c r="D862" s="22" t="n">
        <f aca="false">D859*D860*D861</f>
        <v>1.25125</v>
      </c>
      <c r="E862" s="22" t="n">
        <f aca="false">E859*E860*E861*1</f>
        <v>3.3</v>
      </c>
      <c r="F862" s="22" t="n">
        <f aca="false">F859*F860*F861*1</f>
        <v>4.2</v>
      </c>
      <c r="G862" s="22" t="n">
        <f aca="false">G859*G860*G861*1</f>
        <v>4.83</v>
      </c>
    </row>
    <row r="863" customFormat="false" ht="17.15" hidden="false" customHeight="false" outlineLevel="0" collapsed="false">
      <c r="A863" s="4" t="s">
        <v>635</v>
      </c>
      <c r="B863" s="0" t="s">
        <v>116</v>
      </c>
      <c r="D863" s="20" t="n">
        <f aca="false">pc_cpu</f>
        <v>1</v>
      </c>
      <c r="E863" s="20" t="n">
        <f aca="false">pc_cpu</f>
        <v>1</v>
      </c>
      <c r="F863" s="20" t="n">
        <f aca="false">pc_cpu*pfc_A</f>
        <v>1.2</v>
      </c>
      <c r="G863" s="20" t="n">
        <f aca="false">pc_cpu*pfc_A</f>
        <v>1.2</v>
      </c>
    </row>
    <row r="864" customFormat="false" ht="17.15" hidden="false" customHeight="false" outlineLevel="0" collapsed="false">
      <c r="A864" s="0" t="s">
        <v>636</v>
      </c>
      <c r="B864" s="0" t="s">
        <v>581</v>
      </c>
      <c r="D864" s="20" t="n">
        <f aca="false">D862*D863</f>
        <v>1.25125</v>
      </c>
      <c r="E864" s="20" t="n">
        <f aca="false">E862*E863</f>
        <v>3.3</v>
      </c>
      <c r="F864" s="20" t="n">
        <f aca="false">F862*F863</f>
        <v>5.04</v>
      </c>
      <c r="G864" s="20" t="n">
        <f aca="false">G862*G863</f>
        <v>5.796</v>
      </c>
    </row>
    <row r="865" customFormat="false" ht="17.15" hidden="false" customHeight="false" outlineLevel="0" collapsed="false">
      <c r="A865" s="0" t="s">
        <v>637</v>
      </c>
      <c r="B865" s="0" t="s">
        <v>70</v>
      </c>
      <c r="D865" s="22" t="n">
        <f aca="false">a26_cpu/fx26/D864</f>
        <v>0.842704434805701</v>
      </c>
      <c r="K865" s="8" t="s">
        <v>638</v>
      </c>
    </row>
    <row r="866" customFormat="false" ht="17.15" hidden="false" customHeight="false" outlineLevel="0" collapsed="false">
      <c r="A866" s="0" t="s">
        <v>639</v>
      </c>
      <c r="B866" s="0" t="s">
        <v>581</v>
      </c>
      <c r="D866" s="20" t="n">
        <f aca="false">D864*$D$865</f>
        <v>1.05443392405063</v>
      </c>
      <c r="E866" s="20" t="n">
        <f aca="false">E864*$D$865</f>
        <v>2.78092463485881</v>
      </c>
      <c r="F866" s="20" t="n">
        <f aca="false">F864*$D$865</f>
        <v>4.24723035142073</v>
      </c>
      <c r="G866" s="20" t="n">
        <f aca="false">G864*$D$865</f>
        <v>4.88431490413384</v>
      </c>
    </row>
    <row r="867" customFormat="false" ht="15" hidden="false" customHeight="false" outlineLevel="0" collapsed="false">
      <c r="A867" s="4" t="s">
        <v>640</v>
      </c>
      <c r="B867" s="0" t="s">
        <v>273</v>
      </c>
      <c r="D867" s="20" t="n">
        <f aca="false">fx26</f>
        <v>31.6</v>
      </c>
      <c r="E867" s="20" t="n">
        <f aca="false">fx</f>
        <v>32</v>
      </c>
      <c r="F867" s="20" t="n">
        <f aca="false">fx</f>
        <v>32</v>
      </c>
      <c r="G867" s="20" t="n">
        <f aca="false">fx</f>
        <v>32</v>
      </c>
    </row>
    <row r="868" customFormat="false" ht="17.15" hidden="false" customHeight="false" outlineLevel="0" collapsed="false">
      <c r="A868" s="0" t="s">
        <v>641</v>
      </c>
      <c r="B868" s="0" t="s">
        <v>278</v>
      </c>
      <c r="C868" s="20" t="n">
        <f aca="false">a25_cpu</f>
        <v>6.14538</v>
      </c>
      <c r="D868" s="20" t="n">
        <f aca="false">D866*D867</f>
        <v>33.320112</v>
      </c>
      <c r="E868" s="20" t="n">
        <f aca="false">E866*E867</f>
        <v>88.989588315482</v>
      </c>
      <c r="F868" s="20" t="n">
        <f aca="false">F866*F867</f>
        <v>135.911371245463</v>
      </c>
      <c r="G868" s="20" t="n">
        <f aca="false">G866*G867</f>
        <v>156.298076932283</v>
      </c>
    </row>
    <row r="869" customFormat="false" ht="17.15" hidden="false" customHeight="false" outlineLevel="0" collapsed="false">
      <c r="A869" s="4" t="s">
        <v>578</v>
      </c>
      <c r="B869" s="0" t="s">
        <v>116</v>
      </c>
      <c r="D869" s="20" t="n">
        <f aca="false">IF(D862&gt;0,D866/D862,0)</f>
        <v>0.842704434805701</v>
      </c>
      <c r="E869" s="20" t="n">
        <f aca="false">IF(E862&gt;0,E866/E862,0)</f>
        <v>0.842704434805701</v>
      </c>
      <c r="F869" s="20" t="n">
        <f aca="false">IF(F862&gt;0,F866/F862,0)</f>
        <v>1.01124532176684</v>
      </c>
      <c r="G869" s="20" t="n">
        <f aca="false">IF(G862&gt;0,G866/G862,0)</f>
        <v>1.01124532176684</v>
      </c>
    </row>
    <row r="870" customFormat="false" ht="17.15" hidden="false" customHeight="false" outlineLevel="0" collapsed="false">
      <c r="A870" s="6" t="s">
        <v>642</v>
      </c>
    </row>
    <row r="871" customFormat="false" ht="17.15" hidden="false" customHeight="false" outlineLevel="0" collapsed="false">
      <c r="A871" s="4" t="s">
        <v>643</v>
      </c>
      <c r="B871" s="4" t="s">
        <v>38</v>
      </c>
      <c r="D871" s="22" t="n">
        <f aca="false">u_oth_26</f>
        <v>1</v>
      </c>
      <c r="E871" s="22" t="n">
        <f aca="false">u_oth_27</f>
        <v>4.5</v>
      </c>
      <c r="F871" s="22" t="n">
        <f aca="false">u_oth_28*um28_A</f>
        <v>5</v>
      </c>
      <c r="G871" s="22" t="n">
        <f aca="false">u_oth_28*(1+g29_oth)*um29_A</f>
        <v>5.75</v>
      </c>
    </row>
    <row r="872" customFormat="false" ht="17.15" hidden="false" customHeight="false" outlineLevel="0" collapsed="false">
      <c r="A872" s="4" t="s">
        <v>584</v>
      </c>
      <c r="B872" s="0" t="s">
        <v>51</v>
      </c>
      <c r="D872" s="18" t="n">
        <f aca="false">guc_oth_26</f>
        <v>0.03</v>
      </c>
      <c r="E872" s="18" t="n">
        <f aca="false">MIN(1,MAX(0,go27_A+0))</f>
        <v>0.06</v>
      </c>
      <c r="F872" s="18" t="n">
        <f aca="false">MIN(1,MAX(0,go28_A+0))</f>
        <v>0.08</v>
      </c>
      <c r="G872" s="18" t="n">
        <f aca="false">MIN(1,MAX(0,go28_A+0))</f>
        <v>0.08</v>
      </c>
    </row>
    <row r="873" customFormat="false" ht="17.15" hidden="false" customHeight="false" outlineLevel="0" collapsed="false">
      <c r="A873" s="4" t="s">
        <v>586</v>
      </c>
      <c r="B873" s="4" t="s">
        <v>38</v>
      </c>
      <c r="D873" s="22" t="n">
        <f aca="false">D871*D872</f>
        <v>0.03</v>
      </c>
      <c r="E873" s="22" t="n">
        <f aca="false">E871*E872*1</f>
        <v>0.27</v>
      </c>
      <c r="F873" s="22" t="n">
        <f aca="false">F871*F872*1</f>
        <v>0.4</v>
      </c>
      <c r="G873" s="22" t="n">
        <f aca="false">G871*G872*1</f>
        <v>0.46</v>
      </c>
    </row>
    <row r="874" customFormat="false" ht="17.15" hidden="false" customHeight="false" outlineLevel="0" collapsed="false">
      <c r="A874" s="0" t="s">
        <v>644</v>
      </c>
      <c r="B874" s="0" t="s">
        <v>581</v>
      </c>
      <c r="D874" s="20" t="n">
        <f aca="false">D873*core_oth</f>
        <v>0.18</v>
      </c>
      <c r="E874" s="20" t="n">
        <f aca="false">E873*core_oth</f>
        <v>1.62</v>
      </c>
      <c r="F874" s="20" t="n">
        <f aca="false">F873*core_oth</f>
        <v>2.4</v>
      </c>
      <c r="G874" s="20" t="n">
        <f aca="false">G873*core_oth</f>
        <v>2.76</v>
      </c>
    </row>
    <row r="875" customFormat="false" ht="17.15" hidden="false" customHeight="false" outlineLevel="0" collapsed="false">
      <c r="A875" s="0" t="s">
        <v>645</v>
      </c>
      <c r="B875" s="0" t="s">
        <v>70</v>
      </c>
      <c r="D875" s="22" t="n">
        <f aca="false">a26_asic/fx26/D874</f>
        <v>0.366122890295359</v>
      </c>
      <c r="K875" s="8" t="s">
        <v>646</v>
      </c>
    </row>
    <row r="876" customFormat="false" ht="17.15" hidden="false" customHeight="false" outlineLevel="0" collapsed="false">
      <c r="A876" s="0" t="s">
        <v>647</v>
      </c>
      <c r="B876" s="0" t="s">
        <v>581</v>
      </c>
      <c r="D876" s="20" t="n">
        <f aca="false">D874*$D$875</f>
        <v>0.0659021202531645</v>
      </c>
      <c r="E876" s="20" t="n">
        <f aca="false">E874*$D$875</f>
        <v>0.593119082278481</v>
      </c>
      <c r="F876" s="20" t="n">
        <f aca="false">F874*$D$875</f>
        <v>0.878694936708861</v>
      </c>
      <c r="G876" s="20" t="n">
        <f aca="false">G874*$D$875</f>
        <v>1.01049917721519</v>
      </c>
    </row>
    <row r="877" customFormat="false" ht="17.15" hidden="false" customHeight="false" outlineLevel="0" collapsed="false">
      <c r="A877" s="0" t="s">
        <v>648</v>
      </c>
      <c r="B877" s="0" t="s">
        <v>278</v>
      </c>
      <c r="C877" s="20" t="n">
        <f aca="false">a25_asic</f>
        <v>1.70705</v>
      </c>
      <c r="D877" s="20" t="n">
        <f aca="false">D876*D867</f>
        <v>2.082507</v>
      </c>
      <c r="E877" s="20" t="n">
        <f aca="false">E876*E867</f>
        <v>18.9798106329114</v>
      </c>
      <c r="F877" s="20" t="n">
        <f aca="false">F876*F867</f>
        <v>28.1182379746835</v>
      </c>
      <c r="G877" s="20" t="n">
        <f aca="false">G876*G867</f>
        <v>32.3359736708861</v>
      </c>
    </row>
    <row r="878" customFormat="false" ht="17.15" hidden="false" customHeight="false" outlineLevel="0" collapsed="false">
      <c r="A878" s="6" t="s">
        <v>649</v>
      </c>
    </row>
    <row r="879" customFormat="false" ht="17.15" hidden="false" customHeight="false" outlineLevel="0" collapsed="false">
      <c r="A879" s="4" t="s">
        <v>650</v>
      </c>
      <c r="B879" s="0" t="s">
        <v>278</v>
      </c>
      <c r="C879" s="20" t="n">
        <f aca="false">a25_auto</f>
        <v>1.02423</v>
      </c>
      <c r="D879" s="20" t="n">
        <f aca="false">a26_auto</f>
        <v>3.470845</v>
      </c>
      <c r="E879" s="20" t="n">
        <f aca="false">D879*am27_A</f>
        <v>13.88338</v>
      </c>
      <c r="F879" s="20" t="n">
        <f aca="false">E879*am28_A</f>
        <v>27.76676</v>
      </c>
      <c r="G879" s="20" t="n">
        <f aca="false">F879*(1+ag29_A)</f>
        <v>33.320112</v>
      </c>
    </row>
    <row r="880" customFormat="false" ht="17.15" hidden="false" customHeight="false" outlineLevel="0" collapsed="false">
      <c r="A880" s="4" t="s">
        <v>651</v>
      </c>
      <c r="B880" s="0" t="s">
        <v>278</v>
      </c>
      <c r="C880" s="20" t="n">
        <f aca="false">a25_oth</f>
        <v>25.26434</v>
      </c>
      <c r="D880" s="20" t="n">
        <f aca="false">a26_oth</f>
        <v>30.543436</v>
      </c>
      <c r="E880" s="20" t="n">
        <f aca="false">D880*(1+g_o27_A)</f>
        <v>35.1249514</v>
      </c>
      <c r="F880" s="20" t="n">
        <f aca="false">E880*(1+g_oL_A)</f>
        <v>38.63744654</v>
      </c>
      <c r="G880" s="20" t="n">
        <f aca="false">F880*(1+g_oL_A)</f>
        <v>42.501191194</v>
      </c>
    </row>
    <row r="881" customFormat="false" ht="17.15" hidden="false" customHeight="false" outlineLevel="0" collapsed="false">
      <c r="A881" s="4" t="s">
        <v>503</v>
      </c>
      <c r="B881" s="0" t="s">
        <v>278</v>
      </c>
      <c r="C881" s="20" t="n">
        <f aca="false">C868+C877+C879+C880</f>
        <v>34.141</v>
      </c>
      <c r="D881" s="20" t="n">
        <f aca="false">D868+D877+D879+D880</f>
        <v>69.4169</v>
      </c>
      <c r="E881" s="20" t="n">
        <f aca="false">E868+E877+E879+E880</f>
        <v>156.977730348393</v>
      </c>
      <c r="F881" s="20" t="n">
        <f aca="false">F868+F877+F879+F880</f>
        <v>230.433815760147</v>
      </c>
      <c r="G881" s="20" t="n">
        <f aca="false">G868+G877+G879+G880</f>
        <v>264.455353797169</v>
      </c>
      <c r="H881" s="28" t="n">
        <f aca="false">G881*(1+H882)</f>
        <v>295.7741413076</v>
      </c>
      <c r="I881" s="28" t="n">
        <f aca="false">H881*(1+I882)</f>
        <v>322.161262221043</v>
      </c>
      <c r="J881" s="28" t="n">
        <f aca="false">I881*(1+J882)</f>
        <v>341.490937954306</v>
      </c>
      <c r="K881" s="8" t="s">
        <v>652</v>
      </c>
    </row>
    <row r="882" customFormat="false" ht="15" hidden="false" customHeight="false" outlineLevel="0" collapsed="false">
      <c r="A882" s="4" t="s">
        <v>653</v>
      </c>
      <c r="B882" s="0" t="s">
        <v>51</v>
      </c>
      <c r="D882" s="18" t="n">
        <f aca="false">D881/C881-1</f>
        <v>1.03324155707214</v>
      </c>
      <c r="E882" s="18" t="n">
        <f aca="false">E881/D881-1</f>
        <v>1.26137626930032</v>
      </c>
      <c r="F882" s="18" t="n">
        <f aca="false">F881/E881-1</f>
        <v>0.467939530331637</v>
      </c>
      <c r="G882" s="18" t="n">
        <f aca="false">G881/F881-1</f>
        <v>0.147641256231395</v>
      </c>
      <c r="H882" s="26" t="n">
        <f aca="false">$G882+(fade_gA-$G882)*1/3</f>
        <v>0.118427504154264</v>
      </c>
      <c r="I882" s="26" t="n">
        <f aca="false">$G882+(fade_gA-$G882)*2/3</f>
        <v>0.0892137520771318</v>
      </c>
      <c r="J882" s="26" t="n">
        <f aca="false">$G882+(fade_gA-$G882)*3/3</f>
        <v>0.06</v>
      </c>
    </row>
    <row r="883" customFormat="false" ht="17.15" hidden="false" customHeight="false" outlineLevel="0" collapsed="false">
      <c r="A883" s="0" t="s">
        <v>654</v>
      </c>
      <c r="B883" s="0" t="s">
        <v>51</v>
      </c>
      <c r="C883" s="18" t="n">
        <f aca="false">C868/C881</f>
        <v>0.18</v>
      </c>
      <c r="D883" s="18" t="n">
        <f aca="false">D868/D881</f>
        <v>0.48</v>
      </c>
      <c r="E883" s="18" t="n">
        <f aca="false">E868/E881</f>
        <v>0.566893075329731</v>
      </c>
      <c r="F883" s="18" t="n">
        <f aca="false">F868/F881</f>
        <v>0.589806538580823</v>
      </c>
      <c r="G883" s="18" t="n">
        <f aca="false">G868/G881</f>
        <v>0.591018766260863</v>
      </c>
    </row>
    <row r="884" customFormat="false" ht="17.15" hidden="false" customHeight="false" outlineLevel="0" collapsed="false">
      <c r="A884" s="4" t="s">
        <v>655</v>
      </c>
      <c r="B884" s="0" t="s">
        <v>51</v>
      </c>
      <c r="C884" s="18" t="n">
        <f aca="false">C879/C881</f>
        <v>0.03</v>
      </c>
      <c r="D884" s="18" t="n">
        <f aca="false">D879/D881</f>
        <v>0.05</v>
      </c>
      <c r="E884" s="18" t="n">
        <f aca="false">E879/E881</f>
        <v>0.0884417169823229</v>
      </c>
      <c r="F884" s="18" t="n">
        <f aca="false">F879/F881</f>
        <v>0.120497765956806</v>
      </c>
      <c r="G884" s="18" t="n">
        <f aca="false">G879/G881</f>
        <v>0.125995225740658</v>
      </c>
    </row>
    <row r="885" customFormat="false" ht="17.15" hidden="false" customHeight="false" outlineLevel="0" collapsed="false">
      <c r="A885" s="6" t="s">
        <v>656</v>
      </c>
    </row>
    <row r="886" customFormat="false" ht="17.15" hidden="false" customHeight="false" outlineLevel="0" collapsed="false">
      <c r="A886" s="0" t="s">
        <v>657</v>
      </c>
      <c r="B886" s="0" t="s">
        <v>278</v>
      </c>
      <c r="D886" s="20" t="n">
        <f aca="false">m_tk*(D868+D877)</f>
        <v>4.60234047</v>
      </c>
      <c r="E886" s="20" t="n">
        <f aca="false">(m_tk+gta_A)*(E868+E877)</f>
        <v>15.1157158527751</v>
      </c>
      <c r="F886" s="20" t="n">
        <f aca="false">(m_tk+gta_A)*(F868+F877)</f>
        <v>22.9641452908206</v>
      </c>
      <c r="G886" s="20" t="n">
        <f aca="false">(m_tk+gta_A)*(G868+G877)</f>
        <v>26.4087670844437</v>
      </c>
    </row>
    <row r="887" customFormat="false" ht="17.15" hidden="false" customHeight="false" outlineLevel="0" collapsed="false">
      <c r="A887" s="4" t="s">
        <v>658</v>
      </c>
      <c r="B887" s="0" t="s">
        <v>278</v>
      </c>
      <c r="D887" s="20" t="n">
        <f aca="false">m_auto*D879</f>
        <v>0.5553352</v>
      </c>
      <c r="E887" s="20" t="n">
        <f aca="false">m_auto*E879</f>
        <v>2.2213408</v>
      </c>
      <c r="F887" s="20" t="n">
        <f aca="false">m_auto*F879</f>
        <v>4.4426816</v>
      </c>
      <c r="G887" s="20" t="n">
        <f aca="false">m_auto*G879</f>
        <v>5.33121792</v>
      </c>
    </row>
    <row r="888" customFormat="false" ht="17.15" hidden="false" customHeight="false" outlineLevel="0" collapsed="false">
      <c r="A888" s="4" t="s">
        <v>659</v>
      </c>
      <c r="B888" s="0" t="s">
        <v>51</v>
      </c>
      <c r="C888" s="9" t="n">
        <f aca="false">(a25_gp-m_tk*(C868+C877)-m_auto*C879)/C880</f>
        <v>0.287729950594395</v>
      </c>
      <c r="D888" s="9" t="n">
        <f aca="false">(a26_gp-D886-D887)/D880</f>
        <v>0.310829299951715</v>
      </c>
      <c r="E888" s="9" t="n">
        <f aca="false">$D888+0</f>
        <v>0.310829299951715</v>
      </c>
      <c r="F888" s="9" t="n">
        <f aca="false">$D888+0</f>
        <v>0.310829299951715</v>
      </c>
      <c r="G888" s="9" t="n">
        <f aca="false">$D888+0</f>
        <v>0.310829299951715</v>
      </c>
      <c r="K888" s="8" t="s">
        <v>660</v>
      </c>
    </row>
    <row r="889" customFormat="false" ht="15" hidden="false" customHeight="false" outlineLevel="0" collapsed="false">
      <c r="A889" s="4" t="s">
        <v>516</v>
      </c>
      <c r="B889" s="0" t="s">
        <v>278</v>
      </c>
      <c r="C889" s="20" t="n">
        <f aca="false">a25_gp</f>
        <v>8.454</v>
      </c>
      <c r="D889" s="20" t="n">
        <f aca="false">a26_gp</f>
        <v>14.6514705</v>
      </c>
      <c r="E889" s="20" t="n">
        <f aca="false">E888*E880+E886+E887</f>
        <v>28.2549207072751</v>
      </c>
      <c r="F889" s="20" t="n">
        <f aca="false">F888*F880+F886+F887</f>
        <v>39.4164773507706</v>
      </c>
      <c r="G889" s="20" t="n">
        <f aca="false">G888*G880+G886+G887</f>
        <v>44.9506005103887</v>
      </c>
    </row>
    <row r="890" customFormat="false" ht="15" hidden="false" customHeight="false" outlineLevel="0" collapsed="false">
      <c r="A890" s="4" t="s">
        <v>519</v>
      </c>
      <c r="B890" s="0" t="s">
        <v>51</v>
      </c>
      <c r="C890" s="9" t="n">
        <f aca="false">C889/C881</f>
        <v>0.247620163439852</v>
      </c>
      <c r="D890" s="9" t="n">
        <f aca="false">D889/D881</f>
        <v>0.211064891978754</v>
      </c>
      <c r="E890" s="9" t="n">
        <f aca="false">E889/E881</f>
        <v>0.17999317893415</v>
      </c>
      <c r="F890" s="9" t="n">
        <f aca="false">F889/F881</f>
        <v>0.171053355258406</v>
      </c>
      <c r="G890" s="9" t="n">
        <f aca="false">G889/G881</f>
        <v>0.169974250341193</v>
      </c>
    </row>
    <row r="891" customFormat="false" ht="15" hidden="false" customHeight="false" outlineLevel="0" collapsed="false">
      <c r="A891" s="4" t="s">
        <v>521</v>
      </c>
      <c r="B891" s="0" t="s">
        <v>278</v>
      </c>
      <c r="C891" s="20" t="n">
        <f aca="false">a25_opx</f>
        <v>4.104</v>
      </c>
      <c r="D891" s="20" t="n">
        <f aca="false">a26_opx</f>
        <v>5.365972</v>
      </c>
      <c r="E891" s="20" t="n">
        <f aca="false">D891*(1+MAX(g_opx_min,phi*E882))+0*E881</f>
        <v>7.39652492275899</v>
      </c>
      <c r="F891" s="20" t="n">
        <f aca="false">E891*(1+MAX(g_opx_min,phi*F882))+0*F881</f>
        <v>8.43486284229162</v>
      </c>
      <c r="G891" s="20" t="n">
        <f aca="false">F891*(1+MAX(g_opx_min,phi*G882))+0*G881</f>
        <v>9.10965186967495</v>
      </c>
    </row>
    <row r="892" customFormat="false" ht="15" hidden="false" customHeight="false" outlineLevel="0" collapsed="false">
      <c r="A892" s="4" t="s">
        <v>524</v>
      </c>
      <c r="B892" s="0" t="s">
        <v>278</v>
      </c>
      <c r="C892" s="20" t="n">
        <f aca="false">C889-C891</f>
        <v>4.35</v>
      </c>
      <c r="D892" s="20" t="n">
        <f aca="false">D889-D891</f>
        <v>9.2854985</v>
      </c>
      <c r="E892" s="20" t="n">
        <f aca="false">E889-E891</f>
        <v>20.8583957845161</v>
      </c>
      <c r="F892" s="20" t="n">
        <f aca="false">F889-F891</f>
        <v>30.9816145084789</v>
      </c>
      <c r="G892" s="20" t="n">
        <f aca="false">G889-G891</f>
        <v>35.8409486407137</v>
      </c>
    </row>
    <row r="893" customFormat="false" ht="15" hidden="false" customHeight="false" outlineLevel="0" collapsed="false">
      <c r="A893" s="4" t="s">
        <v>621</v>
      </c>
      <c r="B893" s="0" t="s">
        <v>51</v>
      </c>
      <c r="C893" s="9" t="n">
        <f aca="false">C892/C881</f>
        <v>0.127412788143288</v>
      </c>
      <c r="D893" s="9" t="n">
        <f aca="false">D892/D881</f>
        <v>0.13376423464603</v>
      </c>
      <c r="E893" s="9" t="n">
        <f aca="false">E892/E881</f>
        <v>0.132874871730043</v>
      </c>
      <c r="F893" s="9" t="n">
        <f aca="false">F892/F881</f>
        <v>0.134449079907295</v>
      </c>
      <c r="G893" s="9" t="n">
        <f aca="false">G892/G881</f>
        <v>0.135527408033505</v>
      </c>
    </row>
    <row r="894" customFormat="false" ht="15" hidden="false" customHeight="false" outlineLevel="0" collapsed="false">
      <c r="A894" s="4" t="s">
        <v>527</v>
      </c>
      <c r="B894" s="0" t="s">
        <v>278</v>
      </c>
      <c r="C894" s="20" t="n">
        <f aca="false">a25_nonop</f>
        <v>0.0920000000000005</v>
      </c>
      <c r="D894" s="20" t="n">
        <f aca="false">a26_nonop</f>
        <v>0.384548</v>
      </c>
      <c r="E894" s="20" t="n">
        <f aca="false">nonop_f</f>
        <v>0.5</v>
      </c>
      <c r="F894" s="20" t="n">
        <f aca="false">nonop_f</f>
        <v>0.5</v>
      </c>
      <c r="G894" s="20" t="n">
        <f aca="false">nonop_f</f>
        <v>0.5</v>
      </c>
    </row>
    <row r="895" customFormat="false" ht="15" hidden="false" customHeight="false" outlineLevel="0" collapsed="false">
      <c r="A895" s="4" t="s">
        <v>529</v>
      </c>
      <c r="B895" s="0" t="s">
        <v>278</v>
      </c>
      <c r="C895" s="20" t="n">
        <f aca="false">C892+C894</f>
        <v>4.442</v>
      </c>
      <c r="D895" s="20" t="n">
        <f aca="false">D892+D894</f>
        <v>9.6700465</v>
      </c>
      <c r="E895" s="20" t="n">
        <f aca="false">E892+E894</f>
        <v>21.3583957845161</v>
      </c>
      <c r="F895" s="20" t="n">
        <f aca="false">F892+F894</f>
        <v>31.4816145084789</v>
      </c>
      <c r="G895" s="20" t="n">
        <f aca="false">G892+G894</f>
        <v>36.3409486407137</v>
      </c>
    </row>
    <row r="896" customFormat="false" ht="15" hidden="false" customHeight="false" outlineLevel="0" collapsed="false">
      <c r="A896" s="4" t="s">
        <v>531</v>
      </c>
      <c r="B896" s="0" t="s">
        <v>278</v>
      </c>
      <c r="C896" s="20" t="n">
        <f aca="false">a25_tax</f>
        <v>0.672</v>
      </c>
      <c r="D896" s="20" t="n">
        <f aca="false">a26_tax</f>
        <v>1.337361725</v>
      </c>
      <c r="E896" s="20" t="n">
        <f aca="false">E895*tax_hi</f>
        <v>4.27167915690322</v>
      </c>
      <c r="F896" s="20" t="n">
        <f aca="false">F895*tax_hi</f>
        <v>6.29632290169579</v>
      </c>
      <c r="G896" s="20" t="n">
        <f aca="false">G895*tax_hi</f>
        <v>7.26818972814274</v>
      </c>
    </row>
    <row r="897" customFormat="false" ht="15" hidden="false" customHeight="false" outlineLevel="0" collapsed="false">
      <c r="A897" s="4" t="s">
        <v>534</v>
      </c>
      <c r="B897" s="0" t="s">
        <v>278</v>
      </c>
      <c r="C897" s="20" t="n">
        <f aca="false">C895-C896</f>
        <v>3.77</v>
      </c>
      <c r="D897" s="20" t="n">
        <f aca="false">D895-D896</f>
        <v>8.332684775</v>
      </c>
      <c r="E897" s="20" t="n">
        <f aca="false">E895-E896</f>
        <v>17.0867166276129</v>
      </c>
      <c r="F897" s="20" t="n">
        <f aca="false">F895-F896</f>
        <v>25.1852916067832</v>
      </c>
      <c r="G897" s="20" t="n">
        <f aca="false">G895-G896</f>
        <v>29.072758912571</v>
      </c>
      <c r="H897" s="28" t="n">
        <f aca="false">H881*H901</f>
        <v>33.1931851309126</v>
      </c>
      <c r="I897" s="28" t="n">
        <f aca="false">I881*I901</f>
        <v>36.8923201222777</v>
      </c>
      <c r="J897" s="28" t="n">
        <f aca="false">J881*J901</f>
        <v>39.8879765162066</v>
      </c>
    </row>
    <row r="898" customFormat="false" ht="15" hidden="false" customHeight="false" outlineLevel="0" collapsed="false">
      <c r="A898" s="4" t="s">
        <v>312</v>
      </c>
      <c r="B898" s="4" t="s">
        <v>313</v>
      </c>
      <c r="C898" s="19" t="n">
        <f aca="false">a25_sh</f>
        <v>0.134020618556701</v>
      </c>
      <c r="D898" s="19" t="n">
        <f aca="false">a26_sh</f>
        <v>0.13399883744778</v>
      </c>
      <c r="E898" s="19" t="n">
        <f aca="false">q_sh*(1+sh_g)</f>
        <v>0.13401</v>
      </c>
      <c r="F898" s="19" t="n">
        <f aca="false">E898*(1+sh_g)</f>
        <v>0.13401</v>
      </c>
      <c r="G898" s="19" t="n">
        <f aca="false">F898*(1+sh_g)</f>
        <v>0.13401</v>
      </c>
      <c r="H898" s="30" t="n">
        <f aca="false">G898*(1+sh_g)</f>
        <v>0.13401</v>
      </c>
      <c r="I898" s="30" t="n">
        <f aca="false">H898*(1+sh_g)</f>
        <v>0.13401</v>
      </c>
      <c r="J898" s="30" t="n">
        <f aca="false">I898*(1+sh_g)</f>
        <v>0.13401</v>
      </c>
    </row>
    <row r="899" customFormat="false" ht="17.15" hidden="false" customHeight="false" outlineLevel="0" collapsed="false">
      <c r="A899" s="0" t="s">
        <v>538</v>
      </c>
      <c r="B899" s="0" t="s">
        <v>356</v>
      </c>
      <c r="C899" s="20" t="n">
        <f aca="false">C897/C898</f>
        <v>28.13</v>
      </c>
      <c r="D899" s="20" t="n">
        <f aca="false">D897/D898</f>
        <v>62.1847542389856</v>
      </c>
      <c r="E899" s="20" t="n">
        <f aca="false">E897/E898</f>
        <v>127.503295482523</v>
      </c>
      <c r="F899" s="20" t="n">
        <f aca="false">F897/F898</f>
        <v>187.935912295972</v>
      </c>
      <c r="G899" s="20" t="n">
        <f aca="false">G897/G898</f>
        <v>216.944697504447</v>
      </c>
      <c r="H899" s="28" t="n">
        <f aca="false">H897/H898</f>
        <v>247.691852331263</v>
      </c>
      <c r="I899" s="28" t="n">
        <f aca="false">I897/I898</f>
        <v>275.295277384357</v>
      </c>
      <c r="J899" s="28" t="n">
        <f aca="false">J897/J898</f>
        <v>297.649253907967</v>
      </c>
    </row>
    <row r="900" customFormat="false" ht="17.15" hidden="false" customHeight="false" outlineLevel="0" collapsed="false">
      <c r="A900" s="0" t="s">
        <v>661</v>
      </c>
      <c r="B900" s="0" t="s">
        <v>51</v>
      </c>
      <c r="D900" s="18" t="n">
        <f aca="false">D899/C899-1</f>
        <v>1.21062048485551</v>
      </c>
      <c r="E900" s="18" t="n">
        <f aca="false">E899/D899-1</f>
        <v>1.0503947799248</v>
      </c>
      <c r="F900" s="18" t="n">
        <f aca="false">F899/E899-1</f>
        <v>0.473969057699631</v>
      </c>
      <c r="G900" s="18" t="n">
        <f aca="false">G899/F899-1</f>
        <v>0.154354667259076</v>
      </c>
      <c r="H900" s="26" t="n">
        <f aca="false">H899/G899-1</f>
        <v>0.141728077157477</v>
      </c>
      <c r="I900" s="26" t="n">
        <f aca="false">I899/H899-1</f>
        <v>0.111442604160339</v>
      </c>
      <c r="J900" s="26" t="n">
        <f aca="false">J899/I899-1</f>
        <v>0.0811999999999999</v>
      </c>
    </row>
    <row r="901" customFormat="false" ht="17.15" hidden="false" customHeight="false" outlineLevel="0" collapsed="false">
      <c r="A901" s="4" t="s">
        <v>662</v>
      </c>
      <c r="B901" s="0" t="s">
        <v>51</v>
      </c>
      <c r="C901" s="9" t="n">
        <f aca="false">C897/C881</f>
        <v>0.11042441639085</v>
      </c>
      <c r="D901" s="9" t="n">
        <f aca="false">D897/D881</f>
        <v>0.1200382727405</v>
      </c>
      <c r="E901" s="9" t="n">
        <f aca="false">E897/E881</f>
        <v>0.108848029524258</v>
      </c>
      <c r="F901" s="9" t="n">
        <f aca="false">F897/F881</f>
        <v>0.109295120265673</v>
      </c>
      <c r="G901" s="9" t="n">
        <f aca="false">G897/G881</f>
        <v>0.109934469070606</v>
      </c>
      <c r="H901" s="27" t="n">
        <f aca="false">$G901+(fade_mA-$G901)*1/3</f>
        <v>0.112224770509577</v>
      </c>
      <c r="I901" s="27" t="n">
        <f aca="false">$G901+(fade_mA-$G901)*2/3</f>
        <v>0.114515071948548</v>
      </c>
      <c r="J901" s="27" t="n">
        <f aca="false">$G901+(fade_mA-$G901)*3/3</f>
        <v>0.116805373387519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999</v>
      </c>
    </row>
    <row r="2" customFormat="false" ht="17.15" hidden="false" customHeight="false" outlineLevel="0" collapsed="false">
      <c r="A2" s="4" t="s">
        <v>1000</v>
      </c>
      <c r="B2" s="0" t="s">
        <v>1001</v>
      </c>
    </row>
    <row r="3" customFormat="false" ht="17.15" hidden="false" customHeight="false" outlineLevel="0" collapsed="false">
      <c r="A3" s="4" t="s">
        <v>1002</v>
      </c>
      <c r="B3" s="0" t="s">
        <v>1003</v>
      </c>
    </row>
    <row r="4" customFormat="false" ht="17.15" hidden="false" customHeight="false" outlineLevel="0" collapsed="false">
      <c r="A4" s="4" t="s">
        <v>1004</v>
      </c>
      <c r="B4" s="0" t="s">
        <v>1005</v>
      </c>
    </row>
    <row r="5" customFormat="false" ht="17.15" hidden="false" customHeight="false" outlineLevel="0" collapsed="false">
      <c r="A5" s="4" t="s">
        <v>1006</v>
      </c>
      <c r="B5" s="0" t="s">
        <v>1007</v>
      </c>
    </row>
    <row r="6" customFormat="false" ht="17.15" hidden="false" customHeight="false" outlineLevel="0" collapsed="false">
      <c r="A6" s="4" t="s">
        <v>1008</v>
      </c>
      <c r="B6" s="0" t="s">
        <v>1009</v>
      </c>
    </row>
    <row r="7" customFormat="false" ht="17.15" hidden="false" customHeight="false" outlineLevel="0" collapsed="false">
      <c r="A7" s="4" t="s">
        <v>1010</v>
      </c>
      <c r="B7" s="0" t="s">
        <v>1011</v>
      </c>
    </row>
    <row r="8" customFormat="false" ht="17.15" hidden="false" customHeight="false" outlineLevel="0" collapsed="false">
      <c r="A8" s="4" t="s">
        <v>1012</v>
      </c>
      <c r="B8" s="0" t="s">
        <v>1013</v>
      </c>
    </row>
    <row r="9" customFormat="false" ht="17.15" hidden="false" customHeight="false" outlineLevel="0" collapsed="false">
      <c r="A9" s="4" t="s">
        <v>1014</v>
      </c>
      <c r="B9" s="0" t="s">
        <v>1015</v>
      </c>
    </row>
    <row r="10" customFormat="false" ht="17.15" hidden="false" customHeight="false" outlineLevel="0" collapsed="false">
      <c r="A10" s="4" t="s">
        <v>1016</v>
      </c>
      <c r="B10" s="0" t="s">
        <v>1017</v>
      </c>
    </row>
    <row r="11" customFormat="false" ht="17.15" hidden="false" customHeight="false" outlineLevel="0" collapsed="false">
      <c r="A11" s="4" t="s">
        <v>1018</v>
      </c>
      <c r="B11" s="0" t="s">
        <v>1019</v>
      </c>
    </row>
    <row r="12" customFormat="false" ht="17.15" hidden="false" customHeight="false" outlineLevel="0" collapsed="false">
      <c r="A12" s="4" t="s">
        <v>1020</v>
      </c>
      <c r="B12" s="0" t="s">
        <v>1021</v>
      </c>
    </row>
    <row r="13" customFormat="false" ht="17.15" hidden="false" customHeight="false" outlineLevel="0" collapsed="false">
      <c r="A13" s="4" t="s">
        <v>1022</v>
      </c>
      <c r="B13" s="0" t="s">
        <v>1023</v>
      </c>
    </row>
    <row r="14" customFormat="false" ht="17.15" hidden="false" customHeight="false" outlineLevel="0" collapsed="false">
      <c r="A14" s="4" t="s">
        <v>1024</v>
      </c>
      <c r="B14" s="0" t="s">
        <v>1025</v>
      </c>
    </row>
    <row r="15" customFormat="false" ht="17.15" hidden="false" customHeight="false" outlineLevel="0" collapsed="false">
      <c r="A15" s="4" t="s">
        <v>1026</v>
      </c>
      <c r="B15" s="0" t="s">
        <v>1027</v>
      </c>
    </row>
    <row r="16" customFormat="false" ht="17.15" hidden="false" customHeight="false" outlineLevel="0" collapsed="false">
      <c r="A16" s="4" t="s">
        <v>1028</v>
      </c>
      <c r="B16" s="0" t="s">
        <v>1029</v>
      </c>
    </row>
    <row r="17" customFormat="false" ht="17.15" hidden="false" customHeight="false" outlineLevel="0" collapsed="false">
      <c r="A17" s="4" t="s">
        <v>1030</v>
      </c>
      <c r="B17" s="0" t="s">
        <v>1031</v>
      </c>
    </row>
    <row r="18" customFormat="false" ht="17.15" hidden="false" customHeight="false" outlineLevel="0" collapsed="false">
      <c r="A18" s="4" t="s">
        <v>1032</v>
      </c>
      <c r="B18" s="0" t="s">
        <v>1033</v>
      </c>
    </row>
    <row r="19" customFormat="false" ht="17.15" hidden="false" customHeight="false" outlineLevel="0" collapsed="false">
      <c r="A19" s="4" t="s">
        <v>1034</v>
      </c>
      <c r="B19" s="0" t="s">
        <v>1035</v>
      </c>
    </row>
    <row r="20" customFormat="false" ht="17.15" hidden="false" customHeight="false" outlineLevel="0" collapsed="false">
      <c r="A20" s="4" t="s">
        <v>1036</v>
      </c>
      <c r="B20" s="0" t="s">
        <v>1037</v>
      </c>
    </row>
    <row r="21" customFormat="false" ht="17.15" hidden="false" customHeight="false" outlineLevel="0" collapsed="false">
      <c r="A21" s="4" t="s">
        <v>1038</v>
      </c>
      <c r="B21" s="0" t="s">
        <v>1039</v>
      </c>
    </row>
    <row r="22" customFormat="false" ht="17.15" hidden="false" customHeight="false" outlineLevel="0" collapsed="false">
      <c r="A22" s="4" t="s">
        <v>1040</v>
      </c>
      <c r="B22" s="0" t="s">
        <v>1041</v>
      </c>
    </row>
    <row r="23" customFormat="false" ht="17.15" hidden="false" customHeight="false" outlineLevel="0" collapsed="false">
      <c r="A23" s="4" t="s">
        <v>1042</v>
      </c>
      <c r="B23" s="4" t="s">
        <v>1043</v>
      </c>
    </row>
    <row r="24" customFormat="false" ht="15" hidden="false" customHeight="false" outlineLevel="0" collapsed="false">
      <c r="A24" s="0" t="s">
        <v>1044</v>
      </c>
      <c r="B24" s="4" t="s">
        <v>1045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2026-10-30T21:42:21Z</dcterms:created>
  <dc:creator>openpyxl</dc:creator>
  <dc:description/>
  <dc:language>en-US</dc:language>
  <cp:lastModifiedBy/>
  <dcterms:modified xsi:type="dcterms:W3CDTF">2026-10-30T21:42:22Z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