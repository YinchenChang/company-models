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cons_feps" vbProcedure="false">In!$E$112</definedName>
    <definedName function="false" hidden="false" name="cons_tp" vbProcedure="false">In!$E$111</definedName>
    <definedName function="false" hidden="false" name="cx_rev" vbProcedure="false">In!$E$116</definedName>
    <definedName function="false" hidden="false" name="da_rev" vbProcedure="false">In!$E$115</definedName>
    <definedName function="false" hidden="false" name="fade_gA" vbProcedure="false">In!$E$107</definedName>
    <definedName function="false" hidden="false" name="fade_gB" vbProcedure="false">In!$E$108</definedName>
    <definedName function="false" hidden="false" name="fade_gC" vbProcedure="false">In!$E$109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m10_f" vbProcedure="false">In!$E$110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rm_factor" vbProcedure="false">Val!$B$129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tp_comp" vbProcedure="false">Val!$B$92</definedName>
    <definedName function="false" hidden="false" name="tp_comp_adj" vbProcedure="false">Val!$B$130</definedName>
    <definedName function="false" hidden="false" name="tp_dcf" vbProcedure="false">Val!$B$81</definedName>
    <definedName function="false" hidden="false" name="tp_final" vbProcedure="false">Val!$B$96</definedName>
    <definedName function="false" hidden="false" name="tp_g" vbProcedure="false">In!$E$104</definedName>
    <definedName function="false" hidden="false" name="tp_r" vbProcedure="false">In!$E$103</definedName>
    <definedName function="false" hidden="false" name="tp_roe" vbProcedure="false">In!$E$105</definedName>
    <definedName function="false" hidden="false" name="tp_wA" vbProcedure="false">In!$E$99</definedName>
    <definedName function="false" hidden="false" name="tp_wB" vbProcedure="false">In!$E$100</definedName>
    <definedName function="false" hidden="false" name="tp_wC" vbProcedure="false">In!$E$101</definedName>
    <definedName function="false" hidden="false" name="tp_w_dcf" vbProcedure="false">In!$E$106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<sst xmlns="http://schemas.openxmlformats.org/spreadsheetml/2006/main" count="2629" uniqueCount="865">
  <si>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</si>
  <si>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</si>
  <si>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</si>
  <si>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</si>
  <si>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</si>
  <si>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</si>
  <si>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</si>
  <si>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</si>
  <si>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</si>
  <si>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目標價（欣興、南電、景碩、三星電機、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月制：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½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FY2028</t>
    </r>
    <r>
      <rPr>
        <sz val="11"/>
        <rFont val="Noto Sans CJK SC"/>
        <family val="2"/>
      </rPr>
      <t xml:space="preserve">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</si>
  <si>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</si>
  <si>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</si>
  <si>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目標價與上檔空間」與目標價用的十年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companiesmarketcap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，單一來源）（放在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）。目標價＝十年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</si>
  <si>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：株探、松井證券兩來源）；前瞻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改以原取得價格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），數值不變。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</si>
  <si>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</si>
  <si>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</si>
  <si>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FY2026–FY2032</t>
    </r>
    <r>
      <rPr>
        <sz val="11"/>
        <color theme="1"/>
        <rFont val="Noto Sans CJK SC"/>
        <family val="2"/>
      </rPr>
      <t xml:space="preserve">，表頭在其上一列），折舊、資本支出＝營收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頁新增的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</si>
  <si>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：短缺溢價是最敏感的變數：溢價快速回落（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−24.6%</t>
    </r>
    <r>
      <rPr>
        <sz val="11"/>
        <color theme="1"/>
        <rFont val="Noto Sans CJK SC"/>
        <family val="2"/>
      </rPr>
      <t xml:space="preserve">、電子事業營益率由 </t>
    </r>
    <r>
      <rPr>
        <sz val="11"/>
        <color theme="1"/>
        <rFont val="Calibri"/>
        <family val="2"/>
        <charset val="1"/>
      </rPr>
      <t xml:space="preserve">29.1%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，溢價延續則 </t>
    </r>
    <r>
      <rPr>
        <sz val="11"/>
        <color theme="1"/>
        <rFont val="Calibri"/>
        <family val="2"/>
        <charset val="1"/>
      </rPr>
      <t xml:space="preserve">+24.6%</t>
    </r>
    <r>
      <rPr>
        <sz val="11"/>
        <color theme="1"/>
        <rFont val="Noto Sans CJK SC"/>
        <family val="2"/>
      </rPr>
      <t xml:space="preserve">；份額流失（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−31.6%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</si>
  <si>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：自由現金流（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新增；淨利＋折舊 − 資本支出，不含營運資金變動；折舊、資本支出各取營收的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¥50.4B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¥36.2B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億）則約 −</t>
    </r>
    <r>
      <rPr>
        <sz val="11"/>
        <color theme="1"/>
        <rFont val="Calibri"/>
        <family val="2"/>
        <charset val="1"/>
      </rPr>
      <t xml:space="preserve">¥45B</t>
    </r>
    <r>
      <rPr>
        <sz val="11"/>
        <color theme="1"/>
        <rFont val="Noto Sans CJK SC"/>
        <family val="2"/>
      </rPr>
      <t xml:space="preserve">，固定比率會攤平擴產前段的負值。下一個檢驗點是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上半年決算（預計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月初）：全年預測與設備投資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億是否調整。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</si>
  <si>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</si>
  <si>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</si>
  <si>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</si>
  <si>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</si>
  <si>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</si>
  <si>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</si>
  <si>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</si>
  <si>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</si>
  <si>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</si>
  <si>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</si>
  <si>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</si>
  <si>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</si>
  <si>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</si>
  <si>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</si>
  <si>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</si>
  <si>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</si>
  <si>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</si>
  <si>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</si>
  <si>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</si>
  <si>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</si>
  <si>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</si>
  <si>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</si>
  <si>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</si>
  <si>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</si>
  <si>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</si>
  <si>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</si>
  <si>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</si>
  <si>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</si>
  <si>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</si>
  <si>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</si>
  <si>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</si>
  <si>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</si>
  <si>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</si>
  <si>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</si>
  <si>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</si>
  <si>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</si>
  <si>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</si>
  <si>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</si>
  <si>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</si>
  <si>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</si>
  <si>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</si>
  <si>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</si>
  <si>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</si>
  <si>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</si>
  <si>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</si>
  <si>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</si>
  <si>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</si>
  <si>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</si>
  <si>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</si>
  <si>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</si>
  <si>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</si>
  <si>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</si>
  <si>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</si>
  <si>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</si>
  <si>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</si>
  <si>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</si>
  <si>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</si>
  <si>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</si>
  <si>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</si>
  <si>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</si>
  <si>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</si>
  <si>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</si>
  <si>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</si>
  <si>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</si>
  <si>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</si>
  <si>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</si>
  <si>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</si>
  <si>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</si>
  <si>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</si>
  <si>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</si>
  <si>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</si>
  <si>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</si>
  <si>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</si>
  <si>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</si>
  <si>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</si>
  <si>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</si>
  <si>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</si>
  <si>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</si>
  <si>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</si>
  <si>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</si>
  <si>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</si>
  <si>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</si>
  <si>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</si>
  <si>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</si>
  <si>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</si>
  <si>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</si>
  <si>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</si>
  <si>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</si>
  <si>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</si>
  <si>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</si>
  <si>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</si>
  <si>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</si>
  <si>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</si>
  <si>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</si>
  <si>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</si>
  <si>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</si>
  <si>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</si>
  <si>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</si>
  <si>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</si>
  <si>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</si>
  <si>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</si>
  <si>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</si>
  <si>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</si>
  <si>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</si>
  <si>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</si>
  <si>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</si>
  <si>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</si>
  <si>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</si>
  <si>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</si>
  <si>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</si>
  <si>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</si>
  <si>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</si>
  <si>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</si>
  <si>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</si>
  <si>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</si>
  <si>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</si>
  <si>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</si>
  <si>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</si>
  <si>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</si>
  <si>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</si>
  <si>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</si>
  <si>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</si>
  <si>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</si>
  <si>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</si>
  <si>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</si>
  <si>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</si>
  <si>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</si>
  <si>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</si>
  <si>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</si>
  <si>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</si>
  <si>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</si>
  <si>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</si>
  <si>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</si>
  <si>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</si>
  <si>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</si>
  <si>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</si>
  <si>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</si>
  <si>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</si>
  <si>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</si>
  <si>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</si>
  <si>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</si>
  <si>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</si>
  <si>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</si>
  <si>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</si>
  <si>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</si>
  <si>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</si>
  <si>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</si>
  <si>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</si>
  <si>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</si>
  <si>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</si>
  <si>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</si>
  <si>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</si>
  <si>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</si>
  <si>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</si>
  <si>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</si>
  <si>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</si>
  <si>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</si>
  <si>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</si>
  <si>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</si>
  <si>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</si>
  <si>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</si>
  <si>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</si>
  <si>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</si>
  <si>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</si>
  <si>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</si>
  <si>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</si>
  <si>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</si>
  <si>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</si>
  <si>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</si>
  <si>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</si>
  <si>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</si>
  <si>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</si>
  <si>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</si>
  <si>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</si>
  <si>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</si>
  <si>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</si>
  <si>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</si>
  <si>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</si>
  <si>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</si>
  <si>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</si>
  <si>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</si>
  <si>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</si>
  <si>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</si>
  <si>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</si>
  <si>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</si>
  <si>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</si>
  <si>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</si>
  <si>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</si>
  <si>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</si>
  <si>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</si>
  <si>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</si>
  <si>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</si>
  <si>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</si>
  <si>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</si>
  <si>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</si>
  <si>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</si>
  <si>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</si>
  <si>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</si>
  <si>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</si>
  <si>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</si>
  <si>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</si>
  <si>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</si>
  <si>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</si>
  <si>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</si>
  <si>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</si>
  <si>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</si>
  <si>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</si>
  <si>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</si>
  <si>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</si>
  <si>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</si>
  <si>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</si>
  <si>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</si>
  <si>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</si>
  <si>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</si>
  <si>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</si>
  <si>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</si>
  <si>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</si>
  <si>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</si>
  <si>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</si>
  <si>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</si>
  <si>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</si>
  <si>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</si>
  <si>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</si>
  <si>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</si>
  <si>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</si>
  <si>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</si>
  <si>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</si>
  <si>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</si>
  <si>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</si>
  <si>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</si>
  <si>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</si>
  <si>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</si>
  <si>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</si>
  <si>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</si>
  <si>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</si>
  <si>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</si>
  <si>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</si>
  <si>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</si>
  <si>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</si>
  <si>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</si>
  <si>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</si>
  <si>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</si>
  <si>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</si>
  <si>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</si>
  <si>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</si>
  <si>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</si>
  <si>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</si>
  <si>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</si>
  <si>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</si>
  <si>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</si>
  <si>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</si>
  <si>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</si>
  <si>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</si>
  <si>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</si>
  <si>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</si>
  <si>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</si>
  <si>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</si>
  <si>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</si>
  <si>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</si>
  <si>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</si>
  <si>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</si>
  <si>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</si>
  <si>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</si>
  <si>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</si>
  <si>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</si>
  <si>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</si>
  <si>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</si>
  <si>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</si>
  <si>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</si>
  <si>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</si>
  <si>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</si>
  <si>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</si>
  <si>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</si>
  <si>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</si>
  <si>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</si>
  <si>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</si>
  <si>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</si>
  <si>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</si>
  <si>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</si>
  <si>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</si>
  <si>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</si>
  <si>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</si>
  <si>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：株探、松井證券（兩來源核對；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</si>
  <si>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9,764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</si>
  <si>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</si>
  <si>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</si>
  <si>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2026-10-16 </t>
    </r>
    <r>
      <rPr>
        <sz val="11"/>
        <color theme="1"/>
        <rFont val="Noto Sans CJK SC"/>
        <family val="2"/>
      </rPr>
      <t xml:space="preserve">取值（股價 </t>
    </r>
    <r>
      <rPr>
        <sz val="11"/>
        <color theme="1"/>
        <rFont val="Calibri"/>
        <family val="2"/>
        <charset val="1"/>
      </rPr>
      <t xml:space="preserve">9,764</t>
    </r>
    <r>
      <rPr>
        <sz val="11"/>
        <color theme="1"/>
        <rFont val="Noto Sans CJK SC"/>
        <family val="2"/>
      </rPr>
      <t xml:space="preserve">；口徑：未來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個月共識，頁面未明示；隨股價每日變動）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</si>
  <si>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</si>
  <si>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</si>
  <si>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</si>
  <si>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</si>
  <si>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</si>
  <si>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</si>
  <si>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</si>
  <si>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</si>
  <si>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</si>
  <si>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</si>
  <si>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</si>
  <si>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</si>
  <si>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</si>
  <si>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</si>
  <si>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</si>
  <si>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</si>
  <si>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</si>
  <si>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</si>
  <si>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</si>
  <si>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</si>
  <si>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</si>
  <si>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</si>
  <si>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</si>
  <si>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</si>
  <si>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</si>
  <si>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</si>
  <si>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</si>
  <si>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</si>
  <si>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</si>
  <si>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</si>
  <si>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</si>
  <si>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</si>
  <si>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</si>
  <si>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12.17%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</si>
  <si>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12.65%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</si>
  <si>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</si>
  <si>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</si>
  <si>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</si>
  <si>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</si>
  <si>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</si>
  <si>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</si>
  <si>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</si>
  <si>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</si>
  <si>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</si>
  <si>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</si>
  <si>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</si>
  <si>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</si>
  <si>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</si>
  <si>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</si>
  <si>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</si>
  <si>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</si>
  <si>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</si>
  <si>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</si>
  <si>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位分析師平均目標價 </t>
    </r>
    <r>
      <rPr>
        <sz val="11"/>
        <color theme="1"/>
        <rFont val="Calibri"/>
        <family val="2"/>
        <charset val="1"/>
      </rPr>
      <t xml:space="preserve">12,432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</si>
  <si>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</si>
  <si>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</si>
  <si>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9,764 ÷ Forward PE 53.97</t>
    </r>
    <r>
      <rPr>
        <sz val="11"/>
        <color theme="1"/>
        <rFont val="Noto Sans CJK SC"/>
        <family val="2"/>
      </rPr>
      <t xml:space="preserve">（即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pe_fwd_sa</t>
    </r>
    <r>
      <rPr>
        <sz val="11"/>
        <color theme="1"/>
        <rFont val="Noto Sans CJK SC"/>
        <family val="2"/>
      </rPr>
      <t xml:space="preserve">）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</si>
  <si>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</si>
  <si>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請求；只用於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頁最後一列「自由現金流」，不進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</si>
  <si>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</si>
  <si>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</si>
  <si>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月期）：折舊攤銷 </t>
    </r>
    <r>
      <rPr>
        <sz val="11"/>
        <color theme="1"/>
        <rFont val="Calibri"/>
        <family val="2"/>
        <charset val="1"/>
      </rPr>
      <t xml:space="preserve">662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</si>
  <si>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公司計畫：折舊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營收預測 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）；取兩者之間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，各年同比率（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</si>
  <si>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</si>
  <si>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</si>
  <si>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1,061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）；公司計畫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EE Times Japan 2026-02-05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三年營收約 </t>
    </r>
    <r>
      <rPr>
        <sz val="11"/>
        <color theme="1"/>
        <rFont val="Calibri"/>
        <family val="2"/>
        <charset val="1"/>
      </rPr>
      <t xml:space="preserve">1.93 </t>
    </r>
    <r>
      <rPr>
        <sz val="11"/>
        <color theme="1"/>
        <rFont val="Noto Sans CJK SC"/>
        <family val="2"/>
      </rPr>
      <t xml:space="preserve">兆＝</t>
    </r>
    <r>
      <rPr>
        <sz val="11"/>
        <color theme="1"/>
        <rFont val="Calibri"/>
        <family val="2"/>
        <charset val="1"/>
      </rPr>
      <t xml:space="preserve">25.9%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</si>
  <si>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單年計畫設備投資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（前段集中；高值）；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起擴產計畫結束，固定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可能高估資本支出（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</si>
  <si>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</si>
  <si>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</si>
  <si>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</si>
  <si>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</si>
  <si>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</si>
  <si>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</si>
  <si>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</si>
  <si>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</si>
  <si>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</si>
  <si>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</si>
  <si>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</si>
  <si>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</si>
  <si>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</si>
  <si>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</si>
  <si>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</si>
  <si>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</si>
  <si>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</si>
  <si>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</si>
  <si>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</si>
  <si>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</si>
  <si>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</si>
  <si>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</si>
  <si>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</si>
  <si>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</si>
  <si>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</si>
  <si>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</si>
  <si>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</si>
  <si>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</si>
  <si>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</si>
  <si>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</si>
  <si>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</si>
  <si>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</si>
  <si>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</si>
  <si>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</si>
  <si>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</si>
  <si>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</si>
  <si>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</si>
  <si>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</si>
  <si>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</si>
  <si>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</si>
  <si>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</si>
  <si>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</si>
  <si>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</si>
  <si>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</si>
  <si>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</si>
  <si>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</si>
  <si>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</si>
  <si>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</si>
  <si>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</si>
  <si>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</si>
  <si>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</si>
  <si>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</si>
  <si>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</si>
  <si>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</si>
  <si>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</si>
  <si>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</si>
  <si>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</si>
  <si>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</si>
  <si>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</si>
  <si>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</si>
  <si>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</si>
  <si>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</si>
  <si>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</si>
  <si>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</si>
  <si>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</si>
  <si>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</si>
  <si>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</si>
  <si>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</si>
  <si>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</si>
  <si>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</si>
  <si>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</si>
  <si>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</si>
  <si>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</si>
  <si>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</si>
  <si>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</si>
  <si>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</si>
  <si>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</si>
  <si>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</si>
  <si>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</si>
  <si>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</si>
  <si>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</si>
  <si>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</si>
  <si>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</si>
  <si>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</si>
  <si>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</si>
  <si>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</si>
  <si>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</si>
  <si>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</si>
  <si>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</si>
  <si>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</si>
  <si>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</si>
  <si>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</si>
  <si>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</si>
  <si>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</si>
  <si>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</si>
  <si>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</si>
  <si>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</si>
  <si>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</si>
  <si>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</si>
  <si>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</si>
  <si>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</si>
  <si>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</si>
  <si>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</si>
  <si>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</si>
  <si>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</si>
  <si>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</si>
  <si>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</si>
  <si>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</si>
  <si>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</si>
  <si>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</si>
  <si>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</si>
  <si>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</si>
  <si>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</si>
  <si>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</si>
  <si>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</si>
  <si>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</si>
  <si>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</si>
  <si>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</si>
  <si>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</si>
  <si>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</si>
  <si>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</si>
  <si>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</si>
  <si>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</si>
  <si>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</si>
  <si>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</si>
  <si>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</si>
  <si>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</si>
  <si>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</si>
  <si>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</si>
  <si>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</si>
  <si>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</si>
  <si>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</si>
  <si>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</si>
  <si>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</si>
  <si>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</si>
  <si>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</si>
  <si>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</si>
  <si>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</si>
  <si>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</si>
  <si>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</si>
  <si>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</si>
  <si>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</si>
  <si>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</si>
  <si>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</si>
  <si>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</si>
  <si>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</si>
  <si>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</si>
  <si>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</si>
  <si>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</si>
  <si>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</si>
  <si>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</si>
  <si>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</si>
  <si>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</si>
  <si>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</si>
  <si>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</si>
  <si>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</si>
  <si>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</si>
  <si>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</si>
  <si>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</si>
  <si>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淨利與營收取自本頁延伸表；折舊＝營收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（各年同比率，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若照公司計畫（設備投資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億）約 −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），固定比率會攤平擴產前段的負值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</si>
  <si>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</si>
  <si>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</si>
  <si>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</si>
  <si>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</si>
  <si>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</si>
  <si>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</si>
  <si>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</si>
  <si>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</si>
  <si>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</si>
  <si>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</si>
  <si>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</si>
  <si>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</si>
  <si>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</si>
  <si>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</si>
  <si>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取得時價格（</t>
    </r>
    <r>
      <rPr>
        <sz val="11"/>
        <color theme="1"/>
        <rFont val="Calibri"/>
        <family val="2"/>
        <charset val="1"/>
      </rPr>
      <t xml:space="preserve">10-16 9,764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</si>
  <si>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</si>
  <si>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</si>
  <si>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</si>
  <si>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</si>
  <si>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</si>
  <si>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</si>
  <si>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</si>
  <si>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</si>
  <si>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</si>
  <si>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</si>
  <si>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</si>
  <si>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</si>
  <si>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</si>
  <si>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</si>
  <si>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</si>
  <si>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</si>
  <si>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</si>
  <si>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</si>
  <si>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</si>
  <si>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目標價與上檔空間」改名，不再是目標價）</t>
    </r>
  </si>
  <si>
    <t xml:space="preserve">數值</t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</si>
  <si>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</si>
  <si>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</si>
  <si>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</si>
  <si>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</si>
  <si>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</si>
  <si>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</si>
  <si>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</si>
  <si>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</si>
  <si>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</si>
  <si>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</si>
  <si>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</si>
  <si>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</si>
  <si>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日曆年年底）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單一來源，第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年虧損不計，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）。本模型無規則值（十年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），依工作單改用此備案；倍數為日曆年年底口徑，與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月制會計年度不完全對齊。十年倍數多為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載板需求前的時期（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年獲利低谷約 </t>
    </r>
    <r>
      <rPr>
        <sz val="11"/>
        <color theme="1"/>
        <rFont val="Calibri"/>
        <family val="2"/>
        <charset val="1"/>
      </rPr>
      <t xml:space="preserve">137x </t>
    </r>
    <r>
      <rPr>
        <sz val="11"/>
        <color theme="1"/>
        <rFont val="Noto Sans CJK SC"/>
        <family val="2"/>
      </rPr>
      <t xml:space="preserve">為極值，中位數受影響小），偏誤方向不明確；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</si>
  <si>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0a.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（舊法用；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，資料商；第二來源：未找到）</t>
    </r>
  </si>
  <si>
    <t xml:space="preserve">年底</t>
  </si>
  <si>
    <t xml:space="preserve">P/E</t>
  </si>
  <si>
    <t xml:space="preserve">計入中位數</t>
  </si>
  <si>
    <t xml:space="preserve">2016</t>
  </si>
  <si>
    <t xml:space="preserve">是</t>
  </si>
  <si>
    <r>
      <rPr>
        <sz val="11"/>
        <color theme="1"/>
        <rFont val="Calibri"/>
        <family val="2"/>
        <charset val="1"/>
      </rPr>
      <t xml:space="preserve">https://companiesmarketcap.com/ibiden/pe-ratio/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</si>
  <si>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2017</t>
  </si>
  <si>
    <t xml:space="preserve">否</t>
  </si>
  <si>
    <r>
      <rPr>
        <sz val="11"/>
        <color theme="1"/>
        <rFont val="Noto Sans CJK SC"/>
        <family val="2"/>
      </rPr>
      <t xml:space="preserve">虧損年，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為負，不計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</si>
  <si>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</si>
  <si>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</si>
  <si>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</si>
  <si>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</si>
  <si>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</si>
  <si>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</si>
  <si>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</si>
  <si>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</si>
  <si>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中位數（計入者）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</si>
  <si>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</si>
  <si>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</si>
  <si>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</si>
  <si>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</si>
  <si>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</si>
  <si>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</si>
  <si>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</si>
  <si>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</si>
  <si>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</si>
  <si>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</si>
  <si>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</si>
  <si>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</si>
  <si>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</si>
  <si>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</si>
  <si>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</si>
  <si>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</si>
  <si>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</si>
  <si>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</si>
  <si>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</si>
  <si>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</si>
  <si>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</si>
  <si>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</si>
  <si>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</si>
  <si>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</si>
  <si>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</si>
  <si>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</si>
  <si>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</si>
  <si>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</si>
  <si>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</si>
  <si>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</si>
  <si>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</si>
  <si>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</si>
  <si>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</si>
  <si>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</si>
  <si>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</si>
  <si>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</si>
  <si>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</si>
  <si>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</si>
  <si>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</si>
  <si>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</si>
  <si>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</si>
  <si>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</si>
  <si>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</si>
  <si>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</si>
  <si>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載板同業：欣興、南電、景碩、三星電機、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（券商常用的載板比較組；新光電氣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年下市未列）。非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</si>
  <si>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</si>
  <si>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月至隔年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</si>
  <si>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</si>
  <si>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</si>
  <si>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</si>
  <si>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</si>
  <si>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</si>
  <si>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</si>
  <si>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</si>
  <si>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</si>
  <si>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</si>
  <si>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，分割後）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</si>
  <si>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</si>
  <si>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</si>
  <si>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</si>
  <si>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</si>
  <si>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</si>
  <si>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</si>
  <si>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</si>
  <si>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</si>
  <si>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</si>
  <si>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結束，未做半年調整）。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資本密集（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億），但模型無折舊與資本支出明細，未改用淨利＋折舊－資本支出，現金流偏高估。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：欣興、南電、景碩、三星電機、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中位數；台系載板股含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題材溢價（約 </t>
    </r>
    <r>
      <rPr>
        <sz val="11"/>
        <color theme="1"/>
        <rFont val="Calibri"/>
        <family val="2"/>
        <charset val="1"/>
      </rPr>
      <t xml:space="preserve">34–45x</t>
    </r>
    <r>
      <rPr>
        <sz val="11"/>
        <color theme="1"/>
        <rFont val="Noto Sans CJK SC"/>
        <family val="2"/>
      </rPr>
      <t xml:space="preserve">），部分價格為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</si>
  <si>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年虧損不計）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</si>
  <si>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</si>
  <si>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</si>
  <si>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</si>
  <si>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</si>
  <si>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</si>
  <si>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</si>
  <si>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</si>
  <si>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</si>
  <si>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</si>
  <si>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</si>
  <si>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</si>
  <si>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</si>
  <si>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</si>
  <si>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</si>
  <si>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</si>
  <si>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</si>
  <si>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</si>
  <si>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</si>
  <si>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</si>
  <si>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</si>
  <si>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</si>
  <si>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</si>
  <si>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Ibiden</t>
  </si>
  <si>
    <t xml:space="preserve">4062.T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</si>
  <si>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</si>
  <si>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</si>
  <si>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</si>
  <si>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</si>
  <si>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</si>
  <si>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</si>
  <si>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</si>
  <si>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</si>
  <si>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</si>
  <si>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</si>
  <si>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</si>
  <si>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</si>
  <si>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</si>
  <si>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</si>
  <si>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</si>
  <si>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</si>
  <si>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</si>
  <si>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</si>
  <si>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</si>
  <si>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</si>
  <si>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</si>
  <si>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</si>
  <si>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</si>
  <si>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</si>
  <si>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</si>
  <si>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</si>
  <si>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</si>
  <si>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</si>
  <si>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</si>
  <si>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</si>
  <si>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</si>
  <si>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</si>
  <si>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</si>
  <si>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</si>
  <si>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</si>
  <si>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</si>
  <si>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</si>
  <si>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</si>
  <si>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</si>
  <si>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</si>
  <si>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</si>
  <si>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</si>
  <si>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</si>
  <si>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</si>
  <si>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</si>
  <si>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</si>
  <si>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</si>
  <si>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</si>
  <si>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</si>
  <si>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</si>
  <si>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</si>
  <si>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</si>
  <si>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</si>
  <si>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</si>
  <si>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</si>
  <si>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</si>
  <si>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</si>
  <si>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</si>
  <si>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</si>
  <si>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</si>
  <si>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</si>
  <si>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</si>
  <si>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</si>
  <si>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</si>
  <si>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</si>
  <si>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</si>
  <si>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</si>
  <si>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</si>
  <si>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</si>
  <si>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</si>
  <si>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</si>
  <si>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</si>
  <si>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</si>
  <si>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</si>
  <si>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</si>
  <si>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</si>
  <si>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</si>
  <si>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</si>
  <si>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</si>
  <si>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</si>
  <si>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</si>
  <si>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</si>
  <si>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</si>
  <si>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</si>
  <si>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</si>
  <si>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</si>
  <si>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</si>
  <si>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</si>
  <si>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</si>
  <si>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</si>
  <si>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</si>
  <si>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</si>
  <si>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</si>
  <si>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</si>
  <si>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</si>
  <si>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</si>
  <si>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</si>
  <si>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</si>
  <si>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</si>
  <si>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</si>
  <si>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</si>
  <si>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</si>
  <si>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</si>
  <si>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</si>
  <si>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</si>
  <si>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</si>
  <si>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</si>
  <si>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</si>
  <si>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</si>
  <si>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</si>
  <si>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</si>
  <si>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</si>
  <si>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</si>
  <si>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</si>
  <si>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</si>
  <si>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</si>
  <si>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</si>
  <si>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</si>
  <si>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</si>
  <si>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</si>
  <si>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</si>
  <si>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</si>
  <si>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</si>
  <si>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</si>
  <si>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</si>
  <si>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</si>
  <si>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</si>
  <si>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</si>
  <si>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</si>
  <si>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</si>
  <si>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</si>
  <si>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</si>
  <si>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</si>
  <si>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</si>
  <si>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</si>
  <si>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</si>
  <si>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</si>
  <si>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</si>
  <si>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</si>
  <si>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</si>
  <si>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</si>
  <si>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</si>
  <si>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</si>
  <si>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</si>
  <si>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</si>
  <si>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</si>
  <si>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</si>
  <si>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</si>
  <si>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</si>
  <si>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</si>
  <si>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</si>
  <si>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</si>
  <si>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</si>
  <si>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</si>
  <si>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</si>
  <si>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</si>
  <si>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</si>
  <si>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</si>
  <si>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</si>
  <si>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：株探、松井證券）</t>
    </r>
  </si>
  <si>
    <t xml:space="preserve">https://kabutan.jp/stock/?code=4062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</si>
  <si>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</si>
  <si>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</si>
  <si>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</si>
  <si>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</si>
  <si>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</si>
  <si>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）折舊攤銷 </t>
    </r>
    <r>
      <rPr>
        <sz val="11"/>
        <color theme="1"/>
        <rFont val="Calibri"/>
        <family val="2"/>
        <charset val="1"/>
      </rPr>
      <t xml:space="preserve">66,236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106,118</t>
    </r>
    <r>
      <rPr>
        <sz val="11"/>
        <color theme="1"/>
        <rFont val="Noto Sans CJK SC"/>
        <family val="2"/>
      </rPr>
      <t xml:space="preserve">、營業現金流 </t>
    </r>
    <r>
      <rPr>
        <sz val="11"/>
        <color theme="1"/>
        <rFont val="Calibri"/>
        <family val="2"/>
        <charset val="1"/>
      </rPr>
      <t xml:space="preserve">106,407</t>
    </r>
    <r>
      <rPr>
        <sz val="11"/>
        <color theme="1"/>
        <rFont val="Noto Sans CJK SC"/>
        <family val="2"/>
      </rPr>
      <t xml:space="preserve">（百萬日圓）</t>
    </r>
  </si>
  <si>
    <t xml:space="preserve">https://stockanalysis.com/quote/tyo/4062/financials/cash-flow-statement/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</si>
  <si>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億（公司計畫，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</si>
  <si>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EE Times Japan 2026-02-05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年度三年投資約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億（第一期約 </t>
    </r>
    <r>
      <rPr>
        <sz val="11"/>
        <color theme="1"/>
        <rFont val="Calibri"/>
        <family val="2"/>
        <charset val="1"/>
      </rPr>
      <t xml:space="preserve">2,200 </t>
    </r>
    <r>
      <rPr>
        <sz val="11"/>
        <color theme="1"/>
        <rFont val="Noto Sans CJK SC"/>
        <family val="2"/>
      </rPr>
      <t xml:space="preserve">億，河間 </t>
    </r>
    <r>
      <rPr>
        <sz val="11"/>
        <color theme="1"/>
        <rFont val="Calibri"/>
        <family val="2"/>
        <charset val="1"/>
      </rPr>
      <t xml:space="preserve">Cell 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年度起陸續投產）</t>
    </r>
  </si>
  <si>
    <t xml:space="preserve">https://eetimes.itmedia.co.jp/ee/articles/2602/05/news037.html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</si>
  <si>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頁自由現金流列用；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起擴產計畫結束後可能高估資本支出）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</si>
</sst>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"/>
    <numFmt numFmtId="168" formatCode="#,##0.00"/>
    <numFmt numFmtId="169" formatCode="0.0000"/>
    <numFmt numFmtId="170" formatCode="#,##0"/>
    <numFmt numFmtId="171" formatCode="0.000%"/>
    <numFmt numFmtId="172" formatCode="0.000"/>
    <numFmt numFmtId="173" formatCode="0.00"/>
    <numFmt numFmtId="174" formatCode="0.0"/>
    <numFmt numFmtId="175" formatCode="0%"/>
    <numFmt numFmtId="176" formatCode="@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"投資建議："&amp;Val!B110&amp;"（依上檔空間固定規則）"</f>
        <v>投資建議：中立（依上檔空間固定規則）</v>
      </c>
    </row>
    <row r="22" customFormat="false" ht="17.15" hidden="false" customHeight="false" outlineLevel="0" collapsed="false">
      <c r="A22" s="0" t="str">
        <f aca="false">"重點觀察 1：目標價 ¥"&amp;TEXT(Val!$B$96,"#,##0")&amp;"（DCF "&amp;TEXT(Val!$B$81,"#,##0")&amp;"、Comparable（相對倍數調整後）"&amp;TEXT(tp_comp_adj,"#,##0")&amp;"；DCF 權重 "&amp;TEXT(tp_w_dcf,"0%")&amp;"），比現價 "&amp;TEXT(px,"#,##0")&amp;"（2026-10-23）"&amp;IF(Val!$B$99&gt;=0,"高 "&amp;TEXT(Val!$B$99,"0.0%"),"低 "&amp;TEXT(-Val!$B$99,"0.0%"))&amp;"，級距 "&amp;Val!$B$109&amp;"、投資建議 "&amp;Val!$B$110&amp;"。相對倍數調整係數 "&amp;TEXT(rm_factor,"0.00")&amp;"（本公司 10 年前瞻倍數中位數 ÷ 同業的中位數，夾在 0.5–2.0；Val 第 0.5 節），調整前加權上檔空間 "&amp;TEXT((tp_w_dcf*Val!$B$81+(1-tp_w_dcf)*Val!$B$92)/px-1,"+0.0%;−0.0%")&amp;"；Comparable 單獨（市場主流同業法、未調整）為 "&amp;TEXT(Val!$B$100,"+0.0%;−0.0%")&amp;"。"&amp;"以下為 2026-10-29 相對倍數調整前撰寫的說明，其中數字為調整前：主因是 DCF 不是 EPS：本模型 12 個月後前瞻 EPS 202.0 比共識前瞻 EPS 180.9 高 11.7%，但 ROE 近三年平均 8.6% 低於折現率 10%，再投資率 46% 使成長不創造價值，DCF 比現價低 77.3%；Comparable 端同業前瞻 P/E 中位數 42.3 倍、現價 ÷ 共識前瞻"&amp;" EPS 47.0 倍、共識目標價 12,432 隱含 68.7 倍。ROE 用的是 AI 載板放量前的年度，DCF 對 ABF 漲價路徑的反映有限，待 Andy 判斷。"</f>
        <v>重點觀察 1：目標價 ¥6,499（DCF 1,931、Comparable（相對倍數調整後）11,066；DCF 權重 50%），比現價 8,512（2026-10-23）低 23.7%，級距 0%～−25%、投資建議 中立。相對倍數調整係數 1.30（本公司 10 年前瞻倍數中位數 ÷ 同業的中位數，夾在 0.5–2.0；Val 第 0.5 節），調整前加權上檔空間 −38.5%；Comparable 單獨（市場主流同業法、未調整）為 +0.3%。以下為 2026-10-29 相對倍數調整前撰寫的說明，其中數字為調整前：主因是 DCF 不是 EPS：本模型 12 個月後前瞻 EPS 202.0 比共識前瞻 EPS 180.9 高 11.7%，但 ROE 近三年平均 8.6% 低於折現率 10%，再投資率 46% 使成長不創造價值，DCF 比現價低 77.3%；Comparable 端同業前瞻 P/E 中位數 42.3 倍、現價 ÷ 共識前瞻 EPS 47.0 倍、共識目標價 12,432 隱含 68.7 倍。ROE 用的是 AI 載板放量前的年度，DCF 對 ABF 漲價路徑的反映有限，待 Andy 判斷。</v>
      </c>
    </row>
    <row r="23" customFormat="false" ht="17.15" hidden="false" customHeight="false" outlineLevel="0" collapsed="false">
      <c r="A23" s="5" t="s">
        <v>17</v>
      </c>
    </row>
    <row r="24" customFormat="false" ht="17.15" hidden="false" customHeight="false" outlineLevel="0" collapsed="false">
      <c r="A24" s="5" t="s">
        <v>18</v>
      </c>
    </row>
    <row r="26" customFormat="false" ht="17.15" hidden="false" customHeight="false" outlineLevel="0" collapsed="false">
      <c r="A26" s="0" t="s">
        <v>19</v>
      </c>
    </row>
    <row r="28" customFormat="false" ht="17.15" hidden="false" customHeight="false" outlineLevel="0" collapsed="false">
      <c r="A2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5.4</v>
      </c>
      <c r="G5" s="8" t="s">
        <v>36</v>
      </c>
      <c r="H5" s="8" t="s">
        <v>37</v>
      </c>
      <c r="I5" s="5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2.4</v>
      </c>
      <c r="G6" s="8" t="s">
        <v>36</v>
      </c>
      <c r="H6" s="8" t="s">
        <v>41</v>
      </c>
      <c r="I6" s="5" t="s">
        <v>38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0.5</v>
      </c>
      <c r="G7" s="8" t="s">
        <v>36</v>
      </c>
      <c r="H7" s="8" t="s">
        <v>44</v>
      </c>
      <c r="I7" s="5" t="s">
        <v>38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7" t="n">
        <v>-0.5</v>
      </c>
      <c r="G8" s="8" t="s">
        <v>36</v>
      </c>
      <c r="H8" s="8" t="s">
        <v>48</v>
      </c>
      <c r="I8" s="5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5" t="s">
        <v>35</v>
      </c>
      <c r="E9" s="7" t="n">
        <v>1.7</v>
      </c>
      <c r="G9" s="8" t="s">
        <v>36</v>
      </c>
      <c r="H9" s="8" t="s">
        <v>52</v>
      </c>
      <c r="I9" s="5" t="s">
        <v>38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5" t="s">
        <v>35</v>
      </c>
      <c r="E10" s="7" t="n">
        <v>7</v>
      </c>
      <c r="G10" s="8" t="s">
        <v>36</v>
      </c>
      <c r="H10" s="8" t="s">
        <v>55</v>
      </c>
      <c r="I10" s="5" t="s">
        <v>38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5" t="s">
        <v>35</v>
      </c>
      <c r="E11" s="7" t="n">
        <v>7</v>
      </c>
      <c r="G11" s="8" t="s">
        <v>36</v>
      </c>
      <c r="H11" s="8" t="s">
        <v>58</v>
      </c>
      <c r="I11" s="5" t="s">
        <v>38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47</v>
      </c>
      <c r="E12" s="7" t="n">
        <v>0.15</v>
      </c>
      <c r="G12" s="8" t="s">
        <v>36</v>
      </c>
      <c r="H12" s="8" t="s">
        <v>61</v>
      </c>
      <c r="I12" s="5" t="s">
        <v>49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5" t="s">
        <v>35</v>
      </c>
      <c r="E13" s="7" t="n">
        <v>0</v>
      </c>
      <c r="G13" s="8" t="s">
        <v>36</v>
      </c>
      <c r="H13" s="8" t="s">
        <v>64</v>
      </c>
      <c r="I13" s="5" t="s">
        <v>38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5" t="s">
        <v>35</v>
      </c>
      <c r="E14" s="7" t="n">
        <v>0.3</v>
      </c>
      <c r="G14" s="8" t="s">
        <v>36</v>
      </c>
      <c r="H14" s="8" t="s">
        <v>67</v>
      </c>
      <c r="I14" s="5" t="s">
        <v>38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5" t="s">
        <v>35</v>
      </c>
      <c r="E15" s="7" t="n">
        <v>2</v>
      </c>
      <c r="G15" s="8" t="s">
        <v>36</v>
      </c>
      <c r="H15" s="8" t="s">
        <v>70</v>
      </c>
      <c r="I15" s="5" t="s">
        <v>38</v>
      </c>
    </row>
    <row r="16" customFormat="false" ht="17.15" hidden="false" customHeight="false" outlineLevel="0" collapsed="false">
      <c r="A16" s="0" t="s">
        <v>71</v>
      </c>
      <c r="B16" s="0" t="s">
        <v>72</v>
      </c>
      <c r="C16" s="0" t="s">
        <v>47</v>
      </c>
      <c r="E16" s="7" t="n">
        <v>0.15</v>
      </c>
      <c r="G16" s="8" t="s">
        <v>36</v>
      </c>
      <c r="H16" s="8" t="s">
        <v>73</v>
      </c>
      <c r="I16" s="5" t="s">
        <v>49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5" t="s">
        <v>35</v>
      </c>
      <c r="E17" s="7" t="n">
        <v>0.5</v>
      </c>
      <c r="G17" s="8" t="s">
        <v>36</v>
      </c>
      <c r="H17" s="8" t="s">
        <v>76</v>
      </c>
      <c r="I17" s="5" t="s">
        <v>38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5" t="s">
        <v>35</v>
      </c>
      <c r="E18" s="7" t="n">
        <v>0</v>
      </c>
      <c r="G18" s="8" t="s">
        <v>36</v>
      </c>
      <c r="H18" s="8" t="s">
        <v>79</v>
      </c>
      <c r="I18" s="5" t="s">
        <v>38</v>
      </c>
    </row>
    <row r="19" customFormat="false" ht="17.15" hidden="false" customHeight="false" outlineLevel="0" collapsed="false">
      <c r="A19" s="0" t="s">
        <v>80</v>
      </c>
      <c r="B19" s="0" t="s">
        <v>81</v>
      </c>
      <c r="C19" s="5" t="s">
        <v>35</v>
      </c>
      <c r="E19" s="7" t="n">
        <v>0</v>
      </c>
      <c r="G19" s="8" t="s">
        <v>36</v>
      </c>
      <c r="H19" s="8" t="s">
        <v>82</v>
      </c>
      <c r="I19" s="5" t="s">
        <v>38</v>
      </c>
    </row>
    <row r="20" customFormat="false" ht="17.15" hidden="false" customHeight="false" outlineLevel="0" collapsed="false">
      <c r="A20" s="0" t="s">
        <v>83</v>
      </c>
      <c r="B20" s="0" t="s">
        <v>84</v>
      </c>
      <c r="C20" s="0" t="s">
        <v>47</v>
      </c>
      <c r="E20" s="7" t="n">
        <v>0</v>
      </c>
      <c r="G20" s="8" t="s">
        <v>36</v>
      </c>
      <c r="H20" s="8" t="s">
        <v>85</v>
      </c>
      <c r="I20" s="5" t="s">
        <v>49</v>
      </c>
    </row>
    <row r="21" customFormat="false" ht="17.15" hidden="false" customHeight="false" outlineLevel="0" collapsed="false">
      <c r="A21" s="0" t="s">
        <v>86</v>
      </c>
      <c r="B21" s="0" t="s">
        <v>87</v>
      </c>
      <c r="C21" s="5" t="s">
        <v>35</v>
      </c>
      <c r="E21" s="7" t="n">
        <v>0.75</v>
      </c>
      <c r="G21" s="8" t="s">
        <v>36</v>
      </c>
      <c r="H21" s="8" t="s">
        <v>88</v>
      </c>
      <c r="I21" s="5" t="s">
        <v>38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5" t="s">
        <v>35</v>
      </c>
      <c r="E22" s="7" t="n">
        <v>1.5</v>
      </c>
      <c r="G22" s="8" t="s">
        <v>36</v>
      </c>
      <c r="H22" s="8" t="s">
        <v>91</v>
      </c>
      <c r="I22" s="5" t="s">
        <v>38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5" t="s">
        <v>35</v>
      </c>
      <c r="E23" s="7" t="n">
        <v>2</v>
      </c>
      <c r="G23" s="8" t="s">
        <v>36</v>
      </c>
      <c r="H23" s="8" t="s">
        <v>94</v>
      </c>
      <c r="I23" s="5" t="s">
        <v>38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47</v>
      </c>
      <c r="E24" s="7" t="n">
        <v>0.15</v>
      </c>
      <c r="G24" s="8" t="s">
        <v>36</v>
      </c>
      <c r="H24" s="8" t="s">
        <v>97</v>
      </c>
      <c r="I24" s="5" t="s">
        <v>49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5" t="s">
        <v>35</v>
      </c>
      <c r="E25" s="7" t="n">
        <v>3.85</v>
      </c>
      <c r="G25" s="8" t="s">
        <v>36</v>
      </c>
      <c r="H25" s="8" t="s">
        <v>100</v>
      </c>
      <c r="I25" s="5" t="s">
        <v>38</v>
      </c>
    </row>
    <row r="26" customFormat="false" ht="17.15" hidden="false" customHeight="false" outlineLevel="0" collapsed="false">
      <c r="A26" s="0" t="s">
        <v>101</v>
      </c>
      <c r="B26" s="0" t="s">
        <v>102</v>
      </c>
      <c r="C26" s="5" t="s">
        <v>35</v>
      </c>
      <c r="E26" s="7" t="n">
        <v>5.5</v>
      </c>
      <c r="G26" s="8" t="s">
        <v>36</v>
      </c>
      <c r="H26" s="8" t="s">
        <v>103</v>
      </c>
      <c r="I26" s="5" t="s">
        <v>38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5" t="s">
        <v>35</v>
      </c>
      <c r="E27" s="7" t="n">
        <v>7</v>
      </c>
      <c r="G27" s="8" t="s">
        <v>36</v>
      </c>
      <c r="H27" s="8" t="s">
        <v>106</v>
      </c>
      <c r="I27" s="5" t="s">
        <v>38</v>
      </c>
    </row>
    <row r="28" customFormat="false" ht="17.15" hidden="false" customHeight="false" outlineLevel="0" collapsed="false">
      <c r="A28" s="0" t="s">
        <v>107</v>
      </c>
      <c r="B28" s="0" t="s">
        <v>108</v>
      </c>
      <c r="C28" s="0" t="s">
        <v>47</v>
      </c>
      <c r="E28" s="7" t="n">
        <v>0.15</v>
      </c>
      <c r="G28" s="8" t="s">
        <v>36</v>
      </c>
      <c r="H28" s="8" t="s">
        <v>109</v>
      </c>
      <c r="I28" s="5" t="s">
        <v>49</v>
      </c>
    </row>
    <row r="29" customFormat="false" ht="17.15" hidden="false" customHeight="false" outlineLevel="0" collapsed="false">
      <c r="A29" s="0" t="s">
        <v>110</v>
      </c>
      <c r="B29" s="0" t="s">
        <v>111</v>
      </c>
      <c r="C29" s="5" t="s">
        <v>35</v>
      </c>
      <c r="E29" s="7" t="n">
        <v>2</v>
      </c>
      <c r="G29" s="8" t="s">
        <v>36</v>
      </c>
      <c r="H29" s="8" t="s">
        <v>112</v>
      </c>
      <c r="I29" s="5" t="s">
        <v>38</v>
      </c>
    </row>
    <row r="30" customFormat="false" ht="17.15" hidden="false" customHeight="false" outlineLevel="0" collapsed="false">
      <c r="A30" s="0" t="s">
        <v>113</v>
      </c>
      <c r="B30" s="0" t="s">
        <v>114</v>
      </c>
      <c r="C30" s="5" t="s">
        <v>35</v>
      </c>
      <c r="E30" s="7" t="n">
        <v>2.5</v>
      </c>
      <c r="G30" s="8" t="s">
        <v>36</v>
      </c>
      <c r="H30" s="8" t="s">
        <v>115</v>
      </c>
      <c r="I30" s="5" t="s">
        <v>38</v>
      </c>
    </row>
    <row r="31" customFormat="false" ht="17.15" hidden="false" customHeight="false" outlineLevel="0" collapsed="false">
      <c r="A31" s="0" t="s">
        <v>116</v>
      </c>
      <c r="B31" s="0" t="s">
        <v>117</v>
      </c>
      <c r="C31" s="5" t="s">
        <v>35</v>
      </c>
      <c r="E31" s="7" t="n">
        <v>3</v>
      </c>
      <c r="G31" s="8" t="s">
        <v>36</v>
      </c>
      <c r="H31" s="8" t="s">
        <v>118</v>
      </c>
      <c r="I31" s="5" t="s">
        <v>38</v>
      </c>
    </row>
    <row r="32" customFormat="false" ht="17.15" hidden="false" customHeight="false" outlineLevel="0" collapsed="false">
      <c r="A32" s="0" t="s">
        <v>119</v>
      </c>
      <c r="B32" s="0" t="s">
        <v>120</v>
      </c>
      <c r="C32" s="0" t="s">
        <v>47</v>
      </c>
      <c r="E32" s="7" t="n">
        <v>0.15</v>
      </c>
      <c r="G32" s="8" t="s">
        <v>36</v>
      </c>
      <c r="H32" s="8" t="s">
        <v>121</v>
      </c>
      <c r="I32" s="5" t="s">
        <v>49</v>
      </c>
    </row>
    <row r="33" customFormat="false" ht="17.15" hidden="false" customHeight="false" outlineLevel="0" collapsed="false">
      <c r="A33" s="0" t="s">
        <v>122</v>
      </c>
      <c r="B33" s="5" t="s">
        <v>123</v>
      </c>
      <c r="C33" s="5" t="s">
        <v>35</v>
      </c>
      <c r="E33" s="7" t="n">
        <v>1</v>
      </c>
      <c r="G33" s="8" t="s">
        <v>36</v>
      </c>
      <c r="H33" s="8" t="s">
        <v>124</v>
      </c>
      <c r="I33" s="5" t="s">
        <v>38</v>
      </c>
    </row>
    <row r="34" customFormat="false" ht="17.15" hidden="false" customHeight="false" outlineLevel="0" collapsed="false">
      <c r="A34" s="0" t="s">
        <v>125</v>
      </c>
      <c r="B34" s="5" t="s">
        <v>126</v>
      </c>
      <c r="C34" s="5" t="s">
        <v>35</v>
      </c>
      <c r="E34" s="7" t="n">
        <v>4.5</v>
      </c>
      <c r="G34" s="8" t="s">
        <v>36</v>
      </c>
      <c r="H34" s="8" t="s">
        <v>127</v>
      </c>
      <c r="I34" s="5" t="s">
        <v>38</v>
      </c>
    </row>
    <row r="35" customFormat="false" ht="17.15" hidden="false" customHeight="false" outlineLevel="0" collapsed="false">
      <c r="A35" s="0" t="s">
        <v>128</v>
      </c>
      <c r="B35" s="5" t="s">
        <v>129</v>
      </c>
      <c r="C35" s="5" t="s">
        <v>35</v>
      </c>
      <c r="E35" s="7" t="n">
        <v>5</v>
      </c>
      <c r="G35" s="8" t="s">
        <v>36</v>
      </c>
      <c r="H35" s="8" t="s">
        <v>130</v>
      </c>
      <c r="I35" s="5" t="s">
        <v>38</v>
      </c>
    </row>
    <row r="36" customFormat="false" ht="17.15" hidden="false" customHeight="false" outlineLevel="0" collapsed="false">
      <c r="A36" s="0" t="s">
        <v>131</v>
      </c>
      <c r="B36" s="5" t="s">
        <v>132</v>
      </c>
      <c r="C36" s="0" t="s">
        <v>47</v>
      </c>
      <c r="E36" s="7" t="n">
        <v>0.15</v>
      </c>
      <c r="G36" s="8" t="s">
        <v>36</v>
      </c>
      <c r="H36" s="8" t="s">
        <v>133</v>
      </c>
      <c r="I36" s="5" t="s">
        <v>49</v>
      </c>
    </row>
    <row r="37" customFormat="false" ht="17.15" hidden="false" customHeight="false" outlineLevel="0" collapsed="false">
      <c r="A37" s="0" t="s">
        <v>134</v>
      </c>
      <c r="B37" s="0" t="s">
        <v>135</v>
      </c>
      <c r="C37" s="0" t="s">
        <v>136</v>
      </c>
      <c r="E37" s="7" t="n">
        <v>781.872916666666</v>
      </c>
      <c r="G37" s="8" t="s">
        <v>36</v>
      </c>
      <c r="H37" s="8" t="s">
        <v>137</v>
      </c>
      <c r="I37" s="8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136</v>
      </c>
      <c r="E38" s="7" t="n">
        <v>1565.35</v>
      </c>
      <c r="G38" s="8" t="s">
        <v>36</v>
      </c>
      <c r="H38" s="8" t="s">
        <v>137</v>
      </c>
      <c r="I38" s="5" t="s">
        <v>49</v>
      </c>
    </row>
    <row r="39" customFormat="false" ht="17.15" hidden="false" customHeight="false" outlineLevel="0" collapsed="false">
      <c r="A39" s="0" t="s">
        <v>141</v>
      </c>
      <c r="B39" s="0" t="s">
        <v>142</v>
      </c>
      <c r="C39" s="0" t="s">
        <v>136</v>
      </c>
      <c r="E39" s="7" t="n">
        <v>1984.26388888889</v>
      </c>
      <c r="G39" s="8" t="s">
        <v>36</v>
      </c>
      <c r="H39" s="8" t="s">
        <v>137</v>
      </c>
      <c r="I39" s="5" t="s">
        <v>49</v>
      </c>
    </row>
    <row r="40" customFormat="false" ht="17.15" hidden="false" customHeight="false" outlineLevel="0" collapsed="false">
      <c r="A40" s="0" t="s">
        <v>143</v>
      </c>
      <c r="B40" s="0" t="s">
        <v>144</v>
      </c>
      <c r="C40" s="0" t="s">
        <v>136</v>
      </c>
      <c r="E40" s="7" t="n">
        <v>2260.39027777778</v>
      </c>
      <c r="G40" s="8" t="s">
        <v>36</v>
      </c>
      <c r="H40" s="8" t="s">
        <v>137</v>
      </c>
      <c r="I40" s="5" t="s">
        <v>49</v>
      </c>
    </row>
    <row r="41" customFormat="false" ht="17.15" hidden="false" customHeight="false" outlineLevel="0" collapsed="false">
      <c r="A41" s="0" t="s">
        <v>145</v>
      </c>
      <c r="B41" s="5" t="s">
        <v>146</v>
      </c>
      <c r="C41" s="0" t="s">
        <v>147</v>
      </c>
      <c r="E41" s="7" t="n">
        <v>1</v>
      </c>
      <c r="G41" s="8" t="s">
        <v>148</v>
      </c>
      <c r="H41" s="8" t="s">
        <v>149</v>
      </c>
      <c r="I41" s="8" t="s">
        <v>150</v>
      </c>
    </row>
    <row r="42" customFormat="false" ht="17.15" hidden="false" customHeight="false" outlineLevel="0" collapsed="false">
      <c r="A42" s="0" t="s">
        <v>151</v>
      </c>
      <c r="B42" s="5" t="s">
        <v>152</v>
      </c>
      <c r="C42" s="0" t="s">
        <v>147</v>
      </c>
      <c r="E42" s="7" t="n">
        <v>1</v>
      </c>
      <c r="G42" s="8" t="s">
        <v>148</v>
      </c>
      <c r="H42" s="8" t="s">
        <v>153</v>
      </c>
      <c r="I42" s="5" t="s">
        <v>49</v>
      </c>
    </row>
    <row r="43" customFormat="false" ht="17.15" hidden="false" customHeight="false" outlineLevel="0" collapsed="false">
      <c r="A43" s="0" t="s">
        <v>154</v>
      </c>
      <c r="B43" s="5" t="s">
        <v>155</v>
      </c>
      <c r="C43" s="0" t="s">
        <v>147</v>
      </c>
      <c r="E43" s="7" t="n">
        <v>0.8</v>
      </c>
      <c r="G43" s="8" t="s">
        <v>148</v>
      </c>
      <c r="H43" s="8" t="s">
        <v>156</v>
      </c>
      <c r="I43" s="8" t="s">
        <v>150</v>
      </c>
    </row>
    <row r="44" customFormat="false" ht="17.15" hidden="false" customHeight="false" outlineLevel="0" collapsed="false">
      <c r="A44" s="0" t="s">
        <v>157</v>
      </c>
      <c r="B44" s="5" t="s">
        <v>158</v>
      </c>
      <c r="C44" s="0" t="s">
        <v>147</v>
      </c>
      <c r="E44" s="7" t="n">
        <v>0.85</v>
      </c>
      <c r="G44" s="8" t="s">
        <v>148</v>
      </c>
      <c r="H44" s="8" t="s">
        <v>159</v>
      </c>
      <c r="I44" s="5" t="s">
        <v>49</v>
      </c>
    </row>
    <row r="45" customFormat="false" ht="17.15" hidden="false" customHeight="false" outlineLevel="0" collapsed="false">
      <c r="A45" s="0" t="s">
        <v>160</v>
      </c>
      <c r="B45" s="5" t="s">
        <v>161</v>
      </c>
      <c r="C45" s="0" t="s">
        <v>147</v>
      </c>
      <c r="E45" s="7" t="n">
        <v>0.6</v>
      </c>
      <c r="G45" s="8" t="s">
        <v>148</v>
      </c>
      <c r="H45" s="8" t="s">
        <v>162</v>
      </c>
      <c r="I45" s="8" t="s">
        <v>150</v>
      </c>
    </row>
    <row r="46" customFormat="false" ht="17.15" hidden="false" customHeight="false" outlineLevel="0" collapsed="false">
      <c r="A46" s="0" t="s">
        <v>163</v>
      </c>
      <c r="B46" s="5" t="s">
        <v>164</v>
      </c>
      <c r="C46" s="0" t="s">
        <v>147</v>
      </c>
      <c r="E46" s="7" t="n">
        <v>0.6</v>
      </c>
      <c r="G46" s="8" t="s">
        <v>148</v>
      </c>
      <c r="H46" s="8" t="s">
        <v>165</v>
      </c>
      <c r="I46" s="5" t="s">
        <v>49</v>
      </c>
    </row>
    <row r="47" customFormat="false" ht="17.15" hidden="false" customHeight="false" outlineLevel="0" collapsed="false">
      <c r="A47" s="1" t="s">
        <v>166</v>
      </c>
    </row>
    <row r="48" customFormat="false" ht="17.15" hidden="false" customHeight="false" outlineLevel="0" collapsed="false">
      <c r="A48" s="0" t="s">
        <v>167</v>
      </c>
      <c r="B48" s="5" t="s">
        <v>168</v>
      </c>
      <c r="C48" s="0" t="s">
        <v>147</v>
      </c>
      <c r="D48" s="7" t="n">
        <v>0.2</v>
      </c>
      <c r="E48" s="7" t="n">
        <v>0.4</v>
      </c>
      <c r="F48" s="7" t="n">
        <v>0.6</v>
      </c>
      <c r="G48" s="8" t="s">
        <v>148</v>
      </c>
      <c r="H48" s="5" t="s">
        <v>169</v>
      </c>
      <c r="I48" s="8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0" t="s">
        <v>47</v>
      </c>
      <c r="D49" s="7" t="n">
        <v>0.55</v>
      </c>
      <c r="E49" s="7" t="n">
        <v>0.65</v>
      </c>
      <c r="F49" s="7" t="n">
        <v>0.75</v>
      </c>
      <c r="G49" s="8" t="s">
        <v>148</v>
      </c>
      <c r="H49" s="5" t="s">
        <v>173</v>
      </c>
      <c r="I49" s="8" t="s">
        <v>174</v>
      </c>
    </row>
    <row r="50" customFormat="false" ht="17.15" hidden="false" customHeight="false" outlineLevel="0" collapsed="false">
      <c r="A50" s="0" t="s">
        <v>175</v>
      </c>
      <c r="B50" s="5" t="s">
        <v>176</v>
      </c>
      <c r="C50" s="0" t="s">
        <v>47</v>
      </c>
      <c r="D50" s="7" t="n">
        <v>0.1</v>
      </c>
      <c r="E50" s="7" t="n">
        <v>0.18</v>
      </c>
      <c r="F50" s="7" t="n">
        <v>0.22</v>
      </c>
      <c r="G50" s="8" t="s">
        <v>177</v>
      </c>
      <c r="H50" s="8" t="s">
        <v>178</v>
      </c>
      <c r="I50" s="8" t="s">
        <v>179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147</v>
      </c>
      <c r="D51" s="7" t="n">
        <v>0.85</v>
      </c>
      <c r="E51" s="7" t="n">
        <v>0.95</v>
      </c>
      <c r="F51" s="7" t="n">
        <v>1</v>
      </c>
      <c r="G51" s="8" t="s">
        <v>148</v>
      </c>
      <c r="H51" s="5" t="s">
        <v>182</v>
      </c>
      <c r="I51" s="5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147</v>
      </c>
      <c r="D52" s="7" t="n">
        <v>0.75</v>
      </c>
      <c r="E52" s="7" t="n">
        <v>0.88</v>
      </c>
      <c r="F52" s="7" t="n">
        <v>1</v>
      </c>
      <c r="G52" s="8" t="s">
        <v>148</v>
      </c>
      <c r="H52" s="5" t="s">
        <v>186</v>
      </c>
      <c r="I52" s="8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0" t="s">
        <v>147</v>
      </c>
      <c r="D53" s="7" t="n">
        <v>0.7</v>
      </c>
      <c r="E53" s="7" t="n">
        <v>0.85</v>
      </c>
      <c r="F53" s="7" t="n">
        <v>1</v>
      </c>
      <c r="G53" s="8" t="s">
        <v>148</v>
      </c>
      <c r="H53" s="5" t="s">
        <v>49</v>
      </c>
      <c r="I53" s="8" t="s">
        <v>187</v>
      </c>
    </row>
    <row r="54" customFormat="false" ht="17.15" hidden="false" customHeight="false" outlineLevel="0" collapsed="false">
      <c r="A54" s="1" t="s">
        <v>190</v>
      </c>
    </row>
    <row r="55" customFormat="false" ht="17.15" hidden="false" customHeight="false" outlineLevel="0" collapsed="false">
      <c r="A55" s="0" t="s">
        <v>191</v>
      </c>
      <c r="B55" s="5" t="s">
        <v>192</v>
      </c>
      <c r="C55" s="0" t="s">
        <v>147</v>
      </c>
      <c r="D55" s="7" t="n">
        <v>0.95</v>
      </c>
      <c r="E55" s="7" t="n">
        <v>1</v>
      </c>
      <c r="F55" s="7" t="n">
        <v>1.05</v>
      </c>
      <c r="G55" s="8" t="s">
        <v>148</v>
      </c>
      <c r="H55" s="8" t="s">
        <v>193</v>
      </c>
      <c r="I55" s="8" t="s">
        <v>194</v>
      </c>
    </row>
    <row r="56" customFormat="false" ht="17.15" hidden="false" customHeight="false" outlineLevel="0" collapsed="false">
      <c r="A56" s="0" t="s">
        <v>195</v>
      </c>
      <c r="B56" s="5" t="s">
        <v>196</v>
      </c>
      <c r="C56" s="0" t="s">
        <v>147</v>
      </c>
      <c r="D56" s="7" t="n">
        <v>0.85</v>
      </c>
      <c r="E56" s="7" t="n">
        <v>0.95</v>
      </c>
      <c r="F56" s="7" t="n">
        <v>1.05</v>
      </c>
      <c r="G56" s="8" t="s">
        <v>148</v>
      </c>
      <c r="H56" s="8" t="s">
        <v>197</v>
      </c>
      <c r="I56" s="5" t="s">
        <v>198</v>
      </c>
    </row>
    <row r="57" customFormat="false" ht="17.15" hidden="false" customHeight="false" outlineLevel="0" collapsed="false">
      <c r="A57" s="0" t="s">
        <v>199</v>
      </c>
      <c r="B57" s="5" t="s">
        <v>200</v>
      </c>
      <c r="C57" s="0" t="s">
        <v>147</v>
      </c>
      <c r="D57" s="7" t="n">
        <v>0.75</v>
      </c>
      <c r="E57" s="7" t="n">
        <v>0.9</v>
      </c>
      <c r="F57" s="7" t="n">
        <v>1</v>
      </c>
      <c r="G57" s="8" t="s">
        <v>148</v>
      </c>
      <c r="H57" s="5" t="s">
        <v>201</v>
      </c>
      <c r="I57" s="8" t="s">
        <v>187</v>
      </c>
    </row>
    <row r="58" customFormat="false" ht="17.15" hidden="false" customHeight="false" outlineLevel="0" collapsed="false">
      <c r="A58" s="0" t="s">
        <v>202</v>
      </c>
      <c r="B58" s="5" t="s">
        <v>203</v>
      </c>
      <c r="C58" s="0" t="s">
        <v>47</v>
      </c>
      <c r="D58" s="7" t="n">
        <v>0.1</v>
      </c>
      <c r="E58" s="7" t="n">
        <v>0.15</v>
      </c>
      <c r="F58" s="7" t="n">
        <v>0.2</v>
      </c>
      <c r="G58" s="8" t="s">
        <v>148</v>
      </c>
      <c r="H58" s="8" t="s">
        <v>204</v>
      </c>
      <c r="I58" s="8" t="s">
        <v>205</v>
      </c>
    </row>
    <row r="59" customFormat="false" ht="17.15" hidden="false" customHeight="false" outlineLevel="0" collapsed="false">
      <c r="A59" s="0" t="s">
        <v>206</v>
      </c>
      <c r="B59" s="5" t="s">
        <v>207</v>
      </c>
      <c r="C59" s="0" t="s">
        <v>47</v>
      </c>
      <c r="D59" s="7" t="n">
        <v>0</v>
      </c>
      <c r="E59" s="7" t="n">
        <v>0.05</v>
      </c>
      <c r="F59" s="7" t="n">
        <v>0.1</v>
      </c>
      <c r="G59" s="8" t="s">
        <v>148</v>
      </c>
      <c r="H59" s="8" t="s">
        <v>208</v>
      </c>
      <c r="I59" s="8" t="s">
        <v>209</v>
      </c>
    </row>
    <row r="60" customFormat="false" ht="17.15" hidden="false" customHeight="false" outlineLevel="0" collapsed="false">
      <c r="A60" s="1" t="s">
        <v>210</v>
      </c>
    </row>
    <row r="61" customFormat="false" ht="17.15" hidden="false" customHeight="false" outlineLevel="0" collapsed="false">
      <c r="A61" s="0" t="s">
        <v>211</v>
      </c>
      <c r="B61" s="5" t="s">
        <v>212</v>
      </c>
      <c r="C61" s="0" t="s">
        <v>47</v>
      </c>
      <c r="D61" s="7" t="n">
        <v>-0.05</v>
      </c>
      <c r="E61" s="7" t="n">
        <v>0</v>
      </c>
      <c r="F61" s="7" t="n">
        <v>0.03</v>
      </c>
      <c r="G61" s="8" t="s">
        <v>148</v>
      </c>
      <c r="H61" s="8" t="s">
        <v>213</v>
      </c>
      <c r="I61" s="8" t="s">
        <v>214</v>
      </c>
    </row>
    <row r="62" customFormat="false" ht="17.15" hidden="false" customHeight="false" outlineLevel="0" collapsed="false">
      <c r="A62" s="0" t="s">
        <v>215</v>
      </c>
      <c r="B62" s="5" t="s">
        <v>216</v>
      </c>
      <c r="C62" s="0" t="s">
        <v>47</v>
      </c>
      <c r="D62" s="7" t="n">
        <v>0.05</v>
      </c>
      <c r="E62" s="7" t="n">
        <v>0.077</v>
      </c>
      <c r="F62" s="7" t="n">
        <v>0.1</v>
      </c>
      <c r="G62" s="8" t="s">
        <v>36</v>
      </c>
      <c r="H62" s="8" t="s">
        <v>217</v>
      </c>
      <c r="I62" s="8" t="s">
        <v>218</v>
      </c>
    </row>
    <row r="63" customFormat="false" ht="17.15" hidden="false" customHeight="false" outlineLevel="0" collapsed="false">
      <c r="A63" s="0" t="s">
        <v>219</v>
      </c>
      <c r="B63" s="5" t="s">
        <v>220</v>
      </c>
      <c r="C63" s="0" t="s">
        <v>47</v>
      </c>
      <c r="D63" s="7" t="n">
        <v>0</v>
      </c>
      <c r="E63" s="7" t="n">
        <v>0.03</v>
      </c>
      <c r="F63" s="7" t="n">
        <v>0.05</v>
      </c>
      <c r="G63" s="8" t="s">
        <v>148</v>
      </c>
      <c r="H63" s="8" t="s">
        <v>221</v>
      </c>
      <c r="I63" s="8" t="s">
        <v>222</v>
      </c>
    </row>
    <row r="64" customFormat="false" ht="17.15" hidden="false" customHeight="false" outlineLevel="0" collapsed="false">
      <c r="A64" s="0" t="s">
        <v>223</v>
      </c>
      <c r="B64" s="5" t="s">
        <v>224</v>
      </c>
      <c r="C64" s="0" t="s">
        <v>47</v>
      </c>
      <c r="D64" s="7" t="n">
        <v>0.09</v>
      </c>
      <c r="E64" s="7" t="n">
        <v>0.115</v>
      </c>
      <c r="F64" s="7" t="n">
        <v>0.13</v>
      </c>
      <c r="G64" s="8" t="s">
        <v>36</v>
      </c>
      <c r="H64" s="8" t="s">
        <v>225</v>
      </c>
      <c r="I64" s="8" t="s">
        <v>226</v>
      </c>
    </row>
    <row r="65" customFormat="false" ht="17.15" hidden="false" customHeight="false" outlineLevel="0" collapsed="false">
      <c r="A65" s="0" t="s">
        <v>227</v>
      </c>
      <c r="B65" s="5" t="s">
        <v>228</v>
      </c>
      <c r="C65" s="0" t="s">
        <v>147</v>
      </c>
      <c r="D65" s="7" t="n">
        <v>0.62</v>
      </c>
      <c r="E65" s="7" t="n">
        <v>0.661</v>
      </c>
      <c r="F65" s="7" t="n">
        <v>0.7</v>
      </c>
      <c r="G65" s="8" t="s">
        <v>36</v>
      </c>
      <c r="H65" s="8" t="s">
        <v>229</v>
      </c>
      <c r="I65" s="8" t="s">
        <v>230</v>
      </c>
    </row>
    <row r="66" customFormat="false" ht="17.15" hidden="false" customHeight="false" outlineLevel="0" collapsed="false">
      <c r="A66" s="0" t="s">
        <v>231</v>
      </c>
      <c r="B66" s="5" t="s">
        <v>232</v>
      </c>
      <c r="C66" s="0" t="s">
        <v>47</v>
      </c>
      <c r="D66" s="7" t="n">
        <v>0</v>
      </c>
      <c r="E66" s="7" t="n">
        <v>0</v>
      </c>
      <c r="F66" s="7" t="n">
        <v>0.03</v>
      </c>
      <c r="G66" s="8" t="s">
        <v>148</v>
      </c>
      <c r="H66" s="8" t="s">
        <v>233</v>
      </c>
      <c r="I66" s="8" t="s">
        <v>234</v>
      </c>
    </row>
    <row r="67" customFormat="false" ht="17.15" hidden="false" customHeight="false" outlineLevel="0" collapsed="false">
      <c r="A67" s="0" t="s">
        <v>235</v>
      </c>
      <c r="B67" s="5" t="s">
        <v>236</v>
      </c>
      <c r="C67" s="0" t="s">
        <v>237</v>
      </c>
      <c r="E67" s="7" t="n">
        <v>152</v>
      </c>
      <c r="G67" s="8" t="s">
        <v>238</v>
      </c>
      <c r="H67" s="5" t="s">
        <v>239</v>
      </c>
      <c r="I67" s="8" t="s">
        <v>187</v>
      </c>
    </row>
    <row r="68" customFormat="false" ht="17.15" hidden="false" customHeight="false" outlineLevel="0" collapsed="false">
      <c r="A68" s="1" t="s">
        <v>240</v>
      </c>
    </row>
    <row r="69" customFormat="false" ht="17.15" hidden="false" customHeight="false" outlineLevel="0" collapsed="false">
      <c r="A69" s="0" t="s">
        <v>241</v>
      </c>
      <c r="B69" s="0" t="s">
        <v>242</v>
      </c>
      <c r="C69" s="0" t="s">
        <v>243</v>
      </c>
      <c r="E69" s="7" t="n">
        <v>550</v>
      </c>
      <c r="G69" s="8" t="s">
        <v>238</v>
      </c>
      <c r="H69" s="5" t="s">
        <v>244</v>
      </c>
      <c r="I69" s="8" t="s">
        <v>245</v>
      </c>
    </row>
    <row r="70" customFormat="false" ht="17.15" hidden="false" customHeight="false" outlineLevel="0" collapsed="false">
      <c r="A70" s="0" t="s">
        <v>246</v>
      </c>
      <c r="B70" s="0" t="s">
        <v>247</v>
      </c>
      <c r="C70" s="0" t="s">
        <v>243</v>
      </c>
      <c r="E70" s="7" t="n">
        <v>375</v>
      </c>
      <c r="G70" s="8" t="s">
        <v>238</v>
      </c>
      <c r="H70" s="5" t="s">
        <v>244</v>
      </c>
      <c r="I70" s="8" t="s">
        <v>248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243</v>
      </c>
      <c r="E71" s="7" t="n">
        <v>110</v>
      </c>
      <c r="G71" s="8" t="s">
        <v>238</v>
      </c>
      <c r="H71" s="5" t="s">
        <v>244</v>
      </c>
      <c r="I71" s="8" t="s">
        <v>251</v>
      </c>
    </row>
    <row r="72" customFormat="false" ht="17.15" hidden="false" customHeight="false" outlineLevel="0" collapsed="false">
      <c r="A72" s="0" t="s">
        <v>252</v>
      </c>
      <c r="B72" s="0" t="s">
        <v>253</v>
      </c>
      <c r="C72" s="0" t="s">
        <v>243</v>
      </c>
      <c r="E72" s="7" t="n">
        <v>84</v>
      </c>
      <c r="G72" s="8" t="s">
        <v>238</v>
      </c>
      <c r="H72" s="5" t="s">
        <v>244</v>
      </c>
      <c r="I72" s="8" t="s">
        <v>187</v>
      </c>
    </row>
    <row r="73" customFormat="false" ht="17.15" hidden="false" customHeight="false" outlineLevel="0" collapsed="false">
      <c r="A73" s="0" t="s">
        <v>254</v>
      </c>
      <c r="B73" s="0" t="s">
        <v>255</v>
      </c>
      <c r="C73" s="0" t="s">
        <v>243</v>
      </c>
      <c r="E73" s="7" t="n">
        <v>6.5</v>
      </c>
      <c r="G73" s="8" t="s">
        <v>238</v>
      </c>
      <c r="H73" s="5" t="s">
        <v>244</v>
      </c>
      <c r="I73" s="8" t="s">
        <v>187</v>
      </c>
    </row>
    <row r="74" customFormat="false" ht="17.15" hidden="false" customHeight="false" outlineLevel="0" collapsed="false">
      <c r="A74" s="0" t="s">
        <v>256</v>
      </c>
      <c r="B74" s="0" t="s">
        <v>257</v>
      </c>
      <c r="C74" s="0" t="s">
        <v>243</v>
      </c>
      <c r="E74" s="7" t="n">
        <v>91</v>
      </c>
      <c r="G74" s="8" t="s">
        <v>238</v>
      </c>
      <c r="H74" s="5" t="s">
        <v>244</v>
      </c>
      <c r="I74" s="8" t="s">
        <v>187</v>
      </c>
    </row>
    <row r="75" customFormat="false" ht="17.15" hidden="false" customHeight="false" outlineLevel="0" collapsed="false">
      <c r="A75" s="0" t="s">
        <v>258</v>
      </c>
      <c r="B75" s="0" t="s">
        <v>259</v>
      </c>
      <c r="C75" s="0" t="s">
        <v>243</v>
      </c>
      <c r="E75" s="7" t="n">
        <v>10.5</v>
      </c>
      <c r="G75" s="8" t="s">
        <v>238</v>
      </c>
      <c r="H75" s="5" t="s">
        <v>244</v>
      </c>
      <c r="I75" s="8" t="s">
        <v>187</v>
      </c>
    </row>
    <row r="76" customFormat="false" ht="17.15" hidden="false" customHeight="false" outlineLevel="0" collapsed="false">
      <c r="A76" s="0" t="s">
        <v>260</v>
      </c>
      <c r="B76" s="0" t="s">
        <v>261</v>
      </c>
      <c r="C76" s="0" t="s">
        <v>243</v>
      </c>
      <c r="E76" s="7" t="n">
        <v>127</v>
      </c>
      <c r="G76" s="8" t="s">
        <v>238</v>
      </c>
      <c r="H76" s="5" t="s">
        <v>244</v>
      </c>
      <c r="I76" s="8" t="s">
        <v>262</v>
      </c>
    </row>
    <row r="77" customFormat="false" ht="17.15" hidden="false" customHeight="false" outlineLevel="0" collapsed="false">
      <c r="A77" s="0" t="s">
        <v>263</v>
      </c>
      <c r="B77" s="0" t="s">
        <v>264</v>
      </c>
      <c r="C77" s="0" t="s">
        <v>243</v>
      </c>
      <c r="E77" s="7" t="n">
        <v>84</v>
      </c>
      <c r="G77" s="8" t="s">
        <v>238</v>
      </c>
      <c r="H77" s="5" t="s">
        <v>244</v>
      </c>
      <c r="I77" s="8" t="s">
        <v>265</v>
      </c>
    </row>
    <row r="78" customFormat="false" ht="17.15" hidden="false" customHeight="false" outlineLevel="0" collapsed="false">
      <c r="A78" s="0" t="s">
        <v>266</v>
      </c>
      <c r="B78" s="0" t="s">
        <v>267</v>
      </c>
      <c r="C78" s="0" t="s">
        <v>268</v>
      </c>
      <c r="E78" s="7" t="n">
        <v>149.68</v>
      </c>
      <c r="G78" s="8" t="s">
        <v>238</v>
      </c>
      <c r="H78" s="8" t="s">
        <v>269</v>
      </c>
      <c r="I78" s="8" t="s">
        <v>187</v>
      </c>
    </row>
    <row r="79" customFormat="false" ht="17.15" hidden="false" customHeight="false" outlineLevel="0" collapsed="false">
      <c r="A79" s="1" t="s">
        <v>270</v>
      </c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243</v>
      </c>
      <c r="E80" s="7" t="n">
        <v>416.201</v>
      </c>
      <c r="G80" s="8" t="s">
        <v>273</v>
      </c>
      <c r="H80" s="5" t="s">
        <v>274</v>
      </c>
      <c r="I80" s="8" t="s">
        <v>275</v>
      </c>
    </row>
    <row r="81" customFormat="false" ht="17.15" hidden="false" customHeight="false" outlineLevel="0" collapsed="false">
      <c r="A81" s="0" t="s">
        <v>276</v>
      </c>
      <c r="B81" s="0" t="s">
        <v>277</v>
      </c>
      <c r="C81" s="0" t="s">
        <v>243</v>
      </c>
      <c r="E81" s="7" t="n">
        <v>243.316</v>
      </c>
      <c r="G81" s="8" t="s">
        <v>273</v>
      </c>
      <c r="H81" s="5" t="s">
        <v>274</v>
      </c>
      <c r="I81" s="8" t="s">
        <v>275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243</v>
      </c>
      <c r="E82" s="7" t="n">
        <v>45.248</v>
      </c>
      <c r="G82" s="8" t="s">
        <v>273</v>
      </c>
      <c r="H82" s="5" t="s">
        <v>274</v>
      </c>
      <c r="I82" s="8" t="s">
        <v>187</v>
      </c>
    </row>
    <row r="83" customFormat="false" ht="17.15" hidden="false" customHeight="false" outlineLevel="0" collapsed="false">
      <c r="A83" s="0" t="s">
        <v>280</v>
      </c>
      <c r="B83" s="0" t="s">
        <v>281</v>
      </c>
      <c r="C83" s="0" t="s">
        <v>243</v>
      </c>
      <c r="E83" s="7" t="n">
        <v>82.554</v>
      </c>
      <c r="G83" s="8" t="s">
        <v>273</v>
      </c>
      <c r="H83" s="5" t="s">
        <v>274</v>
      </c>
      <c r="I83" s="8" t="s">
        <v>187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243</v>
      </c>
      <c r="E84" s="7" t="n">
        <v>7.646</v>
      </c>
      <c r="G84" s="8" t="s">
        <v>273</v>
      </c>
      <c r="H84" s="5" t="s">
        <v>274</v>
      </c>
      <c r="I84" s="8" t="s">
        <v>187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243</v>
      </c>
      <c r="E85" s="7" t="n">
        <v>90.33</v>
      </c>
      <c r="G85" s="8" t="s">
        <v>273</v>
      </c>
      <c r="H85" s="5" t="s">
        <v>274</v>
      </c>
      <c r="I85" s="8" t="s">
        <v>187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243</v>
      </c>
      <c r="E86" s="7" t="n">
        <v>8.964</v>
      </c>
      <c r="G86" s="8" t="s">
        <v>273</v>
      </c>
      <c r="H86" s="5" t="s">
        <v>274</v>
      </c>
      <c r="I86" s="8" t="s">
        <v>187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243</v>
      </c>
      <c r="E87" s="7" t="n">
        <v>62.027</v>
      </c>
      <c r="G87" s="8" t="s">
        <v>273</v>
      </c>
      <c r="H87" s="5" t="s">
        <v>274</v>
      </c>
      <c r="I87" s="8" t="s">
        <v>275</v>
      </c>
    </row>
    <row r="88" customFormat="false" ht="17.15" hidden="false" customHeight="false" outlineLevel="0" collapsed="false">
      <c r="A88" s="0" t="s">
        <v>290</v>
      </c>
      <c r="B88" s="0" t="s">
        <v>291</v>
      </c>
      <c r="C88" s="0" t="s">
        <v>243</v>
      </c>
      <c r="E88" s="7" t="n">
        <v>131.668</v>
      </c>
      <c r="G88" s="8" t="s">
        <v>273</v>
      </c>
      <c r="H88" s="5" t="s">
        <v>274</v>
      </c>
      <c r="I88" s="8" t="s">
        <v>187</v>
      </c>
    </row>
    <row r="89" customFormat="false" ht="17.15" hidden="false" customHeight="false" outlineLevel="0" collapsed="false">
      <c r="A89" s="0" t="s">
        <v>292</v>
      </c>
      <c r="B89" s="0" t="s">
        <v>293</v>
      </c>
      <c r="C89" s="0" t="s">
        <v>243</v>
      </c>
      <c r="E89" s="7" t="n">
        <v>63.713</v>
      </c>
      <c r="G89" s="8" t="s">
        <v>273</v>
      </c>
      <c r="H89" s="5" t="s">
        <v>274</v>
      </c>
      <c r="I89" s="8" t="s">
        <v>187</v>
      </c>
    </row>
    <row r="90" customFormat="false" ht="17.15" hidden="false" customHeight="false" outlineLevel="0" collapsed="false">
      <c r="A90" s="0" t="s">
        <v>294</v>
      </c>
      <c r="B90" s="0" t="s">
        <v>295</v>
      </c>
      <c r="C90" s="0" t="s">
        <v>268</v>
      </c>
      <c r="E90" s="0" t="n">
        <f aca="false">228.16/2</f>
        <v>114.08</v>
      </c>
      <c r="G90" s="0" t="s">
        <v>36</v>
      </c>
      <c r="H90" s="5" t="s">
        <v>296</v>
      </c>
      <c r="I90" s="0" t="s">
        <v>297</v>
      </c>
    </row>
    <row r="91" customFormat="false" ht="17.15" hidden="false" customHeight="false" outlineLevel="0" collapsed="false">
      <c r="A91" s="1" t="s">
        <v>298</v>
      </c>
    </row>
    <row r="92" customFormat="false" ht="17.15" hidden="false" customHeight="false" outlineLevel="0" collapsed="false">
      <c r="A92" s="0" t="s">
        <v>299</v>
      </c>
      <c r="B92" s="5" t="s">
        <v>300</v>
      </c>
      <c r="C92" s="0" t="s">
        <v>268</v>
      </c>
      <c r="E92" s="7" t="n">
        <v>8512</v>
      </c>
      <c r="G92" s="8" t="s">
        <v>238</v>
      </c>
      <c r="H92" s="8" t="s">
        <v>301</v>
      </c>
      <c r="I92" s="8" t="s">
        <v>302</v>
      </c>
    </row>
    <row r="93" customFormat="false" ht="17.15" hidden="false" customHeight="false" outlineLevel="0" collapsed="false">
      <c r="A93" s="0" t="s">
        <v>303</v>
      </c>
      <c r="B93" s="5" t="s">
        <v>304</v>
      </c>
      <c r="C93" s="0" t="s">
        <v>147</v>
      </c>
      <c r="E93" s="7" t="n">
        <v>53.97</v>
      </c>
      <c r="G93" s="8" t="s">
        <v>238</v>
      </c>
      <c r="H93" s="8" t="s">
        <v>305</v>
      </c>
      <c r="I93" s="5" t="s">
        <v>306</v>
      </c>
    </row>
    <row r="94" customFormat="false" ht="17.15" hidden="false" customHeight="false" outlineLevel="0" collapsed="false">
      <c r="A94" s="0" t="s">
        <v>307</v>
      </c>
      <c r="B94" s="5" t="s">
        <v>308</v>
      </c>
      <c r="C94" s="0" t="s">
        <v>147</v>
      </c>
      <c r="E94" s="7" t="n">
        <v>83.85</v>
      </c>
      <c r="G94" s="8" t="s">
        <v>238</v>
      </c>
      <c r="H94" s="8" t="s">
        <v>309</v>
      </c>
      <c r="I94" s="8" t="s">
        <v>187</v>
      </c>
    </row>
    <row r="95" customFormat="false" ht="17.15" hidden="false" customHeight="false" outlineLevel="0" collapsed="false">
      <c r="A95" s="0" t="s">
        <v>310</v>
      </c>
      <c r="B95" s="0" t="s">
        <v>311</v>
      </c>
      <c r="C95" s="0" t="s">
        <v>147</v>
      </c>
      <c r="E95" s="7" t="n">
        <v>25</v>
      </c>
      <c r="G95" s="8" t="s">
        <v>148</v>
      </c>
      <c r="H95" s="5" t="s">
        <v>312</v>
      </c>
      <c r="I95" s="5" t="s">
        <v>313</v>
      </c>
    </row>
    <row r="96" customFormat="false" ht="17.15" hidden="false" customHeight="false" outlineLevel="0" collapsed="false">
      <c r="A96" s="0" t="s">
        <v>314</v>
      </c>
      <c r="B96" s="5" t="s">
        <v>315</v>
      </c>
      <c r="C96" s="0" t="s">
        <v>243</v>
      </c>
      <c r="E96" s="7" t="n">
        <v>1000</v>
      </c>
      <c r="G96" s="8" t="s">
        <v>238</v>
      </c>
      <c r="H96" s="8" t="s">
        <v>316</v>
      </c>
      <c r="I96" s="5" t="s">
        <v>306</v>
      </c>
    </row>
    <row r="97" customFormat="false" ht="17.15" hidden="false" customHeight="false" outlineLevel="0" collapsed="false">
      <c r="A97" s="0" t="s">
        <v>317</v>
      </c>
      <c r="B97" s="5" t="s">
        <v>318</v>
      </c>
      <c r="C97" s="0" t="s">
        <v>243</v>
      </c>
      <c r="E97" s="7" t="n">
        <v>300</v>
      </c>
      <c r="G97" s="8" t="s">
        <v>238</v>
      </c>
      <c r="H97" s="5" t="s">
        <v>49</v>
      </c>
      <c r="I97" s="5" t="s">
        <v>306</v>
      </c>
    </row>
    <row r="98" customFormat="false" ht="17.15" hidden="false" customHeight="false" outlineLevel="0" collapsed="false">
      <c r="A98" s="1" t="s">
        <v>319</v>
      </c>
    </row>
    <row r="99" customFormat="false" ht="17.15" hidden="false" customHeight="false" outlineLevel="0" collapsed="false">
      <c r="A99" s="0" t="s">
        <v>320</v>
      </c>
      <c r="B99" s="5" t="s">
        <v>321</v>
      </c>
      <c r="C99" s="0" t="s">
        <v>47</v>
      </c>
      <c r="E99" s="9" t="n">
        <v>0.3</v>
      </c>
      <c r="G99" s="8" t="s">
        <v>148</v>
      </c>
      <c r="H99" s="8" t="s">
        <v>322</v>
      </c>
      <c r="I99" s="5" t="s">
        <v>323</v>
      </c>
    </row>
    <row r="100" customFormat="false" ht="17.15" hidden="false" customHeight="false" outlineLevel="0" collapsed="false">
      <c r="A100" s="0" t="s">
        <v>324</v>
      </c>
      <c r="B100" s="5" t="s">
        <v>325</v>
      </c>
      <c r="C100" s="0" t="s">
        <v>47</v>
      </c>
      <c r="E100" s="9" t="n">
        <v>0.5</v>
      </c>
      <c r="G100" s="8" t="s">
        <v>148</v>
      </c>
      <c r="H100" s="8" t="s">
        <v>322</v>
      </c>
      <c r="I100" s="5" t="s">
        <v>323</v>
      </c>
    </row>
    <row r="101" customFormat="false" ht="17.15" hidden="false" customHeight="false" outlineLevel="0" collapsed="false">
      <c r="A101" s="0" t="s">
        <v>326</v>
      </c>
      <c r="B101" s="5" t="s">
        <v>327</v>
      </c>
      <c r="C101" s="0" t="s">
        <v>47</v>
      </c>
      <c r="E101" s="9" t="n">
        <v>0.2</v>
      </c>
      <c r="G101" s="8" t="s">
        <v>148</v>
      </c>
      <c r="H101" s="8" t="s">
        <v>322</v>
      </c>
      <c r="I101" s="5" t="s">
        <v>323</v>
      </c>
    </row>
    <row r="102" customFormat="false" ht="17.15" hidden="false" customHeight="false" outlineLevel="0" collapsed="false">
      <c r="A102" s="1" t="s">
        <v>328</v>
      </c>
    </row>
    <row r="103" customFormat="false" ht="17.15" hidden="false" customHeight="false" outlineLevel="0" collapsed="false">
      <c r="A103" s="0" t="s">
        <v>329</v>
      </c>
      <c r="B103" s="5" t="s">
        <v>330</v>
      </c>
      <c r="C103" s="0" t="s">
        <v>47</v>
      </c>
      <c r="E103" s="9" t="n">
        <v>0.1</v>
      </c>
      <c r="G103" s="8" t="s">
        <v>148</v>
      </c>
      <c r="H103" s="8" t="s">
        <v>331</v>
      </c>
      <c r="I103" s="8" t="s">
        <v>332</v>
      </c>
    </row>
    <row r="104" customFormat="false" ht="17.15" hidden="false" customHeight="false" outlineLevel="0" collapsed="false">
      <c r="A104" s="0" t="s">
        <v>333</v>
      </c>
      <c r="B104" s="5" t="s">
        <v>334</v>
      </c>
      <c r="C104" s="0" t="s">
        <v>47</v>
      </c>
      <c r="E104" s="9" t="n">
        <v>0.04</v>
      </c>
      <c r="G104" s="8" t="s">
        <v>148</v>
      </c>
      <c r="H104" s="8" t="s">
        <v>335</v>
      </c>
      <c r="I104" s="8" t="s">
        <v>336</v>
      </c>
    </row>
    <row r="105" customFormat="false" ht="17.15" hidden="false" customHeight="false" outlineLevel="0" collapsed="false">
      <c r="A105" s="0" t="s">
        <v>337</v>
      </c>
      <c r="B105" s="0" t="s">
        <v>338</v>
      </c>
      <c r="C105" s="0" t="s">
        <v>47</v>
      </c>
      <c r="E105" s="10" t="n">
        <f aca="false">AVERAGE(0.1217,0.0682,0.0685)</f>
        <v>0.0861333333333333</v>
      </c>
      <c r="G105" s="8" t="s">
        <v>36</v>
      </c>
      <c r="H105" s="8" t="s">
        <v>339</v>
      </c>
      <c r="I105" s="5" t="s">
        <v>340</v>
      </c>
    </row>
    <row r="106" customFormat="false" ht="17.15" hidden="false" customHeight="false" outlineLevel="0" collapsed="false">
      <c r="A106" s="0" t="s">
        <v>341</v>
      </c>
      <c r="B106" s="5" t="s">
        <v>342</v>
      </c>
      <c r="C106" s="0" t="s">
        <v>47</v>
      </c>
      <c r="E106" s="9" t="n">
        <v>0.5</v>
      </c>
      <c r="G106" s="8" t="s">
        <v>148</v>
      </c>
      <c r="H106" s="8" t="s">
        <v>343</v>
      </c>
      <c r="I106" s="8" t="s">
        <v>344</v>
      </c>
    </row>
    <row r="107" customFormat="false" ht="17.15" hidden="false" customHeight="false" outlineLevel="0" collapsed="false">
      <c r="A107" s="0" t="s">
        <v>345</v>
      </c>
      <c r="B107" s="5" t="s">
        <v>346</v>
      </c>
      <c r="C107" s="0" t="s">
        <v>47</v>
      </c>
      <c r="E107" s="10" t="n">
        <f aca="false">tp_g+0.02</f>
        <v>0.06</v>
      </c>
      <c r="G107" s="8" t="s">
        <v>148</v>
      </c>
      <c r="H107" s="5" t="s">
        <v>347</v>
      </c>
      <c r="I107" s="8" t="s">
        <v>348</v>
      </c>
    </row>
    <row r="108" customFormat="false" ht="17.15" hidden="false" customHeight="false" outlineLevel="0" collapsed="false">
      <c r="A108" s="0" t="s">
        <v>349</v>
      </c>
      <c r="B108" s="5" t="s">
        <v>350</v>
      </c>
      <c r="C108" s="0" t="s">
        <v>47</v>
      </c>
      <c r="E108" s="10" t="n">
        <f aca="false">tp_g</f>
        <v>0.04</v>
      </c>
      <c r="G108" s="8" t="s">
        <v>148</v>
      </c>
      <c r="H108" s="5" t="s">
        <v>49</v>
      </c>
      <c r="I108" s="8" t="s">
        <v>187</v>
      </c>
    </row>
    <row r="109" customFormat="false" ht="17.15" hidden="false" customHeight="false" outlineLevel="0" collapsed="false">
      <c r="A109" s="0" t="s">
        <v>351</v>
      </c>
      <c r="B109" s="5" t="s">
        <v>352</v>
      </c>
      <c r="C109" s="0" t="s">
        <v>47</v>
      </c>
      <c r="E109" s="10" t="n">
        <f aca="false">tp_g-0.02</f>
        <v>0.02</v>
      </c>
      <c r="G109" s="8" t="s">
        <v>148</v>
      </c>
      <c r="H109" s="5" t="s">
        <v>49</v>
      </c>
      <c r="I109" s="8" t="s">
        <v>187</v>
      </c>
    </row>
    <row r="110" customFormat="false" ht="17.15" hidden="false" customHeight="false" outlineLevel="0" collapsed="false">
      <c r="A110" s="0" t="s">
        <v>353</v>
      </c>
      <c r="B110" s="5" t="s">
        <v>354</v>
      </c>
      <c r="C110" s="0" t="s">
        <v>147</v>
      </c>
      <c r="E110" s="9" t="n">
        <v>0.8</v>
      </c>
      <c r="G110" s="8" t="s">
        <v>148</v>
      </c>
      <c r="H110" s="5" t="s">
        <v>355</v>
      </c>
      <c r="I110" s="5" t="s">
        <v>356</v>
      </c>
    </row>
    <row r="111" customFormat="false" ht="17.15" hidden="false" customHeight="false" outlineLevel="0" collapsed="false">
      <c r="A111" s="0" t="s">
        <v>357</v>
      </c>
      <c r="B111" s="5" t="s">
        <v>358</v>
      </c>
      <c r="C111" s="0" t="s">
        <v>268</v>
      </c>
      <c r="E111" s="7" t="n">
        <v>12432.35</v>
      </c>
      <c r="G111" s="8" t="s">
        <v>238</v>
      </c>
      <c r="H111" s="8" t="s">
        <v>359</v>
      </c>
      <c r="I111" s="5" t="s">
        <v>306</v>
      </c>
    </row>
    <row r="112" customFormat="false" ht="17.15" hidden="false" customHeight="false" outlineLevel="0" collapsed="false">
      <c r="A112" s="0" t="s">
        <v>360</v>
      </c>
      <c r="B112" s="5" t="s">
        <v>361</v>
      </c>
      <c r="C112" s="0" t="s">
        <v>268</v>
      </c>
      <c r="E112" s="0" t="n">
        <f aca="false">9764/53.97</f>
        <v>180.915323327775</v>
      </c>
      <c r="G112" s="0" t="s">
        <v>238</v>
      </c>
      <c r="H112" s="0" t="s">
        <v>362</v>
      </c>
      <c r="I112" s="5" t="s">
        <v>363</v>
      </c>
    </row>
    <row r="114" customFormat="false" ht="17.15" hidden="false" customHeight="false" outlineLevel="0" collapsed="false">
      <c r="A114" s="1" t="s">
        <v>364</v>
      </c>
    </row>
    <row r="115" customFormat="false" ht="17.15" hidden="false" customHeight="false" outlineLevel="0" collapsed="false">
      <c r="A115" s="0" t="s">
        <v>365</v>
      </c>
      <c r="B115" s="5" t="s">
        <v>366</v>
      </c>
      <c r="C115" s="0" t="s">
        <v>47</v>
      </c>
      <c r="D115" s="11" t="n">
        <v>0.13</v>
      </c>
      <c r="E115" s="12" t="n">
        <v>0.15</v>
      </c>
      <c r="F115" s="11" t="n">
        <v>0.17</v>
      </c>
      <c r="G115" s="8" t="s">
        <v>148</v>
      </c>
      <c r="H115" s="8" t="s">
        <v>367</v>
      </c>
      <c r="I115" s="8" t="s">
        <v>368</v>
      </c>
    </row>
    <row r="116" customFormat="false" ht="17.15" hidden="false" customHeight="false" outlineLevel="0" collapsed="false">
      <c r="A116" s="0" t="s">
        <v>369</v>
      </c>
      <c r="B116" s="5" t="s">
        <v>370</v>
      </c>
      <c r="C116" s="0" t="s">
        <v>47</v>
      </c>
      <c r="D116" s="11" t="n">
        <v>0.2</v>
      </c>
      <c r="E116" s="12" t="n">
        <v>0.25</v>
      </c>
      <c r="F116" s="11" t="n">
        <v>0.38</v>
      </c>
      <c r="G116" s="8" t="s">
        <v>148</v>
      </c>
      <c r="H116" s="8" t="s">
        <v>371</v>
      </c>
      <c r="I116" s="8" t="s">
        <v>372</v>
      </c>
    </row>
    <row r="118" customFormat="false" ht="17.15" hidden="false" customHeight="false" outlineLevel="0" collapsed="false">
      <c r="A118" s="3" t="s">
        <v>373</v>
      </c>
    </row>
    <row r="119" customFormat="false" ht="17.15" hidden="false" customHeight="false" outlineLevel="0" collapsed="false">
      <c r="A119" s="3" t="s">
        <v>23</v>
      </c>
      <c r="B119" s="3" t="s">
        <v>24</v>
      </c>
      <c r="C119" s="3" t="s">
        <v>25</v>
      </c>
      <c r="D119" s="3" t="s">
        <v>374</v>
      </c>
      <c r="E119" s="3" t="s">
        <v>375</v>
      </c>
      <c r="F119" s="3" t="s">
        <v>376</v>
      </c>
      <c r="G119" s="3" t="s">
        <v>29</v>
      </c>
      <c r="H119" s="3" t="s">
        <v>377</v>
      </c>
    </row>
    <row r="120" customFormat="false" ht="17.15" hidden="false" customHeight="false" outlineLevel="0" collapsed="false">
      <c r="A120" s="0" t="s">
        <v>378</v>
      </c>
      <c r="B120" s="0" t="s">
        <v>379</v>
      </c>
      <c r="C120" s="0" t="s">
        <v>147</v>
      </c>
      <c r="D120" s="0" t="n">
        <f aca="false">E41</f>
        <v>1</v>
      </c>
      <c r="E120" s="0" t="n">
        <f aca="false">E43</f>
        <v>0.8</v>
      </c>
      <c r="F120" s="0" t="n">
        <f aca="false">E45</f>
        <v>0.6</v>
      </c>
      <c r="G120" s="0" t="s">
        <v>36</v>
      </c>
      <c r="H120" s="5" t="s">
        <v>380</v>
      </c>
    </row>
    <row r="121" customFormat="false" ht="17.15" hidden="false" customHeight="false" outlineLevel="0" collapsed="false">
      <c r="A121" s="0" t="s">
        <v>381</v>
      </c>
      <c r="B121" s="0" t="s">
        <v>382</v>
      </c>
      <c r="C121" s="0" t="s">
        <v>147</v>
      </c>
      <c r="D121" s="0" t="n">
        <f aca="false">E42</f>
        <v>1</v>
      </c>
      <c r="E121" s="0" t="n">
        <f aca="false">E44</f>
        <v>0.85</v>
      </c>
      <c r="F121" s="0" t="n">
        <f aca="false">E46</f>
        <v>0.6</v>
      </c>
      <c r="G121" s="0" t="s">
        <v>36</v>
      </c>
      <c r="H121" s="5" t="s">
        <v>383</v>
      </c>
    </row>
    <row r="122" customFormat="false" ht="17.15" hidden="false" customHeight="false" outlineLevel="0" collapsed="false">
      <c r="A122" s="0" t="s">
        <v>384</v>
      </c>
      <c r="B122" s="5" t="s">
        <v>385</v>
      </c>
      <c r="C122" s="0" t="s">
        <v>47</v>
      </c>
      <c r="D122" s="0" t="n">
        <f aca="false">E107</f>
        <v>0.06</v>
      </c>
      <c r="E122" s="0" t="n">
        <f aca="false">E108</f>
        <v>0.04</v>
      </c>
      <c r="F122" s="0" t="n">
        <f aca="false">E109</f>
        <v>0.02</v>
      </c>
      <c r="G122" s="0" t="s">
        <v>36</v>
      </c>
      <c r="H122" s="5" t="s">
        <v>386</v>
      </c>
    </row>
    <row r="123" customFormat="false" ht="17.15" hidden="false" customHeight="false" outlineLevel="0" collapsed="false">
      <c r="A123" s="0" t="s">
        <v>387</v>
      </c>
      <c r="B123" s="5" t="s">
        <v>388</v>
      </c>
      <c r="C123" s="0" t="s">
        <v>47</v>
      </c>
      <c r="D123" s="0" t="n">
        <f aca="false">E99</f>
        <v>0.3</v>
      </c>
      <c r="E123" s="0" t="n">
        <f aca="false">E100</f>
        <v>0.5</v>
      </c>
      <c r="F123" s="0" t="n">
        <f aca="false">E101</f>
        <v>0.2</v>
      </c>
      <c r="G123" s="0" t="s">
        <v>36</v>
      </c>
      <c r="H123" s="5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390</v>
      </c>
    </row>
    <row r="2" customFormat="false" ht="17.15" hidden="false" customHeight="false" outlineLevel="0" collapsed="false">
      <c r="A2" s="5" t="s">
        <v>391</v>
      </c>
    </row>
    <row r="3" customFormat="false" ht="17.15" hidden="false" customHeight="false" outlineLevel="0" collapsed="false">
      <c r="A3" s="6" t="s">
        <v>24</v>
      </c>
      <c r="B3" s="13" t="s">
        <v>392</v>
      </c>
      <c r="C3" s="13" t="s">
        <v>393</v>
      </c>
      <c r="D3" s="6" t="s">
        <v>394</v>
      </c>
      <c r="E3" s="6" t="s">
        <v>29</v>
      </c>
      <c r="F3" s="6" t="s">
        <v>377</v>
      </c>
    </row>
    <row r="4" customFormat="false" ht="17.15" hidden="false" customHeight="false" outlineLevel="0" collapsed="false">
      <c r="A4" s="5" t="s">
        <v>395</v>
      </c>
      <c r="B4" s="14" t="n">
        <f aca="false">a_rev</f>
        <v>416.201</v>
      </c>
      <c r="C4" s="14" t="n">
        <f aca="false">f_rev</f>
        <v>550</v>
      </c>
      <c r="D4" s="15" t="n">
        <f aca="false">C4/B4-1</f>
        <v>0.321476882563953</v>
      </c>
      <c r="E4" s="8" t="s">
        <v>396</v>
      </c>
    </row>
    <row r="5" customFormat="false" ht="17.15" hidden="false" customHeight="false" outlineLevel="0" collapsed="false">
      <c r="A5" s="5" t="s">
        <v>397</v>
      </c>
      <c r="B5" s="14" t="n">
        <f aca="false">a_e</f>
        <v>243.316</v>
      </c>
      <c r="C5" s="14" t="n">
        <f aca="false">f_e</f>
        <v>375</v>
      </c>
      <c r="D5" s="15" t="n">
        <f aca="false">C5/B5-1</f>
        <v>0.541205674924789</v>
      </c>
      <c r="E5" s="8" t="s">
        <v>396</v>
      </c>
    </row>
    <row r="6" customFormat="false" ht="17.15" hidden="false" customHeight="false" outlineLevel="0" collapsed="false">
      <c r="A6" s="5" t="s">
        <v>398</v>
      </c>
      <c r="B6" s="14" t="n">
        <f aca="false">a_cer</f>
        <v>82.554</v>
      </c>
      <c r="C6" s="14" t="n">
        <f aca="false">f_cer</f>
        <v>84</v>
      </c>
      <c r="D6" s="15" t="n">
        <f aca="false">C6/B6-1</f>
        <v>0.0175158078348716</v>
      </c>
      <c r="E6" s="8" t="s">
        <v>396</v>
      </c>
    </row>
    <row r="7" customFormat="false" ht="17.15" hidden="false" customHeight="false" outlineLevel="0" collapsed="false">
      <c r="A7" s="5" t="s">
        <v>399</v>
      </c>
      <c r="B7" s="14" t="n">
        <f aca="false">a_oth</f>
        <v>90.33</v>
      </c>
      <c r="C7" s="14" t="n">
        <f aca="false">f_oth</f>
        <v>91</v>
      </c>
      <c r="D7" s="15" t="n">
        <f aca="false">C7/B7-1</f>
        <v>0.00741724786892517</v>
      </c>
      <c r="E7" s="8" t="s">
        <v>396</v>
      </c>
    </row>
    <row r="8" customFormat="false" ht="17.15" hidden="false" customHeight="false" outlineLevel="0" collapsed="false">
      <c r="A8" s="5" t="s">
        <v>400</v>
      </c>
      <c r="B8" s="14" t="n">
        <f aca="false">a_oi</f>
        <v>62.027</v>
      </c>
      <c r="C8" s="14" t="n">
        <f aca="false">f_oi</f>
        <v>127</v>
      </c>
      <c r="D8" s="15" t="n">
        <f aca="false">C8/B8-1</f>
        <v>1.04749544553178</v>
      </c>
      <c r="E8" s="8" t="s">
        <v>396</v>
      </c>
    </row>
    <row r="9" customFormat="false" ht="17.15" hidden="false" customHeight="false" outlineLevel="0" collapsed="false">
      <c r="A9" s="5" t="s">
        <v>397</v>
      </c>
      <c r="B9" s="14" t="n">
        <f aca="false">a_eoi</f>
        <v>45.248</v>
      </c>
      <c r="C9" s="14" t="n">
        <f aca="false">f_eoi</f>
        <v>110</v>
      </c>
      <c r="D9" s="15" t="n">
        <f aca="false">C9/B9-1</f>
        <v>1.43104667609618</v>
      </c>
      <c r="E9" s="8" t="s">
        <v>396</v>
      </c>
    </row>
    <row r="10" customFormat="false" ht="17.15" hidden="false" customHeight="false" outlineLevel="0" collapsed="false">
      <c r="A10" s="5" t="s">
        <v>398</v>
      </c>
      <c r="B10" s="14" t="n">
        <f aca="false">a_ceroi</f>
        <v>7.646</v>
      </c>
      <c r="C10" s="14" t="n">
        <f aca="false">f_ceroi</f>
        <v>6.5</v>
      </c>
      <c r="D10" s="15" t="n">
        <f aca="false">C10/B10-1</f>
        <v>-0.149882291394193</v>
      </c>
      <c r="E10" s="8" t="s">
        <v>396</v>
      </c>
    </row>
    <row r="11" customFormat="false" ht="17.15" hidden="false" customHeight="false" outlineLevel="0" collapsed="false">
      <c r="A11" s="5" t="s">
        <v>399</v>
      </c>
      <c r="B11" s="14" t="n">
        <f aca="false">a_othoi</f>
        <v>8.964</v>
      </c>
      <c r="C11" s="14" t="n">
        <f aca="false">f_othoi</f>
        <v>10.5</v>
      </c>
      <c r="D11" s="15" t="n">
        <f aca="false">C11/B11-1</f>
        <v>0.171352074966533</v>
      </c>
      <c r="E11" s="8" t="s">
        <v>396</v>
      </c>
    </row>
    <row r="12" customFormat="false" ht="17.15" hidden="false" customHeight="false" outlineLevel="0" collapsed="false">
      <c r="A12" s="5" t="s">
        <v>401</v>
      </c>
      <c r="B12" s="16" t="n">
        <f aca="false">a_oi-a_eoi-a_ceroi-a_othoi</f>
        <v>0.169000000000002</v>
      </c>
      <c r="C12" s="16" t="n">
        <f aca="false">f_oi-f_eoi-f_ceroi-f_othoi</f>
        <v>0</v>
      </c>
      <c r="D12" s="15" t="n">
        <f aca="false">C12/B12-1</f>
        <v>-1</v>
      </c>
      <c r="E12" s="8" t="s">
        <v>396</v>
      </c>
    </row>
    <row r="13" customFormat="false" ht="17.15" hidden="false" customHeight="false" outlineLevel="0" collapsed="false">
      <c r="A13" s="5" t="s">
        <v>402</v>
      </c>
      <c r="B13" s="14" t="n">
        <f aca="false">a_ni</f>
        <v>63.713</v>
      </c>
      <c r="C13" s="14" t="n">
        <f aca="false">f_ni</f>
        <v>84</v>
      </c>
      <c r="D13" s="15" t="n">
        <f aca="false">C13/B13-1</f>
        <v>0.318412254955818</v>
      </c>
      <c r="E13" s="8" t="s">
        <v>396</v>
      </c>
      <c r="F13" s="8" t="s">
        <v>403</v>
      </c>
    </row>
    <row r="14" customFormat="false" ht="17.15" hidden="false" customHeight="false" outlineLevel="0" collapsed="false">
      <c r="A14" s="0" t="s">
        <v>404</v>
      </c>
      <c r="B14" s="16" t="n">
        <f aca="false">a_eps</f>
        <v>114.08</v>
      </c>
      <c r="C14" s="16" t="n">
        <f aca="false">f_eps</f>
        <v>149.68</v>
      </c>
      <c r="D14" s="15" t="n">
        <f aca="false">C14/B14-1</f>
        <v>0.312061711079944</v>
      </c>
      <c r="E14" s="8" t="s">
        <v>396</v>
      </c>
    </row>
    <row r="16" customFormat="false" ht="15" hidden="false" customHeight="false" outlineLevel="0" collapsed="false">
      <c r="A16" s="3" t="s">
        <v>405</v>
      </c>
    </row>
    <row r="17" customFormat="false" ht="15" hidden="false" customHeight="false" outlineLevel="0" collapsed="false">
      <c r="A17" s="5" t="s">
        <v>406</v>
      </c>
      <c r="B17" s="15" t="n">
        <f aca="false">B9/B5</f>
        <v>0.185963931677325</v>
      </c>
      <c r="C17" s="15" t="n">
        <f aca="false">C9/C5</f>
        <v>0.293333333333333</v>
      </c>
      <c r="E17" s="8" t="s">
        <v>36</v>
      </c>
    </row>
    <row r="18" customFormat="false" ht="15" hidden="false" customHeight="false" outlineLevel="0" collapsed="false">
      <c r="A18" s="5" t="s">
        <v>407</v>
      </c>
      <c r="B18" s="15" t="n">
        <f aca="false">B8/B4</f>
        <v>0.149031357445081</v>
      </c>
      <c r="C18" s="15" t="n">
        <f aca="false">C8/C4</f>
        <v>0.230909090909091</v>
      </c>
      <c r="E18" s="8" t="s">
        <v>36</v>
      </c>
    </row>
    <row r="19" customFormat="false" ht="17.15" hidden="false" customHeight="false" outlineLevel="0" collapsed="false">
      <c r="A19" s="5" t="s">
        <v>408</v>
      </c>
      <c r="B19" s="15" t="n">
        <f aca="false">B5/B4</f>
        <v>0.584611762105329</v>
      </c>
      <c r="C19" s="15" t="n">
        <f aca="false">C5/C4</f>
        <v>0.681818181818182</v>
      </c>
      <c r="E19" s="8" t="s">
        <v>36</v>
      </c>
    </row>
    <row r="20" customFormat="false" ht="17.15" hidden="false" customHeight="false" outlineLevel="0" collapsed="false">
      <c r="A20" s="5" t="s">
        <v>409</v>
      </c>
      <c r="B20" s="15" t="n">
        <f aca="false">a_gp/a_rev</f>
        <v>0.316356760315328</v>
      </c>
      <c r="C20" s="15"/>
      <c r="E20" s="8" t="s">
        <v>36</v>
      </c>
    </row>
    <row r="21" customFormat="false" ht="17.15" hidden="false" customHeight="false" outlineLevel="0" collapsed="false">
      <c r="A21" s="5" t="s">
        <v>410</v>
      </c>
      <c r="B21" s="17" t="n">
        <f aca="false">B13/B14</f>
        <v>0.558494039270687</v>
      </c>
      <c r="C21" s="17" t="n">
        <f aca="false">C13/C14</f>
        <v>0.561197220737574</v>
      </c>
      <c r="E21" s="8" t="s">
        <v>36</v>
      </c>
      <c r="F21" s="8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412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13" t="s">
        <v>413</v>
      </c>
      <c r="D3" s="13" t="s">
        <v>414</v>
      </c>
      <c r="E3" s="13" t="s">
        <v>415</v>
      </c>
      <c r="F3" s="13" t="s">
        <v>416</v>
      </c>
      <c r="G3" s="6" t="s">
        <v>377</v>
      </c>
    </row>
    <row r="4" customFormat="false" ht="17.15" hidden="false" customHeight="false" outlineLevel="0" collapsed="false">
      <c r="A4" s="0" t="s">
        <v>417</v>
      </c>
      <c r="B4" s="5" t="s">
        <v>35</v>
      </c>
      <c r="C4" s="16" t="n">
        <f aca="false">PL!D63</f>
        <v>7.6</v>
      </c>
      <c r="D4" s="16" t="n">
        <f aca="false">PL!E63</f>
        <v>9.7</v>
      </c>
      <c r="E4" s="16" t="n">
        <f aca="false">PL!F63</f>
        <v>9.5</v>
      </c>
      <c r="F4" s="16" t="n">
        <f aca="false">PL!G63</f>
        <v>10.6</v>
      </c>
      <c r="G4" s="8" t="s">
        <v>418</v>
      </c>
    </row>
    <row r="5" customFormat="false" ht="17.15" hidden="false" customHeight="false" outlineLevel="0" collapsed="false">
      <c r="A5" s="5" t="s">
        <v>419</v>
      </c>
      <c r="B5" s="5" t="s">
        <v>35</v>
      </c>
      <c r="C5" s="16" t="n">
        <f aca="false">PL!D64</f>
        <v>7.6</v>
      </c>
      <c r="D5" s="16" t="n">
        <f aca="false">PL!E64</f>
        <v>14</v>
      </c>
      <c r="E5" s="16" t="n">
        <f aca="false">PL!F64</f>
        <v>17</v>
      </c>
      <c r="F5" s="16" t="n">
        <f aca="false">PL!G64</f>
        <v>19.55</v>
      </c>
    </row>
    <row r="6" customFormat="false" ht="17.15" hidden="false" customHeight="false" outlineLevel="0" collapsed="false">
      <c r="A6" s="5" t="s">
        <v>420</v>
      </c>
      <c r="B6" s="5" t="s">
        <v>35</v>
      </c>
      <c r="C6" s="16" t="n">
        <f aca="false">PL!D65</f>
        <v>10.64</v>
      </c>
      <c r="D6" s="16" t="n">
        <f aca="false">PL!E65</f>
        <v>15.3</v>
      </c>
      <c r="E6" s="16" t="n">
        <f aca="false">PL!F65</f>
        <v>16.3</v>
      </c>
      <c r="F6" s="16" t="n">
        <f aca="false">PL!G65</f>
        <v>18.42</v>
      </c>
      <c r="G6" s="5" t="s">
        <v>421</v>
      </c>
    </row>
    <row r="7" customFormat="false" ht="17.15" hidden="false" customHeight="false" outlineLevel="0" collapsed="false">
      <c r="A7" s="5" t="s">
        <v>422</v>
      </c>
      <c r="B7" s="0" t="s">
        <v>423</v>
      </c>
      <c r="C7" s="18" t="n">
        <f aca="false">PL!$D$67*PL!D68*PL!D69*PL!D70*1000/fx</f>
        <v>150.716017016225</v>
      </c>
      <c r="D7" s="18" t="n">
        <f aca="false">PL!$D$67*PL!E68*PL!E69*PL!E70*1000/fx</f>
        <v>168.952655075188</v>
      </c>
      <c r="E7" s="18" t="n">
        <f aca="false">PL!$D$67*PL!F68*PL!F69*PL!F70*1000/fx</f>
        <v>175.440437030075</v>
      </c>
      <c r="F7" s="18" t="n">
        <f aca="false">PL!$D$67*PL!G68*PL!G69*PL!G70*1000/fx</f>
        <v>189.437897735704</v>
      </c>
      <c r="G7" s="5" t="s">
        <v>424</v>
      </c>
    </row>
    <row r="8" customFormat="false" ht="17.15" hidden="false" customHeight="false" outlineLevel="0" collapsed="false">
      <c r="A8" s="5" t="s">
        <v>425</v>
      </c>
      <c r="B8" s="0" t="s">
        <v>423</v>
      </c>
      <c r="C8" s="18" t="n">
        <f aca="false">PL!$D$67*PL!D68*PL!D70*1000/fx/0.7</f>
        <v>215.308595737464</v>
      </c>
      <c r="D8" s="18" t="n">
        <f aca="false">PL!$D$67*PL!E68*PL!E70*1000/fx/0.7</f>
        <v>254.064142970207</v>
      </c>
      <c r="E8" s="18" t="n">
        <f aca="false">PL!$D$67*PL!F68*PL!F70*1000/fx/0.7</f>
        <v>284.805904269603</v>
      </c>
      <c r="F8" s="18" t="n">
        <f aca="false">PL!$D$67*PL!G68*PL!G70*1000/fx/0.7</f>
        <v>318.383021404545</v>
      </c>
      <c r="G8" s="8" t="s">
        <v>426</v>
      </c>
    </row>
    <row r="9" customFormat="false" ht="17.15" hidden="false" customHeight="false" outlineLevel="0" collapsed="false">
      <c r="A9" s="0" t="s">
        <v>427</v>
      </c>
      <c r="B9" s="0" t="s">
        <v>243</v>
      </c>
      <c r="C9" s="14" t="n">
        <f aca="false">PL!D71</f>
        <v>243.75</v>
      </c>
      <c r="D9" s="14" t="n">
        <f aca="false">PL!E71</f>
        <v>392.916294642857</v>
      </c>
      <c r="E9" s="14" t="n">
        <f aca="false">PL!F71</f>
        <v>434.671226785714</v>
      </c>
      <c r="F9" s="14" t="n">
        <f aca="false">PL!G71</f>
        <v>530.395803596334</v>
      </c>
    </row>
    <row r="10" customFormat="false" ht="17.15" hidden="false" customHeight="false" outlineLevel="0" collapsed="false">
      <c r="A10" s="0" t="s">
        <v>428</v>
      </c>
      <c r="B10" s="0" t="s">
        <v>136</v>
      </c>
      <c r="C10" s="16" t="n">
        <f aca="false">PL!D71/fx</f>
        <v>1.60361842105263</v>
      </c>
      <c r="D10" s="16" t="n">
        <f aca="false">PL!E71/fx</f>
        <v>2.58497562265038</v>
      </c>
      <c r="E10" s="16" t="n">
        <f aca="false">PL!F71/fx</f>
        <v>2.85967912359023</v>
      </c>
      <c r="F10" s="16" t="n">
        <f aca="false">PL!G71/fx</f>
        <v>3.48944607629167</v>
      </c>
      <c r="G10" s="8" t="s">
        <v>429</v>
      </c>
    </row>
    <row r="11" customFormat="false" ht="17.15" hidden="false" customHeight="false" outlineLevel="0" collapsed="false">
      <c r="A11" s="0" t="s">
        <v>430</v>
      </c>
      <c r="B11" s="0" t="s">
        <v>47</v>
      </c>
      <c r="C11" s="19" t="n">
        <f aca="false">PL!D71/fx/itc_26</f>
        <v>0.00205099625126969</v>
      </c>
      <c r="D11" s="19" t="n">
        <f aca="false">PL!E71/fx/itc_27</f>
        <v>0.00165137229542938</v>
      </c>
      <c r="E11" s="19" t="n">
        <f aca="false">PL!F71/fx/itc_28</f>
        <v>0.00144117883694972</v>
      </c>
      <c r="F11" s="19" t="n">
        <f aca="false">PL!G71/fx/itc_29</f>
        <v>0.00154373610194528</v>
      </c>
      <c r="G11" s="8" t="s">
        <v>431</v>
      </c>
    </row>
    <row r="12" customFormat="false" ht="17.15" hidden="false" customHeight="false" outlineLevel="0" collapsed="false">
      <c r="A12" s="5" t="s">
        <v>432</v>
      </c>
      <c r="B12" s="0" t="s">
        <v>433</v>
      </c>
      <c r="C12" s="18" t="n">
        <f aca="false">PL!D71/fx/itc_26*37.59*1000</f>
        <v>77.0969490852277</v>
      </c>
      <c r="D12" s="18" t="n">
        <f aca="false">PL!E71/fx/itc_27*37.59*1000</f>
        <v>62.0750845851903</v>
      </c>
      <c r="E12" s="18" t="n">
        <f aca="false">PL!F71/fx/itc_28*37.59*1000</f>
        <v>54.1739124809401</v>
      </c>
      <c r="F12" s="18" t="n">
        <f aca="false">PL!G71/fx/itc_29*37.59*1000</f>
        <v>58.029040072123</v>
      </c>
      <c r="G12" s="8" t="s">
        <v>434</v>
      </c>
    </row>
    <row r="14" customFormat="false" ht="17.15" hidden="false" customHeight="false" outlineLevel="0" collapsed="false">
      <c r="A14" s="3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436</v>
      </c>
    </row>
    <row r="3" customFormat="false" ht="17.15" hidden="false" customHeight="false" outlineLevel="0" collapsed="false">
      <c r="A3" s="6" t="s">
        <v>437</v>
      </c>
      <c r="B3" s="6" t="s">
        <v>25</v>
      </c>
      <c r="C3" s="13" t="s">
        <v>392</v>
      </c>
      <c r="D3" s="13" t="s">
        <v>438</v>
      </c>
      <c r="E3" s="13" t="s">
        <v>414</v>
      </c>
      <c r="F3" s="13" t="s">
        <v>415</v>
      </c>
      <c r="G3" s="13" t="s">
        <v>416</v>
      </c>
      <c r="H3" s="6" t="s">
        <v>377</v>
      </c>
    </row>
    <row r="4" customFormat="false" ht="17.15" hidden="false" customHeight="false" outlineLevel="0" collapsed="false">
      <c r="A4" s="3" t="s">
        <v>439</v>
      </c>
    </row>
    <row r="5" customFormat="false" ht="15" hidden="false" customHeight="false" outlineLevel="0" collapsed="false">
      <c r="A5" s="5" t="s">
        <v>395</v>
      </c>
      <c r="B5" s="0" t="s">
        <v>243</v>
      </c>
      <c r="C5" s="14" t="n">
        <f aca="false">C82</f>
        <v>416.2</v>
      </c>
      <c r="D5" s="14" t="n">
        <f aca="false">D82</f>
        <v>550</v>
      </c>
      <c r="E5" s="14" t="n">
        <f aca="false">E82</f>
        <v>708.458794642857</v>
      </c>
      <c r="F5" s="14" t="n">
        <f aca="false">F82</f>
        <v>759.916251785714</v>
      </c>
      <c r="G5" s="14" t="n">
        <f aca="false">G82</f>
        <v>865.772241846335</v>
      </c>
    </row>
    <row r="6" customFormat="false" ht="15" hidden="false" customHeight="false" outlineLevel="0" collapsed="false">
      <c r="A6" s="5" t="s">
        <v>440</v>
      </c>
      <c r="B6" s="0" t="s">
        <v>47</v>
      </c>
      <c r="D6" s="15" t="n">
        <f aca="false">D84</f>
        <v>0.321480057664584</v>
      </c>
      <c r="E6" s="15" t="n">
        <f aca="false">E84</f>
        <v>0.288106899350649</v>
      </c>
      <c r="F6" s="15" t="n">
        <f aca="false">F84</f>
        <v>0.0726329569651225</v>
      </c>
      <c r="G6" s="15" t="n">
        <f aca="false">G84</f>
        <v>0.139299547564447</v>
      </c>
    </row>
    <row r="7" customFormat="false" ht="17.15" hidden="false" customHeight="false" outlineLevel="0" collapsed="false">
      <c r="A7" s="0" t="s">
        <v>441</v>
      </c>
      <c r="B7" s="0" t="s">
        <v>243</v>
      </c>
      <c r="D7" s="14" t="n">
        <f aca="false">D71</f>
        <v>243.75</v>
      </c>
      <c r="E7" s="14" t="n">
        <f aca="false">E71</f>
        <v>392.916294642857</v>
      </c>
      <c r="F7" s="14" t="n">
        <f aca="false">F71</f>
        <v>434.671226785714</v>
      </c>
      <c r="G7" s="14" t="n">
        <f aca="false">G71</f>
        <v>530.395803596334</v>
      </c>
    </row>
    <row r="8" customFormat="false" ht="15" hidden="false" customHeight="false" outlineLevel="0" collapsed="false">
      <c r="A8" s="5" t="s">
        <v>397</v>
      </c>
      <c r="B8" s="0" t="s">
        <v>243</v>
      </c>
      <c r="C8" s="14" t="n">
        <f aca="false">C74</f>
        <v>243.316</v>
      </c>
      <c r="D8" s="14" t="n">
        <f aca="false">D74</f>
        <v>375</v>
      </c>
      <c r="E8" s="14" t="n">
        <f aca="false">E74</f>
        <v>530.728794642857</v>
      </c>
      <c r="F8" s="14" t="n">
        <f aca="false">F74</f>
        <v>579.374351785714</v>
      </c>
      <c r="G8" s="14" t="n">
        <f aca="false">G74</f>
        <v>682.334084846335</v>
      </c>
    </row>
    <row r="9" customFormat="false" ht="15" hidden="false" customHeight="false" outlineLevel="0" collapsed="false">
      <c r="A9" s="5" t="s">
        <v>406</v>
      </c>
      <c r="B9" s="0" t="s">
        <v>47</v>
      </c>
      <c r="C9" s="15" t="n">
        <f aca="false">C78</f>
        <v>0.185963931677325</v>
      </c>
      <c r="D9" s="15" t="n">
        <f aca="false">D78</f>
        <v>0.293333333333333</v>
      </c>
      <c r="E9" s="15" t="n">
        <f aca="false">E78</f>
        <v>0.313253023449477</v>
      </c>
      <c r="F9" s="15" t="n">
        <f aca="false">F78</f>
        <v>0.29058186593395</v>
      </c>
      <c r="G9" s="15" t="n">
        <f aca="false">G78</f>
        <v>0.267041771976765</v>
      </c>
    </row>
    <row r="10" customFormat="false" ht="15" hidden="false" customHeight="false" outlineLevel="0" collapsed="false">
      <c r="A10" s="5" t="s">
        <v>407</v>
      </c>
      <c r="B10" s="0" t="s">
        <v>47</v>
      </c>
      <c r="C10" s="15" t="n">
        <f aca="false">C88</f>
        <v>0.149031715521384</v>
      </c>
      <c r="D10" s="15" t="n">
        <f aca="false">D88</f>
        <v>0.230909090909091</v>
      </c>
      <c r="E10" s="15" t="n">
        <f aca="false">E88</f>
        <v>0.259012028562756</v>
      </c>
      <c r="F10" s="15" t="n">
        <f aca="false">F88</f>
        <v>0.24466643301714</v>
      </c>
      <c r="G10" s="15" t="n">
        <f aca="false">G88</f>
        <v>0.231140571942739</v>
      </c>
    </row>
    <row r="11" customFormat="false" ht="15" hidden="false" customHeight="false" outlineLevel="0" collapsed="false">
      <c r="A11" s="5" t="s">
        <v>442</v>
      </c>
      <c r="B11" s="0" t="s">
        <v>243</v>
      </c>
      <c r="C11" s="14" t="n">
        <f aca="false">C89</f>
        <v>63.713</v>
      </c>
      <c r="D11" s="14" t="n">
        <f aca="false">D89</f>
        <v>84</v>
      </c>
      <c r="E11" s="14" t="n">
        <f aca="false">E89</f>
        <v>121.293070054911</v>
      </c>
      <c r="F11" s="14" t="n">
        <f aca="false">F89</f>
        <v>122.897085151385</v>
      </c>
      <c r="G11" s="14" t="n">
        <f aca="false">G89</f>
        <v>132.276075251809</v>
      </c>
    </row>
    <row r="12" customFormat="false" ht="15" hidden="false" customHeight="false" outlineLevel="0" collapsed="false">
      <c r="A12" s="0" t="s">
        <v>443</v>
      </c>
      <c r="B12" s="0" t="s">
        <v>268</v>
      </c>
      <c r="C12" s="14" t="n">
        <f aca="false">C91</f>
        <v>114.08</v>
      </c>
      <c r="D12" s="14" t="n">
        <f aca="false">D91</f>
        <v>149.68</v>
      </c>
      <c r="E12" s="14" t="n">
        <f aca="false">E91</f>
        <v>216.132699116893</v>
      </c>
      <c r="F12" s="14" t="n">
        <f aca="false">F91</f>
        <v>218.990901255469</v>
      </c>
      <c r="G12" s="14" t="n">
        <f aca="false">G91</f>
        <v>235.703368377271</v>
      </c>
    </row>
    <row r="13" customFormat="false" ht="17.15" hidden="false" customHeight="false" outlineLevel="0" collapsed="false">
      <c r="A13" s="0" t="s">
        <v>444</v>
      </c>
      <c r="B13" s="0" t="s">
        <v>47</v>
      </c>
      <c r="D13" s="15" t="n">
        <f aca="false">D92</f>
        <v>0.312061711079944</v>
      </c>
      <c r="E13" s="15" t="n">
        <f aca="false">E92</f>
        <v>0.443965119701318</v>
      </c>
      <c r="F13" s="15" t="n">
        <f aca="false">F92</f>
        <v>0.0132242929933957</v>
      </c>
      <c r="G13" s="15" t="n">
        <f aca="false">G92</f>
        <v>0.0763158059352693</v>
      </c>
    </row>
    <row r="15" customFormat="false" ht="17.15" hidden="false" customHeight="false" outlineLevel="0" collapsed="false">
      <c r="A15" s="3" t="s">
        <v>445</v>
      </c>
    </row>
    <row r="16" customFormat="false" ht="15" hidden="false" customHeight="false" outlineLevel="0" collapsed="false">
      <c r="A16" s="5" t="s">
        <v>395</v>
      </c>
      <c r="B16" s="0" t="s">
        <v>243</v>
      </c>
      <c r="C16" s="14" t="n">
        <f aca="false">C117</f>
        <v>416.2</v>
      </c>
      <c r="D16" s="14" t="n">
        <f aca="false">D117</f>
        <v>550</v>
      </c>
      <c r="E16" s="14" t="n">
        <f aca="false">E117</f>
        <v>708.458794642857</v>
      </c>
      <c r="F16" s="14" t="n">
        <f aca="false">F117</f>
        <v>672.982006428572</v>
      </c>
      <c r="G16" s="14" t="n">
        <f aca="false">G117</f>
        <v>786.212871306884</v>
      </c>
    </row>
    <row r="17" customFormat="false" ht="15" hidden="false" customHeight="false" outlineLevel="0" collapsed="false">
      <c r="A17" s="5" t="s">
        <v>440</v>
      </c>
      <c r="B17" s="0" t="s">
        <v>47</v>
      </c>
      <c r="D17" s="15" t="n">
        <f aca="false">D119</f>
        <v>0.321480057664584</v>
      </c>
      <c r="E17" s="15" t="n">
        <f aca="false">E119</f>
        <v>0.288106899350649</v>
      </c>
      <c r="F17" s="15" t="n">
        <f aca="false">F119</f>
        <v>-0.0500760079238906</v>
      </c>
      <c r="G17" s="15" t="n">
        <f aca="false">G119</f>
        <v>0.16825244032781</v>
      </c>
    </row>
    <row r="18" customFormat="false" ht="17.15" hidden="false" customHeight="false" outlineLevel="0" collapsed="false">
      <c r="A18" s="0" t="s">
        <v>441</v>
      </c>
      <c r="B18" s="0" t="s">
        <v>243</v>
      </c>
      <c r="D18" s="14" t="n">
        <f aca="false">D106</f>
        <v>243.75</v>
      </c>
      <c r="E18" s="14" t="n">
        <f aca="false">E106</f>
        <v>392.916294642857</v>
      </c>
      <c r="F18" s="14" t="n">
        <f aca="false">F106</f>
        <v>347.736981428572</v>
      </c>
      <c r="G18" s="14" t="n">
        <f aca="false">G106</f>
        <v>450.836433056884</v>
      </c>
    </row>
    <row r="19" customFormat="false" ht="15" hidden="false" customHeight="false" outlineLevel="0" collapsed="false">
      <c r="A19" s="5" t="s">
        <v>397</v>
      </c>
      <c r="B19" s="0" t="s">
        <v>243</v>
      </c>
      <c r="C19" s="14" t="n">
        <f aca="false">C109</f>
        <v>243.316</v>
      </c>
      <c r="D19" s="14" t="n">
        <f aca="false">D109</f>
        <v>375</v>
      </c>
      <c r="E19" s="14" t="n">
        <f aca="false">E109</f>
        <v>530.728794642857</v>
      </c>
      <c r="F19" s="14" t="n">
        <f aca="false">F109</f>
        <v>492.440106428572</v>
      </c>
      <c r="G19" s="14" t="n">
        <f aca="false">G109</f>
        <v>602.774714306884</v>
      </c>
    </row>
    <row r="20" customFormat="false" ht="15" hidden="false" customHeight="false" outlineLevel="0" collapsed="false">
      <c r="A20" s="5" t="s">
        <v>406</v>
      </c>
      <c r="B20" s="0" t="s">
        <v>47</v>
      </c>
      <c r="C20" s="15" t="n">
        <f aca="false">C113</f>
        <v>0.185963931677325</v>
      </c>
      <c r="D20" s="15" t="n">
        <f aca="false">D113</f>
        <v>0.293333333333333</v>
      </c>
      <c r="E20" s="15" t="n">
        <f aca="false">E113</f>
        <v>0.313253023449477</v>
      </c>
      <c r="F20" s="15" t="n">
        <f aca="false">F113</f>
        <v>0.282319892527068</v>
      </c>
      <c r="G20" s="15" t="n">
        <f aca="false">G113</f>
        <v>0.262616455540992</v>
      </c>
    </row>
    <row r="21" customFormat="false" ht="15" hidden="false" customHeight="false" outlineLevel="0" collapsed="false">
      <c r="A21" s="5" t="s">
        <v>407</v>
      </c>
      <c r="B21" s="0" t="s">
        <v>47</v>
      </c>
      <c r="C21" s="15" t="n">
        <f aca="false">C123</f>
        <v>0.149031715521384</v>
      </c>
      <c r="D21" s="15" t="n">
        <f aca="false">D123</f>
        <v>0.230909090909091</v>
      </c>
      <c r="E21" s="15" t="n">
        <f aca="false">E123</f>
        <v>0.259012028562756</v>
      </c>
      <c r="F21" s="15" t="n">
        <f aca="false">F123</f>
        <v>0.232689663211007</v>
      </c>
      <c r="G21" s="15" t="n">
        <f aca="false">G123</f>
        <v>0.224114808401846</v>
      </c>
    </row>
    <row r="22" customFormat="false" ht="15" hidden="false" customHeight="false" outlineLevel="0" collapsed="false">
      <c r="A22" s="5" t="s">
        <v>442</v>
      </c>
      <c r="B22" s="0" t="s">
        <v>243</v>
      </c>
      <c r="C22" s="14" t="n">
        <f aca="false">C124</f>
        <v>63.713</v>
      </c>
      <c r="D22" s="14" t="n">
        <f aca="false">D124</f>
        <v>84</v>
      </c>
      <c r="E22" s="14" t="n">
        <f aca="false">E124</f>
        <v>121.293070054911</v>
      </c>
      <c r="F22" s="14" t="n">
        <f aca="false">F124</f>
        <v>103.509927195558</v>
      </c>
      <c r="G22" s="14" t="n">
        <f aca="false">G124</f>
        <v>116.469486977581</v>
      </c>
    </row>
    <row r="23" customFormat="false" ht="15" hidden="false" customHeight="false" outlineLevel="0" collapsed="false">
      <c r="A23" s="0" t="s">
        <v>443</v>
      </c>
      <c r="B23" s="0" t="s">
        <v>268</v>
      </c>
      <c r="C23" s="14" t="n">
        <f aca="false">C126</f>
        <v>114.08</v>
      </c>
      <c r="D23" s="14" t="n">
        <f aca="false">D126</f>
        <v>149.68</v>
      </c>
      <c r="E23" s="14" t="n">
        <f aca="false">E126</f>
        <v>216.132699116893</v>
      </c>
      <c r="F23" s="14" t="n">
        <f aca="false">F126</f>
        <v>184.444832174181</v>
      </c>
      <c r="G23" s="14" t="n">
        <f aca="false">G126</f>
        <v>207.537533461957</v>
      </c>
    </row>
    <row r="24" customFormat="false" ht="17.15" hidden="false" customHeight="false" outlineLevel="0" collapsed="false">
      <c r="A24" s="0" t="s">
        <v>444</v>
      </c>
      <c r="B24" s="0" t="s">
        <v>47</v>
      </c>
      <c r="D24" s="15" t="n">
        <f aca="false">D127</f>
        <v>0.312061711079944</v>
      </c>
      <c r="E24" s="15" t="n">
        <f aca="false">E127</f>
        <v>0.443965119701318</v>
      </c>
      <c r="F24" s="15" t="n">
        <f aca="false">F127</f>
        <v>-0.146613016319084</v>
      </c>
      <c r="G24" s="15" t="n">
        <f aca="false">G127</f>
        <v>0.125201129332637</v>
      </c>
    </row>
    <row r="26" customFormat="false" ht="17.15" hidden="false" customHeight="false" outlineLevel="0" collapsed="false">
      <c r="A26" s="3" t="s">
        <v>446</v>
      </c>
    </row>
    <row r="27" customFormat="false" ht="15" hidden="false" customHeight="false" outlineLevel="0" collapsed="false">
      <c r="A27" s="5" t="s">
        <v>395</v>
      </c>
      <c r="B27" s="0" t="s">
        <v>243</v>
      </c>
      <c r="C27" s="14" t="n">
        <f aca="false">C152</f>
        <v>416.2</v>
      </c>
      <c r="D27" s="14" t="n">
        <f aca="false">D152</f>
        <v>550</v>
      </c>
      <c r="E27" s="14" t="n">
        <f aca="false">E152</f>
        <v>708.458794642857</v>
      </c>
      <c r="F27" s="14" t="n">
        <f aca="false">F152</f>
        <v>586.047761071429</v>
      </c>
      <c r="G27" s="14" t="n">
        <f aca="false">G152</f>
        <v>653.613920407801</v>
      </c>
    </row>
    <row r="28" customFormat="false" ht="15" hidden="false" customHeight="false" outlineLevel="0" collapsed="false">
      <c r="A28" s="5" t="s">
        <v>440</v>
      </c>
      <c r="B28" s="0" t="s">
        <v>47</v>
      </c>
      <c r="D28" s="15" t="n">
        <f aca="false">D154</f>
        <v>0.321480057664584</v>
      </c>
      <c r="E28" s="15" t="n">
        <f aca="false">E154</f>
        <v>0.288106899350649</v>
      </c>
      <c r="F28" s="15" t="n">
        <f aca="false">F154</f>
        <v>-0.172784972812904</v>
      </c>
      <c r="G28" s="15" t="n">
        <f aca="false">G154</f>
        <v>0.115291216560312</v>
      </c>
    </row>
    <row r="29" customFormat="false" ht="17.15" hidden="false" customHeight="false" outlineLevel="0" collapsed="false">
      <c r="A29" s="0" t="s">
        <v>441</v>
      </c>
      <c r="B29" s="0" t="s">
        <v>243</v>
      </c>
      <c r="D29" s="14" t="n">
        <f aca="false">D141</f>
        <v>243.75</v>
      </c>
      <c r="E29" s="14" t="n">
        <f aca="false">E141</f>
        <v>392.916294642857</v>
      </c>
      <c r="F29" s="14" t="n">
        <f aca="false">F141</f>
        <v>260.802736071429</v>
      </c>
      <c r="G29" s="14" t="n">
        <f aca="false">G141</f>
        <v>318.237482157801</v>
      </c>
    </row>
    <row r="30" customFormat="false" ht="15" hidden="false" customHeight="false" outlineLevel="0" collapsed="false">
      <c r="A30" s="5" t="s">
        <v>397</v>
      </c>
      <c r="B30" s="0" t="s">
        <v>243</v>
      </c>
      <c r="C30" s="14" t="n">
        <f aca="false">C144</f>
        <v>243.316</v>
      </c>
      <c r="D30" s="14" t="n">
        <f aca="false">D144</f>
        <v>375</v>
      </c>
      <c r="E30" s="14" t="n">
        <f aca="false">E144</f>
        <v>530.728794642857</v>
      </c>
      <c r="F30" s="14" t="n">
        <f aca="false">F144</f>
        <v>405.505861071429</v>
      </c>
      <c r="G30" s="14" t="n">
        <f aca="false">G144</f>
        <v>470.175763407801</v>
      </c>
    </row>
    <row r="31" customFormat="false" ht="15" hidden="false" customHeight="false" outlineLevel="0" collapsed="false">
      <c r="A31" s="5" t="s">
        <v>406</v>
      </c>
      <c r="B31" s="0" t="s">
        <v>47</v>
      </c>
      <c r="C31" s="15" t="n">
        <f aca="false">C148</f>
        <v>0.185963931677325</v>
      </c>
      <c r="D31" s="15" t="n">
        <f aca="false">D148</f>
        <v>0.293333333333333</v>
      </c>
      <c r="E31" s="15" t="n">
        <f aca="false">E148</f>
        <v>0.313253023449477</v>
      </c>
      <c r="F31" s="15" t="n">
        <f aca="false">F148</f>
        <v>0.270515438025634</v>
      </c>
      <c r="G31" s="15" t="n">
        <f aca="false">G148</f>
        <v>0.251912854620657</v>
      </c>
    </row>
    <row r="32" customFormat="false" ht="15" hidden="false" customHeight="false" outlineLevel="0" collapsed="false">
      <c r="A32" s="5" t="s">
        <v>407</v>
      </c>
      <c r="B32" s="0" t="s">
        <v>47</v>
      </c>
      <c r="C32" s="15" t="n">
        <f aca="false">C158</f>
        <v>0.149031715521384</v>
      </c>
      <c r="D32" s="15" t="n">
        <f aca="false">D158</f>
        <v>0.230909090909091</v>
      </c>
      <c r="E32" s="15" t="n">
        <f aca="false">E158</f>
        <v>0.259012028562756</v>
      </c>
      <c r="F32" s="15" t="n">
        <f aca="false">F158</f>
        <v>0.217159628589022</v>
      </c>
      <c r="G32" s="15" t="n">
        <f aca="false">G158</f>
        <v>0.208604349649464</v>
      </c>
    </row>
    <row r="33" customFormat="false" ht="15" hidden="false" customHeight="false" outlineLevel="0" collapsed="false">
      <c r="A33" s="5" t="s">
        <v>442</v>
      </c>
      <c r="B33" s="0" t="s">
        <v>243</v>
      </c>
      <c r="C33" s="14" t="n">
        <f aca="false">C159</f>
        <v>63.713</v>
      </c>
      <c r="D33" s="14" t="n">
        <f aca="false">D159</f>
        <v>84</v>
      </c>
      <c r="E33" s="14" t="n">
        <f aca="false">E159</f>
        <v>121.293070054911</v>
      </c>
      <c r="F33" s="14" t="n">
        <f aca="false">F159</f>
        <v>84.1227692397312</v>
      </c>
      <c r="G33" s="14" t="n">
        <f aca="false">G159</f>
        <v>90.1251731872022</v>
      </c>
    </row>
    <row r="34" customFormat="false" ht="15" hidden="false" customHeight="false" outlineLevel="0" collapsed="false">
      <c r="A34" s="0" t="s">
        <v>443</v>
      </c>
      <c r="B34" s="0" t="s">
        <v>268</v>
      </c>
      <c r="C34" s="14" t="n">
        <f aca="false">C161</f>
        <v>114.08</v>
      </c>
      <c r="D34" s="14" t="n">
        <f aca="false">D161</f>
        <v>149.68</v>
      </c>
      <c r="E34" s="14" t="n">
        <f aca="false">E161</f>
        <v>216.132699116893</v>
      </c>
      <c r="F34" s="14" t="n">
        <f aca="false">F161</f>
        <v>149.898763092892</v>
      </c>
      <c r="G34" s="14" t="n">
        <f aca="false">G161</f>
        <v>160.594475269767</v>
      </c>
    </row>
    <row r="35" customFormat="false" ht="17.15" hidden="false" customHeight="false" outlineLevel="0" collapsed="false">
      <c r="A35" s="0" t="s">
        <v>444</v>
      </c>
      <c r="B35" s="0" t="s">
        <v>47</v>
      </c>
      <c r="D35" s="15" t="n">
        <f aca="false">D162</f>
        <v>0.312061711079944</v>
      </c>
      <c r="E35" s="15" t="n">
        <f aca="false">E162</f>
        <v>0.443965119701318</v>
      </c>
      <c r="F35" s="15" t="n">
        <f aca="false">F162</f>
        <v>-0.306450325631564</v>
      </c>
      <c r="G35" s="15" t="n">
        <f aca="false">G162</f>
        <v>0.0713529048284838</v>
      </c>
    </row>
    <row r="37" customFormat="false" ht="17.15" hidden="false" customHeight="false" outlineLevel="0" collapsed="false">
      <c r="A37" s="3" t="s">
        <v>447</v>
      </c>
    </row>
    <row r="38" customFormat="false" ht="17.15" hidden="false" customHeight="false" outlineLevel="0" collapsed="false">
      <c r="A38" s="5" t="s">
        <v>448</v>
      </c>
      <c r="D38" s="17" t="n">
        <f aca="false">D82-q26_rev</f>
        <v>0</v>
      </c>
    </row>
    <row r="39" customFormat="false" ht="17.15" hidden="false" customHeight="false" outlineLevel="0" collapsed="false">
      <c r="A39" s="5" t="s">
        <v>449</v>
      </c>
      <c r="D39" s="17" t="n">
        <f aca="false">D87-q26_oi</f>
        <v>0</v>
      </c>
    </row>
    <row r="40" customFormat="false" ht="17.15" hidden="false" customHeight="false" outlineLevel="0" collapsed="false">
      <c r="A40" s="5" t="s">
        <v>450</v>
      </c>
      <c r="D40" s="17" t="n">
        <f aca="false">D91-q26_eps</f>
        <v>0</v>
      </c>
    </row>
    <row r="60" customFormat="false" ht="17.15" hidden="false" customHeight="false" outlineLevel="0" collapsed="false">
      <c r="A60" s="3" t="s">
        <v>451</v>
      </c>
    </row>
    <row r="61" customFormat="false" ht="17.15" hidden="false" customHeight="false" outlineLevel="0" collapsed="false">
      <c r="A61" s="6" t="s">
        <v>24</v>
      </c>
      <c r="B61" s="6" t="s">
        <v>25</v>
      </c>
      <c r="C61" s="13" t="s">
        <v>392</v>
      </c>
      <c r="D61" s="13" t="s">
        <v>438</v>
      </c>
      <c r="E61" s="13" t="s">
        <v>414</v>
      </c>
      <c r="F61" s="13" t="s">
        <v>415</v>
      </c>
      <c r="G61" s="13" t="s">
        <v>416</v>
      </c>
      <c r="H61" s="6" t="s">
        <v>377</v>
      </c>
    </row>
    <row r="62" customFormat="false" ht="17.15" hidden="false" customHeight="false" outlineLevel="0" collapsed="false">
      <c r="A62" s="1" t="s">
        <v>452</v>
      </c>
    </row>
    <row r="63" customFormat="false" ht="17.15" hidden="false" customHeight="false" outlineLevel="0" collapsed="false">
      <c r="A63" s="0" t="s">
        <v>453</v>
      </c>
      <c r="B63" s="5" t="s">
        <v>35</v>
      </c>
      <c r="D63" s="16" t="n">
        <f aca="false">(u_bw_26+u_rb_26+u_ru_26+u_hp_26)*1</f>
        <v>7.6</v>
      </c>
      <c r="E63" s="16" t="n">
        <f aca="false">(u_bw_27+u_rb_27+u_ru_27+u_hp_27)*1</f>
        <v>9.7</v>
      </c>
      <c r="F63" s="16" t="n">
        <f aca="false">(u_bw_28+u_rb_28+u_ru_28+u_hp_28)*um28_A</f>
        <v>9.5</v>
      </c>
      <c r="G63" s="16" t="n">
        <f aca="false">(u_bw_28*(1+g29_bw)+u_rb_28*(1+g29_rb)+u_ru_28*(1+g29_ru)+u_hp_28*(1+g29_hp))*um29_A</f>
        <v>10.6</v>
      </c>
      <c r="H63" s="8" t="s">
        <v>454</v>
      </c>
    </row>
    <row r="64" customFormat="false" ht="17.15" hidden="false" customHeight="false" outlineLevel="0" collapsed="false">
      <c r="A64" s="5" t="s">
        <v>455</v>
      </c>
      <c r="B64" s="5" t="s">
        <v>35</v>
      </c>
      <c r="D64" s="16" t="n">
        <f aca="false">(u_amd_26+u_tpu_26+u_trn_26+u_oth_26)*1</f>
        <v>7.6</v>
      </c>
      <c r="E64" s="16" t="n">
        <f aca="false">(u_amd_27+u_tpu_27+u_trn_27+u_oth_27)*1</f>
        <v>14</v>
      </c>
      <c r="F64" s="16" t="n">
        <f aca="false">(u_amd_28+u_tpu_28+u_trn_28+u_oth_28)*um28_A</f>
        <v>17</v>
      </c>
      <c r="G64" s="16" t="n">
        <f aca="false">(u_amd_28*(1+g29_amd)+u_tpu_28*(1+g29_tpu)+u_trn_28*(1+g29_trn)+u_oth_28*(1+g29_oth))*um29_A</f>
        <v>19.55</v>
      </c>
      <c r="H64" s="8" t="s">
        <v>456</v>
      </c>
    </row>
    <row r="65" customFormat="false" ht="17.15" hidden="false" customHeight="false" outlineLevel="0" collapsed="false">
      <c r="A65" s="5" t="s">
        <v>457</v>
      </c>
      <c r="B65" s="5" t="s">
        <v>35</v>
      </c>
      <c r="D65" s="16" t="n">
        <f aca="false">D63+w_ot*D64</f>
        <v>10.64</v>
      </c>
      <c r="E65" s="16" t="n">
        <f aca="false">E63+w_ot*E64</f>
        <v>15.3</v>
      </c>
      <c r="F65" s="16" t="n">
        <f aca="false">F63+w_ot*F64</f>
        <v>16.3</v>
      </c>
      <c r="G65" s="16" t="n">
        <f aca="false">G63+w_ot*G64</f>
        <v>18.42</v>
      </c>
    </row>
    <row r="66" customFormat="false" ht="17.15" hidden="false" customHeight="false" outlineLevel="0" collapsed="false">
      <c r="A66" s="0" t="s">
        <v>458</v>
      </c>
      <c r="B66" s="0" t="s">
        <v>243</v>
      </c>
      <c r="D66" s="16" t="n">
        <f aca="false">q26_e*ai_e</f>
        <v>243.75</v>
      </c>
      <c r="H66" s="8" t="s">
        <v>459</v>
      </c>
    </row>
    <row r="67" customFormat="false" ht="17.15" hidden="false" customHeight="false" outlineLevel="0" collapsed="false">
      <c r="A67" s="5" t="s">
        <v>460</v>
      </c>
      <c r="B67" s="5" t="s">
        <v>461</v>
      </c>
      <c r="D67" s="14" t="n">
        <f aca="false">D66/D65</f>
        <v>22.9088345864662</v>
      </c>
      <c r="H67" s="8" t="s">
        <v>462</v>
      </c>
    </row>
    <row r="68" customFormat="false" ht="17.15" hidden="false" customHeight="false" outlineLevel="0" collapsed="false">
      <c r="A68" s="5" t="s">
        <v>463</v>
      </c>
      <c r="B68" s="0" t="s">
        <v>147</v>
      </c>
      <c r="D68" s="20" t="n">
        <f aca="false">1</f>
        <v>1</v>
      </c>
      <c r="E68" s="20" t="n">
        <f aca="false">D68*(1+g_asp)</f>
        <v>1.18</v>
      </c>
      <c r="F68" s="20" t="n">
        <f aca="false">E68*(1+g_asp)</f>
        <v>1.3924</v>
      </c>
      <c r="G68" s="20" t="n">
        <f aca="false">F68*(1+g_asp)</f>
        <v>1.643032</v>
      </c>
    </row>
    <row r="69" customFormat="false" ht="17.15" hidden="false" customHeight="false" outlineLevel="0" collapsed="false">
      <c r="A69" s="0" t="s">
        <v>464</v>
      </c>
      <c r="B69" s="0" t="s">
        <v>147</v>
      </c>
      <c r="D69" s="21" t="n">
        <f aca="false">1</f>
        <v>1</v>
      </c>
      <c r="E69" s="21" t="n">
        <f aca="false">rel_27</f>
        <v>0.95</v>
      </c>
      <c r="F69" s="21" t="n">
        <f aca="false">rel_28</f>
        <v>0.88</v>
      </c>
      <c r="G69" s="21" t="n">
        <f aca="false">rel_29</f>
        <v>0.85</v>
      </c>
    </row>
    <row r="70" customFormat="false" ht="17.15" hidden="false" customHeight="false" outlineLevel="0" collapsed="false">
      <c r="A70" s="5" t="s">
        <v>465</v>
      </c>
      <c r="B70" s="0" t="s">
        <v>147</v>
      </c>
      <c r="D70" s="21" t="n">
        <f aca="false">1</f>
        <v>1</v>
      </c>
      <c r="E70" s="21" t="n">
        <f aca="false">pp_27</f>
        <v>1</v>
      </c>
      <c r="F70" s="21" t="n">
        <f aca="false">pp_28</f>
        <v>0.95</v>
      </c>
      <c r="G70" s="21" t="n">
        <f aca="false">pp_29</f>
        <v>0.9</v>
      </c>
    </row>
    <row r="71" customFormat="false" ht="17.15" hidden="false" customHeight="false" outlineLevel="0" collapsed="false">
      <c r="A71" s="0" t="s">
        <v>427</v>
      </c>
      <c r="B71" s="0" t="s">
        <v>243</v>
      </c>
      <c r="D71" s="16" t="n">
        <f aca="false">D66</f>
        <v>243.75</v>
      </c>
      <c r="E71" s="16" t="n">
        <f aca="false">E65*$D$67*E68*E69*E70</f>
        <v>392.916294642857</v>
      </c>
      <c r="F71" s="16" t="n">
        <f aca="false">F65*$D$67*F68*F69*F70</f>
        <v>434.671226785714</v>
      </c>
      <c r="G71" s="16" t="n">
        <f aca="false">G65*$D$67*G68*G69*G70</f>
        <v>530.395803596334</v>
      </c>
    </row>
    <row r="72" customFormat="false" ht="17.15" hidden="false" customHeight="false" outlineLevel="0" collapsed="false">
      <c r="A72" s="1" t="s">
        <v>466</v>
      </c>
    </row>
    <row r="73" customFormat="false" ht="17.15" hidden="false" customHeight="false" outlineLevel="0" collapsed="false">
      <c r="A73" s="5" t="s">
        <v>467</v>
      </c>
      <c r="B73" s="0" t="s">
        <v>243</v>
      </c>
      <c r="D73" s="16" t="n">
        <f aca="false">q26_e-D71</f>
        <v>131.25</v>
      </c>
      <c r="E73" s="16" t="n">
        <f aca="false">D73*(1+g_ne)</f>
        <v>137.8125</v>
      </c>
      <c r="F73" s="16" t="n">
        <f aca="false">E73*(1+g_ne)</f>
        <v>144.703125</v>
      </c>
      <c r="G73" s="16" t="n">
        <f aca="false">F73*(1+g_ne)</f>
        <v>151.93828125</v>
      </c>
    </row>
    <row r="74" customFormat="false" ht="15" hidden="false" customHeight="false" outlineLevel="0" collapsed="false">
      <c r="A74" s="5" t="s">
        <v>468</v>
      </c>
      <c r="B74" s="0" t="s">
        <v>243</v>
      </c>
      <c r="C74" s="16" t="n">
        <f aca="false">q25_e</f>
        <v>243.316</v>
      </c>
      <c r="D74" s="16" t="n">
        <f aca="false">D71+D73</f>
        <v>375</v>
      </c>
      <c r="E74" s="16" t="n">
        <f aca="false">E71+E73</f>
        <v>530.728794642857</v>
      </c>
      <c r="F74" s="16" t="n">
        <f aca="false">F71+F73</f>
        <v>579.374351785714</v>
      </c>
      <c r="G74" s="16" t="n">
        <f aca="false">G71+G73</f>
        <v>682.334084846335</v>
      </c>
    </row>
    <row r="75" customFormat="false" ht="17.15" hidden="false" customHeight="false" outlineLevel="0" collapsed="false">
      <c r="A75" s="0" t="s">
        <v>469</v>
      </c>
      <c r="B75" s="0" t="s">
        <v>47</v>
      </c>
      <c r="D75" s="15" t="n">
        <f aca="false">(q26_eoi-m_ne*D73)/D71</f>
        <v>0.370512820512821</v>
      </c>
      <c r="H75" s="8" t="s">
        <v>470</v>
      </c>
    </row>
    <row r="76" customFormat="false" ht="17.15" hidden="false" customHeight="false" outlineLevel="0" collapsed="false">
      <c r="A76" s="0" t="s">
        <v>471</v>
      </c>
      <c r="B76" s="0" t="s">
        <v>47</v>
      </c>
      <c r="D76" s="15" t="n">
        <f aca="false">D75</f>
        <v>0.370512820512821</v>
      </c>
      <c r="E76" s="15" t="n">
        <f aca="false">1-(1-$D$75)/E70</f>
        <v>0.370512820512821</v>
      </c>
      <c r="F76" s="15" t="n">
        <f aca="false">1-(1-$D$75)/F70</f>
        <v>0.337381916329285</v>
      </c>
      <c r="G76" s="15" t="n">
        <f aca="false">1-(1-$D$75)/G70</f>
        <v>0.300569800569801</v>
      </c>
      <c r="H76" s="8" t="s">
        <v>472</v>
      </c>
    </row>
    <row r="77" customFormat="false" ht="15" hidden="false" customHeight="false" outlineLevel="0" collapsed="false">
      <c r="A77" s="5" t="s">
        <v>473</v>
      </c>
      <c r="B77" s="0" t="s">
        <v>243</v>
      </c>
      <c r="C77" s="16" t="n">
        <f aca="false">q25_eoi</f>
        <v>45.248</v>
      </c>
      <c r="D77" s="16" t="n">
        <f aca="false">D71*D76+D73*m_ne</f>
        <v>110</v>
      </c>
      <c r="E77" s="16" t="n">
        <f aca="false">E71*E76+E73*m_ne</f>
        <v>166.252399553571</v>
      </c>
      <c r="F77" s="16" t="n">
        <f aca="false">F71*F76+F73*m_ne</f>
        <v>168.355680216165</v>
      </c>
      <c r="G77" s="16" t="n">
        <f aca="false">G71*G76+G73*m_ne</f>
        <v>182.211703097509</v>
      </c>
    </row>
    <row r="78" customFormat="false" ht="15" hidden="false" customHeight="false" outlineLevel="0" collapsed="false">
      <c r="A78" s="5" t="s">
        <v>406</v>
      </c>
      <c r="B78" s="0" t="s">
        <v>47</v>
      </c>
      <c r="C78" s="15" t="n">
        <f aca="false">C77/C74</f>
        <v>0.185963931677325</v>
      </c>
      <c r="D78" s="15" t="n">
        <f aca="false">D77/D74</f>
        <v>0.293333333333333</v>
      </c>
      <c r="E78" s="15" t="n">
        <f aca="false">E77/E74</f>
        <v>0.313253023449477</v>
      </c>
      <c r="F78" s="15" t="n">
        <f aca="false">F77/F74</f>
        <v>0.29058186593395</v>
      </c>
      <c r="G78" s="15" t="n">
        <f aca="false">G77/G74</f>
        <v>0.267041771976765</v>
      </c>
    </row>
    <row r="79" customFormat="false" ht="17.15" hidden="false" customHeight="false" outlineLevel="0" collapsed="false">
      <c r="A79" s="1" t="s">
        <v>474</v>
      </c>
    </row>
    <row r="80" customFormat="false" ht="15" hidden="false" customHeight="false" outlineLevel="0" collapsed="false">
      <c r="A80" s="5" t="s">
        <v>475</v>
      </c>
      <c r="B80" s="0" t="s">
        <v>243</v>
      </c>
      <c r="C80" s="16" t="n">
        <f aca="false">q25_cer</f>
        <v>82.554</v>
      </c>
      <c r="D80" s="16" t="n">
        <f aca="false">q26_cer</f>
        <v>84</v>
      </c>
      <c r="E80" s="16" t="n">
        <f aca="false">D80*(1+g_cer)</f>
        <v>84</v>
      </c>
      <c r="F80" s="16" t="n">
        <f aca="false">E80*(1+g_cer)</f>
        <v>84</v>
      </c>
      <c r="G80" s="16" t="n">
        <f aca="false">F80*(1+g_cer)</f>
        <v>84</v>
      </c>
    </row>
    <row r="81" customFormat="false" ht="15" hidden="false" customHeight="false" outlineLevel="0" collapsed="false">
      <c r="A81" s="5" t="s">
        <v>476</v>
      </c>
      <c r="B81" s="0" t="s">
        <v>243</v>
      </c>
      <c r="C81" s="16" t="n">
        <f aca="false">q25_oth</f>
        <v>90.33</v>
      </c>
      <c r="D81" s="16" t="n">
        <f aca="false">q26_oth</f>
        <v>91</v>
      </c>
      <c r="E81" s="16" t="n">
        <f aca="false">D81*(1+g_oth)</f>
        <v>93.73</v>
      </c>
      <c r="F81" s="16" t="n">
        <f aca="false">E81*(1+g_oth)</f>
        <v>96.5419</v>
      </c>
      <c r="G81" s="16" t="n">
        <f aca="false">F81*(1+g_oth)</f>
        <v>99.438157</v>
      </c>
    </row>
    <row r="82" customFormat="false" ht="15" hidden="false" customHeight="false" outlineLevel="0" collapsed="false">
      <c r="A82" s="5" t="s">
        <v>395</v>
      </c>
      <c r="B82" s="0" t="s">
        <v>243</v>
      </c>
      <c r="C82" s="16" t="n">
        <f aca="false">C74+C80+C81</f>
        <v>416.2</v>
      </c>
      <c r="D82" s="16" t="n">
        <f aca="false">D74+D80+D81</f>
        <v>550</v>
      </c>
      <c r="E82" s="16" t="n">
        <f aca="false">E74+E80+E81</f>
        <v>708.458794642857</v>
      </c>
      <c r="F82" s="16" t="n">
        <f aca="false">F74+F80+F81</f>
        <v>759.916251785714</v>
      </c>
      <c r="G82" s="16" t="n">
        <f aca="false">G74+G80+G81</f>
        <v>865.772241846335</v>
      </c>
    </row>
    <row r="83" customFormat="false" ht="17.15" hidden="false" customHeight="false" outlineLevel="0" collapsed="false">
      <c r="A83" s="5" t="s">
        <v>477</v>
      </c>
      <c r="B83" s="0" t="s">
        <v>243</v>
      </c>
      <c r="C83" s="20" t="n">
        <f aca="false">C74+C80+C81-q25_rev</f>
        <v>-0.0010000000000332</v>
      </c>
      <c r="D83" s="20" t="n">
        <f aca="false">D74+D80+D81-q26_rev</f>
        <v>0</v>
      </c>
    </row>
    <row r="84" customFormat="false" ht="15" hidden="false" customHeight="false" outlineLevel="0" collapsed="false">
      <c r="A84" s="5" t="s">
        <v>478</v>
      </c>
      <c r="B84" s="0" t="s">
        <v>47</v>
      </c>
      <c r="D84" s="15" t="n">
        <f aca="false">D82/C82-1</f>
        <v>0.321480057664584</v>
      </c>
      <c r="E84" s="15" t="n">
        <f aca="false">E82/D82-1</f>
        <v>0.288106899350649</v>
      </c>
      <c r="F84" s="15" t="n">
        <f aca="false">F82/E82-1</f>
        <v>0.0726329569651225</v>
      </c>
      <c r="G84" s="15" t="n">
        <f aca="false">G82/F82-1</f>
        <v>0.139299547564447</v>
      </c>
    </row>
    <row r="85" customFormat="false" ht="17.15" hidden="false" customHeight="false" outlineLevel="0" collapsed="false">
      <c r="A85" s="0" t="s">
        <v>479</v>
      </c>
      <c r="B85" s="0" t="s">
        <v>47</v>
      </c>
      <c r="D85" s="15" t="n">
        <f aca="false">D71/D82</f>
        <v>0.443181818181818</v>
      </c>
      <c r="E85" s="15" t="n">
        <f aca="false">E71/E82</f>
        <v>0.554607124103712</v>
      </c>
      <c r="F85" s="15" t="n">
        <f aca="false">F71/F82</f>
        <v>0.57199885614275</v>
      </c>
      <c r="G85" s="15" t="n">
        <f aca="false">G71/G82</f>
        <v>0.612627407024761</v>
      </c>
    </row>
    <row r="86" customFormat="false" ht="15" hidden="false" customHeight="false" outlineLevel="0" collapsed="false">
      <c r="A86" s="5" t="s">
        <v>480</v>
      </c>
      <c r="B86" s="0" t="s">
        <v>243</v>
      </c>
      <c r="C86" s="16" t="n">
        <f aca="false">q25_oi-q25_eoi</f>
        <v>16.779</v>
      </c>
      <c r="D86" s="16" t="n">
        <f aca="false">q26_oi-q26_eoi</f>
        <v>17</v>
      </c>
      <c r="E86" s="16" t="n">
        <f aca="false">E80*m_cer+E81*m_oth+q26_adj</f>
        <v>17.24695</v>
      </c>
      <c r="F86" s="16" t="n">
        <f aca="false">F80*m_cer+F81*m_oth+q26_adj</f>
        <v>17.5703185</v>
      </c>
      <c r="G86" s="16" t="n">
        <f aca="false">G80*m_cer+G81*m_oth+q26_adj</f>
        <v>17.903388055</v>
      </c>
    </row>
    <row r="87" customFormat="false" ht="15" hidden="false" customHeight="false" outlineLevel="0" collapsed="false">
      <c r="A87" s="5" t="s">
        <v>400</v>
      </c>
      <c r="B87" s="0" t="s">
        <v>243</v>
      </c>
      <c r="C87" s="16" t="n">
        <f aca="false">C77+C86</f>
        <v>62.027</v>
      </c>
      <c r="D87" s="16" t="n">
        <f aca="false">D77+D86</f>
        <v>127</v>
      </c>
      <c r="E87" s="16" t="n">
        <f aca="false">E77+E86</f>
        <v>183.499349553571</v>
      </c>
      <c r="F87" s="16" t="n">
        <f aca="false">F77+F86</f>
        <v>185.925998716165</v>
      </c>
      <c r="G87" s="16" t="n">
        <f aca="false">G77+G86</f>
        <v>200.115091152509</v>
      </c>
    </row>
    <row r="88" customFormat="false" ht="15" hidden="false" customHeight="false" outlineLevel="0" collapsed="false">
      <c r="A88" s="5" t="s">
        <v>407</v>
      </c>
      <c r="B88" s="0" t="s">
        <v>47</v>
      </c>
      <c r="C88" s="15" t="n">
        <f aca="false">C87/C82</f>
        <v>0.149031715521384</v>
      </c>
      <c r="D88" s="15" t="n">
        <f aca="false">D87/D82</f>
        <v>0.230909090909091</v>
      </c>
      <c r="E88" s="15" t="n">
        <f aca="false">E87/E82</f>
        <v>0.259012028562756</v>
      </c>
      <c r="F88" s="15" t="n">
        <f aca="false">F87/F82</f>
        <v>0.24466643301714</v>
      </c>
      <c r="G88" s="15" t="n">
        <f aca="false">G87/G82</f>
        <v>0.231140571942739</v>
      </c>
    </row>
    <row r="89" customFormat="false" ht="15" hidden="false" customHeight="false" outlineLevel="0" collapsed="false">
      <c r="A89" s="5" t="s">
        <v>402</v>
      </c>
      <c r="B89" s="0" t="s">
        <v>243</v>
      </c>
      <c r="C89" s="16" t="n">
        <f aca="false">q25_ni</f>
        <v>63.713</v>
      </c>
      <c r="D89" s="16" t="n">
        <f aca="false">q26_ni</f>
        <v>84</v>
      </c>
      <c r="E89" s="16" t="n">
        <f aca="false">E87*ni_oi</f>
        <v>121.293070054911</v>
      </c>
      <c r="F89" s="16" t="n">
        <f aca="false">F87*ni_oi</f>
        <v>122.897085151385</v>
      </c>
      <c r="G89" s="16" t="n">
        <f aca="false">G87*ni_oi</f>
        <v>132.276075251809</v>
      </c>
    </row>
    <row r="90" customFormat="false" ht="15" hidden="false" customHeight="false" outlineLevel="0" collapsed="false">
      <c r="A90" s="5" t="s">
        <v>481</v>
      </c>
      <c r="B90" s="5" t="s">
        <v>482</v>
      </c>
      <c r="D90" s="17" t="n">
        <f aca="false">q26_sh</f>
        <v>0.561197220737574</v>
      </c>
      <c r="E90" s="17" t="n">
        <f aca="false">D90*(1+sh_g)</f>
        <v>0.561197220737574</v>
      </c>
      <c r="F90" s="17" t="n">
        <f aca="false">E90*(1+sh_g)</f>
        <v>0.561197220737574</v>
      </c>
      <c r="G90" s="17" t="n">
        <f aca="false">F90*(1+sh_g)</f>
        <v>0.561197220737574</v>
      </c>
    </row>
    <row r="91" customFormat="false" ht="17.15" hidden="false" customHeight="false" outlineLevel="0" collapsed="false">
      <c r="A91" s="0" t="s">
        <v>483</v>
      </c>
      <c r="B91" s="0" t="s">
        <v>268</v>
      </c>
      <c r="C91" s="16" t="n">
        <f aca="false">q25_eps</f>
        <v>114.08</v>
      </c>
      <c r="D91" s="16" t="n">
        <f aca="false">D89/D90</f>
        <v>149.68</v>
      </c>
      <c r="E91" s="16" t="n">
        <f aca="false">E89/E90</f>
        <v>216.132699116893</v>
      </c>
      <c r="F91" s="16" t="n">
        <f aca="false">F89/F90</f>
        <v>218.990901255469</v>
      </c>
      <c r="G91" s="16" t="n">
        <f aca="false">G89/G90</f>
        <v>235.703368377271</v>
      </c>
    </row>
    <row r="92" customFormat="false" ht="17.15" hidden="false" customHeight="false" outlineLevel="0" collapsed="false">
      <c r="A92" s="0" t="s">
        <v>484</v>
      </c>
      <c r="B92" s="0" t="s">
        <v>47</v>
      </c>
      <c r="D92" s="15" t="n">
        <f aca="false">D91/C91-1</f>
        <v>0.312061711079944</v>
      </c>
      <c r="E92" s="15" t="n">
        <f aca="false">E91/D91-1</f>
        <v>0.443965119701318</v>
      </c>
      <c r="F92" s="15" t="n">
        <f aca="false">F91/E91-1</f>
        <v>0.0132242929933957</v>
      </c>
      <c r="G92" s="15" t="n">
        <f aca="false">G91/F91-1</f>
        <v>0.0763158059352693</v>
      </c>
    </row>
    <row r="95" customFormat="false" ht="17.15" hidden="false" customHeight="false" outlineLevel="0" collapsed="false">
      <c r="A95" s="3" t="s">
        <v>485</v>
      </c>
    </row>
    <row r="96" customFormat="false" ht="17.15" hidden="false" customHeight="false" outlineLevel="0" collapsed="false">
      <c r="A96" s="6" t="s">
        <v>24</v>
      </c>
      <c r="B96" s="6" t="s">
        <v>25</v>
      </c>
      <c r="C96" s="13" t="s">
        <v>392</v>
      </c>
      <c r="D96" s="13" t="s">
        <v>438</v>
      </c>
      <c r="E96" s="13" t="s">
        <v>414</v>
      </c>
      <c r="F96" s="13" t="s">
        <v>415</v>
      </c>
      <c r="G96" s="13" t="s">
        <v>416</v>
      </c>
      <c r="H96" s="6" t="s">
        <v>377</v>
      </c>
    </row>
    <row r="97" customFormat="false" ht="17.15" hidden="false" customHeight="false" outlineLevel="0" collapsed="false">
      <c r="A97" s="1" t="s">
        <v>452</v>
      </c>
    </row>
    <row r="98" customFormat="false" ht="17.15" hidden="false" customHeight="false" outlineLevel="0" collapsed="false">
      <c r="A98" s="0" t="s">
        <v>453</v>
      </c>
      <c r="B98" s="5" t="s">
        <v>35</v>
      </c>
      <c r="D98" s="16" t="n">
        <f aca="false">(u_bw_26+u_rb_26+u_ru_26+u_hp_26)*1</f>
        <v>7.6</v>
      </c>
      <c r="E98" s="16" t="n">
        <f aca="false">(u_bw_27+u_rb_27+u_ru_27+u_hp_27)*1</f>
        <v>9.7</v>
      </c>
      <c r="F98" s="16" t="n">
        <f aca="false">(u_bw_28+u_rb_28+u_ru_28+u_hp_28)*um28_B</f>
        <v>7.6</v>
      </c>
      <c r="G98" s="16" t="n">
        <f aca="false">(u_bw_28*(1+g29_bw)+u_rb_28*(1+g29_rb)+u_ru_28*(1+g29_ru)+u_hp_28*(1+g29_hp))*um29_B</f>
        <v>9.01</v>
      </c>
      <c r="H98" s="8" t="s">
        <v>454</v>
      </c>
    </row>
    <row r="99" customFormat="false" ht="17.15" hidden="false" customHeight="false" outlineLevel="0" collapsed="false">
      <c r="A99" s="5" t="s">
        <v>455</v>
      </c>
      <c r="B99" s="5" t="s">
        <v>35</v>
      </c>
      <c r="D99" s="16" t="n">
        <f aca="false">(u_amd_26+u_tpu_26+u_trn_26+u_oth_26)*1</f>
        <v>7.6</v>
      </c>
      <c r="E99" s="16" t="n">
        <f aca="false">(u_amd_27+u_tpu_27+u_trn_27+u_oth_27)*1</f>
        <v>14</v>
      </c>
      <c r="F99" s="16" t="n">
        <f aca="false">(u_amd_28+u_tpu_28+u_trn_28+u_oth_28)*um28_B</f>
        <v>13.6</v>
      </c>
      <c r="G99" s="16" t="n">
        <f aca="false">(u_amd_28*(1+g29_amd)+u_tpu_28*(1+g29_tpu)+u_trn_28*(1+g29_trn)+u_oth_28*(1+g29_oth))*um29_B</f>
        <v>16.6175</v>
      </c>
      <c r="H99" s="8" t="s">
        <v>456</v>
      </c>
    </row>
    <row r="100" customFormat="false" ht="17.15" hidden="false" customHeight="false" outlineLevel="0" collapsed="false">
      <c r="A100" s="5" t="s">
        <v>457</v>
      </c>
      <c r="B100" s="5" t="s">
        <v>35</v>
      </c>
      <c r="D100" s="16" t="n">
        <f aca="false">D98+w_ot*D99</f>
        <v>10.64</v>
      </c>
      <c r="E100" s="16" t="n">
        <f aca="false">E98+w_ot*E99</f>
        <v>15.3</v>
      </c>
      <c r="F100" s="16" t="n">
        <f aca="false">F98+w_ot*F99</f>
        <v>13.04</v>
      </c>
      <c r="G100" s="16" t="n">
        <f aca="false">G98+w_ot*G99</f>
        <v>15.657</v>
      </c>
    </row>
    <row r="101" customFormat="false" ht="17.15" hidden="false" customHeight="false" outlineLevel="0" collapsed="false">
      <c r="A101" s="0" t="s">
        <v>458</v>
      </c>
      <c r="B101" s="0" t="s">
        <v>243</v>
      </c>
      <c r="D101" s="16" t="n">
        <f aca="false">q26_e*ai_e</f>
        <v>243.75</v>
      </c>
      <c r="H101" s="8" t="s">
        <v>459</v>
      </c>
    </row>
    <row r="102" customFormat="false" ht="17.15" hidden="false" customHeight="false" outlineLevel="0" collapsed="false">
      <c r="A102" s="5" t="s">
        <v>460</v>
      </c>
      <c r="B102" s="5" t="s">
        <v>461</v>
      </c>
      <c r="D102" s="14" t="n">
        <f aca="false">D101/D100</f>
        <v>22.9088345864662</v>
      </c>
      <c r="H102" s="8" t="s">
        <v>462</v>
      </c>
    </row>
    <row r="103" customFormat="false" ht="17.15" hidden="false" customHeight="false" outlineLevel="0" collapsed="false">
      <c r="A103" s="5" t="s">
        <v>463</v>
      </c>
      <c r="B103" s="0" t="s">
        <v>147</v>
      </c>
      <c r="D103" s="20" t="n">
        <f aca="false">1</f>
        <v>1</v>
      </c>
      <c r="E103" s="20" t="n">
        <f aca="false">D103*(1+g_asp)</f>
        <v>1.18</v>
      </c>
      <c r="F103" s="20" t="n">
        <f aca="false">E103*(1+g_asp)</f>
        <v>1.3924</v>
      </c>
      <c r="G103" s="20" t="n">
        <f aca="false">F103*(1+g_asp)</f>
        <v>1.643032</v>
      </c>
    </row>
    <row r="104" customFormat="false" ht="17.15" hidden="false" customHeight="false" outlineLevel="0" collapsed="false">
      <c r="A104" s="0" t="s">
        <v>464</v>
      </c>
      <c r="B104" s="0" t="s">
        <v>147</v>
      </c>
      <c r="D104" s="21" t="n">
        <f aca="false">1</f>
        <v>1</v>
      </c>
      <c r="E104" s="21" t="n">
        <f aca="false">rel_27</f>
        <v>0.95</v>
      </c>
      <c r="F104" s="21" t="n">
        <f aca="false">rel_28</f>
        <v>0.88</v>
      </c>
      <c r="G104" s="21" t="n">
        <f aca="false">rel_29</f>
        <v>0.85</v>
      </c>
    </row>
    <row r="105" customFormat="false" ht="17.15" hidden="false" customHeight="false" outlineLevel="0" collapsed="false">
      <c r="A105" s="5" t="s">
        <v>465</v>
      </c>
      <c r="B105" s="0" t="s">
        <v>147</v>
      </c>
      <c r="D105" s="21" t="n">
        <f aca="false">1</f>
        <v>1</v>
      </c>
      <c r="E105" s="21" t="n">
        <f aca="false">pp_27</f>
        <v>1</v>
      </c>
      <c r="F105" s="21" t="n">
        <f aca="false">pp_28</f>
        <v>0.95</v>
      </c>
      <c r="G105" s="21" t="n">
        <f aca="false">pp_29</f>
        <v>0.9</v>
      </c>
    </row>
    <row r="106" customFormat="false" ht="17.15" hidden="false" customHeight="false" outlineLevel="0" collapsed="false">
      <c r="A106" s="0" t="s">
        <v>427</v>
      </c>
      <c r="B106" s="0" t="s">
        <v>243</v>
      </c>
      <c r="D106" s="16" t="n">
        <f aca="false">D101</f>
        <v>243.75</v>
      </c>
      <c r="E106" s="16" t="n">
        <f aca="false">E100*$D$102*E103*E104*E105</f>
        <v>392.916294642857</v>
      </c>
      <c r="F106" s="16" t="n">
        <f aca="false">F100*$D$102*F103*F104*F105</f>
        <v>347.736981428572</v>
      </c>
      <c r="G106" s="16" t="n">
        <f aca="false">G100*$D$102*G103*G104*G105</f>
        <v>450.836433056884</v>
      </c>
    </row>
    <row r="107" customFormat="false" ht="17.15" hidden="false" customHeight="false" outlineLevel="0" collapsed="false">
      <c r="A107" s="1" t="s">
        <v>466</v>
      </c>
    </row>
    <row r="108" customFormat="false" ht="17.15" hidden="false" customHeight="false" outlineLevel="0" collapsed="false">
      <c r="A108" s="5" t="s">
        <v>467</v>
      </c>
      <c r="B108" s="0" t="s">
        <v>243</v>
      </c>
      <c r="D108" s="16" t="n">
        <f aca="false">q26_e-D106</f>
        <v>131.25</v>
      </c>
      <c r="E108" s="16" t="n">
        <f aca="false">D108*(1+g_ne)</f>
        <v>137.8125</v>
      </c>
      <c r="F108" s="16" t="n">
        <f aca="false">E108*(1+g_ne)</f>
        <v>144.703125</v>
      </c>
      <c r="G108" s="16" t="n">
        <f aca="false">F108*(1+g_ne)</f>
        <v>151.93828125</v>
      </c>
    </row>
    <row r="109" customFormat="false" ht="15" hidden="false" customHeight="false" outlineLevel="0" collapsed="false">
      <c r="A109" s="5" t="s">
        <v>468</v>
      </c>
      <c r="B109" s="0" t="s">
        <v>243</v>
      </c>
      <c r="C109" s="16" t="n">
        <f aca="false">q25_e</f>
        <v>243.316</v>
      </c>
      <c r="D109" s="16" t="n">
        <f aca="false">D106+D108</f>
        <v>375</v>
      </c>
      <c r="E109" s="16" t="n">
        <f aca="false">E106+E108</f>
        <v>530.728794642857</v>
      </c>
      <c r="F109" s="16" t="n">
        <f aca="false">F106+F108</f>
        <v>492.440106428572</v>
      </c>
      <c r="G109" s="16" t="n">
        <f aca="false">G106+G108</f>
        <v>602.774714306884</v>
      </c>
    </row>
    <row r="110" customFormat="false" ht="17.15" hidden="false" customHeight="false" outlineLevel="0" collapsed="false">
      <c r="A110" s="0" t="s">
        <v>469</v>
      </c>
      <c r="B110" s="0" t="s">
        <v>47</v>
      </c>
      <c r="D110" s="15" t="n">
        <f aca="false">(q26_eoi-m_ne*D108)/D106</f>
        <v>0.370512820512821</v>
      </c>
      <c r="H110" s="8" t="s">
        <v>470</v>
      </c>
    </row>
    <row r="111" customFormat="false" ht="17.15" hidden="false" customHeight="false" outlineLevel="0" collapsed="false">
      <c r="A111" s="0" t="s">
        <v>471</v>
      </c>
      <c r="B111" s="0" t="s">
        <v>47</v>
      </c>
      <c r="D111" s="15" t="n">
        <f aca="false">D110</f>
        <v>0.370512820512821</v>
      </c>
      <c r="E111" s="15" t="n">
        <f aca="false">1-(1-$D$110)/E105</f>
        <v>0.370512820512821</v>
      </c>
      <c r="F111" s="15" t="n">
        <f aca="false">1-(1-$D$110)/F105</f>
        <v>0.337381916329285</v>
      </c>
      <c r="G111" s="15" t="n">
        <f aca="false">1-(1-$D$110)/G105</f>
        <v>0.300569800569801</v>
      </c>
      <c r="H111" s="8" t="s">
        <v>472</v>
      </c>
    </row>
    <row r="112" customFormat="false" ht="15" hidden="false" customHeight="false" outlineLevel="0" collapsed="false">
      <c r="A112" s="5" t="s">
        <v>473</v>
      </c>
      <c r="B112" s="0" t="s">
        <v>243</v>
      </c>
      <c r="C112" s="16" t="n">
        <f aca="false">q25_eoi</f>
        <v>45.248</v>
      </c>
      <c r="D112" s="16" t="n">
        <f aca="false">D106*D111+D108*m_ne</f>
        <v>110</v>
      </c>
      <c r="E112" s="16" t="n">
        <f aca="false">E106*E111+E108*m_ne</f>
        <v>166.252399553571</v>
      </c>
      <c r="F112" s="16" t="n">
        <f aca="false">F106*F111+F108*m_ne</f>
        <v>139.025637922932</v>
      </c>
      <c r="G112" s="16" t="n">
        <f aca="false">G106*G111+G108*m_ne</f>
        <v>158.298558961008</v>
      </c>
    </row>
    <row r="113" customFormat="false" ht="15" hidden="false" customHeight="false" outlineLevel="0" collapsed="false">
      <c r="A113" s="5" t="s">
        <v>406</v>
      </c>
      <c r="B113" s="0" t="s">
        <v>47</v>
      </c>
      <c r="C113" s="15" t="n">
        <f aca="false">C112/C109</f>
        <v>0.185963931677325</v>
      </c>
      <c r="D113" s="15" t="n">
        <f aca="false">D112/D109</f>
        <v>0.293333333333333</v>
      </c>
      <c r="E113" s="15" t="n">
        <f aca="false">E112/E109</f>
        <v>0.313253023449477</v>
      </c>
      <c r="F113" s="15" t="n">
        <f aca="false">F112/F109</f>
        <v>0.282319892527068</v>
      </c>
      <c r="G113" s="15" t="n">
        <f aca="false">G112/G109</f>
        <v>0.262616455540992</v>
      </c>
    </row>
    <row r="114" customFormat="false" ht="17.15" hidden="false" customHeight="false" outlineLevel="0" collapsed="false">
      <c r="A114" s="1" t="s">
        <v>474</v>
      </c>
    </row>
    <row r="115" customFormat="false" ht="15" hidden="false" customHeight="false" outlineLevel="0" collapsed="false">
      <c r="A115" s="5" t="s">
        <v>475</v>
      </c>
      <c r="B115" s="0" t="s">
        <v>243</v>
      </c>
      <c r="C115" s="16" t="n">
        <f aca="false">q25_cer</f>
        <v>82.554</v>
      </c>
      <c r="D115" s="16" t="n">
        <f aca="false">q26_cer</f>
        <v>84</v>
      </c>
      <c r="E115" s="16" t="n">
        <f aca="false">D115*(1+g_cer)</f>
        <v>84</v>
      </c>
      <c r="F115" s="16" t="n">
        <f aca="false">E115*(1+g_cer)</f>
        <v>84</v>
      </c>
      <c r="G115" s="16" t="n">
        <f aca="false">F115*(1+g_cer)</f>
        <v>84</v>
      </c>
    </row>
    <row r="116" customFormat="false" ht="15" hidden="false" customHeight="false" outlineLevel="0" collapsed="false">
      <c r="A116" s="5" t="s">
        <v>476</v>
      </c>
      <c r="B116" s="0" t="s">
        <v>243</v>
      </c>
      <c r="C116" s="16" t="n">
        <f aca="false">q25_oth</f>
        <v>90.33</v>
      </c>
      <c r="D116" s="16" t="n">
        <f aca="false">q26_oth</f>
        <v>91</v>
      </c>
      <c r="E116" s="16" t="n">
        <f aca="false">D116*(1+g_oth)</f>
        <v>93.73</v>
      </c>
      <c r="F116" s="16" t="n">
        <f aca="false">E116*(1+g_oth)</f>
        <v>96.5419</v>
      </c>
      <c r="G116" s="16" t="n">
        <f aca="false">F116*(1+g_oth)</f>
        <v>99.438157</v>
      </c>
    </row>
    <row r="117" customFormat="false" ht="15" hidden="false" customHeight="false" outlineLevel="0" collapsed="false">
      <c r="A117" s="5" t="s">
        <v>395</v>
      </c>
      <c r="B117" s="0" t="s">
        <v>243</v>
      </c>
      <c r="C117" s="16" t="n">
        <f aca="false">C109+C115+C116</f>
        <v>416.2</v>
      </c>
      <c r="D117" s="16" t="n">
        <f aca="false">D109+D115+D116</f>
        <v>550</v>
      </c>
      <c r="E117" s="16" t="n">
        <f aca="false">E109+E115+E116</f>
        <v>708.458794642857</v>
      </c>
      <c r="F117" s="16" t="n">
        <f aca="false">F109+F115+F116</f>
        <v>672.982006428572</v>
      </c>
      <c r="G117" s="16" t="n">
        <f aca="false">G109+G115+G116</f>
        <v>786.212871306884</v>
      </c>
    </row>
    <row r="118" customFormat="false" ht="17.15" hidden="false" customHeight="false" outlineLevel="0" collapsed="false">
      <c r="A118" s="5" t="s">
        <v>477</v>
      </c>
      <c r="B118" s="0" t="s">
        <v>243</v>
      </c>
      <c r="C118" s="20" t="n">
        <f aca="false">C109+C115+C116-q25_rev</f>
        <v>-0.0010000000000332</v>
      </c>
      <c r="D118" s="20" t="n">
        <f aca="false">D109+D115+D116-q26_rev</f>
        <v>0</v>
      </c>
    </row>
    <row r="119" customFormat="false" ht="15" hidden="false" customHeight="false" outlineLevel="0" collapsed="false">
      <c r="A119" s="5" t="s">
        <v>478</v>
      </c>
      <c r="B119" s="0" t="s">
        <v>47</v>
      </c>
      <c r="D119" s="15" t="n">
        <f aca="false">D117/C117-1</f>
        <v>0.321480057664584</v>
      </c>
      <c r="E119" s="15" t="n">
        <f aca="false">E117/D117-1</f>
        <v>0.288106899350649</v>
      </c>
      <c r="F119" s="15" t="n">
        <f aca="false">F117/E117-1</f>
        <v>-0.0500760079238906</v>
      </c>
      <c r="G119" s="15" t="n">
        <f aca="false">G117/F117-1</f>
        <v>0.16825244032781</v>
      </c>
    </row>
    <row r="120" customFormat="false" ht="17.15" hidden="false" customHeight="false" outlineLevel="0" collapsed="false">
      <c r="A120" s="0" t="s">
        <v>479</v>
      </c>
      <c r="B120" s="0" t="s">
        <v>47</v>
      </c>
      <c r="D120" s="15" t="n">
        <f aca="false">D106/D117</f>
        <v>0.443181818181818</v>
      </c>
      <c r="E120" s="15" t="n">
        <f aca="false">E106/E117</f>
        <v>0.554607124103712</v>
      </c>
      <c r="F120" s="15" t="n">
        <f aca="false">F106/F117</f>
        <v>0.516710667011688</v>
      </c>
      <c r="G120" s="15" t="n">
        <f aca="false">G106/G117</f>
        <v>0.573427947455859</v>
      </c>
    </row>
    <row r="121" customFormat="false" ht="15" hidden="false" customHeight="false" outlineLevel="0" collapsed="false">
      <c r="A121" s="5" t="s">
        <v>480</v>
      </c>
      <c r="B121" s="0" t="s">
        <v>243</v>
      </c>
      <c r="C121" s="16" t="n">
        <f aca="false">q25_oi-q25_eoi</f>
        <v>16.779</v>
      </c>
      <c r="D121" s="16" t="n">
        <f aca="false">q26_oi-q26_eoi</f>
        <v>17</v>
      </c>
      <c r="E121" s="16" t="n">
        <f aca="false">E115*m_cer+E116*m_oth+q26_adj</f>
        <v>17.24695</v>
      </c>
      <c r="F121" s="16" t="n">
        <f aca="false">F115*m_cer+F116*m_oth+q26_adj</f>
        <v>17.5703185</v>
      </c>
      <c r="G121" s="16" t="n">
        <f aca="false">G115*m_cer+G116*m_oth+q26_adj</f>
        <v>17.903388055</v>
      </c>
    </row>
    <row r="122" customFormat="false" ht="15" hidden="false" customHeight="false" outlineLevel="0" collapsed="false">
      <c r="A122" s="5" t="s">
        <v>400</v>
      </c>
      <c r="B122" s="0" t="s">
        <v>243</v>
      </c>
      <c r="C122" s="16" t="n">
        <f aca="false">C112+C121</f>
        <v>62.027</v>
      </c>
      <c r="D122" s="16" t="n">
        <f aca="false">D112+D121</f>
        <v>127</v>
      </c>
      <c r="E122" s="16" t="n">
        <f aca="false">E112+E121</f>
        <v>183.499349553571</v>
      </c>
      <c r="F122" s="16" t="n">
        <f aca="false">F112+F121</f>
        <v>156.595956422932</v>
      </c>
      <c r="G122" s="16" t="n">
        <f aca="false">G112+G121</f>
        <v>176.201947016008</v>
      </c>
    </row>
    <row r="123" customFormat="false" ht="15" hidden="false" customHeight="false" outlineLevel="0" collapsed="false">
      <c r="A123" s="5" t="s">
        <v>407</v>
      </c>
      <c r="B123" s="0" t="s">
        <v>47</v>
      </c>
      <c r="C123" s="15" t="n">
        <f aca="false">C122/C117</f>
        <v>0.149031715521384</v>
      </c>
      <c r="D123" s="15" t="n">
        <f aca="false">D122/D117</f>
        <v>0.230909090909091</v>
      </c>
      <c r="E123" s="15" t="n">
        <f aca="false">E122/E117</f>
        <v>0.259012028562756</v>
      </c>
      <c r="F123" s="15" t="n">
        <f aca="false">F122/F117</f>
        <v>0.232689663211007</v>
      </c>
      <c r="G123" s="15" t="n">
        <f aca="false">G122/G117</f>
        <v>0.224114808401846</v>
      </c>
    </row>
    <row r="124" customFormat="false" ht="15" hidden="false" customHeight="false" outlineLevel="0" collapsed="false">
      <c r="A124" s="5" t="s">
        <v>402</v>
      </c>
      <c r="B124" s="0" t="s">
        <v>243</v>
      </c>
      <c r="C124" s="16" t="n">
        <f aca="false">q25_ni</f>
        <v>63.713</v>
      </c>
      <c r="D124" s="16" t="n">
        <f aca="false">q26_ni</f>
        <v>84</v>
      </c>
      <c r="E124" s="16" t="n">
        <f aca="false">E122*ni_oi</f>
        <v>121.293070054911</v>
      </c>
      <c r="F124" s="16" t="n">
        <f aca="false">F122*ni_oi</f>
        <v>103.509927195558</v>
      </c>
      <c r="G124" s="16" t="n">
        <f aca="false">G122*ni_oi</f>
        <v>116.469486977581</v>
      </c>
    </row>
    <row r="125" customFormat="false" ht="15" hidden="false" customHeight="false" outlineLevel="0" collapsed="false">
      <c r="A125" s="5" t="s">
        <v>481</v>
      </c>
      <c r="B125" s="5" t="s">
        <v>482</v>
      </c>
      <c r="D125" s="17" t="n">
        <f aca="false">q26_sh</f>
        <v>0.561197220737574</v>
      </c>
      <c r="E125" s="17" t="n">
        <f aca="false">D125*(1+sh_g)</f>
        <v>0.561197220737574</v>
      </c>
      <c r="F125" s="17" t="n">
        <f aca="false">E125*(1+sh_g)</f>
        <v>0.561197220737574</v>
      </c>
      <c r="G125" s="17" t="n">
        <f aca="false">F125*(1+sh_g)</f>
        <v>0.561197220737574</v>
      </c>
    </row>
    <row r="126" customFormat="false" ht="17.15" hidden="false" customHeight="false" outlineLevel="0" collapsed="false">
      <c r="A126" s="0" t="s">
        <v>483</v>
      </c>
      <c r="B126" s="0" t="s">
        <v>268</v>
      </c>
      <c r="C126" s="16" t="n">
        <f aca="false">q25_eps</f>
        <v>114.08</v>
      </c>
      <c r="D126" s="16" t="n">
        <f aca="false">D124/D125</f>
        <v>149.68</v>
      </c>
      <c r="E126" s="16" t="n">
        <f aca="false">E124/E125</f>
        <v>216.132699116893</v>
      </c>
      <c r="F126" s="16" t="n">
        <f aca="false">F124/F125</f>
        <v>184.444832174181</v>
      </c>
      <c r="G126" s="16" t="n">
        <f aca="false">G124/G125</f>
        <v>207.537533461957</v>
      </c>
    </row>
    <row r="127" customFormat="false" ht="17.15" hidden="false" customHeight="false" outlineLevel="0" collapsed="false">
      <c r="A127" s="0" t="s">
        <v>484</v>
      </c>
      <c r="B127" s="0" t="s">
        <v>47</v>
      </c>
      <c r="D127" s="15" t="n">
        <f aca="false">D126/C126-1</f>
        <v>0.312061711079944</v>
      </c>
      <c r="E127" s="15" t="n">
        <f aca="false">E126/D126-1</f>
        <v>0.443965119701318</v>
      </c>
      <c r="F127" s="15" t="n">
        <f aca="false">F126/E126-1</f>
        <v>-0.146613016319084</v>
      </c>
      <c r="G127" s="15" t="n">
        <f aca="false">G126/F126-1</f>
        <v>0.125201129332637</v>
      </c>
    </row>
    <row r="130" customFormat="false" ht="17.15" hidden="false" customHeight="false" outlineLevel="0" collapsed="false">
      <c r="A130" s="3" t="s">
        <v>486</v>
      </c>
    </row>
    <row r="131" customFormat="false" ht="17.15" hidden="false" customHeight="false" outlineLevel="0" collapsed="false">
      <c r="A131" s="6" t="s">
        <v>24</v>
      </c>
      <c r="B131" s="6" t="s">
        <v>25</v>
      </c>
      <c r="C131" s="13" t="s">
        <v>392</v>
      </c>
      <c r="D131" s="13" t="s">
        <v>438</v>
      </c>
      <c r="E131" s="13" t="s">
        <v>414</v>
      </c>
      <c r="F131" s="13" t="s">
        <v>415</v>
      </c>
      <c r="G131" s="13" t="s">
        <v>416</v>
      </c>
      <c r="H131" s="6" t="s">
        <v>377</v>
      </c>
    </row>
    <row r="132" customFormat="false" ht="17.15" hidden="false" customHeight="false" outlineLevel="0" collapsed="false">
      <c r="A132" s="1" t="s">
        <v>452</v>
      </c>
    </row>
    <row r="133" customFormat="false" ht="17.15" hidden="false" customHeight="false" outlineLevel="0" collapsed="false">
      <c r="A133" s="0" t="s">
        <v>453</v>
      </c>
      <c r="B133" s="5" t="s">
        <v>35</v>
      </c>
      <c r="D133" s="16" t="n">
        <f aca="false">(u_bw_26+u_rb_26+u_ru_26+u_hp_26)*1</f>
        <v>7.6</v>
      </c>
      <c r="E133" s="16" t="n">
        <f aca="false">(u_bw_27+u_rb_27+u_ru_27+u_hp_27)*1</f>
        <v>9.7</v>
      </c>
      <c r="F133" s="16" t="n">
        <f aca="false">(u_bw_28+u_rb_28+u_ru_28+u_hp_28)*um28_C</f>
        <v>5.7</v>
      </c>
      <c r="G133" s="16" t="n">
        <f aca="false">(u_bw_28*(1+g29_bw)+u_rb_28*(1+g29_rb)+u_ru_28*(1+g29_ru)+u_hp_28*(1+g29_hp))*um29_C</f>
        <v>6.36</v>
      </c>
      <c r="H133" s="8" t="s">
        <v>454</v>
      </c>
    </row>
    <row r="134" customFormat="false" ht="17.15" hidden="false" customHeight="false" outlineLevel="0" collapsed="false">
      <c r="A134" s="5" t="s">
        <v>455</v>
      </c>
      <c r="B134" s="5" t="s">
        <v>35</v>
      </c>
      <c r="D134" s="16" t="n">
        <f aca="false">(u_amd_26+u_tpu_26+u_trn_26+u_oth_26)*1</f>
        <v>7.6</v>
      </c>
      <c r="E134" s="16" t="n">
        <f aca="false">(u_amd_27+u_tpu_27+u_trn_27+u_oth_27)*1</f>
        <v>14</v>
      </c>
      <c r="F134" s="16" t="n">
        <f aca="false">(u_amd_28+u_tpu_28+u_trn_28+u_oth_28)*um28_C</f>
        <v>10.2</v>
      </c>
      <c r="G134" s="16" t="n">
        <f aca="false">(u_amd_28*(1+g29_amd)+u_tpu_28*(1+g29_tpu)+u_trn_28*(1+g29_trn)+u_oth_28*(1+g29_oth))*um29_C</f>
        <v>11.73</v>
      </c>
      <c r="H134" s="8" t="s">
        <v>456</v>
      </c>
    </row>
    <row r="135" customFormat="false" ht="17.15" hidden="false" customHeight="false" outlineLevel="0" collapsed="false">
      <c r="A135" s="5" t="s">
        <v>457</v>
      </c>
      <c r="B135" s="5" t="s">
        <v>35</v>
      </c>
      <c r="D135" s="16" t="n">
        <f aca="false">D133+w_ot*D134</f>
        <v>10.64</v>
      </c>
      <c r="E135" s="16" t="n">
        <f aca="false">E133+w_ot*E134</f>
        <v>15.3</v>
      </c>
      <c r="F135" s="16" t="n">
        <f aca="false">F133+w_ot*F134</f>
        <v>9.78</v>
      </c>
      <c r="G135" s="16" t="n">
        <f aca="false">G133+w_ot*G134</f>
        <v>11.052</v>
      </c>
    </row>
    <row r="136" customFormat="false" ht="17.15" hidden="false" customHeight="false" outlineLevel="0" collapsed="false">
      <c r="A136" s="0" t="s">
        <v>458</v>
      </c>
      <c r="B136" s="0" t="s">
        <v>243</v>
      </c>
      <c r="D136" s="16" t="n">
        <f aca="false">q26_e*ai_e</f>
        <v>243.75</v>
      </c>
      <c r="H136" s="8" t="s">
        <v>459</v>
      </c>
    </row>
    <row r="137" customFormat="false" ht="17.15" hidden="false" customHeight="false" outlineLevel="0" collapsed="false">
      <c r="A137" s="5" t="s">
        <v>460</v>
      </c>
      <c r="B137" s="5" t="s">
        <v>461</v>
      </c>
      <c r="D137" s="14" t="n">
        <f aca="false">D136/D135</f>
        <v>22.9088345864662</v>
      </c>
      <c r="H137" s="8" t="s">
        <v>462</v>
      </c>
    </row>
    <row r="138" customFormat="false" ht="17.15" hidden="false" customHeight="false" outlineLevel="0" collapsed="false">
      <c r="A138" s="5" t="s">
        <v>463</v>
      </c>
      <c r="B138" s="0" t="s">
        <v>147</v>
      </c>
      <c r="D138" s="20" t="n">
        <f aca="false">1</f>
        <v>1</v>
      </c>
      <c r="E138" s="20" t="n">
        <f aca="false">D138*(1+g_asp)</f>
        <v>1.18</v>
      </c>
      <c r="F138" s="20" t="n">
        <f aca="false">E138*(1+g_asp)</f>
        <v>1.3924</v>
      </c>
      <c r="G138" s="20" t="n">
        <f aca="false">F138*(1+g_asp)</f>
        <v>1.643032</v>
      </c>
    </row>
    <row r="139" customFormat="false" ht="17.15" hidden="false" customHeight="false" outlineLevel="0" collapsed="false">
      <c r="A139" s="0" t="s">
        <v>464</v>
      </c>
      <c r="B139" s="0" t="s">
        <v>147</v>
      </c>
      <c r="D139" s="21" t="n">
        <f aca="false">1</f>
        <v>1</v>
      </c>
      <c r="E139" s="21" t="n">
        <f aca="false">rel_27</f>
        <v>0.95</v>
      </c>
      <c r="F139" s="21" t="n">
        <f aca="false">rel_28</f>
        <v>0.88</v>
      </c>
      <c r="G139" s="21" t="n">
        <f aca="false">rel_29</f>
        <v>0.85</v>
      </c>
    </row>
    <row r="140" customFormat="false" ht="17.15" hidden="false" customHeight="false" outlineLevel="0" collapsed="false">
      <c r="A140" s="5" t="s">
        <v>465</v>
      </c>
      <c r="B140" s="0" t="s">
        <v>147</v>
      </c>
      <c r="D140" s="21" t="n">
        <f aca="false">1</f>
        <v>1</v>
      </c>
      <c r="E140" s="21" t="n">
        <f aca="false">pp_27</f>
        <v>1</v>
      </c>
      <c r="F140" s="21" t="n">
        <f aca="false">pp_28</f>
        <v>0.95</v>
      </c>
      <c r="G140" s="21" t="n">
        <f aca="false">pp_29</f>
        <v>0.9</v>
      </c>
    </row>
    <row r="141" customFormat="false" ht="17.15" hidden="false" customHeight="false" outlineLevel="0" collapsed="false">
      <c r="A141" s="0" t="s">
        <v>427</v>
      </c>
      <c r="B141" s="0" t="s">
        <v>243</v>
      </c>
      <c r="D141" s="16" t="n">
        <f aca="false">D136</f>
        <v>243.75</v>
      </c>
      <c r="E141" s="16" t="n">
        <f aca="false">E135*$D$137*E138*E139*E140</f>
        <v>392.916294642857</v>
      </c>
      <c r="F141" s="16" t="n">
        <f aca="false">F135*$D$137*F138*F139*F140</f>
        <v>260.802736071429</v>
      </c>
      <c r="G141" s="16" t="n">
        <f aca="false">G135*$D$137*G138*G139*G140</f>
        <v>318.237482157801</v>
      </c>
    </row>
    <row r="142" customFormat="false" ht="17.15" hidden="false" customHeight="false" outlineLevel="0" collapsed="false">
      <c r="A142" s="1" t="s">
        <v>466</v>
      </c>
    </row>
    <row r="143" customFormat="false" ht="17.15" hidden="false" customHeight="false" outlineLevel="0" collapsed="false">
      <c r="A143" s="5" t="s">
        <v>467</v>
      </c>
      <c r="B143" s="0" t="s">
        <v>243</v>
      </c>
      <c r="D143" s="16" t="n">
        <f aca="false">q26_e-D141</f>
        <v>131.25</v>
      </c>
      <c r="E143" s="16" t="n">
        <f aca="false">D143*(1+g_ne)</f>
        <v>137.8125</v>
      </c>
      <c r="F143" s="16" t="n">
        <f aca="false">E143*(1+g_ne)</f>
        <v>144.703125</v>
      </c>
      <c r="G143" s="16" t="n">
        <f aca="false">F143*(1+g_ne)</f>
        <v>151.93828125</v>
      </c>
    </row>
    <row r="144" customFormat="false" ht="15" hidden="false" customHeight="false" outlineLevel="0" collapsed="false">
      <c r="A144" s="5" t="s">
        <v>468</v>
      </c>
      <c r="B144" s="0" t="s">
        <v>243</v>
      </c>
      <c r="C144" s="16" t="n">
        <f aca="false">q25_e</f>
        <v>243.316</v>
      </c>
      <c r="D144" s="16" t="n">
        <f aca="false">D141+D143</f>
        <v>375</v>
      </c>
      <c r="E144" s="16" t="n">
        <f aca="false">E141+E143</f>
        <v>530.728794642857</v>
      </c>
      <c r="F144" s="16" t="n">
        <f aca="false">F141+F143</f>
        <v>405.505861071429</v>
      </c>
      <c r="G144" s="16" t="n">
        <f aca="false">G141+G143</f>
        <v>470.175763407801</v>
      </c>
    </row>
    <row r="145" customFormat="false" ht="17.15" hidden="false" customHeight="false" outlineLevel="0" collapsed="false">
      <c r="A145" s="0" t="s">
        <v>469</v>
      </c>
      <c r="B145" s="0" t="s">
        <v>47</v>
      </c>
      <c r="D145" s="15" t="n">
        <f aca="false">(q26_eoi-m_ne*D143)/D141</f>
        <v>0.370512820512821</v>
      </c>
      <c r="H145" s="8" t="s">
        <v>470</v>
      </c>
    </row>
    <row r="146" customFormat="false" ht="17.15" hidden="false" customHeight="false" outlineLevel="0" collapsed="false">
      <c r="A146" s="0" t="s">
        <v>471</v>
      </c>
      <c r="B146" s="0" t="s">
        <v>47</v>
      </c>
      <c r="D146" s="15" t="n">
        <f aca="false">D145</f>
        <v>0.370512820512821</v>
      </c>
      <c r="E146" s="15" t="n">
        <f aca="false">1-(1-$D$145)/E140</f>
        <v>0.370512820512821</v>
      </c>
      <c r="F146" s="15" t="n">
        <f aca="false">1-(1-$D$145)/F140</f>
        <v>0.337381916329285</v>
      </c>
      <c r="G146" s="15" t="n">
        <f aca="false">1-(1-$D$145)/G140</f>
        <v>0.300569800569801</v>
      </c>
      <c r="H146" s="8" t="s">
        <v>472</v>
      </c>
    </row>
    <row r="147" customFormat="false" ht="15" hidden="false" customHeight="false" outlineLevel="0" collapsed="false">
      <c r="A147" s="5" t="s">
        <v>473</v>
      </c>
      <c r="B147" s="0" t="s">
        <v>243</v>
      </c>
      <c r="C147" s="16" t="n">
        <f aca="false">q25_eoi</f>
        <v>45.248</v>
      </c>
      <c r="D147" s="16" t="n">
        <f aca="false">D141*D146+D143*m_ne</f>
        <v>110</v>
      </c>
      <c r="E147" s="16" t="n">
        <f aca="false">E141*E146+E143*m_ne</f>
        <v>166.252399553571</v>
      </c>
      <c r="F147" s="16" t="n">
        <f aca="false">F141*F146+F143*m_ne</f>
        <v>109.695595629699</v>
      </c>
      <c r="G147" s="16" t="n">
        <f aca="false">G141*G146+G143*m_ne</f>
        <v>118.443318733506</v>
      </c>
    </row>
    <row r="148" customFormat="false" ht="15" hidden="false" customHeight="false" outlineLevel="0" collapsed="false">
      <c r="A148" s="5" t="s">
        <v>406</v>
      </c>
      <c r="B148" s="0" t="s">
        <v>47</v>
      </c>
      <c r="C148" s="15" t="n">
        <f aca="false">C147/C144</f>
        <v>0.185963931677325</v>
      </c>
      <c r="D148" s="15" t="n">
        <f aca="false">D147/D144</f>
        <v>0.293333333333333</v>
      </c>
      <c r="E148" s="15" t="n">
        <f aca="false">E147/E144</f>
        <v>0.313253023449477</v>
      </c>
      <c r="F148" s="15" t="n">
        <f aca="false">F147/F144</f>
        <v>0.270515438025634</v>
      </c>
      <c r="G148" s="15" t="n">
        <f aca="false">G147/G144</f>
        <v>0.251912854620657</v>
      </c>
    </row>
    <row r="149" customFormat="false" ht="17.15" hidden="false" customHeight="false" outlineLevel="0" collapsed="false">
      <c r="A149" s="1" t="s">
        <v>474</v>
      </c>
    </row>
    <row r="150" customFormat="false" ht="15" hidden="false" customHeight="false" outlineLevel="0" collapsed="false">
      <c r="A150" s="5" t="s">
        <v>475</v>
      </c>
      <c r="B150" s="0" t="s">
        <v>243</v>
      </c>
      <c r="C150" s="16" t="n">
        <f aca="false">q25_cer</f>
        <v>82.554</v>
      </c>
      <c r="D150" s="16" t="n">
        <f aca="false">q26_cer</f>
        <v>84</v>
      </c>
      <c r="E150" s="16" t="n">
        <f aca="false">D150*(1+g_cer)</f>
        <v>84</v>
      </c>
      <c r="F150" s="16" t="n">
        <f aca="false">E150*(1+g_cer)</f>
        <v>84</v>
      </c>
      <c r="G150" s="16" t="n">
        <f aca="false">F150*(1+g_cer)</f>
        <v>84</v>
      </c>
    </row>
    <row r="151" customFormat="false" ht="15" hidden="false" customHeight="false" outlineLevel="0" collapsed="false">
      <c r="A151" s="5" t="s">
        <v>476</v>
      </c>
      <c r="B151" s="0" t="s">
        <v>243</v>
      </c>
      <c r="C151" s="16" t="n">
        <f aca="false">q25_oth</f>
        <v>90.33</v>
      </c>
      <c r="D151" s="16" t="n">
        <f aca="false">q26_oth</f>
        <v>91</v>
      </c>
      <c r="E151" s="16" t="n">
        <f aca="false">D151*(1+g_oth)</f>
        <v>93.73</v>
      </c>
      <c r="F151" s="16" t="n">
        <f aca="false">E151*(1+g_oth)</f>
        <v>96.5419</v>
      </c>
      <c r="G151" s="16" t="n">
        <f aca="false">F151*(1+g_oth)</f>
        <v>99.438157</v>
      </c>
    </row>
    <row r="152" customFormat="false" ht="15" hidden="false" customHeight="false" outlineLevel="0" collapsed="false">
      <c r="A152" s="5" t="s">
        <v>395</v>
      </c>
      <c r="B152" s="0" t="s">
        <v>243</v>
      </c>
      <c r="C152" s="16" t="n">
        <f aca="false">C144+C150+C151</f>
        <v>416.2</v>
      </c>
      <c r="D152" s="16" t="n">
        <f aca="false">D144+D150+D151</f>
        <v>550</v>
      </c>
      <c r="E152" s="16" t="n">
        <f aca="false">E144+E150+E151</f>
        <v>708.458794642857</v>
      </c>
      <c r="F152" s="16" t="n">
        <f aca="false">F144+F150+F151</f>
        <v>586.047761071429</v>
      </c>
      <c r="G152" s="16" t="n">
        <f aca="false">G144+G150+G151</f>
        <v>653.613920407801</v>
      </c>
    </row>
    <row r="153" customFormat="false" ht="17.15" hidden="false" customHeight="false" outlineLevel="0" collapsed="false">
      <c r="A153" s="5" t="s">
        <v>477</v>
      </c>
      <c r="B153" s="0" t="s">
        <v>243</v>
      </c>
      <c r="C153" s="20" t="n">
        <f aca="false">C144+C150+C151-q25_rev</f>
        <v>-0.0010000000000332</v>
      </c>
      <c r="D153" s="20" t="n">
        <f aca="false">D144+D150+D151-q26_rev</f>
        <v>0</v>
      </c>
    </row>
    <row r="154" customFormat="false" ht="15" hidden="false" customHeight="false" outlineLevel="0" collapsed="false">
      <c r="A154" s="5" t="s">
        <v>478</v>
      </c>
      <c r="B154" s="0" t="s">
        <v>47</v>
      </c>
      <c r="D154" s="15" t="n">
        <f aca="false">D152/C152-1</f>
        <v>0.321480057664584</v>
      </c>
      <c r="E154" s="15" t="n">
        <f aca="false">E152/D152-1</f>
        <v>0.288106899350649</v>
      </c>
      <c r="F154" s="15" t="n">
        <f aca="false">F152/E152-1</f>
        <v>-0.172784972812904</v>
      </c>
      <c r="G154" s="15" t="n">
        <f aca="false">G152/F152-1</f>
        <v>0.115291216560312</v>
      </c>
    </row>
    <row r="155" customFormat="false" ht="17.15" hidden="false" customHeight="false" outlineLevel="0" collapsed="false">
      <c r="A155" s="0" t="s">
        <v>479</v>
      </c>
      <c r="B155" s="0" t="s">
        <v>47</v>
      </c>
      <c r="D155" s="15" t="n">
        <f aca="false">D141/D152</f>
        <v>0.443181818181818</v>
      </c>
      <c r="E155" s="15" t="n">
        <f aca="false">E141/E152</f>
        <v>0.554607124103712</v>
      </c>
      <c r="F155" s="15" t="n">
        <f aca="false">F141/F152</f>
        <v>0.445019592933214</v>
      </c>
      <c r="G155" s="15" t="n">
        <f aca="false">G141/G152</f>
        <v>0.486889082716058</v>
      </c>
    </row>
    <row r="156" customFormat="false" ht="15" hidden="false" customHeight="false" outlineLevel="0" collapsed="false">
      <c r="A156" s="5" t="s">
        <v>480</v>
      </c>
      <c r="B156" s="0" t="s">
        <v>243</v>
      </c>
      <c r="C156" s="16" t="n">
        <f aca="false">q25_oi-q25_eoi</f>
        <v>16.779</v>
      </c>
      <c r="D156" s="16" t="n">
        <f aca="false">q26_oi-q26_eoi</f>
        <v>17</v>
      </c>
      <c r="E156" s="16" t="n">
        <f aca="false">E150*m_cer+E151*m_oth+q26_adj</f>
        <v>17.24695</v>
      </c>
      <c r="F156" s="16" t="n">
        <f aca="false">F150*m_cer+F151*m_oth+q26_adj</f>
        <v>17.5703185</v>
      </c>
      <c r="G156" s="16" t="n">
        <f aca="false">G150*m_cer+G151*m_oth+q26_adj</f>
        <v>17.903388055</v>
      </c>
    </row>
    <row r="157" customFormat="false" ht="15" hidden="false" customHeight="false" outlineLevel="0" collapsed="false">
      <c r="A157" s="5" t="s">
        <v>400</v>
      </c>
      <c r="B157" s="0" t="s">
        <v>243</v>
      </c>
      <c r="C157" s="16" t="n">
        <f aca="false">C147+C156</f>
        <v>62.027</v>
      </c>
      <c r="D157" s="16" t="n">
        <f aca="false">D147+D156</f>
        <v>127</v>
      </c>
      <c r="E157" s="16" t="n">
        <f aca="false">E147+E156</f>
        <v>183.499349553571</v>
      </c>
      <c r="F157" s="16" t="n">
        <f aca="false">F147+F156</f>
        <v>127.265914129699</v>
      </c>
      <c r="G157" s="16" t="n">
        <f aca="false">G147+G156</f>
        <v>136.346706788506</v>
      </c>
    </row>
    <row r="158" customFormat="false" ht="15" hidden="false" customHeight="false" outlineLevel="0" collapsed="false">
      <c r="A158" s="5" t="s">
        <v>407</v>
      </c>
      <c r="B158" s="0" t="s">
        <v>47</v>
      </c>
      <c r="C158" s="15" t="n">
        <f aca="false">C157/C152</f>
        <v>0.149031715521384</v>
      </c>
      <c r="D158" s="15" t="n">
        <f aca="false">D157/D152</f>
        <v>0.230909090909091</v>
      </c>
      <c r="E158" s="15" t="n">
        <f aca="false">E157/E152</f>
        <v>0.259012028562756</v>
      </c>
      <c r="F158" s="15" t="n">
        <f aca="false">F157/F152</f>
        <v>0.217159628589022</v>
      </c>
      <c r="G158" s="15" t="n">
        <f aca="false">G157/G152</f>
        <v>0.208604349649464</v>
      </c>
    </row>
    <row r="159" customFormat="false" ht="15" hidden="false" customHeight="false" outlineLevel="0" collapsed="false">
      <c r="A159" s="5" t="s">
        <v>402</v>
      </c>
      <c r="B159" s="0" t="s">
        <v>243</v>
      </c>
      <c r="C159" s="16" t="n">
        <f aca="false">q25_ni</f>
        <v>63.713</v>
      </c>
      <c r="D159" s="16" t="n">
        <f aca="false">q26_ni</f>
        <v>84</v>
      </c>
      <c r="E159" s="16" t="n">
        <f aca="false">E157*ni_oi</f>
        <v>121.293070054911</v>
      </c>
      <c r="F159" s="16" t="n">
        <f aca="false">F157*ni_oi</f>
        <v>84.1227692397312</v>
      </c>
      <c r="G159" s="16" t="n">
        <f aca="false">G157*ni_oi</f>
        <v>90.1251731872022</v>
      </c>
    </row>
    <row r="160" customFormat="false" ht="15" hidden="false" customHeight="false" outlineLevel="0" collapsed="false">
      <c r="A160" s="5" t="s">
        <v>481</v>
      </c>
      <c r="B160" s="5" t="s">
        <v>482</v>
      </c>
      <c r="D160" s="17" t="n">
        <f aca="false">q26_sh</f>
        <v>0.561197220737574</v>
      </c>
      <c r="E160" s="17" t="n">
        <f aca="false">D160*(1+sh_g)</f>
        <v>0.561197220737574</v>
      </c>
      <c r="F160" s="17" t="n">
        <f aca="false">E160*(1+sh_g)</f>
        <v>0.561197220737574</v>
      </c>
      <c r="G160" s="17" t="n">
        <f aca="false">F160*(1+sh_g)</f>
        <v>0.561197220737574</v>
      </c>
    </row>
    <row r="161" customFormat="false" ht="17.15" hidden="false" customHeight="false" outlineLevel="0" collapsed="false">
      <c r="A161" s="0" t="s">
        <v>483</v>
      </c>
      <c r="B161" s="0" t="s">
        <v>268</v>
      </c>
      <c r="C161" s="16" t="n">
        <f aca="false">q25_eps</f>
        <v>114.08</v>
      </c>
      <c r="D161" s="16" t="n">
        <f aca="false">D159/D160</f>
        <v>149.68</v>
      </c>
      <c r="E161" s="16" t="n">
        <f aca="false">E159/E160</f>
        <v>216.132699116893</v>
      </c>
      <c r="F161" s="16" t="n">
        <f aca="false">F159/F160</f>
        <v>149.898763092892</v>
      </c>
      <c r="G161" s="16" t="n">
        <f aca="false">G159/G160</f>
        <v>160.594475269767</v>
      </c>
    </row>
    <row r="162" customFormat="false" ht="17.15" hidden="false" customHeight="false" outlineLevel="0" collapsed="false">
      <c r="A162" s="0" t="s">
        <v>484</v>
      </c>
      <c r="B162" s="0" t="s">
        <v>47</v>
      </c>
      <c r="D162" s="15" t="n">
        <f aca="false">D161/C161-1</f>
        <v>0.312061711079944</v>
      </c>
      <c r="E162" s="15" t="n">
        <f aca="false">E161/D161-1</f>
        <v>0.443965119701318</v>
      </c>
      <c r="F162" s="15" t="n">
        <f aca="false">F161/E161-1</f>
        <v>-0.306450325631564</v>
      </c>
      <c r="G162" s="15" t="n">
        <f aca="false">G161/F161-1</f>
        <v>0.0713529048284838</v>
      </c>
    </row>
    <row r="165" customFormat="false" ht="17.15" hidden="false" customHeight="false" outlineLevel="0" collapsed="false">
      <c r="A165" s="3" t="s">
        <v>487</v>
      </c>
    </row>
    <row r="166" customFormat="false" ht="17.15" hidden="false" customHeight="false" outlineLevel="0" collapsed="false">
      <c r="A166" s="3" t="s">
        <v>488</v>
      </c>
    </row>
    <row r="167" customFormat="false" ht="17.15" hidden="false" customHeight="false" outlineLevel="0" collapsed="false">
      <c r="A167" s="6" t="s">
        <v>24</v>
      </c>
      <c r="B167" s="6" t="s">
        <v>25</v>
      </c>
      <c r="C167" s="13" t="s">
        <v>392</v>
      </c>
      <c r="D167" s="13" t="s">
        <v>438</v>
      </c>
      <c r="E167" s="13" t="s">
        <v>414</v>
      </c>
      <c r="F167" s="13" t="s">
        <v>415</v>
      </c>
      <c r="G167" s="13" t="s">
        <v>416</v>
      </c>
      <c r="H167" s="13" t="s">
        <v>489</v>
      </c>
      <c r="I167" s="13" t="s">
        <v>490</v>
      </c>
      <c r="J167" s="13" t="s">
        <v>491</v>
      </c>
      <c r="K167" s="6" t="s">
        <v>377</v>
      </c>
    </row>
    <row r="168" customFormat="false" ht="17.15" hidden="false" customHeight="false" outlineLevel="0" collapsed="false">
      <c r="A168" s="5" t="s">
        <v>492</v>
      </c>
      <c r="B168" s="0" t="s">
        <v>243</v>
      </c>
      <c r="C168" s="14" t="n">
        <f aca="false">C82</f>
        <v>416.2</v>
      </c>
      <c r="D168" s="14" t="n">
        <f aca="false">D82</f>
        <v>550</v>
      </c>
      <c r="E168" s="14" t="n">
        <f aca="false">E82</f>
        <v>708.458794642857</v>
      </c>
      <c r="F168" s="14" t="n">
        <f aca="false">F82</f>
        <v>759.916251785714</v>
      </c>
      <c r="G168" s="14" t="n">
        <f aca="false">G82</f>
        <v>865.772241846335</v>
      </c>
      <c r="H168" s="22" t="n">
        <f aca="false">G168*(1+H169)</f>
        <v>963.488807738629</v>
      </c>
      <c r="I168" s="22" t="n">
        <f aca="false">H168*(1+I169)</f>
        <v>1046.76621171531</v>
      </c>
      <c r="J168" s="22" t="n">
        <f aca="false">I168*(1+J169)</f>
        <v>1109.57218441823</v>
      </c>
      <c r="K168" s="8" t="s">
        <v>493</v>
      </c>
    </row>
    <row r="169" customFormat="false" ht="15" hidden="false" customHeight="false" outlineLevel="0" collapsed="false">
      <c r="A169" s="5" t="s">
        <v>440</v>
      </c>
      <c r="B169" s="0" t="s">
        <v>47</v>
      </c>
      <c r="C169" s="15"/>
      <c r="D169" s="15" t="n">
        <f aca="false">D168/C168-1</f>
        <v>0.321480057664584</v>
      </c>
      <c r="E169" s="15" t="n">
        <f aca="false">E168/D168-1</f>
        <v>0.288106899350649</v>
      </c>
      <c r="F169" s="15" t="n">
        <f aca="false">F168/E168-1</f>
        <v>0.0726329569651225</v>
      </c>
      <c r="G169" s="15" t="n">
        <f aca="false">G168/F168-1</f>
        <v>0.139299547564447</v>
      </c>
      <c r="H169" s="23" t="n">
        <f aca="false">$G$169+($C$175-$G$169)*1/3</f>
        <v>0.112866365042964</v>
      </c>
      <c r="I169" s="23" t="n">
        <f aca="false">$G$169+($C$175-$G$169)*2/3</f>
        <v>0.0864331825214822</v>
      </c>
      <c r="J169" s="23" t="n">
        <f aca="false">$G$169+($C$175-$G$169)*3/3</f>
        <v>0.06</v>
      </c>
    </row>
    <row r="170" customFormat="false" ht="15" hidden="false" customHeight="false" outlineLevel="0" collapsed="false">
      <c r="A170" s="5" t="s">
        <v>494</v>
      </c>
      <c r="B170" s="0" t="s">
        <v>243</v>
      </c>
      <c r="C170" s="14" t="n">
        <f aca="false">C89</f>
        <v>63.713</v>
      </c>
      <c r="D170" s="14" t="n">
        <f aca="false">D89</f>
        <v>84</v>
      </c>
      <c r="E170" s="14" t="n">
        <f aca="false">E89</f>
        <v>121.293070054911</v>
      </c>
      <c r="F170" s="14" t="n">
        <f aca="false">F89</f>
        <v>122.897085151385</v>
      </c>
      <c r="G170" s="14" t="n">
        <f aca="false">G89</f>
        <v>132.276075251809</v>
      </c>
      <c r="H170" s="22" t="n">
        <f aca="false">H168*H171</f>
        <v>147.20559504763</v>
      </c>
      <c r="I170" s="22" t="n">
        <f aca="false">I168*I171</f>
        <v>159.929043112565</v>
      </c>
      <c r="J170" s="22" t="n">
        <f aca="false">J168*J171</f>
        <v>169.524785699319</v>
      </c>
    </row>
    <row r="171" customFormat="false" ht="15" hidden="false" customHeight="false" outlineLevel="0" collapsed="false">
      <c r="A171" s="5" t="s">
        <v>495</v>
      </c>
      <c r="B171" s="0" t="s">
        <v>47</v>
      </c>
      <c r="C171" s="15" t="n">
        <f aca="false">C170/C168</f>
        <v>0.153082652570879</v>
      </c>
      <c r="D171" s="15" t="n">
        <f aca="false">D170/D168</f>
        <v>0.152727272727273</v>
      </c>
      <c r="E171" s="15" t="n">
        <f aca="false">E170/E168</f>
        <v>0.171206950879982</v>
      </c>
      <c r="F171" s="15" t="n">
        <f aca="false">F170/F168</f>
        <v>0.161724512224329</v>
      </c>
      <c r="G171" s="15" t="n">
        <f aca="false">G170/G168</f>
        <v>0.152783918054151</v>
      </c>
      <c r="H171" s="23" t="n">
        <f aca="false">$G$171+($C$176-$G$171)*1/3</f>
        <v>0.152783918054151</v>
      </c>
      <c r="I171" s="23" t="n">
        <f aca="false">$G$171+($C$176-$G$171)*2/3</f>
        <v>0.152783918054151</v>
      </c>
      <c r="J171" s="23" t="n">
        <f aca="false">$G$171+($C$176-$G$171)*3/3</f>
        <v>0.152783918054151</v>
      </c>
    </row>
    <row r="172" customFormat="false" ht="17.15" hidden="false" customHeight="false" outlineLevel="0" collapsed="false">
      <c r="A172" s="5" t="s">
        <v>496</v>
      </c>
      <c r="B172" s="5" t="s">
        <v>482</v>
      </c>
      <c r="C172" s="17"/>
      <c r="D172" s="17" t="n">
        <f aca="false">D90</f>
        <v>0.561197220737574</v>
      </c>
      <c r="E172" s="17" t="n">
        <f aca="false">E90</f>
        <v>0.561197220737574</v>
      </c>
      <c r="F172" s="17" t="n">
        <f aca="false">F90</f>
        <v>0.561197220737574</v>
      </c>
      <c r="G172" s="17" t="n">
        <f aca="false">G90</f>
        <v>0.561197220737574</v>
      </c>
      <c r="H172" s="24" t="n">
        <f aca="false">G172*(1+sh_g)</f>
        <v>0.561197220737574</v>
      </c>
      <c r="I172" s="24" t="n">
        <f aca="false">H172*(1+sh_g)</f>
        <v>0.561197220737574</v>
      </c>
      <c r="J172" s="24" t="n">
        <f aca="false">I172*(1+sh_g)</f>
        <v>0.561197220737574</v>
      </c>
      <c r="K172" s="8" t="s">
        <v>497</v>
      </c>
    </row>
    <row r="173" customFormat="false" ht="17.15" hidden="false" customHeight="false" outlineLevel="0" collapsed="false">
      <c r="A173" s="0" t="s">
        <v>498</v>
      </c>
      <c r="B173" s="0" t="s">
        <v>268</v>
      </c>
      <c r="C173" s="14" t="n">
        <f aca="false">C91</f>
        <v>114.08</v>
      </c>
      <c r="D173" s="14" t="n">
        <f aca="false">D91</f>
        <v>149.68</v>
      </c>
      <c r="E173" s="14" t="n">
        <f aca="false">E91</f>
        <v>216.132699116893</v>
      </c>
      <c r="F173" s="14" t="n">
        <f aca="false">F91</f>
        <v>218.990901255469</v>
      </c>
      <c r="G173" s="14" t="n">
        <f aca="false">G91</f>
        <v>235.703368377271</v>
      </c>
      <c r="H173" s="22" t="n">
        <f aca="false">H170/H172</f>
        <v>262.306350794396</v>
      </c>
      <c r="I173" s="22" t="n">
        <f aca="false">I170/I172</f>
        <v>284.978323489152</v>
      </c>
      <c r="J173" s="22" t="n">
        <f aca="false">J170/J172</f>
        <v>302.077022898501</v>
      </c>
    </row>
    <row r="174" customFormat="false" ht="17.15" hidden="false" customHeight="false" outlineLevel="0" collapsed="false">
      <c r="A174" s="0" t="s">
        <v>444</v>
      </c>
      <c r="B174" s="0" t="s">
        <v>47</v>
      </c>
      <c r="C174" s="15"/>
      <c r="D174" s="15" t="n">
        <f aca="false">D173/C173-1</f>
        <v>0.312061711079944</v>
      </c>
      <c r="E174" s="15" t="n">
        <f aca="false">E173/D173-1</f>
        <v>0.443965119701318</v>
      </c>
      <c r="F174" s="15" t="n">
        <f aca="false">F173/E173-1</f>
        <v>0.0132242929933957</v>
      </c>
      <c r="G174" s="15" t="n">
        <f aca="false">G173/F173-1</f>
        <v>0.0763158059352693</v>
      </c>
      <c r="H174" s="23" t="n">
        <f aca="false">H173/G173-1</f>
        <v>0.112866365042964</v>
      </c>
      <c r="I174" s="23" t="n">
        <f aca="false">I173/H173-1</f>
        <v>0.0864331825214821</v>
      </c>
      <c r="J174" s="23" t="n">
        <f aca="false">J173/I173-1</f>
        <v>0.0600000000000001</v>
      </c>
    </row>
    <row r="175" customFormat="false" ht="17.15" hidden="false" customHeight="false" outlineLevel="0" collapsed="false">
      <c r="A175" s="5" t="s">
        <v>499</v>
      </c>
      <c r="B175" s="0" t="s">
        <v>47</v>
      </c>
      <c r="C175" s="15" t="n">
        <f aca="false">fade_gA</f>
        <v>0.06</v>
      </c>
      <c r="K175" s="8" t="s">
        <v>500</v>
      </c>
    </row>
    <row r="176" customFormat="false" ht="17.15" hidden="false" customHeight="false" outlineLevel="0" collapsed="false">
      <c r="A176" s="5" t="s">
        <v>501</v>
      </c>
      <c r="B176" s="0" t="s">
        <v>47</v>
      </c>
      <c r="C176" s="15" t="n">
        <f aca="false">G171</f>
        <v>0.152783918054151</v>
      </c>
      <c r="K176" s="5" t="s">
        <v>502</v>
      </c>
    </row>
    <row r="178" customFormat="false" ht="17.15" hidden="false" customHeight="false" outlineLevel="0" collapsed="false">
      <c r="A178" s="3" t="s">
        <v>503</v>
      </c>
    </row>
    <row r="179" customFormat="false" ht="17.15" hidden="false" customHeight="false" outlineLevel="0" collapsed="false">
      <c r="A179" s="6" t="s">
        <v>24</v>
      </c>
      <c r="B179" s="6" t="s">
        <v>25</v>
      </c>
      <c r="C179" s="13" t="s">
        <v>392</v>
      </c>
      <c r="D179" s="13" t="s">
        <v>438</v>
      </c>
      <c r="E179" s="13" t="s">
        <v>414</v>
      </c>
      <c r="F179" s="13" t="s">
        <v>415</v>
      </c>
      <c r="G179" s="13" t="s">
        <v>416</v>
      </c>
      <c r="H179" s="13" t="s">
        <v>489</v>
      </c>
      <c r="I179" s="13" t="s">
        <v>490</v>
      </c>
      <c r="J179" s="13" t="s">
        <v>491</v>
      </c>
      <c r="K179" s="6" t="s">
        <v>377</v>
      </c>
    </row>
    <row r="180" customFormat="false" ht="17.15" hidden="false" customHeight="false" outlineLevel="0" collapsed="false">
      <c r="A180" s="5" t="s">
        <v>492</v>
      </c>
      <c r="B180" s="0" t="s">
        <v>243</v>
      </c>
      <c r="C180" s="14" t="n">
        <f aca="false">C117</f>
        <v>416.2</v>
      </c>
      <c r="D180" s="14" t="n">
        <f aca="false">D117</f>
        <v>550</v>
      </c>
      <c r="E180" s="14" t="n">
        <f aca="false">E117</f>
        <v>708.458794642857</v>
      </c>
      <c r="F180" s="14" t="n">
        <f aca="false">F117</f>
        <v>672.982006428572</v>
      </c>
      <c r="G180" s="14" t="n">
        <f aca="false">G117</f>
        <v>786.212871306884</v>
      </c>
      <c r="H180" s="22" t="n">
        <f aca="false">G180*(1+H181)</f>
        <v>884.883865733988</v>
      </c>
      <c r="I180" s="22" t="n">
        <f aca="false">H180*(1+I181)</f>
        <v>958.10872542571</v>
      </c>
      <c r="J180" s="22" t="n">
        <f aca="false">I180*(1+J181)</f>
        <v>996.433074442739</v>
      </c>
      <c r="K180" s="8" t="s">
        <v>493</v>
      </c>
    </row>
    <row r="181" customFormat="false" ht="15" hidden="false" customHeight="false" outlineLevel="0" collapsed="false">
      <c r="A181" s="5" t="s">
        <v>440</v>
      </c>
      <c r="B181" s="0" t="s">
        <v>47</v>
      </c>
      <c r="C181" s="15"/>
      <c r="D181" s="15" t="n">
        <f aca="false">D180/C180-1</f>
        <v>0.321480057664584</v>
      </c>
      <c r="E181" s="15" t="n">
        <f aca="false">E180/D180-1</f>
        <v>0.288106899350649</v>
      </c>
      <c r="F181" s="15" t="n">
        <f aca="false">F180/E180-1</f>
        <v>-0.0500760079238906</v>
      </c>
      <c r="G181" s="15" t="n">
        <f aca="false">G180/F180-1</f>
        <v>0.16825244032781</v>
      </c>
      <c r="H181" s="23" t="n">
        <f aca="false">$G$181+($C$187-$G$181)*1/3</f>
        <v>0.125501626885206</v>
      </c>
      <c r="I181" s="23" t="n">
        <f aca="false">$G$181+($C$187-$G$181)*2/3</f>
        <v>0.0827508134426032</v>
      </c>
      <c r="J181" s="23" t="n">
        <f aca="false">$G$181+($C$187-$G$181)*3/3</f>
        <v>0.04</v>
      </c>
    </row>
    <row r="182" customFormat="false" ht="15" hidden="false" customHeight="false" outlineLevel="0" collapsed="false">
      <c r="A182" s="5" t="s">
        <v>494</v>
      </c>
      <c r="B182" s="0" t="s">
        <v>243</v>
      </c>
      <c r="C182" s="14" t="n">
        <f aca="false">C124</f>
        <v>63.713</v>
      </c>
      <c r="D182" s="14" t="n">
        <f aca="false">D124</f>
        <v>84</v>
      </c>
      <c r="E182" s="14" t="n">
        <f aca="false">E124</f>
        <v>121.293070054911</v>
      </c>
      <c r="F182" s="14" t="n">
        <f aca="false">F124</f>
        <v>103.509927195558</v>
      </c>
      <c r="G182" s="14" t="n">
        <f aca="false">G124</f>
        <v>116.469486977581</v>
      </c>
      <c r="H182" s="22" t="n">
        <f aca="false">H180*H183</f>
        <v>126.717043839895</v>
      </c>
      <c r="I182" s="22" t="n">
        <f aca="false">I180*I183</f>
        <v>132.471844974181</v>
      </c>
      <c r="J182" s="22" t="n">
        <f aca="false">J180*J183</f>
        <v>132.850335959822</v>
      </c>
    </row>
    <row r="183" customFormat="false" ht="15" hidden="false" customHeight="false" outlineLevel="0" collapsed="false">
      <c r="A183" s="5" t="s">
        <v>495</v>
      </c>
      <c r="B183" s="0" t="s">
        <v>47</v>
      </c>
      <c r="C183" s="15" t="n">
        <f aca="false">C182/C180</f>
        <v>0.153082652570879</v>
      </c>
      <c r="D183" s="15" t="n">
        <f aca="false">D182/D180</f>
        <v>0.152727272727273</v>
      </c>
      <c r="E183" s="15" t="n">
        <f aca="false">E182/E180</f>
        <v>0.171206950879982</v>
      </c>
      <c r="F183" s="15" t="n">
        <f aca="false">F182/F180</f>
        <v>0.153807867382476</v>
      </c>
      <c r="G183" s="15" t="n">
        <f aca="false">G182/G180</f>
        <v>0.148139888353621</v>
      </c>
      <c r="H183" s="23" t="n">
        <f aca="false">$G$183+($C$188-$G$183)*1/3</f>
        <v>0.143201892075167</v>
      </c>
      <c r="I183" s="23" t="n">
        <f aca="false">$G$183+($C$188-$G$183)*2/3</f>
        <v>0.138263895796712</v>
      </c>
      <c r="J183" s="23" t="n">
        <f aca="false">$G$183+($C$188-$G$183)*3/3</f>
        <v>0.133325899518258</v>
      </c>
    </row>
    <row r="184" customFormat="false" ht="17.15" hidden="false" customHeight="false" outlineLevel="0" collapsed="false">
      <c r="A184" s="5" t="s">
        <v>496</v>
      </c>
      <c r="B184" s="5" t="s">
        <v>482</v>
      </c>
      <c r="C184" s="17"/>
      <c r="D184" s="17" t="n">
        <f aca="false">D125</f>
        <v>0.561197220737574</v>
      </c>
      <c r="E184" s="17" t="n">
        <f aca="false">E125</f>
        <v>0.561197220737574</v>
      </c>
      <c r="F184" s="17" t="n">
        <f aca="false">F125</f>
        <v>0.561197220737574</v>
      </c>
      <c r="G184" s="17" t="n">
        <f aca="false">G125</f>
        <v>0.561197220737574</v>
      </c>
      <c r="H184" s="24" t="n">
        <f aca="false">G184*(1+sh_g)</f>
        <v>0.561197220737574</v>
      </c>
      <c r="I184" s="24" t="n">
        <f aca="false">H184*(1+sh_g)</f>
        <v>0.561197220737574</v>
      </c>
      <c r="J184" s="24" t="n">
        <f aca="false">I184*(1+sh_g)</f>
        <v>0.561197220737574</v>
      </c>
      <c r="K184" s="8" t="s">
        <v>497</v>
      </c>
    </row>
    <row r="185" customFormat="false" ht="17.15" hidden="false" customHeight="false" outlineLevel="0" collapsed="false">
      <c r="A185" s="0" t="s">
        <v>498</v>
      </c>
      <c r="B185" s="0" t="s">
        <v>268</v>
      </c>
      <c r="C185" s="14" t="n">
        <f aca="false">C126</f>
        <v>114.08</v>
      </c>
      <c r="D185" s="14" t="n">
        <f aca="false">D126</f>
        <v>149.68</v>
      </c>
      <c r="E185" s="14" t="n">
        <f aca="false">E126</f>
        <v>216.132699116893</v>
      </c>
      <c r="F185" s="14" t="n">
        <f aca="false">F126</f>
        <v>184.444832174181</v>
      </c>
      <c r="G185" s="14" t="n">
        <f aca="false">G126</f>
        <v>207.537533461957</v>
      </c>
      <c r="H185" s="22" t="n">
        <f aca="false">H182/H184</f>
        <v>225.797703832803</v>
      </c>
      <c r="I185" s="22" t="n">
        <f aca="false">I182/I184</f>
        <v>236.052211377803</v>
      </c>
      <c r="J185" s="22" t="n">
        <f aca="false">J182/J184</f>
        <v>236.726646267454</v>
      </c>
    </row>
    <row r="186" customFormat="false" ht="17.15" hidden="false" customHeight="false" outlineLevel="0" collapsed="false">
      <c r="A186" s="0" t="s">
        <v>444</v>
      </c>
      <c r="B186" s="0" t="s">
        <v>47</v>
      </c>
      <c r="C186" s="15"/>
      <c r="D186" s="15" t="n">
        <f aca="false">D185/C185-1</f>
        <v>0.312061711079944</v>
      </c>
      <c r="E186" s="15" t="n">
        <f aca="false">E185/D185-1</f>
        <v>0.443965119701318</v>
      </c>
      <c r="F186" s="15" t="n">
        <f aca="false">F185/E185-1</f>
        <v>-0.146613016319084</v>
      </c>
      <c r="G186" s="15" t="n">
        <f aca="false">G185/F185-1</f>
        <v>0.125201129332637</v>
      </c>
      <c r="H186" s="23" t="n">
        <f aca="false">H185/G185-1</f>
        <v>0.087984905989033</v>
      </c>
      <c r="I186" s="23" t="n">
        <f aca="false">I185/H185-1</f>
        <v>0.0454145784963065</v>
      </c>
      <c r="J186" s="23" t="n">
        <f aca="false">J185/I185-1</f>
        <v>0.00285714285714289</v>
      </c>
    </row>
    <row r="187" customFormat="false" ht="17.15" hidden="false" customHeight="false" outlineLevel="0" collapsed="false">
      <c r="A187" s="5" t="s">
        <v>499</v>
      </c>
      <c r="B187" s="0" t="s">
        <v>47</v>
      </c>
      <c r="C187" s="15" t="n">
        <f aca="false">fade_gB</f>
        <v>0.04</v>
      </c>
      <c r="K187" s="8" t="s">
        <v>504</v>
      </c>
    </row>
    <row r="188" customFormat="false" ht="17.15" hidden="false" customHeight="false" outlineLevel="0" collapsed="false">
      <c r="A188" s="5" t="s">
        <v>501</v>
      </c>
      <c r="B188" s="0" t="s">
        <v>47</v>
      </c>
      <c r="C188" s="15" t="n">
        <f aca="false">G183*(1+nim10_f)/2</f>
        <v>0.133325899518258</v>
      </c>
      <c r="K188" s="5" t="s">
        <v>505</v>
      </c>
    </row>
    <row r="190" customFormat="false" ht="17.15" hidden="false" customHeight="false" outlineLevel="0" collapsed="false">
      <c r="A190" s="3" t="s">
        <v>506</v>
      </c>
    </row>
    <row r="191" customFormat="false" ht="17.15" hidden="false" customHeight="false" outlineLevel="0" collapsed="false">
      <c r="A191" s="6" t="s">
        <v>24</v>
      </c>
      <c r="B191" s="6" t="s">
        <v>25</v>
      </c>
      <c r="C191" s="13" t="s">
        <v>392</v>
      </c>
      <c r="D191" s="13" t="s">
        <v>438</v>
      </c>
      <c r="E191" s="13" t="s">
        <v>414</v>
      </c>
      <c r="F191" s="13" t="s">
        <v>415</v>
      </c>
      <c r="G191" s="13" t="s">
        <v>416</v>
      </c>
      <c r="H191" s="13" t="s">
        <v>489</v>
      </c>
      <c r="I191" s="13" t="s">
        <v>490</v>
      </c>
      <c r="J191" s="13" t="s">
        <v>491</v>
      </c>
      <c r="K191" s="6" t="s">
        <v>377</v>
      </c>
    </row>
    <row r="192" customFormat="false" ht="17.15" hidden="false" customHeight="false" outlineLevel="0" collapsed="false">
      <c r="A192" s="5" t="s">
        <v>492</v>
      </c>
      <c r="B192" s="0" t="s">
        <v>243</v>
      </c>
      <c r="C192" s="14" t="n">
        <f aca="false">C152</f>
        <v>416.2</v>
      </c>
      <c r="D192" s="14" t="n">
        <f aca="false">D152</f>
        <v>550</v>
      </c>
      <c r="E192" s="14" t="n">
        <f aca="false">E152</f>
        <v>708.458794642857</v>
      </c>
      <c r="F192" s="14" t="n">
        <f aca="false">F152</f>
        <v>586.047761071429</v>
      </c>
      <c r="G192" s="14" t="n">
        <f aca="false">G152</f>
        <v>653.613920407801</v>
      </c>
      <c r="H192" s="22" t="n">
        <f aca="false">G192*(1+H193)</f>
        <v>708.208642573566</v>
      </c>
      <c r="I192" s="22" t="n">
        <f aca="false">H192*(1+I193)</f>
        <v>744.868169801492</v>
      </c>
      <c r="J192" s="22" t="n">
        <f aca="false">I192*(1+J193)</f>
        <v>759.765533197522</v>
      </c>
      <c r="K192" s="8" t="s">
        <v>493</v>
      </c>
    </row>
    <row r="193" customFormat="false" ht="15" hidden="false" customHeight="false" outlineLevel="0" collapsed="false">
      <c r="A193" s="5" t="s">
        <v>440</v>
      </c>
      <c r="B193" s="0" t="s">
        <v>47</v>
      </c>
      <c r="C193" s="15"/>
      <c r="D193" s="15" t="n">
        <f aca="false">D192/C192-1</f>
        <v>0.321480057664584</v>
      </c>
      <c r="E193" s="15" t="n">
        <f aca="false">E192/D192-1</f>
        <v>0.288106899350649</v>
      </c>
      <c r="F193" s="15" t="n">
        <f aca="false">F192/E192-1</f>
        <v>-0.172784972812904</v>
      </c>
      <c r="G193" s="15" t="n">
        <f aca="false">G192/F192-1</f>
        <v>0.115291216560312</v>
      </c>
      <c r="H193" s="23" t="n">
        <f aca="false">$G$193+($C$199-$G$193)*1/3</f>
        <v>0.0835274777068748</v>
      </c>
      <c r="I193" s="23" t="n">
        <f aca="false">$G$193+($C$199-$G$193)*2/3</f>
        <v>0.0517637388534374</v>
      </c>
      <c r="J193" s="23" t="n">
        <f aca="false">$G$193+($C$199-$G$193)*3/3</f>
        <v>0.02</v>
      </c>
    </row>
    <row r="194" customFormat="false" ht="15" hidden="false" customHeight="false" outlineLevel="0" collapsed="false">
      <c r="A194" s="5" t="s">
        <v>494</v>
      </c>
      <c r="B194" s="0" t="s">
        <v>243</v>
      </c>
      <c r="C194" s="14" t="n">
        <f aca="false">C159</f>
        <v>63.713</v>
      </c>
      <c r="D194" s="14" t="n">
        <f aca="false">D159</f>
        <v>84</v>
      </c>
      <c r="E194" s="14" t="n">
        <f aca="false">E159</f>
        <v>121.293070054911</v>
      </c>
      <c r="F194" s="14" t="n">
        <f aca="false">F159</f>
        <v>84.1227692397312</v>
      </c>
      <c r="G194" s="14" t="n">
        <f aca="false">G159</f>
        <v>90.1251731872022</v>
      </c>
      <c r="H194" s="22" t="n">
        <f aca="false">H192*H195</f>
        <v>91.1428948093295</v>
      </c>
      <c r="I194" s="22" t="n">
        <f aca="false">I192*I195</f>
        <v>89.0135923992584</v>
      </c>
      <c r="J194" s="22" t="n">
        <f aca="false">J192*J195</f>
        <v>83.8097208436095</v>
      </c>
    </row>
    <row r="195" customFormat="false" ht="15" hidden="false" customHeight="false" outlineLevel="0" collapsed="false">
      <c r="A195" s="5" t="s">
        <v>495</v>
      </c>
      <c r="B195" s="0" t="s">
        <v>47</v>
      </c>
      <c r="C195" s="15" t="n">
        <f aca="false">C194/C192</f>
        <v>0.153082652570879</v>
      </c>
      <c r="D195" s="15" t="n">
        <f aca="false">D194/D192</f>
        <v>0.152727272727273</v>
      </c>
      <c r="E195" s="15" t="n">
        <f aca="false">E194/E192</f>
        <v>0.171206950879982</v>
      </c>
      <c r="F195" s="15" t="n">
        <f aca="false">F194/F192</f>
        <v>0.143542514497343</v>
      </c>
      <c r="G195" s="15" t="n">
        <f aca="false">G194/G192</f>
        <v>0.137887475118296</v>
      </c>
      <c r="H195" s="23" t="n">
        <f aca="false">$G$195+($C$200-$G$195)*1/3</f>
        <v>0.128694976777076</v>
      </c>
      <c r="I195" s="23" t="n">
        <f aca="false">$G$195+($C$200-$G$195)*2/3</f>
        <v>0.119502478435856</v>
      </c>
      <c r="J195" s="23" t="n">
        <f aca="false">$G$195+($C$200-$G$195)*3/3</f>
        <v>0.110309980094636</v>
      </c>
    </row>
    <row r="196" customFormat="false" ht="17.15" hidden="false" customHeight="false" outlineLevel="0" collapsed="false">
      <c r="A196" s="5" t="s">
        <v>496</v>
      </c>
      <c r="B196" s="5" t="s">
        <v>482</v>
      </c>
      <c r="C196" s="17"/>
      <c r="D196" s="17" t="n">
        <f aca="false">D160</f>
        <v>0.561197220737574</v>
      </c>
      <c r="E196" s="17" t="n">
        <f aca="false">E160</f>
        <v>0.561197220737574</v>
      </c>
      <c r="F196" s="17" t="n">
        <f aca="false">F160</f>
        <v>0.561197220737574</v>
      </c>
      <c r="G196" s="17" t="n">
        <f aca="false">G160</f>
        <v>0.561197220737574</v>
      </c>
      <c r="H196" s="24" t="n">
        <f aca="false">G196*(1+sh_g)</f>
        <v>0.561197220737574</v>
      </c>
      <c r="I196" s="24" t="n">
        <f aca="false">H196*(1+sh_g)</f>
        <v>0.561197220737574</v>
      </c>
      <c r="J196" s="24" t="n">
        <f aca="false">I196*(1+sh_g)</f>
        <v>0.561197220737574</v>
      </c>
      <c r="K196" s="8" t="s">
        <v>497</v>
      </c>
    </row>
    <row r="197" customFormat="false" ht="17.15" hidden="false" customHeight="false" outlineLevel="0" collapsed="false">
      <c r="A197" s="0" t="s">
        <v>498</v>
      </c>
      <c r="B197" s="0" t="s">
        <v>268</v>
      </c>
      <c r="C197" s="14" t="n">
        <f aca="false">C161</f>
        <v>114.08</v>
      </c>
      <c r="D197" s="14" t="n">
        <f aca="false">D161</f>
        <v>149.68</v>
      </c>
      <c r="E197" s="14" t="n">
        <f aca="false">E161</f>
        <v>216.132699116893</v>
      </c>
      <c r="F197" s="14" t="n">
        <f aca="false">F161</f>
        <v>149.898763092892</v>
      </c>
      <c r="G197" s="14" t="n">
        <f aca="false">G161</f>
        <v>160.594475269767</v>
      </c>
      <c r="H197" s="22" t="n">
        <f aca="false">H194/H196</f>
        <v>162.407958274529</v>
      </c>
      <c r="I197" s="22" t="n">
        <f aca="false">I194/I196</f>
        <v>158.613744170488</v>
      </c>
      <c r="J197" s="22" t="n">
        <f aca="false">J194/J196</f>
        <v>149.340940665136</v>
      </c>
    </row>
    <row r="198" customFormat="false" ht="17.15" hidden="false" customHeight="false" outlineLevel="0" collapsed="false">
      <c r="A198" s="0" t="s">
        <v>444</v>
      </c>
      <c r="B198" s="0" t="s">
        <v>47</v>
      </c>
      <c r="C198" s="15"/>
      <c r="D198" s="15" t="n">
        <f aca="false">D197/C197-1</f>
        <v>0.312061711079944</v>
      </c>
      <c r="E198" s="15" t="n">
        <f aca="false">E197/D197-1</f>
        <v>0.443965119701318</v>
      </c>
      <c r="F198" s="15" t="n">
        <f aca="false">F197/E197-1</f>
        <v>-0.306450325631564</v>
      </c>
      <c r="G198" s="15" t="n">
        <f aca="false">G197/F197-1</f>
        <v>0.0713529048284838</v>
      </c>
      <c r="H198" s="23" t="n">
        <f aca="false">H197/G197-1</f>
        <v>0.0112923125264166</v>
      </c>
      <c r="I198" s="23" t="n">
        <f aca="false">I197/H197-1</f>
        <v>-0.0233622424932369</v>
      </c>
      <c r="J198" s="23" t="n">
        <f aca="false">J197/I197-1</f>
        <v>-0.0584615384615383</v>
      </c>
    </row>
    <row r="199" customFormat="false" ht="17.15" hidden="false" customHeight="false" outlineLevel="0" collapsed="false">
      <c r="A199" s="5" t="s">
        <v>499</v>
      </c>
      <c r="B199" s="0" t="s">
        <v>47</v>
      </c>
      <c r="C199" s="15" t="n">
        <f aca="false">fade_gC</f>
        <v>0.02</v>
      </c>
      <c r="K199" s="8" t="s">
        <v>507</v>
      </c>
    </row>
    <row r="200" customFormat="false" ht="17.15" hidden="false" customHeight="false" outlineLevel="0" collapsed="false">
      <c r="A200" s="5" t="s">
        <v>501</v>
      </c>
      <c r="B200" s="0" t="s">
        <v>47</v>
      </c>
      <c r="C200" s="15" t="n">
        <f aca="false">G195*nim10_f</f>
        <v>0.110309980094636</v>
      </c>
      <c r="K200" s="5" t="s">
        <v>508</v>
      </c>
    </row>
    <row r="201" customFormat="false" ht="17.15" hidden="false" customHeight="false" outlineLevel="0" collapsed="false">
      <c r="A201" s="3" t="s">
        <v>509</v>
      </c>
      <c r="B201" s="5" t="s">
        <v>25</v>
      </c>
      <c r="C201" s="1" t="s">
        <v>510</v>
      </c>
      <c r="D201" s="1" t="s">
        <v>511</v>
      </c>
      <c r="E201" s="1" t="s">
        <v>512</v>
      </c>
      <c r="F201" s="1" t="s">
        <v>513</v>
      </c>
      <c r="G201" s="1" t="s">
        <v>514</v>
      </c>
      <c r="H201" s="1" t="s">
        <v>515</v>
      </c>
      <c r="I201" s="1" t="s">
        <v>516</v>
      </c>
      <c r="J201" s="1" t="s">
        <v>517</v>
      </c>
      <c r="K201" s="1" t="s">
        <v>518</v>
      </c>
      <c r="L201" s="1" t="s">
        <v>519</v>
      </c>
      <c r="M201" s="1" t="s">
        <v>520</v>
      </c>
      <c r="N201" s="1" t="s">
        <v>521</v>
      </c>
      <c r="O201" s="1" t="s">
        <v>522</v>
      </c>
      <c r="P201" s="1" t="s">
        <v>523</v>
      </c>
      <c r="Q201" s="1" t="s">
        <v>524</v>
      </c>
      <c r="R201" s="1" t="s">
        <v>525</v>
      </c>
      <c r="S201" s="1" t="s">
        <v>526</v>
      </c>
      <c r="T201" s="1" t="s">
        <v>527</v>
      </c>
      <c r="U201" s="1" t="s">
        <v>528</v>
      </c>
      <c r="V201" s="1" t="s">
        <v>529</v>
      </c>
      <c r="W201" s="1" t="s">
        <v>530</v>
      </c>
      <c r="X201" s="3" t="s">
        <v>377</v>
      </c>
    </row>
    <row r="202" customFormat="false" ht="17.15" hidden="false" customHeight="false" outlineLevel="0" collapsed="false">
      <c r="A202" s="5" t="s">
        <v>531</v>
      </c>
      <c r="B202" s="0" t="s">
        <v>243</v>
      </c>
      <c r="C202" s="14" t="n">
        <f aca="false">D170+D168*da_rev-D168*cx_rev</f>
        <v>29</v>
      </c>
      <c r="D202" s="14" t="n">
        <f aca="false">E170+E168*da_rev-E168*cx_rev</f>
        <v>50.447190590625</v>
      </c>
      <c r="E202" s="14" t="n">
        <f aca="false">F170+F168*da_rev-F168*cx_rev</f>
        <v>46.9054599728139</v>
      </c>
      <c r="F202" s="14" t="n">
        <f aca="false">G170+G168*da_rev-G168*cx_rev</f>
        <v>45.6988510671753</v>
      </c>
      <c r="G202" s="14" t="n">
        <f aca="false">H170+H168*da_rev-H168*cx_rev</f>
        <v>50.8567142737671</v>
      </c>
      <c r="H202" s="14" t="n">
        <f aca="false">I170+I168*da_rev-I168*cx_rev</f>
        <v>55.2524219410345</v>
      </c>
      <c r="I202" s="14" t="n">
        <f aca="false">J170+J168*da_rev-J168*cx_rev</f>
        <v>58.5675672574966</v>
      </c>
      <c r="J202" s="14" t="n">
        <f aca="false">D182+D180*da_rev-D180*cx_rev</f>
        <v>29</v>
      </c>
      <c r="K202" s="14" t="n">
        <f aca="false">E182+E180*da_rev-E180*cx_rev</f>
        <v>50.447190590625</v>
      </c>
      <c r="L202" s="14" t="n">
        <f aca="false">F182+F180*da_rev-F180*cx_rev</f>
        <v>36.2117265527012</v>
      </c>
      <c r="M202" s="14" t="n">
        <f aca="false">G182+G180*da_rev-G180*cx_rev</f>
        <v>37.8481998468928</v>
      </c>
      <c r="N202" s="14" t="n">
        <f aca="false">H182+H180*da_rev-H180*cx_rev</f>
        <v>38.2286572664959</v>
      </c>
      <c r="O202" s="14" t="n">
        <f aca="false">I182+I180*da_rev-I180*cx_rev</f>
        <v>36.6609724316104</v>
      </c>
      <c r="P202" s="14" t="n">
        <f aca="false">J182+J180*da_rev-J180*cx_rev</f>
        <v>33.2070285155481</v>
      </c>
      <c r="Q202" s="14" t="n">
        <f aca="false">D194+D192*da_rev-D192*cx_rev</f>
        <v>29</v>
      </c>
      <c r="R202" s="14" t="n">
        <f aca="false">E194+E192*da_rev-E192*cx_rev</f>
        <v>50.447190590625</v>
      </c>
      <c r="S202" s="14" t="n">
        <f aca="false">F194+F192*da_rev-F192*cx_rev</f>
        <v>25.5179931325883</v>
      </c>
      <c r="T202" s="14" t="n">
        <f aca="false">G194+G192*da_rev-G192*cx_rev</f>
        <v>24.7637811464221</v>
      </c>
      <c r="U202" s="14" t="n">
        <f aca="false">H194+H192*da_rev-H192*cx_rev</f>
        <v>20.3220305519729</v>
      </c>
      <c r="V202" s="14" t="n">
        <f aca="false">I194+I192*da_rev-I192*cx_rev</f>
        <v>14.5267754191092</v>
      </c>
      <c r="W202" s="14" t="n">
        <f aca="false">J194+J192*da_rev-J192*cx_rev</f>
        <v>7.83316752385727</v>
      </c>
      <c r="X202" s="5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533</v>
      </c>
    </row>
    <row r="2" customFormat="false" ht="17.15" hidden="false" customHeight="false" outlineLevel="0" collapsed="false">
      <c r="A2" s="5" t="s">
        <v>534</v>
      </c>
    </row>
    <row r="3" customFormat="false" ht="17.15" hidden="false" customHeight="false" outlineLevel="0" collapsed="false">
      <c r="A3" s="5" t="s">
        <v>535</v>
      </c>
    </row>
    <row r="4" customFormat="false" ht="17.15" hidden="false" customHeight="false" outlineLevel="0" collapsed="false">
      <c r="A4" s="1" t="s">
        <v>536</v>
      </c>
    </row>
    <row r="5" customFormat="false" ht="15" hidden="false" customHeight="false" outlineLevel="0" collapsed="false">
      <c r="A5" s="6" t="s">
        <v>24</v>
      </c>
      <c r="B5" s="13" t="s">
        <v>537</v>
      </c>
      <c r="C5" s="13" t="s">
        <v>538</v>
      </c>
      <c r="D5" s="13" t="s">
        <v>539</v>
      </c>
      <c r="E5" s="6" t="s">
        <v>377</v>
      </c>
    </row>
    <row r="6" customFormat="false" ht="17.15" hidden="false" customHeight="false" outlineLevel="0" collapsed="false">
      <c r="A6" s="5" t="s">
        <v>540</v>
      </c>
      <c r="B6" s="18" t="n">
        <f aca="false">px</f>
        <v>8512</v>
      </c>
    </row>
    <row r="7" customFormat="false" ht="17.15" hidden="false" customHeight="false" outlineLevel="0" collapsed="false">
      <c r="A7" s="5" t="s">
        <v>541</v>
      </c>
      <c r="B7" s="25" t="n">
        <f aca="false">px/PL!D12</f>
        <v>56.8679850347408</v>
      </c>
      <c r="C7" s="25" t="n">
        <f aca="false">px/PL!D23</f>
        <v>56.8679850347408</v>
      </c>
      <c r="D7" s="25" t="n">
        <f aca="false">px/PL!D34</f>
        <v>56.8679850347408</v>
      </c>
    </row>
    <row r="8" customFormat="false" ht="17.15" hidden="false" customHeight="false" outlineLevel="0" collapsed="false">
      <c r="A8" s="5" t="s">
        <v>542</v>
      </c>
      <c r="B8" s="25" t="n">
        <f aca="false">px/PL!E12</f>
        <v>39.3832124189425</v>
      </c>
      <c r="C8" s="25" t="n">
        <f aca="false">px/PL!E23</f>
        <v>39.3832124189425</v>
      </c>
      <c r="D8" s="25" t="n">
        <f aca="false">px/PL!E34</f>
        <v>39.3832124189425</v>
      </c>
      <c r="E8" s="8" t="s">
        <v>543</v>
      </c>
    </row>
    <row r="9" customFormat="false" ht="17.15" hidden="false" customHeight="false" outlineLevel="0" collapsed="false">
      <c r="A9" s="5" t="s">
        <v>544</v>
      </c>
      <c r="B9" s="25" t="n">
        <f aca="false">px/PL!F12</f>
        <v>38.8691947985097</v>
      </c>
      <c r="C9" s="25" t="n">
        <f aca="false">px/PL!F23</f>
        <v>46.1493005776475</v>
      </c>
      <c r="D9" s="25" t="n">
        <f aca="false">px/PL!F34</f>
        <v>56.7849915794509</v>
      </c>
    </row>
    <row r="10" customFormat="false" ht="17.15" hidden="false" customHeight="false" outlineLevel="0" collapsed="false">
      <c r="A10" s="5" t="s">
        <v>545</v>
      </c>
      <c r="B10" s="25" t="n">
        <f aca="false">px/PL!G12</f>
        <v>36.1131877690248</v>
      </c>
      <c r="C10" s="25" t="n">
        <f aca="false">px/PL!G23</f>
        <v>41.0142679158337</v>
      </c>
      <c r="D10" s="25" t="n">
        <f aca="false">px/PL!G34</f>
        <v>53.0030686653543</v>
      </c>
    </row>
    <row r="11" customFormat="false" ht="17.15" hidden="false" customHeight="false" outlineLevel="0" collapsed="false">
      <c r="A11" s="5" t="s">
        <v>304</v>
      </c>
      <c r="B11" s="25" t="n">
        <f aca="false">pe_fwd_sa</f>
        <v>53.97</v>
      </c>
      <c r="E11" s="5" t="s">
        <v>546</v>
      </c>
    </row>
    <row r="12" customFormat="false" ht="17.15" hidden="false" customHeight="false" outlineLevel="0" collapsed="false">
      <c r="A12" s="5" t="s">
        <v>547</v>
      </c>
      <c r="B12" s="25" t="n">
        <f aca="false">cons_feps</f>
        <v>180.915323327775</v>
      </c>
    </row>
    <row r="13" customFormat="false" ht="17.15" hidden="false" customHeight="false" outlineLevel="0" collapsed="false">
      <c r="A13" s="5" t="s">
        <v>548</v>
      </c>
      <c r="B13" s="25" t="n">
        <f aca="false">pe_ttm</f>
        <v>83.85</v>
      </c>
    </row>
    <row r="15" customFormat="false" ht="17.15" hidden="false" customHeight="false" outlineLevel="0" collapsed="false">
      <c r="A15" s="1" t="s">
        <v>549</v>
      </c>
    </row>
    <row r="16" customFormat="false" ht="17.15" hidden="false" customHeight="false" outlineLevel="0" collapsed="false">
      <c r="A16" s="6" t="s">
        <v>550</v>
      </c>
      <c r="B16" s="6" t="s">
        <v>551</v>
      </c>
      <c r="C16" s="13" t="s">
        <v>552</v>
      </c>
      <c r="D16" s="6" t="s">
        <v>553</v>
      </c>
      <c r="E16" s="6" t="s">
        <v>377</v>
      </c>
    </row>
    <row r="17" customFormat="false" ht="17.15" hidden="false" customHeight="false" outlineLevel="0" collapsed="false">
      <c r="A17" s="0" t="s">
        <v>537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554</v>
      </c>
    </row>
    <row r="18" customFormat="false" ht="15" hidden="false" customHeight="false" outlineLevel="0" collapsed="false">
      <c r="A18" s="0" t="s">
        <v>538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49</v>
      </c>
    </row>
    <row r="19" customFormat="false" ht="15" hidden="false" customHeight="false" outlineLevel="0" collapsed="false">
      <c r="A19" s="0" t="s">
        <v>539</v>
      </c>
      <c r="B19" s="0" t="n">
        <f aca="false">INDEX({2026,2027,2028,2029},MATCH(MAX(PL!D152:G152),PL!D152:G152,0))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49</v>
      </c>
    </row>
    <row r="21" customFormat="false" ht="17.15" hidden="false" customHeight="false" outlineLevel="0" collapsed="false">
      <c r="A21" s="1" t="s">
        <v>555</v>
      </c>
    </row>
    <row r="22" customFormat="false" ht="17.15" hidden="false" customHeight="false" outlineLevel="0" collapsed="false">
      <c r="A22" s="13" t="s">
        <v>556</v>
      </c>
      <c r="B22" s="6" t="s">
        <v>557</v>
      </c>
      <c r="C22" s="6" t="s">
        <v>558</v>
      </c>
      <c r="D22" s="6" t="s">
        <v>559</v>
      </c>
      <c r="E22" s="6" t="s">
        <v>560</v>
      </c>
    </row>
    <row r="23" customFormat="false" ht="15" hidden="false" customHeight="false" outlineLevel="0" collapsed="false">
      <c r="A23" s="26" t="n">
        <v>0.5</v>
      </c>
      <c r="B23" s="25" t="n">
        <f aca="false">px*A23/PL!F12</f>
        <v>19.4345973992548</v>
      </c>
      <c r="C23" s="25" t="n">
        <f aca="false">px*A23/PL!F23</f>
        <v>23.0746502888237</v>
      </c>
      <c r="D23" s="25" t="n">
        <f aca="false">px*A23/PL!F34</f>
        <v>28.3924957897254</v>
      </c>
      <c r="E23" s="25" t="n">
        <f aca="false">pe_fair_andy</f>
        <v>25</v>
      </c>
    </row>
    <row r="24" customFormat="false" ht="15" hidden="false" customHeight="false" outlineLevel="0" collapsed="false">
      <c r="A24" s="26" t="n">
        <v>0.75</v>
      </c>
      <c r="B24" s="25" t="n">
        <f aca="false">px*A24/PL!F12</f>
        <v>29.1518960988822</v>
      </c>
      <c r="C24" s="25" t="n">
        <f aca="false">px*A24/PL!F23</f>
        <v>34.6119754332356</v>
      </c>
      <c r="D24" s="25" t="n">
        <f aca="false">px*A24/PL!F34</f>
        <v>42.5887436845882</v>
      </c>
      <c r="E24" s="25" t="n">
        <f aca="false">pe_fair_andy</f>
        <v>25</v>
      </c>
    </row>
    <row r="25" customFormat="false" ht="15" hidden="false" customHeight="false" outlineLevel="0" collapsed="false">
      <c r="A25" s="26" t="n">
        <v>1</v>
      </c>
      <c r="B25" s="25" t="n">
        <f aca="false">px*A25/PL!F12</f>
        <v>38.8691947985097</v>
      </c>
      <c r="C25" s="25" t="n">
        <f aca="false">px*A25/PL!F23</f>
        <v>46.1493005776475</v>
      </c>
      <c r="D25" s="25" t="n">
        <f aca="false">px*A25/PL!F34</f>
        <v>56.7849915794509</v>
      </c>
      <c r="E25" s="25" t="n">
        <f aca="false">pe_fair_andy</f>
        <v>25</v>
      </c>
    </row>
    <row r="26" customFormat="false" ht="15" hidden="false" customHeight="false" outlineLevel="0" collapsed="false">
      <c r="A26" s="26" t="n">
        <v>1.21</v>
      </c>
      <c r="B26" s="25" t="n">
        <f aca="false">px*A26/PL!F12</f>
        <v>47.0317257061967</v>
      </c>
      <c r="C26" s="25" t="n">
        <f aca="false">px*A26/PL!F23</f>
        <v>55.8406536989534</v>
      </c>
      <c r="D26" s="25" t="n">
        <f aca="false">px*A26/PL!F34</f>
        <v>68.7098398111356</v>
      </c>
      <c r="E26" s="25" t="n">
        <f aca="false">pe_fair_andy</f>
        <v>25</v>
      </c>
    </row>
    <row r="27" customFormat="false" ht="15" hidden="false" customHeight="false" outlineLevel="0" collapsed="false">
      <c r="A27" s="26" t="n">
        <v>1.5</v>
      </c>
      <c r="B27" s="25" t="n">
        <f aca="false">px*A27/PL!F12</f>
        <v>58.3037921977645</v>
      </c>
      <c r="C27" s="25" t="n">
        <f aca="false">px*A27/PL!F23</f>
        <v>69.2239508664712</v>
      </c>
      <c r="D27" s="25" t="n">
        <f aca="false">px*A27/PL!F34</f>
        <v>85.1774873691764</v>
      </c>
      <c r="E27" s="25" t="n">
        <f aca="false">pe_fair_andy</f>
        <v>25</v>
      </c>
    </row>
    <row r="28" customFormat="false" ht="17.15" hidden="false" customHeight="false" outlineLevel="0" collapsed="false">
      <c r="A28" s="5" t="s">
        <v>561</v>
      </c>
    </row>
    <row r="30" customFormat="false" ht="17.15" hidden="false" customHeight="false" outlineLevel="0" collapsed="false">
      <c r="A30" s="1" t="s">
        <v>562</v>
      </c>
    </row>
    <row r="31" customFormat="false" ht="15" hidden="false" customHeight="false" outlineLevel="0" collapsed="false">
      <c r="A31" s="6" t="s">
        <v>550</v>
      </c>
      <c r="B31" s="13" t="s">
        <v>563</v>
      </c>
      <c r="C31" s="13" t="s">
        <v>564</v>
      </c>
      <c r="D31" s="6" t="s">
        <v>565</v>
      </c>
      <c r="E31" s="13" t="s">
        <v>566</v>
      </c>
      <c r="F31" s="13" t="s">
        <v>564</v>
      </c>
      <c r="G31" s="6" t="s">
        <v>565</v>
      </c>
    </row>
    <row r="32" customFormat="false" ht="15" hidden="false" customHeight="false" outlineLevel="0" collapsed="false">
      <c r="A32" s="10" t="s">
        <v>537</v>
      </c>
      <c r="B32" s="27" t="n">
        <f aca="false">PL!E12</f>
        <v>216.132699116893</v>
      </c>
      <c r="C32" s="28" t="n">
        <f aca="false">B32*pe_fair_andy</f>
        <v>5403.31747792233</v>
      </c>
      <c r="D32" s="29" t="n">
        <f aca="false">C32/px-1</f>
        <v>-0.365211762462132</v>
      </c>
      <c r="E32" s="27" t="n">
        <f aca="false">PL!F12</f>
        <v>218.990901255469</v>
      </c>
      <c r="F32" s="28" t="n">
        <f aca="false">E32*pe_fair_andy</f>
        <v>5474.77253138671</v>
      </c>
      <c r="G32" s="29" t="n">
        <f aca="false">F32/px-1</f>
        <v>-0.35681713682017</v>
      </c>
    </row>
    <row r="33" customFormat="false" ht="15" hidden="false" customHeight="false" outlineLevel="0" collapsed="false">
      <c r="A33" s="10" t="s">
        <v>538</v>
      </c>
      <c r="B33" s="27" t="n">
        <f aca="false">PL!E23</f>
        <v>216.132699116893</v>
      </c>
      <c r="C33" s="28" t="n">
        <f aca="false">B33*pe_fair_andy</f>
        <v>5403.31747792233</v>
      </c>
      <c r="D33" s="29" t="n">
        <f aca="false">C33/px-1</f>
        <v>-0.365211762462132</v>
      </c>
      <c r="E33" s="27" t="n">
        <f aca="false">PL!F23</f>
        <v>184.444832174181</v>
      </c>
      <c r="F33" s="28" t="n">
        <f aca="false">E33*pe_fair_andy</f>
        <v>4611.12080435451</v>
      </c>
      <c r="G33" s="29" t="n">
        <f aca="false">F33/px-1</f>
        <v>-0.458279980691434</v>
      </c>
    </row>
    <row r="34" customFormat="false" ht="15" hidden="false" customHeight="false" outlineLevel="0" collapsed="false">
      <c r="A34" s="10" t="s">
        <v>539</v>
      </c>
      <c r="B34" s="27" t="n">
        <f aca="false">PL!E34</f>
        <v>216.132699116893</v>
      </c>
      <c r="C34" s="28" t="n">
        <f aca="false">B34*pe_fair_andy</f>
        <v>5403.31747792233</v>
      </c>
      <c r="D34" s="29" t="n">
        <f aca="false">C34/px-1</f>
        <v>-0.365211762462132</v>
      </c>
      <c r="E34" s="27" t="n">
        <f aca="false">PL!F34</f>
        <v>149.898763092892</v>
      </c>
      <c r="F34" s="28" t="n">
        <f aca="false">E34*pe_fair_andy</f>
        <v>3747.46907732231</v>
      </c>
      <c r="G34" s="29" t="n">
        <f aca="false">F34/px-1</f>
        <v>-0.559742824562699</v>
      </c>
    </row>
    <row r="36" customFormat="false" ht="17.15" hidden="false" customHeight="false" outlineLevel="0" collapsed="false">
      <c r="A36" s="3" t="s">
        <v>567</v>
      </c>
    </row>
    <row r="37" customFormat="false" ht="15" hidden="false" customHeight="false" outlineLevel="0" collapsed="false">
      <c r="A37" s="6" t="s">
        <v>24</v>
      </c>
      <c r="B37" s="6" t="s">
        <v>568</v>
      </c>
      <c r="C37" s="13"/>
      <c r="D37" s="13"/>
      <c r="E37" s="6" t="s">
        <v>377</v>
      </c>
    </row>
    <row r="38" customFormat="false" ht="17.15" hidden="false" customHeight="false" outlineLevel="0" collapsed="false">
      <c r="A38" s="5" t="s">
        <v>569</v>
      </c>
      <c r="B38" s="18" t="n">
        <f aca="false">tp_wA*B40+tp_wB*B41+tp_wC*B42</f>
        <v>9531.45203105499</v>
      </c>
      <c r="E38" s="5" t="s">
        <v>570</v>
      </c>
    </row>
    <row r="39" customFormat="false" ht="17.15" hidden="false" customHeight="false" outlineLevel="0" collapsed="false">
      <c r="A39" s="5" t="s">
        <v>571</v>
      </c>
      <c r="B39" s="15" t="n">
        <f aca="false">B38/px-1</f>
        <v>0.119766451016799</v>
      </c>
      <c r="E39" s="5" t="s">
        <v>572</v>
      </c>
    </row>
    <row r="40" customFormat="false" ht="17.15" hidden="false" customHeight="false" outlineLevel="0" collapsed="false">
      <c r="A40" s="5" t="s">
        <v>573</v>
      </c>
      <c r="B40" s="18" t="n">
        <f aca="false">$B$58*PL!E12</f>
        <v>9531.45203105499</v>
      </c>
      <c r="E40" s="5" t="s">
        <v>574</v>
      </c>
    </row>
    <row r="41" customFormat="false" ht="17.15" hidden="false" customHeight="false" outlineLevel="0" collapsed="false">
      <c r="A41" s="5" t="s">
        <v>575</v>
      </c>
      <c r="B41" s="18" t="n">
        <f aca="false">$B$58*PL!E23</f>
        <v>9531.45203105499</v>
      </c>
      <c r="E41" s="5" t="s">
        <v>576</v>
      </c>
    </row>
    <row r="42" customFormat="false" ht="17.15" hidden="false" customHeight="false" outlineLevel="0" collapsed="false">
      <c r="A42" s="5" t="s">
        <v>577</v>
      </c>
      <c r="B42" s="18" t="n">
        <f aca="false">$B$58*PL!E34</f>
        <v>9531.45203105499</v>
      </c>
      <c r="E42" s="5" t="s">
        <v>578</v>
      </c>
    </row>
    <row r="43" customFormat="false" ht="17.15" hidden="false" customHeight="false" outlineLevel="0" collapsed="false">
      <c r="A43" s="5" t="s">
        <v>579</v>
      </c>
      <c r="B43" s="30" t="n">
        <f aca="false">tp_wA</f>
        <v>0.3</v>
      </c>
      <c r="C43" s="30" t="n">
        <f aca="false">tp_wB</f>
        <v>0.5</v>
      </c>
      <c r="D43" s="30" t="n">
        <f aca="false">tp_wC</f>
        <v>0.2</v>
      </c>
      <c r="E43" s="0" t="str">
        <f aca="false">"合計 "&amp;TEXT(B43+C43+D43,"0%")&amp;"；In 頁 tp_wA／tp_wB／tp_wC（Assumed，Andy 可改）"</f>
        <v>合計 100%；In 頁 tp_wA／tp_wB／tp_wC（Assumed，Andy 可改）</v>
      </c>
    </row>
    <row r="44" customFormat="false" ht="17.15" hidden="false" customHeight="false" outlineLevel="0" collapsed="false">
      <c r="A44" s="5" t="s">
        <v>580</v>
      </c>
      <c r="B44" s="0" t="s">
        <v>581</v>
      </c>
    </row>
    <row r="46" customFormat="false" ht="17.15" hidden="false" customHeight="false" outlineLevel="0" collapsed="false">
      <c r="A46" s="1" t="s">
        <v>582</v>
      </c>
    </row>
    <row r="47" customFormat="false" ht="15" hidden="false" customHeight="false" outlineLevel="0" collapsed="false">
      <c r="A47" s="6" t="s">
        <v>583</v>
      </c>
      <c r="B47" s="13" t="s">
        <v>584</v>
      </c>
      <c r="C47" s="6" t="s">
        <v>585</v>
      </c>
      <c r="D47" s="6" t="s">
        <v>377</v>
      </c>
    </row>
    <row r="48" customFormat="false" ht="17.15" hidden="false" customHeight="false" outlineLevel="0" collapsed="false">
      <c r="A48" s="0" t="s">
        <v>586</v>
      </c>
      <c r="B48" s="31" t="n">
        <v>44.1</v>
      </c>
      <c r="C48" s="5" t="s">
        <v>587</v>
      </c>
      <c r="D48" s="8" t="s">
        <v>588</v>
      </c>
    </row>
    <row r="49" customFormat="false" ht="17.15" hidden="false" customHeight="false" outlineLevel="0" collapsed="false">
      <c r="A49" s="0" t="s">
        <v>589</v>
      </c>
      <c r="B49" s="31" t="n">
        <v>-6.66</v>
      </c>
      <c r="C49" s="5" t="s">
        <v>590</v>
      </c>
      <c r="D49" s="5" t="s">
        <v>591</v>
      </c>
    </row>
    <row r="50" customFormat="false" ht="15" hidden="false" customHeight="false" outlineLevel="0" collapsed="false">
      <c r="A50" s="0" t="s">
        <v>592</v>
      </c>
      <c r="B50" s="31" t="n">
        <v>35.3</v>
      </c>
      <c r="C50" s="5" t="s">
        <v>587</v>
      </c>
    </row>
    <row r="51" customFormat="false" ht="15" hidden="false" customHeight="false" outlineLevel="0" collapsed="false">
      <c r="A51" s="0" t="s">
        <v>593</v>
      </c>
      <c r="B51" s="31" t="n">
        <v>137</v>
      </c>
      <c r="C51" s="5" t="s">
        <v>587</v>
      </c>
    </row>
    <row r="52" customFormat="false" ht="15" hidden="false" customHeight="false" outlineLevel="0" collapsed="false">
      <c r="A52" s="0" t="s">
        <v>594</v>
      </c>
      <c r="B52" s="31" t="n">
        <v>55.2</v>
      </c>
      <c r="C52" s="5" t="s">
        <v>587</v>
      </c>
    </row>
    <row r="53" customFormat="false" ht="15" hidden="false" customHeight="false" outlineLevel="0" collapsed="false">
      <c r="A53" s="0" t="s">
        <v>595</v>
      </c>
      <c r="B53" s="31" t="n">
        <v>53.1</v>
      </c>
      <c r="C53" s="5" t="s">
        <v>587</v>
      </c>
    </row>
    <row r="54" customFormat="false" ht="15" hidden="false" customHeight="false" outlineLevel="0" collapsed="false">
      <c r="A54" s="0" t="s">
        <v>596</v>
      </c>
      <c r="B54" s="31" t="n">
        <v>40.7</v>
      </c>
      <c r="C54" s="5" t="s">
        <v>587</v>
      </c>
    </row>
    <row r="55" customFormat="false" ht="15" hidden="false" customHeight="false" outlineLevel="0" collapsed="false">
      <c r="A55" s="0" t="s">
        <v>597</v>
      </c>
      <c r="B55" s="31" t="n">
        <v>26.8</v>
      </c>
      <c r="C55" s="5" t="s">
        <v>587</v>
      </c>
    </row>
    <row r="56" customFormat="false" ht="15" hidden="false" customHeight="false" outlineLevel="0" collapsed="false">
      <c r="A56" s="0" t="s">
        <v>598</v>
      </c>
      <c r="B56" s="31" t="n">
        <v>57.2</v>
      </c>
      <c r="C56" s="5" t="s">
        <v>587</v>
      </c>
    </row>
    <row r="57" customFormat="false" ht="15" hidden="false" customHeight="false" outlineLevel="0" collapsed="false">
      <c r="A57" s="0" t="s">
        <v>599</v>
      </c>
      <c r="B57" s="31" t="n">
        <v>33.6</v>
      </c>
      <c r="C57" s="5" t="s">
        <v>587</v>
      </c>
    </row>
    <row r="58" customFormat="false" ht="15" hidden="false" customHeight="false" outlineLevel="0" collapsed="false">
      <c r="A58" s="5" t="s">
        <v>600</v>
      </c>
      <c r="B58" s="25" t="n">
        <f aca="false">MEDIAN(B48,B50,B51,B52,B53,B54,B55,B56,B57)</f>
        <v>44.1</v>
      </c>
    </row>
    <row r="61" customFormat="false" ht="17.15" hidden="false" customHeight="false" outlineLevel="0" collapsed="false">
      <c r="A61" s="1" t="s">
        <v>601</v>
      </c>
    </row>
    <row r="62" customFormat="false" ht="17.15" hidden="false" customHeight="false" outlineLevel="0" collapsed="false">
      <c r="A62" s="1" t="s">
        <v>602</v>
      </c>
    </row>
    <row r="63" customFormat="false" ht="17.15" hidden="false" customHeight="false" outlineLevel="0" collapsed="false">
      <c r="A63" s="6" t="s">
        <v>24</v>
      </c>
      <c r="B63" s="13" t="s">
        <v>603</v>
      </c>
      <c r="C63" s="13" t="s">
        <v>604</v>
      </c>
      <c r="D63" s="13" t="s">
        <v>605</v>
      </c>
      <c r="E63" s="6" t="s">
        <v>377</v>
      </c>
    </row>
    <row r="64" customFormat="false" ht="17.15" hidden="false" customHeight="false" outlineLevel="0" collapsed="false">
      <c r="A64" s="5" t="s">
        <v>606</v>
      </c>
      <c r="E64" s="0" t="s">
        <v>607</v>
      </c>
    </row>
    <row r="65" customFormat="false" ht="15" hidden="false" customHeight="false" outlineLevel="0" collapsed="false">
      <c r="A65" s="0" t="s">
        <v>608</v>
      </c>
      <c r="B65" s="14" t="n">
        <f aca="false">PL!E173</f>
        <v>216.132699116893</v>
      </c>
      <c r="C65" s="14" t="n">
        <f aca="false">PL!E185</f>
        <v>216.132699116893</v>
      </c>
      <c r="D65" s="14" t="n">
        <f aca="false">PL!E197</f>
        <v>216.132699116893</v>
      </c>
    </row>
    <row r="66" customFormat="false" ht="15" hidden="false" customHeight="false" outlineLevel="0" collapsed="false">
      <c r="A66" s="0" t="s">
        <v>609</v>
      </c>
      <c r="B66" s="14" t="n">
        <f aca="false">PL!F173</f>
        <v>218.990901255469</v>
      </c>
      <c r="C66" s="14" t="n">
        <f aca="false">PL!F185</f>
        <v>184.444832174181</v>
      </c>
      <c r="D66" s="14" t="n">
        <f aca="false">PL!F197</f>
        <v>149.898763092892</v>
      </c>
    </row>
    <row r="67" customFormat="false" ht="15" hidden="false" customHeight="false" outlineLevel="0" collapsed="false">
      <c r="A67" s="0" t="s">
        <v>610</v>
      </c>
      <c r="B67" s="14" t="n">
        <f aca="false">PL!G173</f>
        <v>235.703368377271</v>
      </c>
      <c r="C67" s="14" t="n">
        <f aca="false">PL!G185</f>
        <v>207.537533461957</v>
      </c>
      <c r="D67" s="14" t="n">
        <f aca="false">PL!G197</f>
        <v>160.594475269767</v>
      </c>
    </row>
    <row r="68" customFormat="false" ht="15" hidden="false" customHeight="false" outlineLevel="0" collapsed="false">
      <c r="A68" s="0" t="s">
        <v>611</v>
      </c>
      <c r="B68" s="14" t="n">
        <f aca="false">PL!H173</f>
        <v>262.306350794396</v>
      </c>
      <c r="C68" s="14" t="n">
        <f aca="false">PL!H185</f>
        <v>225.797703832803</v>
      </c>
      <c r="D68" s="14" t="n">
        <f aca="false">PL!H197</f>
        <v>162.407958274529</v>
      </c>
    </row>
    <row r="69" customFormat="false" ht="15" hidden="false" customHeight="false" outlineLevel="0" collapsed="false">
      <c r="A69" s="0" t="s">
        <v>612</v>
      </c>
      <c r="B69" s="14" t="n">
        <f aca="false">PL!I173</f>
        <v>284.978323489152</v>
      </c>
      <c r="C69" s="14" t="n">
        <f aca="false">PL!I185</f>
        <v>236.052211377803</v>
      </c>
      <c r="D69" s="14" t="n">
        <f aca="false">PL!I197</f>
        <v>158.613744170488</v>
      </c>
    </row>
    <row r="70" customFormat="false" ht="15" hidden="false" customHeight="false" outlineLevel="0" collapsed="false">
      <c r="A70" s="0" t="s">
        <v>613</v>
      </c>
      <c r="B70" s="14" t="n">
        <f aca="false">PL!J173</f>
        <v>302.077022898501</v>
      </c>
      <c r="C70" s="14" t="n">
        <f aca="false">PL!J185</f>
        <v>236.726646267454</v>
      </c>
      <c r="D70" s="14" t="n">
        <f aca="false">PL!J197</f>
        <v>149.340940665136</v>
      </c>
    </row>
    <row r="71" customFormat="false" ht="17.15" hidden="false" customHeight="false" outlineLevel="0" collapsed="false">
      <c r="A71" s="5" t="s">
        <v>614</v>
      </c>
    </row>
    <row r="72" customFormat="false" ht="17.15" hidden="false" customHeight="false" outlineLevel="0" collapsed="false">
      <c r="A72" s="5" t="s">
        <v>615</v>
      </c>
      <c r="B72" s="15" t="n">
        <f aca="false">MIN(tp_g/tp_roe,0.8)</f>
        <v>0.464396284829721</v>
      </c>
      <c r="E72" s="8" t="s">
        <v>616</v>
      </c>
    </row>
    <row r="73" customFormat="false" ht="15" hidden="false" customHeight="false" outlineLevel="0" collapsed="false">
      <c r="A73" s="0" t="s">
        <v>608</v>
      </c>
      <c r="B73" s="14" t="n">
        <f aca="false">B65*(1-$B$72)</f>
        <v>115.761476616788</v>
      </c>
      <c r="C73" s="14" t="n">
        <f aca="false">C65*(1-$B$72)</f>
        <v>115.761476616788</v>
      </c>
      <c r="D73" s="14" t="n">
        <f aca="false">D65*(1-$B$72)</f>
        <v>115.761476616788</v>
      </c>
    </row>
    <row r="74" customFormat="false" ht="15" hidden="false" customHeight="false" outlineLevel="0" collapsed="false">
      <c r="A74" s="0" t="s">
        <v>609</v>
      </c>
      <c r="B74" s="14" t="n">
        <f aca="false">B66*(1-$B$72)</f>
        <v>117.292340300917</v>
      </c>
      <c r="C74" s="14" t="n">
        <f aca="false">C66*(1-$B$72)</f>
        <v>98.7893373564496</v>
      </c>
      <c r="D74" s="14" t="n">
        <f aca="false">D66*(1-$B$72)</f>
        <v>80.2863344119826</v>
      </c>
    </row>
    <row r="75" customFormat="false" ht="15" hidden="false" customHeight="false" outlineLevel="0" collapsed="false">
      <c r="A75" s="0" t="s">
        <v>610</v>
      </c>
      <c r="B75" s="14" t="n">
        <f aca="false">B67*(1-$B$72)</f>
        <v>126.243599781015</v>
      </c>
      <c r="C75" s="14" t="n">
        <f aca="false">C67*(1-$B$72)</f>
        <v>111.1578739595</v>
      </c>
      <c r="D75" s="14" t="n">
        <f aca="false">D67*(1-$B$72)</f>
        <v>86.0149975903086</v>
      </c>
    </row>
    <row r="76" customFormat="false" ht="15" hidden="false" customHeight="false" outlineLevel="0" collapsed="false">
      <c r="A76" s="0" t="s">
        <v>611</v>
      </c>
      <c r="B76" s="14" t="n">
        <f aca="false">B68*(1-$B$72)</f>
        <v>140.492255998237</v>
      </c>
      <c r="C76" s="14" t="n">
        <f aca="false">C68*(1-$B$72)</f>
        <v>120.938089049767</v>
      </c>
      <c r="D76" s="14" t="n">
        <f aca="false">D68*(1-$B$72)</f>
        <v>86.9863058250574</v>
      </c>
    </row>
    <row r="77" customFormat="false" ht="15" hidden="false" customHeight="false" outlineLevel="0" collapsed="false">
      <c r="A77" s="0" t="s">
        <v>612</v>
      </c>
      <c r="B77" s="14" t="n">
        <f aca="false">B69*(1-$B$72)</f>
        <v>152.635448803787</v>
      </c>
      <c r="C77" s="14" t="n">
        <f aca="false">C69*(1-$B$72)</f>
        <v>126.430441388111</v>
      </c>
      <c r="D77" s="14" t="n">
        <f aca="false">D69*(1-$B$72)</f>
        <v>84.9541106547815</v>
      </c>
    </row>
    <row r="78" customFormat="false" ht="15" hidden="false" customHeight="false" outlineLevel="0" collapsed="false">
      <c r="A78" s="0" t="s">
        <v>613</v>
      </c>
      <c r="B78" s="14" t="n">
        <f aca="false">B70*(1-$B$72)</f>
        <v>161.793575732014</v>
      </c>
      <c r="C78" s="14" t="n">
        <f aca="false">C70*(1-$B$72)</f>
        <v>126.791671220649</v>
      </c>
      <c r="D78" s="14" t="n">
        <f aca="false">D70*(1-$B$72)</f>
        <v>79.9875626472712</v>
      </c>
    </row>
    <row r="79" customFormat="false" ht="17.15" hidden="false" customHeight="false" outlineLevel="0" collapsed="false">
      <c r="A79" s="0" t="s">
        <v>617</v>
      </c>
      <c r="B79" s="18" t="n">
        <f aca="false">SUMPRODUCT(B73:B78,1/(1+tp_r)^{1;2;3;4;5;6})+B78*(1+tp_g)/(tp_r-tp_g)/(1+tp_r)^6</f>
        <v>2162.10626728528</v>
      </c>
      <c r="C79" s="18" t="n">
        <f aca="false">SUMPRODUCT(C73:C78,1/(1+tp_r)^{1;2;3;4;5;6})+C78*(1+tp_g)/(tp_r-tp_g)/(1+tp_r)^6</f>
        <v>1743.6295788999</v>
      </c>
      <c r="D79" s="18" t="n">
        <f aca="false">SUMPRODUCT(D73:D78,1/(1+tp_r)^{1;2;3;4;5;6})+D78*(1+tp_g)/(tp_r-tp_g)/(1+tp_r)^6</f>
        <v>1176.14341251206</v>
      </c>
      <c r="E79" s="8" t="s">
        <v>618</v>
      </c>
    </row>
    <row r="80" customFormat="false" ht="17.15" hidden="false" customHeight="false" outlineLevel="0" collapsed="false">
      <c r="A80" s="0" t="s">
        <v>619</v>
      </c>
      <c r="B80" s="18" t="n">
        <f aca="false">B79*(1+tp_r)</f>
        <v>2378.3168940138</v>
      </c>
      <c r="C80" s="18" t="n">
        <f aca="false">C79*(1+tp_r)</f>
        <v>1917.99253678989</v>
      </c>
      <c r="D80" s="18" t="n">
        <f aca="false">D79*(1+tp_r)</f>
        <v>1293.75775376326</v>
      </c>
    </row>
    <row r="81" customFormat="false" ht="17.15" hidden="false" customHeight="false" outlineLevel="0" collapsed="false">
      <c r="A81" s="0" t="s">
        <v>620</v>
      </c>
      <c r="B81" s="28" t="n">
        <f aca="false">tp_wA*B80+tp_wB*C80+tp_wC*D80</f>
        <v>1931.24288735174</v>
      </c>
      <c r="E81" s="8" t="s">
        <v>621</v>
      </c>
    </row>
    <row r="83" customFormat="false" ht="17.15" hidden="false" customHeight="false" outlineLevel="0" collapsed="false">
      <c r="A83" s="1" t="s">
        <v>622</v>
      </c>
    </row>
    <row r="84" customFormat="false" ht="17.15" hidden="false" customHeight="false" outlineLevel="0" collapsed="false">
      <c r="A84" s="6" t="s">
        <v>623</v>
      </c>
      <c r="B84" s="6" t="s">
        <v>624</v>
      </c>
      <c r="C84" s="6" t="s">
        <v>625</v>
      </c>
      <c r="D84" s="6" t="s">
        <v>626</v>
      </c>
      <c r="E84" s="6" t="s">
        <v>627</v>
      </c>
      <c r="F84" s="6" t="s">
        <v>29</v>
      </c>
    </row>
    <row r="85" customFormat="false" ht="17.15" hidden="false" customHeight="false" outlineLevel="0" collapsed="false">
      <c r="A85" s="5" t="s">
        <v>628</v>
      </c>
      <c r="B85" s="0" t="s">
        <v>629</v>
      </c>
      <c r="C85" s="31" t="n">
        <v>42.28</v>
      </c>
      <c r="D85" s="8" t="s">
        <v>630</v>
      </c>
      <c r="E85" s="8" t="s">
        <v>631</v>
      </c>
      <c r="F85" s="8" t="s">
        <v>632</v>
      </c>
    </row>
    <row r="86" customFormat="false" ht="17.15" hidden="false" customHeight="false" outlineLevel="0" collapsed="false">
      <c r="A86" s="5" t="s">
        <v>633</v>
      </c>
      <c r="B86" s="0" t="s">
        <v>634</v>
      </c>
      <c r="C86" s="31" t="n">
        <v>33.73</v>
      </c>
      <c r="D86" s="8" t="s">
        <v>635</v>
      </c>
      <c r="E86" s="8" t="s">
        <v>631</v>
      </c>
      <c r="F86" s="8" t="s">
        <v>632</v>
      </c>
    </row>
    <row r="87" customFormat="false" ht="17.15" hidden="false" customHeight="false" outlineLevel="0" collapsed="false">
      <c r="A87" s="5" t="s">
        <v>636</v>
      </c>
      <c r="B87" s="0" t="s">
        <v>637</v>
      </c>
      <c r="C87" s="31" t="n">
        <v>44.7</v>
      </c>
      <c r="D87" s="8" t="s">
        <v>630</v>
      </c>
      <c r="E87" s="8" t="s">
        <v>631</v>
      </c>
      <c r="F87" s="8" t="s">
        <v>632</v>
      </c>
    </row>
    <row r="88" customFormat="false" ht="17.15" hidden="false" customHeight="false" outlineLevel="0" collapsed="false">
      <c r="A88" s="5" t="s">
        <v>638</v>
      </c>
      <c r="B88" s="0" t="s">
        <v>639</v>
      </c>
      <c r="C88" s="31" t="n">
        <v>43.4</v>
      </c>
      <c r="D88" s="8" t="s">
        <v>640</v>
      </c>
      <c r="E88" s="8" t="s">
        <v>631</v>
      </c>
      <c r="F88" s="8" t="s">
        <v>632</v>
      </c>
    </row>
    <row r="89" customFormat="false" ht="17.15" hidden="false" customHeight="false" outlineLevel="0" collapsed="false">
      <c r="A89" s="0" t="s">
        <v>641</v>
      </c>
      <c r="B89" s="0" t="s">
        <v>642</v>
      </c>
      <c r="C89" s="31" t="n">
        <v>14.91</v>
      </c>
      <c r="D89" s="8" t="s">
        <v>643</v>
      </c>
      <c r="E89" s="8" t="s">
        <v>631</v>
      </c>
      <c r="F89" s="8" t="s">
        <v>632</v>
      </c>
    </row>
    <row r="90" customFormat="false" ht="17.15" hidden="false" customHeight="false" outlineLevel="0" collapsed="false">
      <c r="A90" s="5" t="s">
        <v>644</v>
      </c>
      <c r="B90" s="25" t="n">
        <f aca="false">MEDIAN(C85:C89)</f>
        <v>42.28</v>
      </c>
      <c r="E90" s="8" t="s">
        <v>645</v>
      </c>
    </row>
    <row r="91" customFormat="false" ht="17.15" hidden="false" customHeight="false" outlineLevel="0" collapsed="false">
      <c r="A91" s="0" t="s">
        <v>646</v>
      </c>
      <c r="B91" s="14" t="n">
        <f aca="false">tp_wA*(0.5*B65+0.5*B66)+tp_wB*(0.5*C65+0.5*C66)+tp_wC*(0.5*D65+0.5*D66)</f>
        <v>202.016069099601</v>
      </c>
      <c r="E91" s="5" t="s">
        <v>647</v>
      </c>
    </row>
    <row r="92" customFormat="false" ht="17.15" hidden="false" customHeight="false" outlineLevel="0" collapsed="false">
      <c r="A92" s="0" t="s">
        <v>648</v>
      </c>
      <c r="B92" s="28" t="n">
        <f aca="false">B90*B91</f>
        <v>8541.23940153114</v>
      </c>
      <c r="E92" s="5" t="s">
        <v>649</v>
      </c>
    </row>
    <row r="94" customFormat="false" ht="17.15" hidden="false" customHeight="false" outlineLevel="0" collapsed="false">
      <c r="A94" s="1" t="s">
        <v>650</v>
      </c>
    </row>
    <row r="95" customFormat="false" ht="15" hidden="false" customHeight="false" outlineLevel="0" collapsed="false">
      <c r="A95" s="6" t="s">
        <v>24</v>
      </c>
      <c r="B95" s="6" t="s">
        <v>568</v>
      </c>
      <c r="C95" s="13"/>
      <c r="D95" s="13"/>
      <c r="E95" s="6" t="s">
        <v>377</v>
      </c>
    </row>
    <row r="96" customFormat="false" ht="17.15" hidden="false" customHeight="false" outlineLevel="0" collapsed="false">
      <c r="A96" s="3" t="s">
        <v>651</v>
      </c>
      <c r="B96" s="28" t="n">
        <f aca="false">tp_w_dcf*B81+(1-tp_w_dcf)*tp_comp_adj</f>
        <v>6498.50902445777</v>
      </c>
      <c r="E96" s="8" t="s">
        <v>652</v>
      </c>
    </row>
    <row r="97" customFormat="false" ht="17.15" hidden="false" customHeight="false" outlineLevel="0" collapsed="false">
      <c r="A97" s="0" t="s">
        <v>653</v>
      </c>
      <c r="B97" s="18" t="n">
        <f aca="false">B92</f>
        <v>8541.23940153114</v>
      </c>
      <c r="E97" s="5" t="s">
        <v>654</v>
      </c>
    </row>
    <row r="98" customFormat="false" ht="17.15" hidden="false" customHeight="false" outlineLevel="0" collapsed="false">
      <c r="A98" s="5" t="s">
        <v>655</v>
      </c>
      <c r="B98" s="18" t="n">
        <f aca="false">cons_tp</f>
        <v>12432.35</v>
      </c>
      <c r="E98" s="8" t="s">
        <v>359</v>
      </c>
    </row>
    <row r="99" customFormat="false" ht="17.15" hidden="false" customHeight="false" outlineLevel="0" collapsed="false">
      <c r="A99" s="5" t="s">
        <v>656</v>
      </c>
      <c r="B99" s="15" t="n">
        <f aca="false">B96/px-1</f>
        <v>-0.236547342051484</v>
      </c>
      <c r="E99" s="5" t="s">
        <v>657</v>
      </c>
    </row>
    <row r="100" customFormat="false" ht="17.15" hidden="false" customHeight="false" outlineLevel="0" collapsed="false">
      <c r="A100" s="5" t="s">
        <v>658</v>
      </c>
      <c r="B100" s="15" t="n">
        <f aca="false">B97/px-1</f>
        <v>0.00343508006709858</v>
      </c>
    </row>
    <row r="101" customFormat="false" ht="17.15" hidden="false" customHeight="false" outlineLevel="0" collapsed="false">
      <c r="A101" s="5" t="s">
        <v>659</v>
      </c>
      <c r="B101" s="15" t="n">
        <f aca="false">B91/cons_feps-1</f>
        <v>0.116633270105027</v>
      </c>
      <c r="E101" s="5" t="s">
        <v>660</v>
      </c>
    </row>
    <row r="102" customFormat="false" ht="17.15" hidden="false" customHeight="false" outlineLevel="0" collapsed="false">
      <c r="A102" s="5" t="s">
        <v>661</v>
      </c>
      <c r="B102" s="15" t="n">
        <f aca="false">(cons_tp/cons_feps)/B90-1</f>
        <v>0.625335034292753</v>
      </c>
      <c r="E102" s="0" t="str">
        <f aca="false">"共識目標價 ÷ 共識前瞻 EPS 隱含 "&amp;TEXT(cons_tp/cons_feps,"0.0")&amp;"x，同業中位數 "&amp;TEXT(B90,"0.0")&amp;"x"</f>
        <v>共識目標價 ÷ 共識前瞻 EPS 隱含 68.7x，同業中位數 42.3x</v>
      </c>
    </row>
    <row r="103" customFormat="false" ht="17.15" hidden="false" customHeight="false" outlineLevel="0" collapsed="false">
      <c r="A103" s="5" t="s">
        <v>662</v>
      </c>
      <c r="B103" s="32" t="str">
        <f aca="false">TEXT(D80,"#,##0")&amp;"～"&amp;TEXT(B80,"#,##0")</f>
        <v>1,294～2,378</v>
      </c>
      <c r="E103" s="8" t="s">
        <v>663</v>
      </c>
    </row>
    <row r="104" customFormat="false" ht="17.15" hidden="false" customHeight="false" outlineLevel="0" collapsed="false">
      <c r="A104" s="5" t="s">
        <v>664</v>
      </c>
      <c r="B104" s="30" t="n">
        <f aca="false">IF(px/B66&lt;=MIN($B$108:$K$108),0,IF(px/B66&gt;=MAX($B$108:$K$108),1,PERCENTRANK($B$108:$K$108,px/B66)))</f>
        <v>0.333</v>
      </c>
      <c r="C104" s="30" t="n">
        <f aca="false">IF(px/C66&lt;=MIN($B$108:$K$108),0,IF(px/C66&gt;=MAX($B$108:$K$108),1,PERCENTRANK($B$108:$K$108,px/C66)))</f>
        <v>0.528</v>
      </c>
      <c r="D104" s="30" t="n">
        <f aca="false">IF(px/D66&lt;=MIN($B$108:$K$108),0,IF(px/D66&gt;=MAX($B$108:$K$108),1,PERCENTRANK($B$108:$K$108,px/D66)))</f>
        <v>0.849</v>
      </c>
      <c r="E104" s="5" t="s">
        <v>665</v>
      </c>
    </row>
    <row r="105" customFormat="false" ht="17.15" hidden="false" customHeight="false" outlineLevel="0" collapsed="false">
      <c r="A105" s="5" t="s">
        <v>666</v>
      </c>
      <c r="B105" s="0" t="s">
        <v>667</v>
      </c>
    </row>
    <row r="107" customFormat="false" ht="17.15" hidden="false" customHeight="false" outlineLevel="0" collapsed="false">
      <c r="A107" s="3" t="s">
        <v>668</v>
      </c>
      <c r="B107" s="8" t="s">
        <v>586</v>
      </c>
      <c r="C107" s="8" t="s">
        <v>589</v>
      </c>
      <c r="D107" s="8" t="s">
        <v>592</v>
      </c>
      <c r="E107" s="8" t="s">
        <v>593</v>
      </c>
      <c r="F107" s="8" t="s">
        <v>594</v>
      </c>
      <c r="G107" s="8" t="s">
        <v>595</v>
      </c>
      <c r="H107" s="8" t="s">
        <v>596</v>
      </c>
      <c r="I107" s="8" t="s">
        <v>597</v>
      </c>
      <c r="J107" s="8" t="s">
        <v>598</v>
      </c>
      <c r="K107" s="8" t="s">
        <v>599</v>
      </c>
    </row>
    <row r="108" customFormat="false" ht="17.15" hidden="false" customHeight="false" outlineLevel="0" collapsed="false">
      <c r="A108" s="5" t="s">
        <v>669</v>
      </c>
      <c r="B108" s="31" t="n">
        <v>44.1</v>
      </c>
      <c r="C108" s="31"/>
      <c r="D108" s="31" t="n">
        <v>35.3</v>
      </c>
      <c r="E108" s="31" t="n">
        <v>137</v>
      </c>
      <c r="F108" s="31" t="n">
        <v>55.2</v>
      </c>
      <c r="G108" s="31" t="n">
        <v>53.1</v>
      </c>
      <c r="H108" s="31" t="n">
        <v>40.7</v>
      </c>
      <c r="I108" s="31" t="n">
        <v>26.8</v>
      </c>
      <c r="J108" s="31" t="n">
        <v>57.2</v>
      </c>
      <c r="K108" s="31" t="n">
        <v>33.6</v>
      </c>
    </row>
    <row r="109" customFormat="false" ht="17.15" hidden="false" customHeight="false" outlineLevel="0" collapsed="false">
      <c r="A109" s="5" t="s">
        <v>670</v>
      </c>
      <c r="B109" s="32" t="str">
        <f aca="false">IF(B99&gt;0.5,"大於 50%",IF(B99&gt;0.25,"25%–50%",IF(B99&gt;=0,"0%–25%",IF(B99&gt;=-0.25,"0%～−25%",IF(B99&gt;=-0.5,"−25%～−50%","小於 −50%")))))</f>
        <v>0%～−25%</v>
      </c>
      <c r="E109" s="5" t="s">
        <v>671</v>
      </c>
    </row>
    <row r="110" customFormat="false" ht="17.15" hidden="false" customHeight="false" outlineLevel="0" collapsed="false">
      <c r="A110" s="5" t="s">
        <v>672</v>
      </c>
      <c r="B110" s="32" t="str">
        <f aca="false">IF(B99&gt;0.5,"強力買進",IF(B99&gt;0.25,"買進",IF(B99&gt;=-0.25,"中立",IF(B99&gt;=-0.5,"放空","強力放空"))))</f>
        <v>中立</v>
      </c>
      <c r="E110" s="5" t="s">
        <v>673</v>
      </c>
    </row>
    <row r="113" customFormat="false" ht="17.15" hidden="false" customHeight="false" outlineLevel="0" collapsed="false">
      <c r="A113" s="1" t="s">
        <v>674</v>
      </c>
    </row>
    <row r="114" customFormat="false" ht="17.15" hidden="false" customHeight="false" outlineLevel="0" collapsed="false">
      <c r="A114" s="5" t="s">
        <v>675</v>
      </c>
    </row>
    <row r="115" customFormat="false" ht="17.15" hidden="false" customHeight="false" outlineLevel="0" collapsed="false">
      <c r="A115" s="6" t="s">
        <v>676</v>
      </c>
      <c r="B115" s="6" t="s">
        <v>624</v>
      </c>
      <c r="C115" s="6" t="s">
        <v>677</v>
      </c>
      <c r="D115" s="13" t="s">
        <v>678</v>
      </c>
      <c r="E115" s="13" t="s">
        <v>679</v>
      </c>
      <c r="F115" s="13" t="s">
        <v>680</v>
      </c>
      <c r="G115" s="13" t="s">
        <v>681</v>
      </c>
      <c r="H115" s="13" t="s">
        <v>682</v>
      </c>
      <c r="I115" s="13" t="s">
        <v>683</v>
      </c>
      <c r="J115" s="13" t="s">
        <v>684</v>
      </c>
      <c r="K115" s="13" t="s">
        <v>685</v>
      </c>
      <c r="L115" s="13" t="s">
        <v>686</v>
      </c>
      <c r="M115" s="13" t="s">
        <v>687</v>
      </c>
      <c r="N115" s="6" t="s">
        <v>688</v>
      </c>
      <c r="O115" s="13" t="s">
        <v>689</v>
      </c>
      <c r="P115" s="6" t="s">
        <v>690</v>
      </c>
      <c r="Q115" s="6" t="s">
        <v>627</v>
      </c>
    </row>
    <row r="116" customFormat="false" ht="17.15" hidden="false" customHeight="false" outlineLevel="0" collapsed="false">
      <c r="A116" s="0" t="s">
        <v>691</v>
      </c>
      <c r="B116" s="0" t="s">
        <v>692</v>
      </c>
      <c r="C116" s="5" t="s">
        <v>693</v>
      </c>
      <c r="D116" s="26" t="n">
        <v>27.158</v>
      </c>
      <c r="E116" s="26" t="n">
        <v>19.7875</v>
      </c>
      <c r="F116" s="26" t="n">
        <v>22.96</v>
      </c>
      <c r="G116" s="26" t="n">
        <v>23.0705</v>
      </c>
      <c r="H116" s="26" t="n">
        <v>21.41</v>
      </c>
      <c r="I116" s="26" t="n">
        <v>12.928</v>
      </c>
      <c r="J116" s="26" t="n">
        <v>17.4575</v>
      </c>
      <c r="K116" s="26" t="n">
        <v>20.983</v>
      </c>
      <c r="L116" s="26" t="n">
        <v>19.837</v>
      </c>
      <c r="M116" s="26" t="n">
        <v>51.143</v>
      </c>
      <c r="N116" s="8" t="n">
        <f aca="false">COUNT(D116:M116)</f>
        <v>10</v>
      </c>
      <c r="O116" s="21" t="n">
        <f aca="false">IF(N116&gt;0,MEDIAN(D116:M116),"")</f>
        <v>21.1965</v>
      </c>
      <c r="P116" s="21" t="n">
        <f aca="false">IF(N116&gt;=7,O116,"")</f>
        <v>21.1965</v>
      </c>
      <c r="Q116" s="8" t="s">
        <v>694</v>
      </c>
    </row>
    <row r="117" customFormat="false" ht="17.15" hidden="false" customHeight="false" outlineLevel="0" collapsed="false">
      <c r="A117" s="5" t="s">
        <v>628</v>
      </c>
      <c r="B117" s="0" t="s">
        <v>629</v>
      </c>
      <c r="C117" s="5" t="s">
        <v>695</v>
      </c>
      <c r="D117" s="26" t="n">
        <v>36.2455</v>
      </c>
      <c r="E117" s="26" t="n">
        <v>38.823</v>
      </c>
      <c r="F117" s="26" t="n">
        <v>16.6045</v>
      </c>
      <c r="G117" s="26" t="n">
        <v>14.654</v>
      </c>
      <c r="H117" s="26" t="n">
        <v>19.9305</v>
      </c>
      <c r="I117" s="26" t="n">
        <v>12.189</v>
      </c>
      <c r="J117" s="26" t="n">
        <v>11.7795</v>
      </c>
      <c r="K117" s="26" t="n">
        <v>16.117</v>
      </c>
      <c r="L117" s="26" t="n">
        <v>14.3045</v>
      </c>
      <c r="M117" s="26" t="n">
        <v>32.275</v>
      </c>
      <c r="N117" s="8" t="n">
        <f aca="false">COUNT(D117:M117)</f>
        <v>10</v>
      </c>
      <c r="O117" s="21" t="n">
        <f aca="false">IF(N117&gt;0,MEDIAN(D117:M117),"")</f>
        <v>16.36075</v>
      </c>
      <c r="P117" s="21" t="n">
        <f aca="false">IF(N117&gt;=7,O117,"")</f>
        <v>16.36075</v>
      </c>
      <c r="Q117" s="8" t="s">
        <v>696</v>
      </c>
    </row>
    <row r="118" customFormat="false" ht="17.15" hidden="false" customHeight="false" outlineLevel="0" collapsed="false">
      <c r="A118" s="5" t="s">
        <v>633</v>
      </c>
      <c r="B118" s="0" t="s">
        <v>634</v>
      </c>
      <c r="C118" s="5" t="s">
        <v>695</v>
      </c>
      <c r="D118" s="26" t="n">
        <v>33.246</v>
      </c>
      <c r="E118" s="26" t="n">
        <v>32.75</v>
      </c>
      <c r="F118" s="26" t="n">
        <v>48.109</v>
      </c>
      <c r="G118" s="26" t="n">
        <v>26.1905</v>
      </c>
      <c r="H118" s="26" t="n">
        <v>26.139</v>
      </c>
      <c r="I118" s="26" t="n">
        <v>12.3135</v>
      </c>
      <c r="J118" s="26" t="n">
        <v>12.602</v>
      </c>
      <c r="K118" s="26" t="n">
        <v>21.9195</v>
      </c>
      <c r="L118" s="26" t="n">
        <v>28.0235</v>
      </c>
      <c r="M118" s="26" t="n">
        <v>35.814</v>
      </c>
      <c r="N118" s="8" t="n">
        <f aca="false">COUNT(D118:M118)</f>
        <v>10</v>
      </c>
      <c r="O118" s="21" t="n">
        <f aca="false">IF(N118&gt;0,MEDIAN(D118:M118),"")</f>
        <v>27.107</v>
      </c>
      <c r="P118" s="21" t="n">
        <f aca="false">IF(N118&gt;=7,O118,"")</f>
        <v>27.107</v>
      </c>
      <c r="Q118" s="8" t="s">
        <v>697</v>
      </c>
    </row>
    <row r="119" customFormat="false" ht="17.15" hidden="false" customHeight="false" outlineLevel="0" collapsed="false">
      <c r="A119" s="5" t="s">
        <v>636</v>
      </c>
      <c r="B119" s="0" t="s">
        <v>637</v>
      </c>
      <c r="C119" s="5" t="s">
        <v>695</v>
      </c>
      <c r="D119" s="26" t="n">
        <v>12.649</v>
      </c>
      <c r="E119" s="26" t="n">
        <v>12.413</v>
      </c>
      <c r="F119" s="26" t="n">
        <v>18.1005</v>
      </c>
      <c r="G119" s="26" t="n">
        <v>30.043</v>
      </c>
      <c r="H119" s="26" t="n">
        <v>22.6855</v>
      </c>
      <c r="I119" s="26" t="n">
        <v>11.458</v>
      </c>
      <c r="J119" s="26" t="n">
        <v>11.5835</v>
      </c>
      <c r="K119" s="26" t="n">
        <v>20.1675</v>
      </c>
      <c r="L119" s="26" t="n">
        <v>18.7765</v>
      </c>
      <c r="M119" s="26" t="n">
        <v>37.4805</v>
      </c>
      <c r="N119" s="8" t="n">
        <f aca="false">COUNT(D119:M119)</f>
        <v>10</v>
      </c>
      <c r="O119" s="21" t="n">
        <f aca="false">IF(N119&gt;0,MEDIAN(D119:M119),"")</f>
        <v>18.4385</v>
      </c>
      <c r="P119" s="21" t="n">
        <f aca="false">IF(N119&gt;=7,O119,"")</f>
        <v>18.4385</v>
      </c>
      <c r="Q119" s="8" t="s">
        <v>698</v>
      </c>
    </row>
    <row r="120" customFormat="false" ht="17.15" hidden="false" customHeight="false" outlineLevel="0" collapsed="false">
      <c r="A120" s="5" t="s">
        <v>638</v>
      </c>
      <c r="B120" s="0" t="s">
        <v>639</v>
      </c>
      <c r="C120" s="5" t="s">
        <v>695</v>
      </c>
      <c r="D120" s="26" t="n">
        <v>26.6675</v>
      </c>
      <c r="E120" s="26" t="n">
        <v>17.1685</v>
      </c>
      <c r="F120" s="26" t="n">
        <v>10.305</v>
      </c>
      <c r="G120" s="26" t="n">
        <v>16.685</v>
      </c>
      <c r="H120" s="26" t="n">
        <v>14.069</v>
      </c>
      <c r="I120" s="26" t="n">
        <v>9.6445</v>
      </c>
      <c r="J120" s="26" t="n">
        <v>12.798</v>
      </c>
      <c r="K120" s="26" t="n">
        <v>15.2645</v>
      </c>
      <c r="L120" s="26" t="n">
        <v>13.68</v>
      </c>
      <c r="M120" s="26" t="n">
        <v>32.8125</v>
      </c>
      <c r="N120" s="8" t="n">
        <f aca="false">COUNT(D120:M120)</f>
        <v>10</v>
      </c>
      <c r="O120" s="21" t="n">
        <f aca="false">IF(N120&gt;0,MEDIAN(D120:M120),"")</f>
        <v>14.66675</v>
      </c>
      <c r="P120" s="21" t="n">
        <f aca="false">IF(N120&gt;=7,O120,"")</f>
        <v>14.66675</v>
      </c>
      <c r="Q120" s="8" t="s">
        <v>699</v>
      </c>
    </row>
    <row r="121" customFormat="false" ht="17.15" hidden="false" customHeight="false" outlineLevel="0" collapsed="false">
      <c r="A121" s="0" t="s">
        <v>641</v>
      </c>
      <c r="B121" s="0" t="s">
        <v>642</v>
      </c>
      <c r="C121" s="5" t="s">
        <v>695</v>
      </c>
      <c r="D121" s="26" t="n">
        <v>42.9415</v>
      </c>
      <c r="E121" s="26" t="n">
        <v>12.716</v>
      </c>
      <c r="F121" s="26" t="n">
        <v>8.306</v>
      </c>
      <c r="G121" s="26" t="n">
        <v>9.871</v>
      </c>
      <c r="H121" s="26" t="n">
        <v>17.1775</v>
      </c>
      <c r="I121" s="26" t="n">
        <v>17.1875</v>
      </c>
      <c r="J121" s="26" t="n">
        <v>9.7265</v>
      </c>
      <c r="K121" s="26" t="n">
        <v>9.708</v>
      </c>
      <c r="L121" s="26" t="n">
        <v>85.82</v>
      </c>
      <c r="M121" s="26" t="n">
        <v>30.0005</v>
      </c>
      <c r="N121" s="8" t="n">
        <f aca="false">COUNT(D121:M121)</f>
        <v>10</v>
      </c>
      <c r="O121" s="21" t="n">
        <f aca="false">IF(N121&gt;0,MEDIAN(D121:M121),"")</f>
        <v>14.94675</v>
      </c>
      <c r="P121" s="21" t="n">
        <f aca="false">IF(N121&gt;=7,O121,"")</f>
        <v>14.94675</v>
      </c>
      <c r="Q121" s="8" t="s">
        <v>700</v>
      </c>
    </row>
    <row r="123" customFormat="false" ht="17.15" hidden="false" customHeight="false" outlineLevel="0" collapsed="false">
      <c r="A123" s="5" t="s">
        <v>701</v>
      </c>
      <c r="B123" s="21" t="n">
        <f aca="false">P116</f>
        <v>21.1965</v>
      </c>
      <c r="E123" s="5" t="s">
        <v>702</v>
      </c>
    </row>
    <row r="124" customFormat="false" ht="15" hidden="false" customHeight="false" outlineLevel="0" collapsed="false">
      <c r="A124" s="5" t="s">
        <v>703</v>
      </c>
      <c r="B124" s="33" t="n">
        <f aca="false">COUNT(P117:P121)</f>
        <v>5</v>
      </c>
    </row>
    <row r="125" customFormat="false" ht="17.15" hidden="false" customHeight="false" outlineLevel="0" collapsed="false">
      <c r="A125" s="5" t="s">
        <v>704</v>
      </c>
      <c r="B125" s="21" t="n">
        <f aca="false">IF(B124&gt;0,MEDIAN(P117:P121),"")</f>
        <v>16.36075</v>
      </c>
    </row>
    <row r="126" customFormat="false" ht="17.15" hidden="false" customHeight="false" outlineLevel="0" collapsed="false">
      <c r="A126" s="5" t="s">
        <v>705</v>
      </c>
      <c r="B126" s="21" t="n">
        <f aca="false">IF(AND(ISNUMBER(B123),B124&gt;=2),B123/B125,"")</f>
        <v>1.29557019085311</v>
      </c>
      <c r="E126" s="5" t="s">
        <v>706</v>
      </c>
    </row>
    <row r="127" customFormat="false" ht="17.15" hidden="false" customHeight="false" outlineLevel="0" collapsed="false">
      <c r="A127" s="5" t="s">
        <v>707</v>
      </c>
      <c r="B127" s="26" t="n">
        <v>0.5</v>
      </c>
      <c r="E127" s="8" t="s">
        <v>708</v>
      </c>
    </row>
    <row r="128" customFormat="false" ht="17.15" hidden="false" customHeight="false" outlineLevel="0" collapsed="false">
      <c r="A128" s="5" t="s">
        <v>709</v>
      </c>
      <c r="B128" s="26" t="n">
        <v>2</v>
      </c>
      <c r="E128" s="8" t="s">
        <v>710</v>
      </c>
    </row>
    <row r="129" customFormat="false" ht="17.15" hidden="false" customHeight="false" outlineLevel="0" collapsed="false">
      <c r="A129" s="3" t="s">
        <v>711</v>
      </c>
      <c r="B129" s="34" t="n">
        <f aca="false">IF(ISNUMBER(B126),MIN(MAX(B126,B127),B128),1)</f>
        <v>1.29557019085311</v>
      </c>
      <c r="E129" s="5" t="s">
        <v>712</v>
      </c>
    </row>
    <row r="130" customFormat="false" ht="17.15" hidden="false" customHeight="false" outlineLevel="0" collapsed="false">
      <c r="A130" s="1" t="s">
        <v>713</v>
      </c>
      <c r="B130" s="28" t="n">
        <f aca="false">Val!$B$92*B129</f>
        <v>11065.7751615638</v>
      </c>
      <c r="E130" s="5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715</v>
      </c>
    </row>
    <row r="3" customFormat="false" ht="17.15" hidden="false" customHeight="false" outlineLevel="0" collapsed="false">
      <c r="A3" s="6" t="s">
        <v>24</v>
      </c>
      <c r="B3" s="6" t="s">
        <v>716</v>
      </c>
      <c r="C3" s="6" t="s">
        <v>717</v>
      </c>
      <c r="D3" s="6" t="s">
        <v>718</v>
      </c>
      <c r="E3" s="6" t="s">
        <v>719</v>
      </c>
      <c r="F3" s="6" t="s">
        <v>720</v>
      </c>
      <c r="G3" s="6" t="s">
        <v>721</v>
      </c>
      <c r="H3" s="6" t="s">
        <v>722</v>
      </c>
      <c r="I3" s="6" t="s">
        <v>723</v>
      </c>
      <c r="J3" s="6" t="s">
        <v>377</v>
      </c>
    </row>
    <row r="4" customFormat="false" ht="17.15" hidden="false" customHeight="false" outlineLevel="0" collapsed="false">
      <c r="A4" s="1" t="s">
        <v>724</v>
      </c>
    </row>
    <row r="5" customFormat="false" ht="17.15" hidden="false" customHeight="false" outlineLevel="0" collapsed="false">
      <c r="A5" s="0" t="s">
        <v>725</v>
      </c>
      <c r="B5" s="14" t="n">
        <f aca="false">tgt30_rev</f>
        <v>1000</v>
      </c>
      <c r="C5" s="14" t="n">
        <f aca="false">PL!G82</f>
        <v>865.772241846335</v>
      </c>
      <c r="D5" s="15" t="n">
        <f aca="false">C5/B5-1</f>
        <v>-0.134227758153666</v>
      </c>
      <c r="E5" s="14" t="n">
        <f aca="false">PL!G117</f>
        <v>786.212871306884</v>
      </c>
      <c r="F5" s="15" t="n">
        <f aca="false">E5/B5-1</f>
        <v>-0.213787128693116</v>
      </c>
      <c r="G5" s="14" t="n">
        <f aca="false">PL!G152</f>
        <v>653.613920407801</v>
      </c>
      <c r="H5" s="15" t="n">
        <f aca="false">G5/B5-1</f>
        <v>-0.346386079592199</v>
      </c>
      <c r="I5" s="8" t="s">
        <v>726</v>
      </c>
      <c r="J5" s="5" t="s">
        <v>727</v>
      </c>
    </row>
    <row r="6" customFormat="false" ht="17.15" hidden="false" customHeight="false" outlineLevel="0" collapsed="false">
      <c r="A6" s="0" t="s">
        <v>728</v>
      </c>
      <c r="B6" s="14" t="n">
        <f aca="false">tgt30_oi</f>
        <v>300</v>
      </c>
      <c r="C6" s="14" t="n">
        <f aca="false">PL!G87</f>
        <v>200.115091152509</v>
      </c>
      <c r="D6" s="15" t="n">
        <f aca="false">C6/B6-1</f>
        <v>-0.332949696158302</v>
      </c>
      <c r="E6" s="14" t="n">
        <f aca="false">PL!G122</f>
        <v>176.201947016008</v>
      </c>
      <c r="F6" s="15" t="n">
        <f aca="false">E6/B6-1</f>
        <v>-0.412660176613307</v>
      </c>
      <c r="G6" s="14" t="n">
        <f aca="false">PL!G157</f>
        <v>136.346706788506</v>
      </c>
      <c r="H6" s="15" t="n">
        <f aca="false">G6/B6-1</f>
        <v>-0.545510977371648</v>
      </c>
      <c r="I6" s="5" t="s">
        <v>49</v>
      </c>
    </row>
    <row r="7" customFormat="false" ht="17.15" hidden="false" customHeight="false" outlineLevel="0" collapsed="false">
      <c r="A7" s="0" t="s">
        <v>729</v>
      </c>
      <c r="B7" s="14" t="n">
        <f aca="false">cons_feps</f>
        <v>180.915323327775</v>
      </c>
      <c r="C7" s="14" t="n">
        <f aca="false">PL!E91</f>
        <v>216.132699116893</v>
      </c>
      <c r="D7" s="15" t="n">
        <f aca="false">C7/B7-1</f>
        <v>0.194662205176027</v>
      </c>
      <c r="E7" s="14" t="n">
        <f aca="false">PL!E126</f>
        <v>216.132699116893</v>
      </c>
      <c r="F7" s="15" t="n">
        <f aca="false">E7/B7-1</f>
        <v>0.194662205176027</v>
      </c>
      <c r="G7" s="14" t="n">
        <f aca="false">PL!E161</f>
        <v>216.132699116893</v>
      </c>
      <c r="H7" s="15" t="n">
        <f aca="false">G7/B7-1</f>
        <v>0.194662205176027</v>
      </c>
      <c r="I7" s="8" t="s">
        <v>730</v>
      </c>
      <c r="J7" s="5" t="s">
        <v>731</v>
      </c>
    </row>
    <row r="8" customFormat="false" ht="17.15" hidden="false" customHeight="false" outlineLevel="0" collapsed="false">
      <c r="A8" s="1" t="s">
        <v>732</v>
      </c>
    </row>
    <row r="9" customFormat="false" ht="17.15" hidden="false" customHeight="false" outlineLevel="0" collapsed="false">
      <c r="A9" s="0" t="s">
        <v>733</v>
      </c>
      <c r="B9" s="18" t="n">
        <v>225</v>
      </c>
      <c r="C9" s="18" t="n">
        <f aca="false">Units!C8</f>
        <v>215.308595737464</v>
      </c>
      <c r="D9" s="15" t="n">
        <f aca="false">C9/B9-1</f>
        <v>-0.0430729078334936</v>
      </c>
      <c r="E9" s="18" t="n">
        <f aca="false">Units!C8</f>
        <v>215.308595737464</v>
      </c>
      <c r="F9" s="15" t="n">
        <f aca="false">E9/B9-1</f>
        <v>-0.0430729078334936</v>
      </c>
      <c r="G9" s="18" t="n">
        <f aca="false">Units!C8</f>
        <v>215.308595737464</v>
      </c>
      <c r="H9" s="15" t="n">
        <f aca="false">G9/B9-1</f>
        <v>-0.0430729078334936</v>
      </c>
      <c r="I9" s="5" t="s">
        <v>734</v>
      </c>
      <c r="J9" s="5" t="s">
        <v>735</v>
      </c>
    </row>
    <row r="10" customFormat="false" ht="17.15" hidden="false" customHeight="false" outlineLevel="0" collapsed="false">
      <c r="A10" s="0" t="s">
        <v>736</v>
      </c>
      <c r="B10" s="18" t="n">
        <v>75</v>
      </c>
      <c r="C10" s="18" t="n">
        <f aca="false">Units!C12</f>
        <v>77.0969490852277</v>
      </c>
      <c r="D10" s="15" t="n">
        <f aca="false">C10/B10-1</f>
        <v>0.0279593211363691</v>
      </c>
      <c r="E10" s="18" t="n">
        <f aca="false">Units!C12</f>
        <v>77.0969490852277</v>
      </c>
      <c r="F10" s="15" t="n">
        <f aca="false">E10/B10-1</f>
        <v>0.0279593211363691</v>
      </c>
      <c r="G10" s="18" t="n">
        <f aca="false">Units!C12</f>
        <v>77.0969490852277</v>
      </c>
      <c r="H10" s="15" t="n">
        <f aca="false">G10/B10-1</f>
        <v>0.0279593211363691</v>
      </c>
      <c r="I10" s="5" t="s">
        <v>734</v>
      </c>
    </row>
    <row r="11" customFormat="false" ht="17.15" hidden="false" customHeight="false" outlineLevel="0" collapsed="false">
      <c r="A11" s="0" t="s">
        <v>737</v>
      </c>
      <c r="C11" s="15" t="n">
        <f aca="false">PL!E85</f>
        <v>0.554607124103712</v>
      </c>
      <c r="E11" s="15" t="n">
        <f aca="false">PL!E120</f>
        <v>0.554607124103712</v>
      </c>
      <c r="G11" s="15" t="n">
        <f aca="false">PL!E155</f>
        <v>0.554607124103712</v>
      </c>
      <c r="I11" s="8" t="s">
        <v>187</v>
      </c>
    </row>
    <row r="12" customFormat="false" ht="17.15" hidden="false" customHeight="false" outlineLevel="0" collapsed="false">
      <c r="A12" s="0" t="s">
        <v>738</v>
      </c>
      <c r="B12" s="15" t="n">
        <f aca="false">q26_eoi/q26_e</f>
        <v>0.293333333333333</v>
      </c>
      <c r="C12" s="15" t="n">
        <f aca="false">PL!F78</f>
        <v>0.29058186593395</v>
      </c>
      <c r="D12" s="15" t="n">
        <f aca="false">C12-B12</f>
        <v>-0.0027514673993837</v>
      </c>
      <c r="E12" s="15" t="n">
        <f aca="false">PL!F113</f>
        <v>0.282319892527068</v>
      </c>
      <c r="F12" s="15" t="n">
        <f aca="false">E12-B12</f>
        <v>-0.0110134408062651</v>
      </c>
      <c r="G12" s="15" t="n">
        <f aca="false">PL!F148</f>
        <v>0.270515438025634</v>
      </c>
      <c r="H12" s="15" t="n">
        <f aca="false">G12-B12</f>
        <v>-0.0228178953076997</v>
      </c>
      <c r="I12" s="5" t="s">
        <v>739</v>
      </c>
      <c r="J12" s="5" t="s">
        <v>740</v>
      </c>
    </row>
    <row r="13" customFormat="false" ht="17.15" hidden="false" customHeight="false" outlineLevel="0" collapsed="false">
      <c r="A13" s="1" t="s">
        <v>741</v>
      </c>
    </row>
    <row r="14" customFormat="false" ht="17.15" hidden="false" customHeight="false" outlineLevel="0" collapsed="false">
      <c r="A14" s="5" t="s">
        <v>742</v>
      </c>
      <c r="J14" s="5" t="s">
        <v>743</v>
      </c>
    </row>
    <row r="15" customFormat="false" ht="17.15" hidden="false" customHeight="false" outlineLevel="0" collapsed="false">
      <c r="A15" s="0" t="s">
        <v>744</v>
      </c>
      <c r="J15" s="5" t="s">
        <v>743</v>
      </c>
    </row>
    <row r="17" customFormat="false" ht="17.15" hidden="false" customHeight="false" outlineLevel="0" collapsed="false">
      <c r="A17" s="1" t="s">
        <v>745</v>
      </c>
    </row>
    <row r="18" customFormat="false" ht="17.15" hidden="false" customHeight="false" outlineLevel="0" collapsed="false">
      <c r="A18" s="0" t="s">
        <v>746</v>
      </c>
      <c r="B18" s="14" t="n">
        <f aca="false">cons_feps</f>
        <v>180.915323327775</v>
      </c>
      <c r="C18" s="14" t="n">
        <f aca="false">Val!B91</f>
        <v>202.016069099601</v>
      </c>
      <c r="D18" s="15" t="n">
        <f aca="false">C18/B18-1</f>
        <v>0.116633270105027</v>
      </c>
      <c r="I18" s="8" t="s">
        <v>362</v>
      </c>
      <c r="J18" s="5" t="s">
        <v>747</v>
      </c>
    </row>
    <row r="19" customFormat="false" ht="17.15" hidden="false" customHeight="false" outlineLevel="0" collapsed="false">
      <c r="A19" s="5" t="s">
        <v>748</v>
      </c>
      <c r="B19" s="14" t="n">
        <f aca="false">cons_tp</f>
        <v>12432.35</v>
      </c>
      <c r="C19" s="14" t="n">
        <f aca="false">Val!B96</f>
        <v>6498.50902445777</v>
      </c>
      <c r="D19" s="15" t="n">
        <f aca="false">C19/B19-1</f>
        <v>-0.477290373545004</v>
      </c>
      <c r="I19" s="8" t="s">
        <v>359</v>
      </c>
      <c r="J19" s="5" t="s">
        <v>747</v>
      </c>
    </row>
    <row r="20" customFormat="false" ht="17.15" hidden="false" customHeight="false" outlineLevel="0" collapsed="false">
      <c r="A20" s="0" t="s">
        <v>749</v>
      </c>
      <c r="B20" s="14" t="n">
        <f aca="false">cons_tp</f>
        <v>12432.35</v>
      </c>
      <c r="C20" s="14" t="n">
        <f aca="false">Val!B92</f>
        <v>8541.23940153114</v>
      </c>
      <c r="D20" s="15" t="n">
        <f aca="false">C20/B20-1</f>
        <v>-0.312982710305683</v>
      </c>
      <c r="I20" s="5" t="s">
        <v>49</v>
      </c>
      <c r="J20" s="5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750</v>
      </c>
    </row>
    <row r="3" customFormat="false" ht="17.15" hidden="false" customHeight="false" outlineLevel="0" collapsed="false">
      <c r="A3" s="6" t="s">
        <v>751</v>
      </c>
      <c r="B3" s="6" t="s">
        <v>752</v>
      </c>
      <c r="C3" s="13" t="s">
        <v>753</v>
      </c>
      <c r="D3" s="13" t="s">
        <v>754</v>
      </c>
      <c r="E3" s="13" t="s">
        <v>755</v>
      </c>
      <c r="F3" s="13" t="s">
        <v>563</v>
      </c>
      <c r="G3" s="13" t="s">
        <v>756</v>
      </c>
      <c r="H3" s="13" t="s">
        <v>757</v>
      </c>
      <c r="I3" s="13" t="s">
        <v>758</v>
      </c>
      <c r="J3" s="13" t="s">
        <v>759</v>
      </c>
      <c r="K3" s="13" t="s">
        <v>566</v>
      </c>
      <c r="L3" s="13" t="s">
        <v>760</v>
      </c>
    </row>
    <row r="4" customFormat="false" ht="17.15" hidden="false" customHeight="false" outlineLevel="0" collapsed="false">
      <c r="A4" s="5" t="s">
        <v>761</v>
      </c>
      <c r="B4" s="0" t="s">
        <v>762</v>
      </c>
      <c r="C4" s="14" t="n">
        <f aca="false">PL!E82</f>
        <v>708.458794642857</v>
      </c>
      <c r="D4" s="14" t="n">
        <f aca="false">PL!E71</f>
        <v>392.916294642857</v>
      </c>
      <c r="E4" s="15" t="n">
        <f aca="false">PL!E78</f>
        <v>0.313253023449477</v>
      </c>
      <c r="F4" s="14" t="n">
        <f aca="false">PL!E91</f>
        <v>216.132699116893</v>
      </c>
      <c r="G4" s="15" t="n">
        <f aca="false">F4/F$4-1</f>
        <v>0</v>
      </c>
      <c r="H4" s="14" t="n">
        <f aca="false">PL!F82</f>
        <v>759.916251785714</v>
      </c>
      <c r="I4" s="14" t="n">
        <f aca="false">PL!F71</f>
        <v>434.671226785714</v>
      </c>
      <c r="J4" s="15" t="n">
        <f aca="false">PL!F78</f>
        <v>0.29058186593395</v>
      </c>
      <c r="K4" s="14" t="n">
        <f aca="false">PL!F91</f>
        <v>218.990901255469</v>
      </c>
      <c r="L4" s="15" t="n">
        <f aca="false">K4/K$4-1</f>
        <v>0</v>
      </c>
    </row>
    <row r="5" customFormat="false" ht="17.15" hidden="false" customHeight="false" outlineLevel="0" collapsed="false">
      <c r="A5" s="5" t="s">
        <v>763</v>
      </c>
      <c r="B5" s="5" t="s">
        <v>764</v>
      </c>
      <c r="C5" s="14" t="n">
        <f aca="false">E62</f>
        <v>688.812979910714</v>
      </c>
      <c r="D5" s="14" t="n">
        <f aca="false">E51</f>
        <v>373.270479910714</v>
      </c>
      <c r="E5" s="15" t="n">
        <f aca="false">E58</f>
        <v>0.286854758589379</v>
      </c>
      <c r="F5" s="14" t="n">
        <f aca="false">E71</f>
        <v>192.993091403086</v>
      </c>
      <c r="G5" s="15" t="n">
        <f aca="false">F5/F$4-1</f>
        <v>-0.107062040164929</v>
      </c>
      <c r="H5" s="14" t="n">
        <f aca="false">F62</f>
        <v>714.161385808271</v>
      </c>
      <c r="I5" s="14" t="n">
        <f aca="false">F51</f>
        <v>388.916360808271</v>
      </c>
      <c r="J5" s="15" t="n">
        <f aca="false">F58</f>
        <v>0.22975325582989</v>
      </c>
      <c r="K5" s="14" t="n">
        <f aca="false">F71</f>
        <v>165.099033488659</v>
      </c>
      <c r="L5" s="15" t="n">
        <f aca="false">K5/K$4-1</f>
        <v>-0.24609181229836</v>
      </c>
    </row>
    <row r="6" customFormat="false" ht="17.15" hidden="false" customHeight="false" outlineLevel="0" collapsed="false">
      <c r="A6" s="5" t="s">
        <v>765</v>
      </c>
      <c r="B6" s="5" t="s">
        <v>766</v>
      </c>
      <c r="C6" s="14" t="n">
        <f aca="false">E97</f>
        <v>728.104609375</v>
      </c>
      <c r="D6" s="14" t="n">
        <f aca="false">E86</f>
        <v>412.562109375</v>
      </c>
      <c r="E6" s="15" t="n">
        <f aca="false">E93</f>
        <v>0.337766697662195</v>
      </c>
      <c r="F6" s="14" t="n">
        <f aca="false">E106</f>
        <v>239.272306830701</v>
      </c>
      <c r="G6" s="15" t="n">
        <f aca="false">F6/F$4-1</f>
        <v>0.107062040164929</v>
      </c>
      <c r="H6" s="14" t="n">
        <f aca="false">F97</f>
        <v>805.671117763158</v>
      </c>
      <c r="I6" s="14" t="n">
        <f aca="false">F86</f>
        <v>480.426092763158</v>
      </c>
      <c r="J6" s="15" t="n">
        <f aca="false">F93</f>
        <v>0.342506061322395</v>
      </c>
      <c r="K6" s="14" t="n">
        <f aca="false">F106</f>
        <v>272.882769022278</v>
      </c>
      <c r="L6" s="15" t="n">
        <f aca="false">K6/K$4-1</f>
        <v>0.24609181229836</v>
      </c>
    </row>
    <row r="7" customFormat="false" ht="17.15" hidden="false" customHeight="false" outlineLevel="0" collapsed="false">
      <c r="A7" s="5" t="s">
        <v>767</v>
      </c>
      <c r="B7" s="5" t="s">
        <v>768</v>
      </c>
      <c r="C7" s="14" t="n">
        <f aca="false">E132</f>
        <v>667.099184680451</v>
      </c>
      <c r="D7" s="14" t="n">
        <f aca="false">E121</f>
        <v>351.556684680451</v>
      </c>
      <c r="E7" s="15" t="n">
        <f aca="false">E128</f>
        <v>0.308413644618109</v>
      </c>
      <c r="F7" s="14" t="n">
        <f aca="false">E141</f>
        <v>198.083180549308</v>
      </c>
      <c r="G7" s="15" t="n">
        <f aca="false">F7/F$4-1</f>
        <v>-0.0835112809923471</v>
      </c>
      <c r="H7" s="14" t="n">
        <f aca="false">F132</f>
        <v>695.703456919643</v>
      </c>
      <c r="I7" s="14" t="n">
        <f aca="false">F121</f>
        <v>370.458431919643</v>
      </c>
      <c r="J7" s="15" t="n">
        <f aca="false">F128</f>
        <v>0.284748429810093</v>
      </c>
      <c r="K7" s="14" t="n">
        <f aca="false">F141</f>
        <v>193.473918411335</v>
      </c>
      <c r="L7" s="15" t="n">
        <f aca="false">K7/K$4-1</f>
        <v>-0.11652074445945</v>
      </c>
    </row>
    <row r="8" customFormat="false" ht="17.15" hidden="false" customHeight="false" outlineLevel="0" collapsed="false">
      <c r="A8" s="5" t="s">
        <v>769</v>
      </c>
      <c r="B8" s="5" t="s">
        <v>770</v>
      </c>
      <c r="C8" s="14" t="n">
        <f aca="false">E167</f>
        <v>729.13859962406</v>
      </c>
      <c r="D8" s="14" t="n">
        <f aca="false">E156</f>
        <v>413.59609962406</v>
      </c>
      <c r="E8" s="15" t="n">
        <f aca="false">E163</f>
        <v>0.315400471707158</v>
      </c>
      <c r="F8" s="14" t="n">
        <f aca="false">E176</f>
        <v>225.157458400686</v>
      </c>
      <c r="G8" s="15" t="n">
        <f aca="false">F8/F$4-1</f>
        <v>0.0417556404961734</v>
      </c>
      <c r="H8" s="14" t="n">
        <f aca="false">F167</f>
        <v>819.189600892857</v>
      </c>
      <c r="I8" s="14" t="n">
        <f aca="false">F156</f>
        <v>493.944575892857</v>
      </c>
      <c r="J8" s="15" t="n">
        <f aca="false">F163</f>
        <v>0.29492541202585</v>
      </c>
      <c r="K8" s="14" t="n">
        <f aca="false">F176</f>
        <v>242.545039265438</v>
      </c>
      <c r="L8" s="15" t="n">
        <f aca="false">K8/K$4-1</f>
        <v>0.107557610270262</v>
      </c>
    </row>
    <row r="9" customFormat="false" ht="17.15" hidden="false" customHeight="false" outlineLevel="0" collapsed="false">
      <c r="A9" s="5" t="s">
        <v>771</v>
      </c>
      <c r="B9" s="5" t="s">
        <v>772</v>
      </c>
      <c r="C9" s="14" t="n">
        <f aca="false">E202</f>
        <v>681.820401785714</v>
      </c>
      <c r="D9" s="14" t="n">
        <f aca="false">E191</f>
        <v>366.277901785714</v>
      </c>
      <c r="E9" s="15" t="n">
        <f aca="false">E198</f>
        <v>0.310227159509814</v>
      </c>
      <c r="F9" s="14" t="n">
        <f aca="false">E211</f>
        <v>204.507585463194</v>
      </c>
      <c r="G9" s="15" t="n">
        <f aca="false">F9/F$4-1</f>
        <v>-0.0537869267408336</v>
      </c>
      <c r="H9" s="14" t="n">
        <f aca="false">F202</f>
        <v>702.975694642857</v>
      </c>
      <c r="I9" s="14" t="n">
        <f aca="false">F191</f>
        <v>377.730669642857</v>
      </c>
      <c r="J9" s="15" t="n">
        <f aca="false">F198</f>
        <v>0.285481083842229</v>
      </c>
      <c r="K9" s="14" t="n">
        <f aca="false">F211</f>
        <v>196.363771837101</v>
      </c>
      <c r="L9" s="15" t="n">
        <f aca="false">K9/K$4-1</f>
        <v>-0.103324518455546</v>
      </c>
    </row>
    <row r="10" customFormat="false" ht="17.15" hidden="false" customHeight="false" outlineLevel="0" collapsed="false">
      <c r="A10" s="5" t="s">
        <v>773</v>
      </c>
      <c r="B10" s="5" t="s">
        <v>774</v>
      </c>
      <c r="C10" s="14" t="n">
        <f aca="false">E237</f>
        <v>721.777991071429</v>
      </c>
      <c r="D10" s="14" t="n">
        <f aca="false">E226</f>
        <v>406.235491071429</v>
      </c>
      <c r="E10" s="15" t="n">
        <f aca="false">E233</f>
        <v>0.314654838173661</v>
      </c>
      <c r="F10" s="14" t="n">
        <f aca="false">E246</f>
        <v>221.945255943743</v>
      </c>
      <c r="G10" s="15" t="n">
        <f aca="false">F10/F$4-1</f>
        <v>0.0268934633704168</v>
      </c>
      <c r="H10" s="14" t="n">
        <f aca="false">F237</f>
        <v>789.884966071429</v>
      </c>
      <c r="I10" s="14" t="n">
        <f aca="false">F226</f>
        <v>464.639941071429</v>
      </c>
      <c r="J10" s="15" t="n">
        <f aca="false">F233</f>
        <v>0.29288358628977</v>
      </c>
      <c r="K10" s="14" t="n">
        <f aca="false">F246</f>
        <v>230.89991673882</v>
      </c>
      <c r="L10" s="15" t="n">
        <f aca="false">K10/K$4-1</f>
        <v>0.0543813255029191</v>
      </c>
    </row>
    <row r="11" customFormat="false" ht="17.15" hidden="false" customHeight="false" outlineLevel="0" collapsed="false">
      <c r="A11" s="5" t="s">
        <v>775</v>
      </c>
      <c r="B11" s="0" t="s">
        <v>776</v>
      </c>
      <c r="C11" s="14" t="n">
        <f aca="false">E272</f>
        <v>690.05421875</v>
      </c>
      <c r="D11" s="14" t="n">
        <f aca="false">E261</f>
        <v>374.51171875</v>
      </c>
      <c r="E11" s="15" t="n">
        <f aca="false">E268</f>
        <v>0.311196040308541</v>
      </c>
      <c r="F11" s="14" t="n">
        <f aca="false">E281</f>
        <v>208.100859972167</v>
      </c>
      <c r="G11" s="15" t="n">
        <f aca="false">F11/F$4-1</f>
        <v>-0.037161610332651</v>
      </c>
      <c r="H11" s="14" t="n">
        <f aca="false">F272</f>
        <v>726.58256875</v>
      </c>
      <c r="I11" s="14" t="n">
        <f aca="false">F261</f>
        <v>401.33754375</v>
      </c>
      <c r="J11" s="15" t="n">
        <f aca="false">F268</f>
        <v>0.28772490282623</v>
      </c>
      <c r="K11" s="14" t="n">
        <f aca="false">F281</f>
        <v>205.744709123073</v>
      </c>
      <c r="L11" s="15" t="n">
        <f aca="false">K11/K$4-1</f>
        <v>-0.0604874086386953</v>
      </c>
    </row>
    <row r="12" customFormat="false" ht="17.15" hidden="false" customHeight="false" outlineLevel="0" collapsed="false">
      <c r="A12" s="5" t="s">
        <v>777</v>
      </c>
      <c r="B12" s="0" t="s">
        <v>778</v>
      </c>
      <c r="C12" s="14" t="n">
        <f aca="false">E307</f>
        <v>722.2622265625</v>
      </c>
      <c r="D12" s="14" t="n">
        <f aca="false">E296</f>
        <v>406.7197265625</v>
      </c>
      <c r="E12" s="15" t="n">
        <f aca="false">E303</f>
        <v>0.314704510931652</v>
      </c>
      <c r="F12" s="14" t="n">
        <f aca="false">E316</f>
        <v>222.156578475438</v>
      </c>
      <c r="G12" s="15" t="n">
        <f aca="false">F12/F$4-1</f>
        <v>0.0278712077494883</v>
      </c>
      <c r="H12" s="14" t="n">
        <f aca="false">F307</f>
        <v>784.9165140625</v>
      </c>
      <c r="I12" s="14" t="n">
        <f aca="false">F296</f>
        <v>459.6714890625</v>
      </c>
      <c r="J12" s="15" t="n">
        <f aca="false">F303</f>
        <v>0.292517773742164</v>
      </c>
      <c r="K12" s="14" t="n">
        <f aca="false">F316</f>
        <v>228.925545354765</v>
      </c>
      <c r="L12" s="15" t="n">
        <f aca="false">K12/K$4-1</f>
        <v>0.0453655564790216</v>
      </c>
    </row>
    <row r="13" customFormat="false" ht="17.15" hidden="false" customHeight="false" outlineLevel="0" collapsed="false">
      <c r="A13" s="0" t="s">
        <v>779</v>
      </c>
      <c r="B13" s="0" t="s">
        <v>780</v>
      </c>
      <c r="C13" s="14" t="n">
        <f aca="false">E342</f>
        <v>687.385133928572</v>
      </c>
      <c r="D13" s="14" t="n">
        <f aca="false">E331</f>
        <v>332.467633928571</v>
      </c>
      <c r="E13" s="15" t="n">
        <f aca="false">E338</f>
        <v>0.320003350479907</v>
      </c>
      <c r="F13" s="14" t="n">
        <f aca="false">E351</f>
        <v>212.409492047059</v>
      </c>
      <c r="G13" s="15" t="n">
        <f aca="false">F13/F$4-1</f>
        <v>-0.017226486714167</v>
      </c>
      <c r="H13" s="14" t="n">
        <f aca="false">F342</f>
        <v>734.387505357143</v>
      </c>
      <c r="I13" s="14" t="n">
        <f aca="false">F331</f>
        <v>367.798730357143</v>
      </c>
      <c r="J13" s="15" t="n">
        <f aca="false">F338</f>
        <v>0.302463413892698</v>
      </c>
      <c r="K13" s="14" t="n">
        <f aca="false">F351</f>
        <v>218.004287144709</v>
      </c>
      <c r="L13" s="15" t="n">
        <f aca="false">K13/K$4-1</f>
        <v>-0.00450527444338045</v>
      </c>
    </row>
    <row r="14" customFormat="false" ht="17.15" hidden="false" customHeight="false" outlineLevel="0" collapsed="false">
      <c r="A14" s="0" t="s">
        <v>781</v>
      </c>
      <c r="B14" s="5" t="s">
        <v>782</v>
      </c>
      <c r="C14" s="14" t="n">
        <f aca="false">E377</f>
        <v>729.532455357143</v>
      </c>
      <c r="D14" s="14" t="n">
        <f aca="false">E366</f>
        <v>453.364955357143</v>
      </c>
      <c r="E14" s="15" t="n">
        <f aca="false">E373</f>
        <v>0.307018294347866</v>
      </c>
      <c r="F14" s="14" t="n">
        <f aca="false">E386</f>
        <v>219.855906186727</v>
      </c>
      <c r="G14" s="15" t="n">
        <f aca="false">F14/F$4-1</f>
        <v>0.0172264867141669</v>
      </c>
      <c r="H14" s="14" t="n">
        <f aca="false">F377</f>
        <v>785.444998214286</v>
      </c>
      <c r="I14" s="14" t="n">
        <f aca="false">F366</f>
        <v>501.543723214286</v>
      </c>
      <c r="J14" s="15" t="n">
        <f aca="false">F373</f>
        <v>0.279703192736178</v>
      </c>
      <c r="K14" s="14" t="n">
        <f aca="false">F386</f>
        <v>219.977515366228</v>
      </c>
      <c r="L14" s="15" t="n">
        <f aca="false">K14/K$4-1</f>
        <v>0.00450527444338067</v>
      </c>
    </row>
    <row r="15" customFormat="false" ht="17.15" hidden="false" customHeight="false" outlineLevel="0" collapsed="false">
      <c r="A15" s="5" t="s">
        <v>783</v>
      </c>
      <c r="B15" s="5" t="s">
        <v>784</v>
      </c>
      <c r="C15" s="14" t="n">
        <f aca="false">E412</f>
        <v>708.458794642857</v>
      </c>
      <c r="D15" s="14" t="n">
        <f aca="false">E401</f>
        <v>392.916294642857</v>
      </c>
      <c r="E15" s="15" t="n">
        <f aca="false">E408</f>
        <v>0.320201752559759</v>
      </c>
      <c r="F15" s="14" t="n">
        <f aca="false">E421</f>
        <v>220.476440698366</v>
      </c>
      <c r="G15" s="15" t="n">
        <f aca="false">F15/F$4-1</f>
        <v>0.0200975678331943</v>
      </c>
      <c r="H15" s="14" t="n">
        <f aca="false">F412</f>
        <v>759.916251785714</v>
      </c>
      <c r="I15" s="14" t="n">
        <f aca="false">F401</f>
        <v>434.671226785714</v>
      </c>
      <c r="J15" s="15" t="n">
        <f aca="false">F408</f>
        <v>0.299355919354661</v>
      </c>
      <c r="K15" s="14" t="n">
        <f aca="false">F421</f>
        <v>224.978400722734</v>
      </c>
      <c r="L15" s="15" t="n">
        <f aca="false">K15/K$4-1</f>
        <v>0.0273413161594376</v>
      </c>
    </row>
    <row r="16" customFormat="false" ht="17.15" hidden="false" customHeight="false" outlineLevel="0" collapsed="false">
      <c r="A16" s="5" t="s">
        <v>785</v>
      </c>
      <c r="B16" s="5" t="s">
        <v>786</v>
      </c>
      <c r="C16" s="14" t="n">
        <f aca="false">E447</f>
        <v>708.458794642857</v>
      </c>
      <c r="D16" s="14" t="n">
        <f aca="false">E436</f>
        <v>392.916294642857</v>
      </c>
      <c r="E16" s="15" t="n">
        <f aca="false">E443</f>
        <v>0.306304294339194</v>
      </c>
      <c r="F16" s="14" t="n">
        <f aca="false">E456</f>
        <v>211.78895753542</v>
      </c>
      <c r="G16" s="15" t="n">
        <f aca="false">F16/F$4-1</f>
        <v>-0.0200975678331947</v>
      </c>
      <c r="H16" s="14" t="n">
        <f aca="false">F447</f>
        <v>759.916251785714</v>
      </c>
      <c r="I16" s="14" t="n">
        <f aca="false">F436</f>
        <v>434.671226785714</v>
      </c>
      <c r="J16" s="15" t="n">
        <f aca="false">F443</f>
        <v>0.281807812513238</v>
      </c>
      <c r="K16" s="14" t="n">
        <f aca="false">F456</f>
        <v>213.003401788203</v>
      </c>
      <c r="L16" s="15" t="n">
        <f aca="false">K16/K$4-1</f>
        <v>-0.0273413161594378</v>
      </c>
    </row>
    <row r="17" customFormat="false" ht="17.15" hidden="false" customHeight="false" outlineLevel="0" collapsed="false">
      <c r="A17" s="5" t="s">
        <v>787</v>
      </c>
      <c r="B17" s="5" t="s">
        <v>788</v>
      </c>
      <c r="C17" s="14" t="n">
        <f aca="false">E482</f>
        <v>708.458794642857</v>
      </c>
      <c r="D17" s="14" t="n">
        <f aca="false">E471</f>
        <v>392.916294642857</v>
      </c>
      <c r="E17" s="15" t="n">
        <f aca="false">E478</f>
        <v>0.313253023449477</v>
      </c>
      <c r="F17" s="14" t="n">
        <f aca="false">E491</f>
        <v>202.72658616108</v>
      </c>
      <c r="G17" s="15" t="n">
        <f aca="false">F17/F$4-1</f>
        <v>-0.0620272314674736</v>
      </c>
      <c r="H17" s="14" t="n">
        <f aca="false">F482</f>
        <v>759.916251785714</v>
      </c>
      <c r="I17" s="14" t="n">
        <f aca="false">F471</f>
        <v>434.671226785714</v>
      </c>
      <c r="J17" s="15" t="n">
        <f aca="false">F478</f>
        <v>0.29058186593395</v>
      </c>
      <c r="K17" s="14" t="n">
        <f aca="false">F491</f>
        <v>205.407501934025</v>
      </c>
      <c r="L17" s="15" t="n">
        <f aca="false">K17/K$4-1</f>
        <v>-0.0620272314674735</v>
      </c>
    </row>
    <row r="18" customFormat="false" ht="17.15" hidden="false" customHeight="false" outlineLevel="0" collapsed="false">
      <c r="A18" s="0" t="s">
        <v>789</v>
      </c>
      <c r="B18" s="0" t="s">
        <v>790</v>
      </c>
      <c r="C18" s="14" t="n">
        <f aca="false">E517</f>
        <v>708.458794642857</v>
      </c>
      <c r="D18" s="14" t="n">
        <f aca="false">E506</f>
        <v>392.916294642857</v>
      </c>
      <c r="E18" s="15" t="n">
        <f aca="false">E513</f>
        <v>0.313253023449477</v>
      </c>
      <c r="F18" s="14" t="n">
        <f aca="false">E526</f>
        <v>209.837571958149</v>
      </c>
      <c r="G18" s="15" t="n">
        <f aca="false">F18/F$4-1</f>
        <v>-0.0291262135922331</v>
      </c>
      <c r="H18" s="14" t="n">
        <f aca="false">F517</f>
        <v>759.916251785714</v>
      </c>
      <c r="I18" s="14" t="n">
        <f aca="false">F506</f>
        <v>434.671226785714</v>
      </c>
      <c r="J18" s="15" t="n">
        <f aca="false">F513</f>
        <v>0.29058186593395</v>
      </c>
      <c r="K18" s="14" t="n">
        <f aca="false">F526</f>
        <v>206.419927660919</v>
      </c>
      <c r="L18" s="15" t="n">
        <f aca="false">K18/K$4-1</f>
        <v>-0.0574040908662458</v>
      </c>
    </row>
    <row r="19" customFormat="false" ht="17.15" hidden="false" customHeight="false" outlineLevel="0" collapsed="false">
      <c r="A19" s="5" t="s">
        <v>791</v>
      </c>
      <c r="B19" s="0" t="s">
        <v>792</v>
      </c>
      <c r="C19" s="14" t="n">
        <f aca="false">PL!E117</f>
        <v>708.458794642857</v>
      </c>
      <c r="D19" s="14" t="n">
        <f aca="false">PL!E106</f>
        <v>392.916294642857</v>
      </c>
      <c r="E19" s="15" t="n">
        <f aca="false">PL!E113</f>
        <v>0.313253023449477</v>
      </c>
      <c r="F19" s="14" t="n">
        <f aca="false">PL!E126</f>
        <v>216.132699116893</v>
      </c>
      <c r="G19" s="15" t="n">
        <f aca="false">F19/F$4-1</f>
        <v>0</v>
      </c>
      <c r="H19" s="14" t="n">
        <f aca="false">PL!F117</f>
        <v>672.982006428572</v>
      </c>
      <c r="I19" s="14" t="n">
        <f aca="false">PL!F106</f>
        <v>347.736981428572</v>
      </c>
      <c r="J19" s="15" t="n">
        <f aca="false">PL!F113</f>
        <v>0.282319892527068</v>
      </c>
      <c r="K19" s="14" t="n">
        <f aca="false">PL!F126</f>
        <v>184.444832174181</v>
      </c>
      <c r="L19" s="15" t="n">
        <f aca="false">K19/K$4-1</f>
        <v>-0.157751161729717</v>
      </c>
    </row>
    <row r="20" customFormat="false" ht="17.15" hidden="false" customHeight="false" outlineLevel="0" collapsed="false">
      <c r="A20" s="5" t="s">
        <v>793</v>
      </c>
      <c r="B20" s="0" t="s">
        <v>794</v>
      </c>
      <c r="C20" s="14" t="n">
        <f aca="false">PL!E152</f>
        <v>708.458794642857</v>
      </c>
      <c r="D20" s="14" t="n">
        <f aca="false">PL!E141</f>
        <v>392.916294642857</v>
      </c>
      <c r="E20" s="15" t="n">
        <f aca="false">PL!E148</f>
        <v>0.313253023449477</v>
      </c>
      <c r="F20" s="14" t="n">
        <f aca="false">PL!E161</f>
        <v>216.132699116893</v>
      </c>
      <c r="G20" s="15" t="n">
        <f aca="false">F20/F$4-1</f>
        <v>0</v>
      </c>
      <c r="H20" s="14" t="n">
        <f aca="false">PL!F152</f>
        <v>586.047761071429</v>
      </c>
      <c r="I20" s="14" t="n">
        <f aca="false">PL!F141</f>
        <v>260.802736071429</v>
      </c>
      <c r="J20" s="15" t="n">
        <f aca="false">PL!F148</f>
        <v>0.270515438025634</v>
      </c>
      <c r="K20" s="14" t="n">
        <f aca="false">PL!F161</f>
        <v>149.898763092892</v>
      </c>
      <c r="L20" s="15" t="n">
        <f aca="false">K20/K$4-1</f>
        <v>-0.315502323459435</v>
      </c>
    </row>
    <row r="22" customFormat="false" ht="17.15" hidden="false" customHeight="false" outlineLevel="0" collapsed="false">
      <c r="A22" s="5" t="s">
        <v>795</v>
      </c>
    </row>
    <row r="40" customFormat="false" ht="17.15" hidden="false" customHeight="false" outlineLevel="0" collapsed="false">
      <c r="A40" s="3" t="s">
        <v>796</v>
      </c>
    </row>
    <row r="41" customFormat="false" ht="17.15" hidden="false" customHeight="false" outlineLevel="0" collapsed="false">
      <c r="A41" s="6" t="s">
        <v>24</v>
      </c>
      <c r="B41" s="6" t="s">
        <v>25</v>
      </c>
      <c r="C41" s="13" t="s">
        <v>392</v>
      </c>
      <c r="D41" s="13" t="s">
        <v>438</v>
      </c>
      <c r="E41" s="13" t="s">
        <v>414</v>
      </c>
      <c r="F41" s="13" t="s">
        <v>415</v>
      </c>
      <c r="G41" s="13" t="s">
        <v>416</v>
      </c>
      <c r="H41" s="6" t="s">
        <v>377</v>
      </c>
    </row>
    <row r="42" customFormat="false" ht="17.15" hidden="false" customHeight="false" outlineLevel="0" collapsed="false">
      <c r="A42" s="1" t="s">
        <v>452</v>
      </c>
    </row>
    <row r="43" customFormat="false" ht="17.15" hidden="false" customHeight="false" outlineLevel="0" collapsed="false">
      <c r="A43" s="0" t="s">
        <v>453</v>
      </c>
      <c r="B43" s="5" t="s">
        <v>35</v>
      </c>
      <c r="D43" s="16" t="n">
        <f aca="false">(u_bw_26+u_rb_26+u_ru_26+u_hp_26)*1</f>
        <v>7.6</v>
      </c>
      <c r="E43" s="16" t="n">
        <f aca="false">(u_bw_27+u_rb_27+u_ru_27+u_hp_27)*1</f>
        <v>9.7</v>
      </c>
      <c r="F43" s="16" t="n">
        <f aca="false">(u_bw_28+u_rb_28+u_ru_28+u_hp_28)*um28_A</f>
        <v>9.5</v>
      </c>
      <c r="G43" s="16" t="n">
        <f aca="false">(u_bw_28*(1+g29_bw)+u_rb_28*(1+g29_rb)+u_ru_28*(1+g29_ru)+u_hp_28*(1+g29_hp))*um29_A</f>
        <v>10.6</v>
      </c>
      <c r="H43" s="8" t="s">
        <v>454</v>
      </c>
    </row>
    <row r="44" customFormat="false" ht="17.15" hidden="false" customHeight="false" outlineLevel="0" collapsed="false">
      <c r="A44" s="5" t="s">
        <v>455</v>
      </c>
      <c r="B44" s="5" t="s">
        <v>35</v>
      </c>
      <c r="D44" s="16" t="n">
        <f aca="false">(u_amd_26+u_tpu_26+u_trn_26+u_oth_26)*1</f>
        <v>7.6</v>
      </c>
      <c r="E44" s="16" t="n">
        <f aca="false">(u_amd_27+u_tpu_27+u_trn_27+u_oth_27)*1</f>
        <v>14</v>
      </c>
      <c r="F44" s="16" t="n">
        <f aca="false">(u_amd_28+u_tpu_28+u_trn_28+u_oth_28)*um28_A</f>
        <v>17</v>
      </c>
      <c r="G44" s="16" t="n">
        <f aca="false">(u_amd_28*(1+g29_amd)+u_tpu_28*(1+g29_tpu)+u_trn_28*(1+g29_trn)+u_oth_28*(1+g29_oth))*um29_A</f>
        <v>19.55</v>
      </c>
      <c r="H44" s="8" t="s">
        <v>456</v>
      </c>
    </row>
    <row r="45" customFormat="false" ht="17.15" hidden="false" customHeight="false" outlineLevel="0" collapsed="false">
      <c r="A45" s="5" t="s">
        <v>457</v>
      </c>
      <c r="B45" s="5" t="s">
        <v>35</v>
      </c>
      <c r="D45" s="16" t="n">
        <f aca="false">D43+w_ot*D44</f>
        <v>10.64</v>
      </c>
      <c r="E45" s="16" t="n">
        <f aca="false">E43+w_ot*E44</f>
        <v>15.3</v>
      </c>
      <c r="F45" s="16" t="n">
        <f aca="false">F43+w_ot*F44</f>
        <v>16.3</v>
      </c>
      <c r="G45" s="16" t="n">
        <f aca="false">G43+w_ot*G44</f>
        <v>18.42</v>
      </c>
    </row>
    <row r="46" customFormat="false" ht="17.15" hidden="false" customHeight="false" outlineLevel="0" collapsed="false">
      <c r="A46" s="0" t="s">
        <v>458</v>
      </c>
      <c r="B46" s="0" t="s">
        <v>243</v>
      </c>
      <c r="D46" s="16" t="n">
        <f aca="false">q26_e*ai_e</f>
        <v>243.75</v>
      </c>
      <c r="H46" s="8" t="s">
        <v>459</v>
      </c>
    </row>
    <row r="47" customFormat="false" ht="17.15" hidden="false" customHeight="false" outlineLevel="0" collapsed="false">
      <c r="A47" s="5" t="s">
        <v>460</v>
      </c>
      <c r="B47" s="5" t="s">
        <v>461</v>
      </c>
      <c r="D47" s="14" t="n">
        <f aca="false">D46/D45</f>
        <v>22.9088345864662</v>
      </c>
      <c r="H47" s="8" t="s">
        <v>462</v>
      </c>
    </row>
    <row r="48" customFormat="false" ht="17.15" hidden="false" customHeight="false" outlineLevel="0" collapsed="false">
      <c r="A48" s="5" t="s">
        <v>463</v>
      </c>
      <c r="B48" s="0" t="s">
        <v>147</v>
      </c>
      <c r="D48" s="20" t="n">
        <f aca="false">1</f>
        <v>1</v>
      </c>
      <c r="E48" s="20" t="n">
        <f aca="false">D48*(1+g_asp)</f>
        <v>1.18</v>
      </c>
      <c r="F48" s="20" t="n">
        <f aca="false">E48*(1+g_asp)</f>
        <v>1.3924</v>
      </c>
      <c r="G48" s="20" t="n">
        <f aca="false">F48*(1+g_asp)</f>
        <v>1.643032</v>
      </c>
    </row>
    <row r="49" customFormat="false" ht="17.15" hidden="false" customHeight="false" outlineLevel="0" collapsed="false">
      <c r="A49" s="0" t="s">
        <v>464</v>
      </c>
      <c r="B49" s="0" t="s">
        <v>147</v>
      </c>
      <c r="D49" s="21" t="n">
        <f aca="false">1</f>
        <v>1</v>
      </c>
      <c r="E49" s="21" t="n">
        <f aca="false">rel_27</f>
        <v>0.95</v>
      </c>
      <c r="F49" s="21" t="n">
        <f aca="false">rel_28</f>
        <v>0.88</v>
      </c>
      <c r="G49" s="21" t="n">
        <f aca="false">rel_29</f>
        <v>0.85</v>
      </c>
    </row>
    <row r="50" customFormat="false" ht="17.15" hidden="false" customHeight="false" outlineLevel="0" collapsed="false">
      <c r="A50" s="5" t="s">
        <v>465</v>
      </c>
      <c r="B50" s="0" t="s">
        <v>147</v>
      </c>
      <c r="D50" s="21" t="n">
        <f aca="false">1</f>
        <v>1</v>
      </c>
      <c r="E50" s="21" t="n">
        <f aca="false">PPLO_27</f>
        <v>0.95</v>
      </c>
      <c r="F50" s="21" t="n">
        <f aca="false">PPLO_28</f>
        <v>0.85</v>
      </c>
      <c r="G50" s="21" t="n">
        <f aca="false">PPLO_29</f>
        <v>0.75</v>
      </c>
    </row>
    <row r="51" customFormat="false" ht="17.15" hidden="false" customHeight="false" outlineLevel="0" collapsed="false">
      <c r="A51" s="0" t="s">
        <v>427</v>
      </c>
      <c r="B51" s="0" t="s">
        <v>243</v>
      </c>
      <c r="D51" s="16" t="n">
        <f aca="false">D46</f>
        <v>243.75</v>
      </c>
      <c r="E51" s="16" t="n">
        <f aca="false">E45*$D$47*E48*E49*E50</f>
        <v>373.270479910714</v>
      </c>
      <c r="F51" s="16" t="n">
        <f aca="false">F45*$D$47*F48*F49*F50</f>
        <v>388.916360808271</v>
      </c>
      <c r="G51" s="16" t="n">
        <f aca="false">G45*$D$47*G48*G49*G50</f>
        <v>441.996502996945</v>
      </c>
    </row>
    <row r="52" customFormat="false" ht="17.15" hidden="false" customHeight="false" outlineLevel="0" collapsed="false">
      <c r="A52" s="1" t="s">
        <v>466</v>
      </c>
    </row>
    <row r="53" customFormat="false" ht="17.15" hidden="false" customHeight="false" outlineLevel="0" collapsed="false">
      <c r="A53" s="5" t="s">
        <v>467</v>
      </c>
      <c r="B53" s="0" t="s">
        <v>243</v>
      </c>
      <c r="D53" s="16" t="n">
        <f aca="false">q26_e-D51</f>
        <v>131.25</v>
      </c>
      <c r="E53" s="16" t="n">
        <f aca="false">D53*(1+g_ne)</f>
        <v>137.8125</v>
      </c>
      <c r="F53" s="16" t="n">
        <f aca="false">E53*(1+g_ne)</f>
        <v>144.703125</v>
      </c>
      <c r="G53" s="16" t="n">
        <f aca="false">F53*(1+g_ne)</f>
        <v>151.93828125</v>
      </c>
    </row>
    <row r="54" customFormat="false" ht="15" hidden="false" customHeight="false" outlineLevel="0" collapsed="false">
      <c r="A54" s="5" t="s">
        <v>468</v>
      </c>
      <c r="B54" s="0" t="s">
        <v>243</v>
      </c>
      <c r="C54" s="16" t="n">
        <f aca="false">q25_e</f>
        <v>243.316</v>
      </c>
      <c r="D54" s="16" t="n">
        <f aca="false">D51+D53</f>
        <v>375</v>
      </c>
      <c r="E54" s="16" t="n">
        <f aca="false">E51+E53</f>
        <v>511.082979910714</v>
      </c>
      <c r="F54" s="16" t="n">
        <f aca="false">F51+F53</f>
        <v>533.619485808271</v>
      </c>
      <c r="G54" s="16" t="n">
        <f aca="false">G51+G53</f>
        <v>593.934784246945</v>
      </c>
    </row>
    <row r="55" customFormat="false" ht="17.15" hidden="false" customHeight="false" outlineLevel="0" collapsed="false">
      <c r="A55" s="0" t="s">
        <v>469</v>
      </c>
      <c r="B55" s="0" t="s">
        <v>47</v>
      </c>
      <c r="D55" s="15" t="n">
        <f aca="false">(q26_eoi-m_ne*D53)/D51</f>
        <v>0.370512820512821</v>
      </c>
      <c r="H55" s="8" t="s">
        <v>470</v>
      </c>
    </row>
    <row r="56" customFormat="false" ht="17.15" hidden="false" customHeight="false" outlineLevel="0" collapsed="false">
      <c r="A56" s="0" t="s">
        <v>471</v>
      </c>
      <c r="B56" s="0" t="s">
        <v>47</v>
      </c>
      <c r="D56" s="15" t="n">
        <f aca="false">D55</f>
        <v>0.370512820512821</v>
      </c>
      <c r="E56" s="15" t="n">
        <f aca="false">1-(1-$D$55)/E50</f>
        <v>0.337381916329285</v>
      </c>
      <c r="F56" s="15" t="n">
        <f aca="false">1-(1-$D$55)/F50</f>
        <v>0.259426847662142</v>
      </c>
      <c r="G56" s="15" t="n">
        <f aca="false">1-(1-$D$55)/G50</f>
        <v>0.160683760683761</v>
      </c>
      <c r="H56" s="8" t="s">
        <v>472</v>
      </c>
    </row>
    <row r="57" customFormat="false" ht="15" hidden="false" customHeight="false" outlineLevel="0" collapsed="false">
      <c r="A57" s="5" t="s">
        <v>473</v>
      </c>
      <c r="B57" s="0" t="s">
        <v>243</v>
      </c>
      <c r="C57" s="16" t="n">
        <f aca="false">q25_eoi</f>
        <v>45.248</v>
      </c>
      <c r="D57" s="16" t="n">
        <f aca="false">D51*D56+D53*m_ne</f>
        <v>110</v>
      </c>
      <c r="E57" s="16" t="n">
        <f aca="false">E51*E56+E53*m_ne</f>
        <v>146.606584821429</v>
      </c>
      <c r="F57" s="16" t="n">
        <f aca="false">F51*F56+F53*m_ne</f>
        <v>122.600814238722</v>
      </c>
      <c r="G57" s="16" t="n">
        <f aca="false">G51*G56+G53*m_ne</f>
        <v>93.8124024981203</v>
      </c>
    </row>
    <row r="58" customFormat="false" ht="15" hidden="false" customHeight="false" outlineLevel="0" collapsed="false">
      <c r="A58" s="5" t="s">
        <v>406</v>
      </c>
      <c r="B58" s="0" t="s">
        <v>47</v>
      </c>
      <c r="C58" s="15" t="n">
        <f aca="false">C57/C54</f>
        <v>0.185963931677325</v>
      </c>
      <c r="D58" s="15" t="n">
        <f aca="false">D57/D54</f>
        <v>0.293333333333333</v>
      </c>
      <c r="E58" s="15" t="n">
        <f aca="false">E57/E54</f>
        <v>0.286854758589379</v>
      </c>
      <c r="F58" s="15" t="n">
        <f aca="false">F57/F54</f>
        <v>0.22975325582989</v>
      </c>
      <c r="G58" s="15" t="n">
        <f aca="false">G57/G54</f>
        <v>0.157950679075087</v>
      </c>
    </row>
    <row r="59" customFormat="false" ht="17.15" hidden="false" customHeight="false" outlineLevel="0" collapsed="false">
      <c r="A59" s="1" t="s">
        <v>474</v>
      </c>
    </row>
    <row r="60" customFormat="false" ht="15" hidden="false" customHeight="false" outlineLevel="0" collapsed="false">
      <c r="A60" s="5" t="s">
        <v>475</v>
      </c>
      <c r="B60" s="0" t="s">
        <v>243</v>
      </c>
      <c r="C60" s="16" t="n">
        <f aca="false">q25_cer</f>
        <v>82.554</v>
      </c>
      <c r="D60" s="16" t="n">
        <f aca="false">q26_cer</f>
        <v>84</v>
      </c>
      <c r="E60" s="16" t="n">
        <f aca="false">D60*(1+g_cer)</f>
        <v>84</v>
      </c>
      <c r="F60" s="16" t="n">
        <f aca="false">E60*(1+g_cer)</f>
        <v>84</v>
      </c>
      <c r="G60" s="16" t="n">
        <f aca="false">F60*(1+g_cer)</f>
        <v>84</v>
      </c>
    </row>
    <row r="61" customFormat="false" ht="15" hidden="false" customHeight="false" outlineLevel="0" collapsed="false">
      <c r="A61" s="5" t="s">
        <v>476</v>
      </c>
      <c r="B61" s="0" t="s">
        <v>243</v>
      </c>
      <c r="C61" s="16" t="n">
        <f aca="false">q25_oth</f>
        <v>90.33</v>
      </c>
      <c r="D61" s="16" t="n">
        <f aca="false">q26_oth</f>
        <v>91</v>
      </c>
      <c r="E61" s="16" t="n">
        <f aca="false">D61*(1+g_oth)</f>
        <v>93.73</v>
      </c>
      <c r="F61" s="16" t="n">
        <f aca="false">E61*(1+g_oth)</f>
        <v>96.5419</v>
      </c>
      <c r="G61" s="16" t="n">
        <f aca="false">F61*(1+g_oth)</f>
        <v>99.438157</v>
      </c>
    </row>
    <row r="62" customFormat="false" ht="15" hidden="false" customHeight="false" outlineLevel="0" collapsed="false">
      <c r="A62" s="5" t="s">
        <v>395</v>
      </c>
      <c r="B62" s="0" t="s">
        <v>243</v>
      </c>
      <c r="C62" s="16" t="n">
        <f aca="false">C54+C60+C61</f>
        <v>416.2</v>
      </c>
      <c r="D62" s="16" t="n">
        <f aca="false">D54+D60+D61</f>
        <v>550</v>
      </c>
      <c r="E62" s="16" t="n">
        <f aca="false">E54+E60+E61</f>
        <v>688.812979910714</v>
      </c>
      <c r="F62" s="16" t="n">
        <f aca="false">F54+F60+F61</f>
        <v>714.161385808271</v>
      </c>
      <c r="G62" s="16" t="n">
        <f aca="false">G54+G60+G61</f>
        <v>777.372941246945</v>
      </c>
    </row>
    <row r="63" customFormat="false" ht="17.15" hidden="false" customHeight="false" outlineLevel="0" collapsed="false">
      <c r="A63" s="5" t="s">
        <v>477</v>
      </c>
      <c r="B63" s="0" t="s">
        <v>243</v>
      </c>
      <c r="C63" s="20" t="n">
        <f aca="false">C54+C60+C61-q25_rev</f>
        <v>-0.0010000000000332</v>
      </c>
      <c r="D63" s="20" t="n">
        <f aca="false">D54+D60+D61-q26_rev</f>
        <v>0</v>
      </c>
    </row>
    <row r="64" customFormat="false" ht="15" hidden="false" customHeight="false" outlineLevel="0" collapsed="false">
      <c r="A64" s="5" t="s">
        <v>478</v>
      </c>
      <c r="B64" s="0" t="s">
        <v>47</v>
      </c>
      <c r="D64" s="15" t="n">
        <f aca="false">D62/C62-1</f>
        <v>0.321480057664584</v>
      </c>
      <c r="E64" s="15" t="n">
        <f aca="false">E62/D62-1</f>
        <v>0.252387236201299</v>
      </c>
      <c r="F64" s="15" t="n">
        <f aca="false">F62/E62-1</f>
        <v>0.036800128099854</v>
      </c>
      <c r="G64" s="15" t="n">
        <f aca="false">G62/F62-1</f>
        <v>0.0885115839287971</v>
      </c>
    </row>
    <row r="65" customFormat="false" ht="17.15" hidden="false" customHeight="false" outlineLevel="0" collapsed="false">
      <c r="A65" s="0" t="s">
        <v>479</v>
      </c>
      <c r="B65" s="0" t="s">
        <v>47</v>
      </c>
      <c r="D65" s="15" t="n">
        <f aca="false">D51/D62</f>
        <v>0.443181818181818</v>
      </c>
      <c r="E65" s="15" t="n">
        <f aca="false">E51/E62</f>
        <v>0.541903957673821</v>
      </c>
      <c r="F65" s="15" t="n">
        <f aca="false">F51/F62</f>
        <v>0.544577694253386</v>
      </c>
      <c r="G65" s="15" t="n">
        <f aca="false">G51/G62</f>
        <v>0.568577164890716</v>
      </c>
    </row>
    <row r="66" customFormat="false" ht="15" hidden="false" customHeight="false" outlineLevel="0" collapsed="false">
      <c r="A66" s="5" t="s">
        <v>480</v>
      </c>
      <c r="B66" s="0" t="s">
        <v>243</v>
      </c>
      <c r="C66" s="16" t="n">
        <f aca="false">q25_oi-q25_eoi</f>
        <v>16.779</v>
      </c>
      <c r="D66" s="16" t="n">
        <f aca="false">q26_oi-q26_eoi</f>
        <v>17</v>
      </c>
      <c r="E66" s="16" t="n">
        <f aca="false">E60*m_cer+E61*m_oth+q26_adj</f>
        <v>17.24695</v>
      </c>
      <c r="F66" s="16" t="n">
        <f aca="false">F60*m_cer+F61*m_oth+q26_adj</f>
        <v>17.5703185</v>
      </c>
      <c r="G66" s="16" t="n">
        <f aca="false">G60*m_cer+G61*m_oth+q26_adj</f>
        <v>17.903388055</v>
      </c>
    </row>
    <row r="67" customFormat="false" ht="15" hidden="false" customHeight="false" outlineLevel="0" collapsed="false">
      <c r="A67" s="5" t="s">
        <v>400</v>
      </c>
      <c r="B67" s="0" t="s">
        <v>243</v>
      </c>
      <c r="C67" s="16" t="n">
        <f aca="false">C57+C66</f>
        <v>62.027</v>
      </c>
      <c r="D67" s="16" t="n">
        <f aca="false">D57+D66</f>
        <v>127</v>
      </c>
      <c r="E67" s="16" t="n">
        <f aca="false">E57+E66</f>
        <v>163.853534821429</v>
      </c>
      <c r="F67" s="16" t="n">
        <f aca="false">F57+F66</f>
        <v>140.171132738722</v>
      </c>
      <c r="G67" s="16" t="n">
        <f aca="false">G57+G66</f>
        <v>111.71579055312</v>
      </c>
    </row>
    <row r="68" customFormat="false" ht="15" hidden="false" customHeight="false" outlineLevel="0" collapsed="false">
      <c r="A68" s="5" t="s">
        <v>407</v>
      </c>
      <c r="B68" s="0" t="s">
        <v>47</v>
      </c>
      <c r="C68" s="15" t="n">
        <f aca="false">C67/C62</f>
        <v>0.149031715521384</v>
      </c>
      <c r="D68" s="15" t="n">
        <f aca="false">D67/D62</f>
        <v>0.230909090909091</v>
      </c>
      <c r="E68" s="15" t="n">
        <f aca="false">E67/E62</f>
        <v>0.237878117283254</v>
      </c>
      <c r="F68" s="15" t="n">
        <f aca="false">F67/F62</f>
        <v>0.196273749217174</v>
      </c>
      <c r="G68" s="15" t="n">
        <f aca="false">G67/G62</f>
        <v>0.14370938918188</v>
      </c>
    </row>
    <row r="69" customFormat="false" ht="15" hidden="false" customHeight="false" outlineLevel="0" collapsed="false">
      <c r="A69" s="5" t="s">
        <v>402</v>
      </c>
      <c r="B69" s="0" t="s">
        <v>243</v>
      </c>
      <c r="C69" s="16" t="n">
        <f aca="false">q25_ni</f>
        <v>63.713</v>
      </c>
      <c r="D69" s="16" t="n">
        <f aca="false">q26_ni</f>
        <v>84</v>
      </c>
      <c r="E69" s="16" t="n">
        <f aca="false">E67*ni_oi</f>
        <v>108.307186516964</v>
      </c>
      <c r="F69" s="16" t="n">
        <f aca="false">F67*ni_oi</f>
        <v>92.6531187402951</v>
      </c>
      <c r="G69" s="16" t="n">
        <f aca="false">G67*ni_oi</f>
        <v>73.8441375556125</v>
      </c>
    </row>
    <row r="70" customFormat="false" ht="15" hidden="false" customHeight="false" outlineLevel="0" collapsed="false">
      <c r="A70" s="5" t="s">
        <v>481</v>
      </c>
      <c r="B70" s="5" t="s">
        <v>482</v>
      </c>
      <c r="D70" s="17" t="n">
        <f aca="false">q26_sh</f>
        <v>0.561197220737574</v>
      </c>
      <c r="E70" s="17" t="n">
        <f aca="false">D70*(1+sh_g)</f>
        <v>0.561197220737574</v>
      </c>
      <c r="F70" s="17" t="n">
        <f aca="false">E70*(1+sh_g)</f>
        <v>0.561197220737574</v>
      </c>
      <c r="G70" s="17" t="n">
        <f aca="false">F70*(1+sh_g)</f>
        <v>0.561197220737574</v>
      </c>
    </row>
    <row r="71" customFormat="false" ht="17.15" hidden="false" customHeight="false" outlineLevel="0" collapsed="false">
      <c r="A71" s="0" t="s">
        <v>483</v>
      </c>
      <c r="B71" s="0" t="s">
        <v>268</v>
      </c>
      <c r="C71" s="16" t="n">
        <f aca="false">q25_eps</f>
        <v>114.08</v>
      </c>
      <c r="D71" s="16" t="n">
        <f aca="false">D69/D70</f>
        <v>149.68</v>
      </c>
      <c r="E71" s="16" t="n">
        <f aca="false">E69/E70</f>
        <v>192.993091403086</v>
      </c>
      <c r="F71" s="16" t="n">
        <f aca="false">F69/F70</f>
        <v>165.099033488659</v>
      </c>
      <c r="G71" s="16" t="n">
        <f aca="false">G69/G70</f>
        <v>131.583220349096</v>
      </c>
    </row>
    <row r="72" customFormat="false" ht="17.15" hidden="false" customHeight="false" outlineLevel="0" collapsed="false">
      <c r="A72" s="0" t="s">
        <v>484</v>
      </c>
      <c r="B72" s="0" t="s">
        <v>47</v>
      </c>
      <c r="D72" s="15" t="n">
        <f aca="false">D71/C71-1</f>
        <v>0.312061711079944</v>
      </c>
      <c r="E72" s="15" t="n">
        <f aca="false">E71/D71-1</f>
        <v>0.289371268059098</v>
      </c>
      <c r="F72" s="15" t="n">
        <f aca="false">F71/E71-1</f>
        <v>-0.14453397119883</v>
      </c>
      <c r="G72" s="15" t="n">
        <f aca="false">G71/F71-1</f>
        <v>-0.203004296459829</v>
      </c>
    </row>
    <row r="75" customFormat="false" ht="17.15" hidden="false" customHeight="false" outlineLevel="0" collapsed="false">
      <c r="A75" s="3" t="s">
        <v>797</v>
      </c>
    </row>
    <row r="76" customFormat="false" ht="17.15" hidden="false" customHeight="false" outlineLevel="0" collapsed="false">
      <c r="A76" s="6" t="s">
        <v>24</v>
      </c>
      <c r="B76" s="6" t="s">
        <v>25</v>
      </c>
      <c r="C76" s="13" t="s">
        <v>392</v>
      </c>
      <c r="D76" s="13" t="s">
        <v>438</v>
      </c>
      <c r="E76" s="13" t="s">
        <v>414</v>
      </c>
      <c r="F76" s="13" t="s">
        <v>415</v>
      </c>
      <c r="G76" s="13" t="s">
        <v>416</v>
      </c>
      <c r="H76" s="6" t="s">
        <v>377</v>
      </c>
    </row>
    <row r="77" customFormat="false" ht="17.15" hidden="false" customHeight="false" outlineLevel="0" collapsed="false">
      <c r="A77" s="1" t="s">
        <v>452</v>
      </c>
    </row>
    <row r="78" customFormat="false" ht="17.15" hidden="false" customHeight="false" outlineLevel="0" collapsed="false">
      <c r="A78" s="0" t="s">
        <v>453</v>
      </c>
      <c r="B78" s="5" t="s">
        <v>35</v>
      </c>
      <c r="D78" s="16" t="n">
        <f aca="false">(u_bw_26+u_rb_26+u_ru_26+u_hp_26)*1</f>
        <v>7.6</v>
      </c>
      <c r="E78" s="16" t="n">
        <f aca="false">(u_bw_27+u_rb_27+u_ru_27+u_hp_27)*1</f>
        <v>9.7</v>
      </c>
      <c r="F78" s="16" t="n">
        <f aca="false">(u_bw_28+u_rb_28+u_ru_28+u_hp_28)*um28_A</f>
        <v>9.5</v>
      </c>
      <c r="G78" s="16" t="n">
        <f aca="false">(u_bw_28*(1+g29_bw)+u_rb_28*(1+g29_rb)+u_ru_28*(1+g29_ru)+u_hp_28*(1+g29_hp))*um29_A</f>
        <v>10.6</v>
      </c>
      <c r="H78" s="8" t="s">
        <v>454</v>
      </c>
    </row>
    <row r="79" customFormat="false" ht="17.15" hidden="false" customHeight="false" outlineLevel="0" collapsed="false">
      <c r="A79" s="5" t="s">
        <v>455</v>
      </c>
      <c r="B79" s="5" t="s">
        <v>35</v>
      </c>
      <c r="D79" s="16" t="n">
        <f aca="false">(u_amd_26+u_tpu_26+u_trn_26+u_oth_26)*1</f>
        <v>7.6</v>
      </c>
      <c r="E79" s="16" t="n">
        <f aca="false">(u_amd_27+u_tpu_27+u_trn_27+u_oth_27)*1</f>
        <v>14</v>
      </c>
      <c r="F79" s="16" t="n">
        <f aca="false">(u_amd_28+u_tpu_28+u_trn_28+u_oth_28)*um28_A</f>
        <v>17</v>
      </c>
      <c r="G79" s="16" t="n">
        <f aca="false">(u_amd_28*(1+g29_amd)+u_tpu_28*(1+g29_tpu)+u_trn_28*(1+g29_trn)+u_oth_28*(1+g29_oth))*um29_A</f>
        <v>19.55</v>
      </c>
      <c r="H79" s="8" t="s">
        <v>456</v>
      </c>
    </row>
    <row r="80" customFormat="false" ht="17.15" hidden="false" customHeight="false" outlineLevel="0" collapsed="false">
      <c r="A80" s="5" t="s">
        <v>457</v>
      </c>
      <c r="B80" s="5" t="s">
        <v>35</v>
      </c>
      <c r="D80" s="16" t="n">
        <f aca="false">D78+w_ot*D79</f>
        <v>10.64</v>
      </c>
      <c r="E80" s="16" t="n">
        <f aca="false">E78+w_ot*E79</f>
        <v>15.3</v>
      </c>
      <c r="F80" s="16" t="n">
        <f aca="false">F78+w_ot*F79</f>
        <v>16.3</v>
      </c>
      <c r="G80" s="16" t="n">
        <f aca="false">G78+w_ot*G79</f>
        <v>18.42</v>
      </c>
    </row>
    <row r="81" customFormat="false" ht="17.15" hidden="false" customHeight="false" outlineLevel="0" collapsed="false">
      <c r="A81" s="0" t="s">
        <v>458</v>
      </c>
      <c r="B81" s="0" t="s">
        <v>243</v>
      </c>
      <c r="D81" s="16" t="n">
        <f aca="false">q26_e*ai_e</f>
        <v>243.75</v>
      </c>
      <c r="H81" s="8" t="s">
        <v>459</v>
      </c>
    </row>
    <row r="82" customFormat="false" ht="17.15" hidden="false" customHeight="false" outlineLevel="0" collapsed="false">
      <c r="A82" s="5" t="s">
        <v>460</v>
      </c>
      <c r="B82" s="5" t="s">
        <v>461</v>
      </c>
      <c r="D82" s="14" t="n">
        <f aca="false">D81/D80</f>
        <v>22.9088345864662</v>
      </c>
      <c r="H82" s="8" t="s">
        <v>462</v>
      </c>
    </row>
    <row r="83" customFormat="false" ht="17.15" hidden="false" customHeight="false" outlineLevel="0" collapsed="false">
      <c r="A83" s="5" t="s">
        <v>463</v>
      </c>
      <c r="B83" s="0" t="s">
        <v>147</v>
      </c>
      <c r="D83" s="20" t="n">
        <f aca="false">1</f>
        <v>1</v>
      </c>
      <c r="E83" s="20" t="n">
        <f aca="false">D83*(1+g_asp)</f>
        <v>1.18</v>
      </c>
      <c r="F83" s="20" t="n">
        <f aca="false">E83*(1+g_asp)</f>
        <v>1.3924</v>
      </c>
      <c r="G83" s="20" t="n">
        <f aca="false">F83*(1+g_asp)</f>
        <v>1.643032</v>
      </c>
    </row>
    <row r="84" customFormat="false" ht="17.15" hidden="false" customHeight="false" outlineLevel="0" collapsed="false">
      <c r="A84" s="0" t="s">
        <v>464</v>
      </c>
      <c r="B84" s="0" t="s">
        <v>147</v>
      </c>
      <c r="D84" s="21" t="n">
        <f aca="false">1</f>
        <v>1</v>
      </c>
      <c r="E84" s="21" t="n">
        <f aca="false">rel_27</f>
        <v>0.95</v>
      </c>
      <c r="F84" s="21" t="n">
        <f aca="false">rel_28</f>
        <v>0.88</v>
      </c>
      <c r="G84" s="21" t="n">
        <f aca="false">rel_29</f>
        <v>0.85</v>
      </c>
    </row>
    <row r="85" customFormat="false" ht="17.15" hidden="false" customHeight="false" outlineLevel="0" collapsed="false">
      <c r="A85" s="5" t="s">
        <v>465</v>
      </c>
      <c r="B85" s="0" t="s">
        <v>147</v>
      </c>
      <c r="D85" s="21" t="n">
        <f aca="false">1</f>
        <v>1</v>
      </c>
      <c r="E85" s="21" t="n">
        <f aca="false">PPHI_27</f>
        <v>1.05</v>
      </c>
      <c r="F85" s="21" t="n">
        <f aca="false">PPHI_28</f>
        <v>1.05</v>
      </c>
      <c r="G85" s="21" t="n">
        <f aca="false">PPHI_29</f>
        <v>1</v>
      </c>
    </row>
    <row r="86" customFormat="false" ht="17.15" hidden="false" customHeight="false" outlineLevel="0" collapsed="false">
      <c r="A86" s="0" t="s">
        <v>427</v>
      </c>
      <c r="B86" s="0" t="s">
        <v>243</v>
      </c>
      <c r="D86" s="16" t="n">
        <f aca="false">D81</f>
        <v>243.75</v>
      </c>
      <c r="E86" s="16" t="n">
        <f aca="false">E80*$D$82*E83*E84*E85</f>
        <v>412.562109375</v>
      </c>
      <c r="F86" s="16" t="n">
        <f aca="false">F80*$D$82*F83*F84*F85</f>
        <v>480.426092763158</v>
      </c>
      <c r="G86" s="16" t="n">
        <f aca="false">G80*$D$82*G83*G84*G85</f>
        <v>589.328670662594</v>
      </c>
    </row>
    <row r="87" customFormat="false" ht="17.15" hidden="false" customHeight="false" outlineLevel="0" collapsed="false">
      <c r="A87" s="1" t="s">
        <v>466</v>
      </c>
    </row>
    <row r="88" customFormat="false" ht="17.15" hidden="false" customHeight="false" outlineLevel="0" collapsed="false">
      <c r="A88" s="5" t="s">
        <v>467</v>
      </c>
      <c r="B88" s="0" t="s">
        <v>243</v>
      </c>
      <c r="D88" s="16" t="n">
        <f aca="false">q26_e-D86</f>
        <v>131.25</v>
      </c>
      <c r="E88" s="16" t="n">
        <f aca="false">D88*(1+g_ne)</f>
        <v>137.8125</v>
      </c>
      <c r="F88" s="16" t="n">
        <f aca="false">E88*(1+g_ne)</f>
        <v>144.703125</v>
      </c>
      <c r="G88" s="16" t="n">
        <f aca="false">F88*(1+g_ne)</f>
        <v>151.93828125</v>
      </c>
    </row>
    <row r="89" customFormat="false" ht="15" hidden="false" customHeight="false" outlineLevel="0" collapsed="false">
      <c r="A89" s="5" t="s">
        <v>468</v>
      </c>
      <c r="B89" s="0" t="s">
        <v>243</v>
      </c>
      <c r="C89" s="16" t="n">
        <f aca="false">q25_e</f>
        <v>243.316</v>
      </c>
      <c r="D89" s="16" t="n">
        <f aca="false">D86+D88</f>
        <v>375</v>
      </c>
      <c r="E89" s="16" t="n">
        <f aca="false">E86+E88</f>
        <v>550.374609375</v>
      </c>
      <c r="F89" s="16" t="n">
        <f aca="false">F86+F88</f>
        <v>625.129217763158</v>
      </c>
      <c r="G89" s="16" t="n">
        <f aca="false">G86+G88</f>
        <v>741.266951912594</v>
      </c>
    </row>
    <row r="90" customFormat="false" ht="17.15" hidden="false" customHeight="false" outlineLevel="0" collapsed="false">
      <c r="A90" s="0" t="s">
        <v>469</v>
      </c>
      <c r="B90" s="0" t="s">
        <v>47</v>
      </c>
      <c r="D90" s="15" t="n">
        <f aca="false">(q26_eoi-m_ne*D88)/D86</f>
        <v>0.370512820512821</v>
      </c>
      <c r="H90" s="8" t="s">
        <v>470</v>
      </c>
    </row>
    <row r="91" customFormat="false" ht="17.15" hidden="false" customHeight="false" outlineLevel="0" collapsed="false">
      <c r="A91" s="0" t="s">
        <v>471</v>
      </c>
      <c r="B91" s="0" t="s">
        <v>47</v>
      </c>
      <c r="D91" s="15" t="n">
        <f aca="false">D90</f>
        <v>0.370512820512821</v>
      </c>
      <c r="E91" s="15" t="n">
        <f aca="false">1-(1-$D$90)/E85</f>
        <v>0.400488400488401</v>
      </c>
      <c r="F91" s="15" t="n">
        <f aca="false">1-(1-$D$90)/F85</f>
        <v>0.400488400488401</v>
      </c>
      <c r="G91" s="15" t="n">
        <f aca="false">1-(1-$D$90)/G85</f>
        <v>0.370512820512821</v>
      </c>
      <c r="H91" s="8" t="s">
        <v>472</v>
      </c>
    </row>
    <row r="92" customFormat="false" ht="15" hidden="false" customHeight="false" outlineLevel="0" collapsed="false">
      <c r="A92" s="5" t="s">
        <v>473</v>
      </c>
      <c r="B92" s="0" t="s">
        <v>243</v>
      </c>
      <c r="C92" s="16" t="n">
        <f aca="false">q25_eoi</f>
        <v>45.248</v>
      </c>
      <c r="D92" s="16" t="n">
        <f aca="false">D86*D91+D88*m_ne</f>
        <v>110</v>
      </c>
      <c r="E92" s="16" t="n">
        <f aca="false">E86*E91+E88*m_ne</f>
        <v>185.898214285714</v>
      </c>
      <c r="F92" s="16" t="n">
        <f aca="false">F86*F91+F88*m_ne</f>
        <v>214.110546193609</v>
      </c>
      <c r="G92" s="16" t="n">
        <f aca="false">G86*G91+G88*m_ne</f>
        <v>241.144570163769</v>
      </c>
    </row>
    <row r="93" customFormat="false" ht="15" hidden="false" customHeight="false" outlineLevel="0" collapsed="false">
      <c r="A93" s="5" t="s">
        <v>406</v>
      </c>
      <c r="B93" s="0" t="s">
        <v>47</v>
      </c>
      <c r="C93" s="15" t="n">
        <f aca="false">C92/C89</f>
        <v>0.185963931677325</v>
      </c>
      <c r="D93" s="15" t="n">
        <f aca="false">D92/D89</f>
        <v>0.293333333333333</v>
      </c>
      <c r="E93" s="15" t="n">
        <f aca="false">E92/E89</f>
        <v>0.337766697662195</v>
      </c>
      <c r="F93" s="15" t="n">
        <f aca="false">F92/F89</f>
        <v>0.342506061322395</v>
      </c>
      <c r="G93" s="15" t="n">
        <f aca="false">G92/G89</f>
        <v>0.325314071457759</v>
      </c>
    </row>
    <row r="94" customFormat="false" ht="17.15" hidden="false" customHeight="false" outlineLevel="0" collapsed="false">
      <c r="A94" s="1" t="s">
        <v>474</v>
      </c>
    </row>
    <row r="95" customFormat="false" ht="15" hidden="false" customHeight="false" outlineLevel="0" collapsed="false">
      <c r="A95" s="5" t="s">
        <v>475</v>
      </c>
      <c r="B95" s="0" t="s">
        <v>243</v>
      </c>
      <c r="C95" s="16" t="n">
        <f aca="false">q25_cer</f>
        <v>82.554</v>
      </c>
      <c r="D95" s="16" t="n">
        <f aca="false">q26_cer</f>
        <v>84</v>
      </c>
      <c r="E95" s="16" t="n">
        <f aca="false">D95*(1+g_cer)</f>
        <v>84</v>
      </c>
      <c r="F95" s="16" t="n">
        <f aca="false">E95*(1+g_cer)</f>
        <v>84</v>
      </c>
      <c r="G95" s="16" t="n">
        <f aca="false">F95*(1+g_cer)</f>
        <v>84</v>
      </c>
    </row>
    <row r="96" customFormat="false" ht="15" hidden="false" customHeight="false" outlineLevel="0" collapsed="false">
      <c r="A96" s="5" t="s">
        <v>476</v>
      </c>
      <c r="B96" s="0" t="s">
        <v>243</v>
      </c>
      <c r="C96" s="16" t="n">
        <f aca="false">q25_oth</f>
        <v>90.33</v>
      </c>
      <c r="D96" s="16" t="n">
        <f aca="false">q26_oth</f>
        <v>91</v>
      </c>
      <c r="E96" s="16" t="n">
        <f aca="false">D96*(1+g_oth)</f>
        <v>93.73</v>
      </c>
      <c r="F96" s="16" t="n">
        <f aca="false">E96*(1+g_oth)</f>
        <v>96.5419</v>
      </c>
      <c r="G96" s="16" t="n">
        <f aca="false">F96*(1+g_oth)</f>
        <v>99.438157</v>
      </c>
    </row>
    <row r="97" customFormat="false" ht="15" hidden="false" customHeight="false" outlineLevel="0" collapsed="false">
      <c r="A97" s="5" t="s">
        <v>395</v>
      </c>
      <c r="B97" s="0" t="s">
        <v>243</v>
      </c>
      <c r="C97" s="16" t="n">
        <f aca="false">C89+C95+C96</f>
        <v>416.2</v>
      </c>
      <c r="D97" s="16" t="n">
        <f aca="false">D89+D95+D96</f>
        <v>550</v>
      </c>
      <c r="E97" s="16" t="n">
        <f aca="false">E89+E95+E96</f>
        <v>728.104609375</v>
      </c>
      <c r="F97" s="16" t="n">
        <f aca="false">F89+F95+F96</f>
        <v>805.671117763158</v>
      </c>
      <c r="G97" s="16" t="n">
        <f aca="false">G89+G95+G96</f>
        <v>924.705108912594</v>
      </c>
    </row>
    <row r="98" customFormat="false" ht="17.15" hidden="false" customHeight="false" outlineLevel="0" collapsed="false">
      <c r="A98" s="5" t="s">
        <v>477</v>
      </c>
      <c r="B98" s="0" t="s">
        <v>243</v>
      </c>
      <c r="C98" s="20" t="n">
        <f aca="false">C89+C95+C96-q25_rev</f>
        <v>-0.0010000000000332</v>
      </c>
      <c r="D98" s="20" t="n">
        <f aca="false">D89+D95+D96-q26_rev</f>
        <v>0</v>
      </c>
    </row>
    <row r="99" customFormat="false" ht="15" hidden="false" customHeight="false" outlineLevel="0" collapsed="false">
      <c r="A99" s="5" t="s">
        <v>478</v>
      </c>
      <c r="B99" s="0" t="s">
        <v>47</v>
      </c>
      <c r="D99" s="15" t="n">
        <f aca="false">D97/C97-1</f>
        <v>0.321480057664584</v>
      </c>
      <c r="E99" s="15" t="n">
        <f aca="false">E97/D97-1</f>
        <v>0.3238265625</v>
      </c>
      <c r="F99" s="15" t="n">
        <f aca="false">F97/E97-1</f>
        <v>0.106532093588503</v>
      </c>
      <c r="G99" s="15" t="n">
        <f aca="false">G97/F97-1</f>
        <v>0.147745138835209</v>
      </c>
    </row>
    <row r="100" customFormat="false" ht="17.15" hidden="false" customHeight="false" outlineLevel="0" collapsed="false">
      <c r="A100" s="0" t="s">
        <v>479</v>
      </c>
      <c r="B100" s="0" t="s">
        <v>47</v>
      </c>
      <c r="D100" s="15" t="n">
        <f aca="false">D86/D97</f>
        <v>0.443181818181818</v>
      </c>
      <c r="E100" s="15" t="n">
        <f aca="false">E86/E97</f>
        <v>0.566624773504923</v>
      </c>
      <c r="F100" s="15" t="n">
        <f aca="false">F86/F97</f>
        <v>0.596305467790628</v>
      </c>
      <c r="G100" s="15" t="n">
        <f aca="false">G86/G97</f>
        <v>0.637315253243939</v>
      </c>
    </row>
    <row r="101" customFormat="false" ht="15" hidden="false" customHeight="false" outlineLevel="0" collapsed="false">
      <c r="A101" s="5" t="s">
        <v>480</v>
      </c>
      <c r="B101" s="0" t="s">
        <v>243</v>
      </c>
      <c r="C101" s="16" t="n">
        <f aca="false">q25_oi-q25_eoi</f>
        <v>16.779</v>
      </c>
      <c r="D101" s="16" t="n">
        <f aca="false">q26_oi-q26_eoi</f>
        <v>17</v>
      </c>
      <c r="E101" s="16" t="n">
        <f aca="false">E95*m_cer+E96*m_oth+q26_adj</f>
        <v>17.24695</v>
      </c>
      <c r="F101" s="16" t="n">
        <f aca="false">F95*m_cer+F96*m_oth+q26_adj</f>
        <v>17.5703185</v>
      </c>
      <c r="G101" s="16" t="n">
        <f aca="false">G95*m_cer+G96*m_oth+q26_adj</f>
        <v>17.903388055</v>
      </c>
    </row>
    <row r="102" customFormat="false" ht="15" hidden="false" customHeight="false" outlineLevel="0" collapsed="false">
      <c r="A102" s="5" t="s">
        <v>400</v>
      </c>
      <c r="B102" s="0" t="s">
        <v>243</v>
      </c>
      <c r="C102" s="16" t="n">
        <f aca="false">C92+C101</f>
        <v>62.027</v>
      </c>
      <c r="D102" s="16" t="n">
        <f aca="false">D92+D101</f>
        <v>127</v>
      </c>
      <c r="E102" s="16" t="n">
        <f aca="false">E92+E101</f>
        <v>203.145164285714</v>
      </c>
      <c r="F102" s="16" t="n">
        <f aca="false">F92+F101</f>
        <v>231.680864693609</v>
      </c>
      <c r="G102" s="16" t="n">
        <f aca="false">G92+G101</f>
        <v>259.047958218769</v>
      </c>
    </row>
    <row r="103" customFormat="false" ht="15" hidden="false" customHeight="false" outlineLevel="0" collapsed="false">
      <c r="A103" s="5" t="s">
        <v>407</v>
      </c>
      <c r="B103" s="0" t="s">
        <v>47</v>
      </c>
      <c r="C103" s="15" t="n">
        <f aca="false">C102/C97</f>
        <v>0.149031715521384</v>
      </c>
      <c r="D103" s="15" t="n">
        <f aca="false">D102/D97</f>
        <v>0.230909090909091</v>
      </c>
      <c r="E103" s="15" t="n">
        <f aca="false">E102/E97</f>
        <v>0.279005463871589</v>
      </c>
      <c r="F103" s="15" t="n">
        <f aca="false">F102/F97</f>
        <v>0.287562579302633</v>
      </c>
      <c r="G103" s="15" t="n">
        <f aca="false">G102/G97</f>
        <v>0.28014115605287</v>
      </c>
    </row>
    <row r="104" customFormat="false" ht="15" hidden="false" customHeight="false" outlineLevel="0" collapsed="false">
      <c r="A104" s="5" t="s">
        <v>402</v>
      </c>
      <c r="B104" s="0" t="s">
        <v>243</v>
      </c>
      <c r="C104" s="16" t="n">
        <f aca="false">q25_ni</f>
        <v>63.713</v>
      </c>
      <c r="D104" s="16" t="n">
        <f aca="false">q26_ni</f>
        <v>84</v>
      </c>
      <c r="E104" s="16" t="n">
        <f aca="false">E102*ni_oi</f>
        <v>134.278953592857</v>
      </c>
      <c r="F104" s="16" t="n">
        <f aca="false">F102*ni_oi</f>
        <v>153.141051562476</v>
      </c>
      <c r="G104" s="16" t="n">
        <f aca="false">G102*ni_oi</f>
        <v>171.230700382606</v>
      </c>
    </row>
    <row r="105" customFormat="false" ht="15" hidden="false" customHeight="false" outlineLevel="0" collapsed="false">
      <c r="A105" s="5" t="s">
        <v>481</v>
      </c>
      <c r="B105" s="5" t="s">
        <v>482</v>
      </c>
      <c r="D105" s="17" t="n">
        <f aca="false">q26_sh</f>
        <v>0.561197220737574</v>
      </c>
      <c r="E105" s="17" t="n">
        <f aca="false">D105*(1+sh_g)</f>
        <v>0.561197220737574</v>
      </c>
      <c r="F105" s="17" t="n">
        <f aca="false">E105*(1+sh_g)</f>
        <v>0.561197220737574</v>
      </c>
      <c r="G105" s="17" t="n">
        <f aca="false">F105*(1+sh_g)</f>
        <v>0.561197220737574</v>
      </c>
    </row>
    <row r="106" customFormat="false" ht="17.15" hidden="false" customHeight="false" outlineLevel="0" collapsed="false">
      <c r="A106" s="0" t="s">
        <v>483</v>
      </c>
      <c r="B106" s="0" t="s">
        <v>268</v>
      </c>
      <c r="C106" s="16" t="n">
        <f aca="false">q25_eps</f>
        <v>114.08</v>
      </c>
      <c r="D106" s="16" t="n">
        <f aca="false">D104/D105</f>
        <v>149.68</v>
      </c>
      <c r="E106" s="16" t="n">
        <f aca="false">E104/E105</f>
        <v>239.272306830701</v>
      </c>
      <c r="F106" s="16" t="n">
        <f aca="false">F104/F105</f>
        <v>272.882769022278</v>
      </c>
      <c r="G106" s="16" t="n">
        <f aca="false">G104/G105</f>
        <v>305.116800396053</v>
      </c>
    </row>
    <row r="107" customFormat="false" ht="17.15" hidden="false" customHeight="false" outlineLevel="0" collapsed="false">
      <c r="A107" s="0" t="s">
        <v>484</v>
      </c>
      <c r="B107" s="0" t="s">
        <v>47</v>
      </c>
      <c r="D107" s="15" t="n">
        <f aca="false">D106/C106-1</f>
        <v>0.312061711079944</v>
      </c>
      <c r="E107" s="15" t="n">
        <f aca="false">E106/D106-1</f>
        <v>0.598558971343538</v>
      </c>
      <c r="F107" s="15" t="n">
        <f aca="false">F106/E106-1</f>
        <v>0.140469503708001</v>
      </c>
      <c r="G107" s="15" t="n">
        <f aca="false">G106/F106-1</f>
        <v>0.11812409955113</v>
      </c>
    </row>
    <row r="110" customFormat="false" ht="17.15" hidden="false" customHeight="false" outlineLevel="0" collapsed="false">
      <c r="A110" s="3" t="s">
        <v>798</v>
      </c>
    </row>
    <row r="111" customFormat="false" ht="17.15" hidden="false" customHeight="false" outlineLevel="0" collapsed="false">
      <c r="A111" s="6" t="s">
        <v>24</v>
      </c>
      <c r="B111" s="6" t="s">
        <v>25</v>
      </c>
      <c r="C111" s="13" t="s">
        <v>392</v>
      </c>
      <c r="D111" s="13" t="s">
        <v>438</v>
      </c>
      <c r="E111" s="13" t="s">
        <v>414</v>
      </c>
      <c r="F111" s="13" t="s">
        <v>415</v>
      </c>
      <c r="G111" s="13" t="s">
        <v>416</v>
      </c>
      <c r="H111" s="6" t="s">
        <v>377</v>
      </c>
    </row>
    <row r="112" customFormat="false" ht="17.15" hidden="false" customHeight="false" outlineLevel="0" collapsed="false">
      <c r="A112" s="1" t="s">
        <v>452</v>
      </c>
    </row>
    <row r="113" customFormat="false" ht="17.15" hidden="false" customHeight="false" outlineLevel="0" collapsed="false">
      <c r="A113" s="0" t="s">
        <v>453</v>
      </c>
      <c r="B113" s="5" t="s">
        <v>35</v>
      </c>
      <c r="D113" s="16" t="n">
        <f aca="false">(u_bw_26+u_rb_26+u_ru_26+u_hp_26)*1</f>
        <v>7.6</v>
      </c>
      <c r="E113" s="16" t="n">
        <f aca="false">(u_bw_27+u_rb_27+u_ru_27+u_hp_27)*1</f>
        <v>9.7</v>
      </c>
      <c r="F113" s="16" t="n">
        <f aca="false">(u_bw_28+u_rb_28+u_ru_28+u_hp_28)*um28_A</f>
        <v>9.5</v>
      </c>
      <c r="G113" s="16" t="n">
        <f aca="false">(u_bw_28*(1+g29_bw)+u_rb_28*(1+g29_rb)+u_ru_28*(1+g29_ru)+u_hp_28*(1+g29_hp))*um29_A</f>
        <v>10.6</v>
      </c>
      <c r="H113" s="8" t="s">
        <v>454</v>
      </c>
    </row>
    <row r="114" customFormat="false" ht="17.15" hidden="false" customHeight="false" outlineLevel="0" collapsed="false">
      <c r="A114" s="5" t="s">
        <v>455</v>
      </c>
      <c r="B114" s="5" t="s">
        <v>35</v>
      </c>
      <c r="D114" s="16" t="n">
        <f aca="false">(u_amd_26+u_tpu_26+u_trn_26+u_oth_26)*1</f>
        <v>7.6</v>
      </c>
      <c r="E114" s="16" t="n">
        <f aca="false">(u_amd_27+u_tpu_27+u_trn_27+u_oth_27)*1</f>
        <v>14</v>
      </c>
      <c r="F114" s="16" t="n">
        <f aca="false">(u_amd_28+u_tpu_28+u_trn_28+u_oth_28)*um28_A</f>
        <v>17</v>
      </c>
      <c r="G114" s="16" t="n">
        <f aca="false">(u_amd_28*(1+g29_amd)+u_tpu_28*(1+g29_tpu)+u_trn_28*(1+g29_trn)+u_oth_28*(1+g29_oth))*um29_A</f>
        <v>19.55</v>
      </c>
      <c r="H114" s="8" t="s">
        <v>456</v>
      </c>
    </row>
    <row r="115" customFormat="false" ht="17.15" hidden="false" customHeight="false" outlineLevel="0" collapsed="false">
      <c r="A115" s="5" t="s">
        <v>457</v>
      </c>
      <c r="B115" s="5" t="s">
        <v>35</v>
      </c>
      <c r="D115" s="16" t="n">
        <f aca="false">D113+w_ot*D114</f>
        <v>10.64</v>
      </c>
      <c r="E115" s="16" t="n">
        <f aca="false">E113+w_ot*E114</f>
        <v>15.3</v>
      </c>
      <c r="F115" s="16" t="n">
        <f aca="false">F113+w_ot*F114</f>
        <v>16.3</v>
      </c>
      <c r="G115" s="16" t="n">
        <f aca="false">G113+w_ot*G114</f>
        <v>18.42</v>
      </c>
    </row>
    <row r="116" customFormat="false" ht="17.15" hidden="false" customHeight="false" outlineLevel="0" collapsed="false">
      <c r="A116" s="0" t="s">
        <v>458</v>
      </c>
      <c r="B116" s="0" t="s">
        <v>243</v>
      </c>
      <c r="D116" s="16" t="n">
        <f aca="false">q26_e*ai_e</f>
        <v>243.75</v>
      </c>
      <c r="H116" s="8" t="s">
        <v>459</v>
      </c>
    </row>
    <row r="117" customFormat="false" ht="17.15" hidden="false" customHeight="false" outlineLevel="0" collapsed="false">
      <c r="A117" s="5" t="s">
        <v>460</v>
      </c>
      <c r="B117" s="5" t="s">
        <v>461</v>
      </c>
      <c r="D117" s="14" t="n">
        <f aca="false">D116/D115</f>
        <v>22.9088345864662</v>
      </c>
      <c r="H117" s="8" t="s">
        <v>462</v>
      </c>
    </row>
    <row r="118" customFormat="false" ht="17.15" hidden="false" customHeight="false" outlineLevel="0" collapsed="false">
      <c r="A118" s="5" t="s">
        <v>463</v>
      </c>
      <c r="B118" s="0" t="s">
        <v>147</v>
      </c>
      <c r="D118" s="20" t="n">
        <f aca="false">1</f>
        <v>1</v>
      </c>
      <c r="E118" s="20" t="n">
        <f aca="false">D118*(1+g_asp)</f>
        <v>1.18</v>
      </c>
      <c r="F118" s="20" t="n">
        <f aca="false">E118*(1+g_asp)</f>
        <v>1.3924</v>
      </c>
      <c r="G118" s="20" t="n">
        <f aca="false">F118*(1+g_asp)</f>
        <v>1.643032</v>
      </c>
    </row>
    <row r="119" customFormat="false" ht="17.15" hidden="false" customHeight="false" outlineLevel="0" collapsed="false">
      <c r="A119" s="0" t="s">
        <v>464</v>
      </c>
      <c r="B119" s="0" t="s">
        <v>147</v>
      </c>
      <c r="D119" s="21" t="n">
        <f aca="false">1</f>
        <v>1</v>
      </c>
      <c r="E119" s="21" t="n">
        <f aca="false">RLO_27</f>
        <v>0.85</v>
      </c>
      <c r="F119" s="21" t="n">
        <f aca="false">RLO_28</f>
        <v>0.75</v>
      </c>
      <c r="G119" s="21" t="n">
        <f aca="false">RLO_29</f>
        <v>0.7</v>
      </c>
    </row>
    <row r="120" customFormat="false" ht="17.15" hidden="false" customHeight="false" outlineLevel="0" collapsed="false">
      <c r="A120" s="5" t="s">
        <v>465</v>
      </c>
      <c r="B120" s="0" t="s">
        <v>147</v>
      </c>
      <c r="D120" s="21" t="n">
        <f aca="false">1</f>
        <v>1</v>
      </c>
      <c r="E120" s="21" t="n">
        <f aca="false">pp_27</f>
        <v>1</v>
      </c>
      <c r="F120" s="21" t="n">
        <f aca="false">pp_28</f>
        <v>0.95</v>
      </c>
      <c r="G120" s="21" t="n">
        <f aca="false">pp_29</f>
        <v>0.9</v>
      </c>
    </row>
    <row r="121" customFormat="false" ht="17.15" hidden="false" customHeight="false" outlineLevel="0" collapsed="false">
      <c r="A121" s="0" t="s">
        <v>427</v>
      </c>
      <c r="B121" s="0" t="s">
        <v>243</v>
      </c>
      <c r="D121" s="16" t="n">
        <f aca="false">D116</f>
        <v>243.75</v>
      </c>
      <c r="E121" s="16" t="n">
        <f aca="false">E115*$D$117*E118*E119*E120</f>
        <v>351.556684680451</v>
      </c>
      <c r="F121" s="16" t="n">
        <f aca="false">F115*$D$117*F118*F119*F120</f>
        <v>370.458431919643</v>
      </c>
      <c r="G121" s="16" t="n">
        <f aca="false">G115*$D$117*G118*G119*G120</f>
        <v>436.796544138158</v>
      </c>
    </row>
    <row r="122" customFormat="false" ht="17.15" hidden="false" customHeight="false" outlineLevel="0" collapsed="false">
      <c r="A122" s="1" t="s">
        <v>466</v>
      </c>
    </row>
    <row r="123" customFormat="false" ht="17.15" hidden="false" customHeight="false" outlineLevel="0" collapsed="false">
      <c r="A123" s="5" t="s">
        <v>467</v>
      </c>
      <c r="B123" s="0" t="s">
        <v>243</v>
      </c>
      <c r="D123" s="16" t="n">
        <f aca="false">q26_e-D121</f>
        <v>131.25</v>
      </c>
      <c r="E123" s="16" t="n">
        <f aca="false">D123*(1+g_ne)</f>
        <v>137.8125</v>
      </c>
      <c r="F123" s="16" t="n">
        <f aca="false">E123*(1+g_ne)</f>
        <v>144.703125</v>
      </c>
      <c r="G123" s="16" t="n">
        <f aca="false">F123*(1+g_ne)</f>
        <v>151.93828125</v>
      </c>
    </row>
    <row r="124" customFormat="false" ht="15" hidden="false" customHeight="false" outlineLevel="0" collapsed="false">
      <c r="A124" s="5" t="s">
        <v>468</v>
      </c>
      <c r="B124" s="0" t="s">
        <v>243</v>
      </c>
      <c r="C124" s="16" t="n">
        <f aca="false">q25_e</f>
        <v>243.316</v>
      </c>
      <c r="D124" s="16" t="n">
        <f aca="false">D121+D123</f>
        <v>375</v>
      </c>
      <c r="E124" s="16" t="n">
        <f aca="false">E121+E123</f>
        <v>489.369184680451</v>
      </c>
      <c r="F124" s="16" t="n">
        <f aca="false">F121+F123</f>
        <v>515.161556919643</v>
      </c>
      <c r="G124" s="16" t="n">
        <f aca="false">G121+G123</f>
        <v>588.734825388158</v>
      </c>
    </row>
    <row r="125" customFormat="false" ht="17.15" hidden="false" customHeight="false" outlineLevel="0" collapsed="false">
      <c r="A125" s="0" t="s">
        <v>469</v>
      </c>
      <c r="B125" s="0" t="s">
        <v>47</v>
      </c>
      <c r="D125" s="15" t="n">
        <f aca="false">(q26_eoi-m_ne*D123)/D121</f>
        <v>0.370512820512821</v>
      </c>
      <c r="H125" s="8" t="s">
        <v>470</v>
      </c>
    </row>
    <row r="126" customFormat="false" ht="17.15" hidden="false" customHeight="false" outlineLevel="0" collapsed="false">
      <c r="A126" s="0" t="s">
        <v>471</v>
      </c>
      <c r="B126" s="0" t="s">
        <v>47</v>
      </c>
      <c r="D126" s="15" t="n">
        <f aca="false">D125</f>
        <v>0.370512820512821</v>
      </c>
      <c r="E126" s="15" t="n">
        <f aca="false">1-(1-$D$125)/E120</f>
        <v>0.370512820512821</v>
      </c>
      <c r="F126" s="15" t="n">
        <f aca="false">1-(1-$D$125)/F120</f>
        <v>0.337381916329285</v>
      </c>
      <c r="G126" s="15" t="n">
        <f aca="false">1-(1-$D$125)/G120</f>
        <v>0.300569800569801</v>
      </c>
      <c r="H126" s="8" t="s">
        <v>472</v>
      </c>
    </row>
    <row r="127" customFormat="false" ht="15" hidden="false" customHeight="false" outlineLevel="0" collapsed="false">
      <c r="A127" s="5" t="s">
        <v>473</v>
      </c>
      <c r="B127" s="0" t="s">
        <v>243</v>
      </c>
      <c r="C127" s="16" t="n">
        <f aca="false">q25_eoi</f>
        <v>45.248</v>
      </c>
      <c r="D127" s="16" t="n">
        <f aca="false">D121*D126+D123*m_ne</f>
        <v>110</v>
      </c>
      <c r="E127" s="16" t="n">
        <f aca="false">E121*E126+E123*m_ne</f>
        <v>150.92813381109</v>
      </c>
      <c r="F127" s="16" t="n">
        <f aca="false">F121*F126+F123*m_ne</f>
        <v>146.691444431391</v>
      </c>
      <c r="G127" s="16" t="n">
        <f aca="false">G121*G126+G123*m_ne</f>
        <v>154.078592348684</v>
      </c>
    </row>
    <row r="128" customFormat="false" ht="15" hidden="false" customHeight="false" outlineLevel="0" collapsed="false">
      <c r="A128" s="5" t="s">
        <v>406</v>
      </c>
      <c r="B128" s="0" t="s">
        <v>47</v>
      </c>
      <c r="C128" s="15" t="n">
        <f aca="false">C127/C124</f>
        <v>0.185963931677325</v>
      </c>
      <c r="D128" s="15" t="n">
        <f aca="false">D127/D124</f>
        <v>0.293333333333333</v>
      </c>
      <c r="E128" s="15" t="n">
        <f aca="false">E127/E124</f>
        <v>0.308413644618109</v>
      </c>
      <c r="F128" s="15" t="n">
        <f aca="false">F127/F124</f>
        <v>0.284748429810093</v>
      </c>
      <c r="G128" s="15" t="n">
        <f aca="false">G127/G124</f>
        <v>0.261711360878132</v>
      </c>
    </row>
    <row r="129" customFormat="false" ht="17.15" hidden="false" customHeight="false" outlineLevel="0" collapsed="false">
      <c r="A129" s="1" t="s">
        <v>474</v>
      </c>
    </row>
    <row r="130" customFormat="false" ht="15" hidden="false" customHeight="false" outlineLevel="0" collapsed="false">
      <c r="A130" s="5" t="s">
        <v>475</v>
      </c>
      <c r="B130" s="0" t="s">
        <v>243</v>
      </c>
      <c r="C130" s="16" t="n">
        <f aca="false">q25_cer</f>
        <v>82.554</v>
      </c>
      <c r="D130" s="16" t="n">
        <f aca="false">q26_cer</f>
        <v>84</v>
      </c>
      <c r="E130" s="16" t="n">
        <f aca="false">D130*(1+g_cer)</f>
        <v>84</v>
      </c>
      <c r="F130" s="16" t="n">
        <f aca="false">E130*(1+g_cer)</f>
        <v>84</v>
      </c>
      <c r="G130" s="16" t="n">
        <f aca="false">F130*(1+g_cer)</f>
        <v>84</v>
      </c>
    </row>
    <row r="131" customFormat="false" ht="15" hidden="false" customHeight="false" outlineLevel="0" collapsed="false">
      <c r="A131" s="5" t="s">
        <v>476</v>
      </c>
      <c r="B131" s="0" t="s">
        <v>243</v>
      </c>
      <c r="C131" s="16" t="n">
        <f aca="false">q25_oth</f>
        <v>90.33</v>
      </c>
      <c r="D131" s="16" t="n">
        <f aca="false">q26_oth</f>
        <v>91</v>
      </c>
      <c r="E131" s="16" t="n">
        <f aca="false">D131*(1+g_oth)</f>
        <v>93.73</v>
      </c>
      <c r="F131" s="16" t="n">
        <f aca="false">E131*(1+g_oth)</f>
        <v>96.5419</v>
      </c>
      <c r="G131" s="16" t="n">
        <f aca="false">F131*(1+g_oth)</f>
        <v>99.438157</v>
      </c>
    </row>
    <row r="132" customFormat="false" ht="15" hidden="false" customHeight="false" outlineLevel="0" collapsed="false">
      <c r="A132" s="5" t="s">
        <v>395</v>
      </c>
      <c r="B132" s="0" t="s">
        <v>243</v>
      </c>
      <c r="C132" s="16" t="n">
        <f aca="false">C124+C130+C131</f>
        <v>416.2</v>
      </c>
      <c r="D132" s="16" t="n">
        <f aca="false">D124+D130+D131</f>
        <v>550</v>
      </c>
      <c r="E132" s="16" t="n">
        <f aca="false">E124+E130+E131</f>
        <v>667.099184680451</v>
      </c>
      <c r="F132" s="16" t="n">
        <f aca="false">F124+F130+F131</f>
        <v>695.703456919643</v>
      </c>
      <c r="G132" s="16" t="n">
        <f aca="false">G124+G130+G131</f>
        <v>772.172982388158</v>
      </c>
    </row>
    <row r="133" customFormat="false" ht="17.15" hidden="false" customHeight="false" outlineLevel="0" collapsed="false">
      <c r="A133" s="5" t="s">
        <v>477</v>
      </c>
      <c r="B133" s="0" t="s">
        <v>243</v>
      </c>
      <c r="C133" s="20" t="n">
        <f aca="false">C124+C130+C131-q25_rev</f>
        <v>-0.0010000000000332</v>
      </c>
      <c r="D133" s="20" t="n">
        <f aca="false">D124+D130+D131-q26_rev</f>
        <v>0</v>
      </c>
    </row>
    <row r="134" customFormat="false" ht="15" hidden="false" customHeight="false" outlineLevel="0" collapsed="false">
      <c r="A134" s="5" t="s">
        <v>478</v>
      </c>
      <c r="B134" s="0" t="s">
        <v>47</v>
      </c>
      <c r="D134" s="15" t="n">
        <f aca="false">D132/C132-1</f>
        <v>0.321480057664584</v>
      </c>
      <c r="E134" s="15" t="n">
        <f aca="false">E132/D132-1</f>
        <v>0.212907608509911</v>
      </c>
      <c r="F134" s="15" t="n">
        <f aca="false">F132/E132-1</f>
        <v>0.0428785897151016</v>
      </c>
      <c r="G134" s="15" t="n">
        <f aca="false">G132/F132-1</f>
        <v>0.10991683986608</v>
      </c>
    </row>
    <row r="135" customFormat="false" ht="17.15" hidden="false" customHeight="false" outlineLevel="0" collapsed="false">
      <c r="A135" s="0" t="s">
        <v>479</v>
      </c>
      <c r="B135" s="0" t="s">
        <v>47</v>
      </c>
      <c r="D135" s="15" t="n">
        <f aca="false">D121/D132</f>
        <v>0.443181818181818</v>
      </c>
      <c r="E135" s="15" t="n">
        <f aca="false">E121/E132</f>
        <v>0.526993125990479</v>
      </c>
      <c r="F135" s="15" t="n">
        <f aca="false">F121/F132</f>
        <v>0.532494740733238</v>
      </c>
      <c r="G135" s="15" t="n">
        <f aca="false">G121/G132</f>
        <v>0.565671881949617</v>
      </c>
    </row>
    <row r="136" customFormat="false" ht="15" hidden="false" customHeight="false" outlineLevel="0" collapsed="false">
      <c r="A136" s="5" t="s">
        <v>480</v>
      </c>
      <c r="B136" s="0" t="s">
        <v>243</v>
      </c>
      <c r="C136" s="16" t="n">
        <f aca="false">q25_oi-q25_eoi</f>
        <v>16.779</v>
      </c>
      <c r="D136" s="16" t="n">
        <f aca="false">q26_oi-q26_eoi</f>
        <v>17</v>
      </c>
      <c r="E136" s="16" t="n">
        <f aca="false">E130*m_cer+E131*m_oth+q26_adj</f>
        <v>17.24695</v>
      </c>
      <c r="F136" s="16" t="n">
        <f aca="false">F130*m_cer+F131*m_oth+q26_adj</f>
        <v>17.5703185</v>
      </c>
      <c r="G136" s="16" t="n">
        <f aca="false">G130*m_cer+G131*m_oth+q26_adj</f>
        <v>17.903388055</v>
      </c>
    </row>
    <row r="137" customFormat="false" ht="15" hidden="false" customHeight="false" outlineLevel="0" collapsed="false">
      <c r="A137" s="5" t="s">
        <v>400</v>
      </c>
      <c r="B137" s="0" t="s">
        <v>243</v>
      </c>
      <c r="C137" s="16" t="n">
        <f aca="false">C127+C136</f>
        <v>62.027</v>
      </c>
      <c r="D137" s="16" t="n">
        <f aca="false">D127+D136</f>
        <v>127</v>
      </c>
      <c r="E137" s="16" t="n">
        <f aca="false">E127+E136</f>
        <v>168.17508381109</v>
      </c>
      <c r="F137" s="16" t="n">
        <f aca="false">F127+F136</f>
        <v>164.261762931391</v>
      </c>
      <c r="G137" s="16" t="n">
        <f aca="false">G127+G136</f>
        <v>171.981980403684</v>
      </c>
    </row>
    <row r="138" customFormat="false" ht="15" hidden="false" customHeight="false" outlineLevel="0" collapsed="false">
      <c r="A138" s="5" t="s">
        <v>407</v>
      </c>
      <c r="B138" s="0" t="s">
        <v>47</v>
      </c>
      <c r="C138" s="15" t="n">
        <f aca="false">C137/C132</f>
        <v>0.149031715521384</v>
      </c>
      <c r="D138" s="15" t="n">
        <f aca="false">D137/D132</f>
        <v>0.230909090909091</v>
      </c>
      <c r="E138" s="15" t="n">
        <f aca="false">E137/E132</f>
        <v>0.252099069633323</v>
      </c>
      <c r="F138" s="15" t="n">
        <f aca="false">F137/F132</f>
        <v>0.236108878427442</v>
      </c>
      <c r="G138" s="15" t="n">
        <f aca="false">G137/G132</f>
        <v>0.222724679995644</v>
      </c>
    </row>
    <row r="139" customFormat="false" ht="15" hidden="false" customHeight="false" outlineLevel="0" collapsed="false">
      <c r="A139" s="5" t="s">
        <v>402</v>
      </c>
      <c r="B139" s="0" t="s">
        <v>243</v>
      </c>
      <c r="C139" s="16" t="n">
        <f aca="false">q25_ni</f>
        <v>63.713</v>
      </c>
      <c r="D139" s="16" t="n">
        <f aca="false">q26_ni</f>
        <v>84</v>
      </c>
      <c r="E139" s="16" t="n">
        <f aca="false">E137*ni_oi</f>
        <v>111.163730399131</v>
      </c>
      <c r="F139" s="16" t="n">
        <f aca="false">F137*ni_oi</f>
        <v>108.577025297649</v>
      </c>
      <c r="G139" s="16" t="n">
        <f aca="false">G137*ni_oi</f>
        <v>113.680089046835</v>
      </c>
    </row>
    <row r="140" customFormat="false" ht="15" hidden="false" customHeight="false" outlineLevel="0" collapsed="false">
      <c r="A140" s="5" t="s">
        <v>481</v>
      </c>
      <c r="B140" s="5" t="s">
        <v>482</v>
      </c>
      <c r="D140" s="17" t="n">
        <f aca="false">q26_sh</f>
        <v>0.561197220737574</v>
      </c>
      <c r="E140" s="17" t="n">
        <f aca="false">D140*(1+sh_g)</f>
        <v>0.561197220737574</v>
      </c>
      <c r="F140" s="17" t="n">
        <f aca="false">E140*(1+sh_g)</f>
        <v>0.561197220737574</v>
      </c>
      <c r="G140" s="17" t="n">
        <f aca="false">F140*(1+sh_g)</f>
        <v>0.561197220737574</v>
      </c>
    </row>
    <row r="141" customFormat="false" ht="17.15" hidden="false" customHeight="false" outlineLevel="0" collapsed="false">
      <c r="A141" s="0" t="s">
        <v>483</v>
      </c>
      <c r="B141" s="0" t="s">
        <v>268</v>
      </c>
      <c r="C141" s="16" t="n">
        <f aca="false">q25_eps</f>
        <v>114.08</v>
      </c>
      <c r="D141" s="16" t="n">
        <f aca="false">D139/D140</f>
        <v>149.68</v>
      </c>
      <c r="E141" s="16" t="n">
        <f aca="false">E139/E140</f>
        <v>198.083180549308</v>
      </c>
      <c r="F141" s="16" t="n">
        <f aca="false">F139/F140</f>
        <v>193.473918411335</v>
      </c>
      <c r="G141" s="16" t="n">
        <f aca="false">G139/G140</f>
        <v>202.567092006313</v>
      </c>
    </row>
    <row r="142" customFormat="false" ht="17.15" hidden="false" customHeight="false" outlineLevel="0" collapsed="false">
      <c r="A142" s="0" t="s">
        <v>484</v>
      </c>
      <c r="B142" s="0" t="s">
        <v>47</v>
      </c>
      <c r="D142" s="15" t="n">
        <f aca="false">D141/C141-1</f>
        <v>0.312061711079944</v>
      </c>
      <c r="E142" s="15" t="n">
        <f aca="false">E141/D141-1</f>
        <v>0.323377742846793</v>
      </c>
      <c r="F142" s="15" t="n">
        <f aca="false">F141/E141-1</f>
        <v>-0.0232693261749467</v>
      </c>
      <c r="G142" s="15" t="n">
        <f aca="false">G141/F141-1</f>
        <v>0.0469994801864988</v>
      </c>
    </row>
    <row r="145" customFormat="false" ht="17.15" hidden="false" customHeight="false" outlineLevel="0" collapsed="false">
      <c r="A145" s="3" t="s">
        <v>799</v>
      </c>
    </row>
    <row r="146" customFormat="false" ht="17.15" hidden="false" customHeight="false" outlineLevel="0" collapsed="false">
      <c r="A146" s="6" t="s">
        <v>24</v>
      </c>
      <c r="B146" s="6" t="s">
        <v>25</v>
      </c>
      <c r="C146" s="13" t="s">
        <v>392</v>
      </c>
      <c r="D146" s="13" t="s">
        <v>438</v>
      </c>
      <c r="E146" s="13" t="s">
        <v>414</v>
      </c>
      <c r="F146" s="13" t="s">
        <v>415</v>
      </c>
      <c r="G146" s="13" t="s">
        <v>416</v>
      </c>
      <c r="H146" s="6" t="s">
        <v>377</v>
      </c>
    </row>
    <row r="147" customFormat="false" ht="17.15" hidden="false" customHeight="false" outlineLevel="0" collapsed="false">
      <c r="A147" s="1" t="s">
        <v>452</v>
      </c>
    </row>
    <row r="148" customFormat="false" ht="17.15" hidden="false" customHeight="false" outlineLevel="0" collapsed="false">
      <c r="A148" s="0" t="s">
        <v>453</v>
      </c>
      <c r="B148" s="5" t="s">
        <v>35</v>
      </c>
      <c r="D148" s="16" t="n">
        <f aca="false">(u_bw_26+u_rb_26+u_ru_26+u_hp_26)*1</f>
        <v>7.6</v>
      </c>
      <c r="E148" s="16" t="n">
        <f aca="false">(u_bw_27+u_rb_27+u_ru_27+u_hp_27)*1</f>
        <v>9.7</v>
      </c>
      <c r="F148" s="16" t="n">
        <f aca="false">(u_bw_28+u_rb_28+u_ru_28+u_hp_28)*um28_A</f>
        <v>9.5</v>
      </c>
      <c r="G148" s="16" t="n">
        <f aca="false">(u_bw_28*(1+g29_bw)+u_rb_28*(1+g29_rb)+u_ru_28*(1+g29_ru)+u_hp_28*(1+g29_hp))*um29_A</f>
        <v>10.6</v>
      </c>
      <c r="H148" s="8" t="s">
        <v>454</v>
      </c>
    </row>
    <row r="149" customFormat="false" ht="17.15" hidden="false" customHeight="false" outlineLevel="0" collapsed="false">
      <c r="A149" s="5" t="s">
        <v>455</v>
      </c>
      <c r="B149" s="5" t="s">
        <v>35</v>
      </c>
      <c r="D149" s="16" t="n">
        <f aca="false">(u_amd_26+u_tpu_26+u_trn_26+u_oth_26)*1</f>
        <v>7.6</v>
      </c>
      <c r="E149" s="16" t="n">
        <f aca="false">(u_amd_27+u_tpu_27+u_trn_27+u_oth_27)*1</f>
        <v>14</v>
      </c>
      <c r="F149" s="16" t="n">
        <f aca="false">(u_amd_28+u_tpu_28+u_trn_28+u_oth_28)*um28_A</f>
        <v>17</v>
      </c>
      <c r="G149" s="16" t="n">
        <f aca="false">(u_amd_28*(1+g29_amd)+u_tpu_28*(1+g29_tpu)+u_trn_28*(1+g29_trn)+u_oth_28*(1+g29_oth))*um29_A</f>
        <v>19.55</v>
      </c>
      <c r="H149" s="8" t="s">
        <v>456</v>
      </c>
    </row>
    <row r="150" customFormat="false" ht="17.15" hidden="false" customHeight="false" outlineLevel="0" collapsed="false">
      <c r="A150" s="5" t="s">
        <v>457</v>
      </c>
      <c r="B150" s="5" t="s">
        <v>35</v>
      </c>
      <c r="D150" s="16" t="n">
        <f aca="false">D148+w_ot*D149</f>
        <v>10.64</v>
      </c>
      <c r="E150" s="16" t="n">
        <f aca="false">E148+w_ot*E149</f>
        <v>15.3</v>
      </c>
      <c r="F150" s="16" t="n">
        <f aca="false">F148+w_ot*F149</f>
        <v>16.3</v>
      </c>
      <c r="G150" s="16" t="n">
        <f aca="false">G148+w_ot*G149</f>
        <v>18.42</v>
      </c>
    </row>
    <row r="151" customFormat="false" ht="17.15" hidden="false" customHeight="false" outlineLevel="0" collapsed="false">
      <c r="A151" s="0" t="s">
        <v>458</v>
      </c>
      <c r="B151" s="0" t="s">
        <v>243</v>
      </c>
      <c r="D151" s="16" t="n">
        <f aca="false">q26_e*ai_e</f>
        <v>243.75</v>
      </c>
      <c r="H151" s="8" t="s">
        <v>459</v>
      </c>
    </row>
    <row r="152" customFormat="false" ht="17.15" hidden="false" customHeight="false" outlineLevel="0" collapsed="false">
      <c r="A152" s="5" t="s">
        <v>460</v>
      </c>
      <c r="B152" s="5" t="s">
        <v>461</v>
      </c>
      <c r="D152" s="14" t="n">
        <f aca="false">D151/D150</f>
        <v>22.9088345864662</v>
      </c>
      <c r="H152" s="8" t="s">
        <v>462</v>
      </c>
    </row>
    <row r="153" customFormat="false" ht="17.15" hidden="false" customHeight="false" outlineLevel="0" collapsed="false">
      <c r="A153" s="5" t="s">
        <v>463</v>
      </c>
      <c r="B153" s="0" t="s">
        <v>147</v>
      </c>
      <c r="D153" s="20" t="n">
        <f aca="false">1</f>
        <v>1</v>
      </c>
      <c r="E153" s="20" t="n">
        <f aca="false">D153*(1+g_asp)</f>
        <v>1.18</v>
      </c>
      <c r="F153" s="20" t="n">
        <f aca="false">E153*(1+g_asp)</f>
        <v>1.3924</v>
      </c>
      <c r="G153" s="20" t="n">
        <f aca="false">F153*(1+g_asp)</f>
        <v>1.643032</v>
      </c>
    </row>
    <row r="154" customFormat="false" ht="17.15" hidden="false" customHeight="false" outlineLevel="0" collapsed="false">
      <c r="A154" s="0" t="s">
        <v>464</v>
      </c>
      <c r="B154" s="0" t="s">
        <v>147</v>
      </c>
      <c r="D154" s="21" t="n">
        <f aca="false">1</f>
        <v>1</v>
      </c>
      <c r="E154" s="21" t="n">
        <f aca="false">RHI_27</f>
        <v>1</v>
      </c>
      <c r="F154" s="21" t="n">
        <f aca="false">RHI_28</f>
        <v>1</v>
      </c>
      <c r="G154" s="21" t="n">
        <f aca="false">RHI_29</f>
        <v>1</v>
      </c>
    </row>
    <row r="155" customFormat="false" ht="17.15" hidden="false" customHeight="false" outlineLevel="0" collapsed="false">
      <c r="A155" s="5" t="s">
        <v>465</v>
      </c>
      <c r="B155" s="0" t="s">
        <v>147</v>
      </c>
      <c r="D155" s="21" t="n">
        <f aca="false">1</f>
        <v>1</v>
      </c>
      <c r="E155" s="21" t="n">
        <f aca="false">pp_27</f>
        <v>1</v>
      </c>
      <c r="F155" s="21" t="n">
        <f aca="false">pp_28</f>
        <v>0.95</v>
      </c>
      <c r="G155" s="21" t="n">
        <f aca="false">pp_29</f>
        <v>0.9</v>
      </c>
    </row>
    <row r="156" customFormat="false" ht="17.15" hidden="false" customHeight="false" outlineLevel="0" collapsed="false">
      <c r="A156" s="0" t="s">
        <v>427</v>
      </c>
      <c r="B156" s="0" t="s">
        <v>243</v>
      </c>
      <c r="D156" s="16" t="n">
        <f aca="false">D151</f>
        <v>243.75</v>
      </c>
      <c r="E156" s="16" t="n">
        <f aca="false">E150*$D$152*E153*E154*E155</f>
        <v>413.59609962406</v>
      </c>
      <c r="F156" s="16" t="n">
        <f aca="false">F150*$D$152*F153*F154*F155</f>
        <v>493.944575892857</v>
      </c>
      <c r="G156" s="16" t="n">
        <f aca="false">G150*$D$152*G153*G154*G155</f>
        <v>623.995063054511</v>
      </c>
    </row>
    <row r="157" customFormat="false" ht="17.15" hidden="false" customHeight="false" outlineLevel="0" collapsed="false">
      <c r="A157" s="1" t="s">
        <v>466</v>
      </c>
    </row>
    <row r="158" customFormat="false" ht="17.15" hidden="false" customHeight="false" outlineLevel="0" collapsed="false">
      <c r="A158" s="5" t="s">
        <v>467</v>
      </c>
      <c r="B158" s="0" t="s">
        <v>243</v>
      </c>
      <c r="D158" s="16" t="n">
        <f aca="false">q26_e-D156</f>
        <v>131.25</v>
      </c>
      <c r="E158" s="16" t="n">
        <f aca="false">D158*(1+g_ne)</f>
        <v>137.8125</v>
      </c>
      <c r="F158" s="16" t="n">
        <f aca="false">E158*(1+g_ne)</f>
        <v>144.703125</v>
      </c>
      <c r="G158" s="16" t="n">
        <f aca="false">F158*(1+g_ne)</f>
        <v>151.93828125</v>
      </c>
    </row>
    <row r="159" customFormat="false" ht="15" hidden="false" customHeight="false" outlineLevel="0" collapsed="false">
      <c r="A159" s="5" t="s">
        <v>468</v>
      </c>
      <c r="B159" s="0" t="s">
        <v>243</v>
      </c>
      <c r="C159" s="16" t="n">
        <f aca="false">q25_e</f>
        <v>243.316</v>
      </c>
      <c r="D159" s="16" t="n">
        <f aca="false">D156+D158</f>
        <v>375</v>
      </c>
      <c r="E159" s="16" t="n">
        <f aca="false">E156+E158</f>
        <v>551.40859962406</v>
      </c>
      <c r="F159" s="16" t="n">
        <f aca="false">F156+F158</f>
        <v>638.647700892857</v>
      </c>
      <c r="G159" s="16" t="n">
        <f aca="false">G156+G158</f>
        <v>775.933344304511</v>
      </c>
    </row>
    <row r="160" customFormat="false" ht="17.15" hidden="false" customHeight="false" outlineLevel="0" collapsed="false">
      <c r="A160" s="0" t="s">
        <v>469</v>
      </c>
      <c r="B160" s="0" t="s">
        <v>47</v>
      </c>
      <c r="D160" s="15" t="n">
        <f aca="false">(q26_eoi-m_ne*D158)/D156</f>
        <v>0.370512820512821</v>
      </c>
      <c r="H160" s="8" t="s">
        <v>470</v>
      </c>
    </row>
    <row r="161" customFormat="false" ht="17.15" hidden="false" customHeight="false" outlineLevel="0" collapsed="false">
      <c r="A161" s="0" t="s">
        <v>471</v>
      </c>
      <c r="B161" s="0" t="s">
        <v>47</v>
      </c>
      <c r="D161" s="15" t="n">
        <f aca="false">D160</f>
        <v>0.370512820512821</v>
      </c>
      <c r="E161" s="15" t="n">
        <f aca="false">1-(1-$D$160)/E155</f>
        <v>0.370512820512821</v>
      </c>
      <c r="F161" s="15" t="n">
        <f aca="false">1-(1-$D$160)/F155</f>
        <v>0.337381916329285</v>
      </c>
      <c r="G161" s="15" t="n">
        <f aca="false">1-(1-$D$160)/G155</f>
        <v>0.300569800569801</v>
      </c>
      <c r="H161" s="8" t="s">
        <v>472</v>
      </c>
    </row>
    <row r="162" customFormat="false" ht="15" hidden="false" customHeight="false" outlineLevel="0" collapsed="false">
      <c r="A162" s="5" t="s">
        <v>473</v>
      </c>
      <c r="B162" s="0" t="s">
        <v>243</v>
      </c>
      <c r="C162" s="16" t="n">
        <f aca="false">q25_eoi</f>
        <v>45.248</v>
      </c>
      <c r="D162" s="16" t="n">
        <f aca="false">D156*D161+D158*m_ne</f>
        <v>110</v>
      </c>
      <c r="E162" s="16" t="n">
        <f aca="false">E156*E161+E158*m_ne</f>
        <v>173.914532424812</v>
      </c>
      <c r="F162" s="16" t="n">
        <f aca="false">F156*F161+F158*m_ne</f>
        <v>188.353436325188</v>
      </c>
      <c r="G162" s="16" t="n">
        <f aca="false">G156*G161+G158*m_ne</f>
        <v>210.344813846335</v>
      </c>
    </row>
    <row r="163" customFormat="false" ht="15" hidden="false" customHeight="false" outlineLevel="0" collapsed="false">
      <c r="A163" s="5" t="s">
        <v>406</v>
      </c>
      <c r="B163" s="0" t="s">
        <v>47</v>
      </c>
      <c r="C163" s="15" t="n">
        <f aca="false">C162/C159</f>
        <v>0.185963931677325</v>
      </c>
      <c r="D163" s="15" t="n">
        <f aca="false">D162/D159</f>
        <v>0.293333333333333</v>
      </c>
      <c r="E163" s="15" t="n">
        <f aca="false">E162/E159</f>
        <v>0.315400471707158</v>
      </c>
      <c r="F163" s="15" t="n">
        <f aca="false">F162/F159</f>
        <v>0.29492541202585</v>
      </c>
      <c r="G163" s="15" t="n">
        <f aca="false">G162/G159</f>
        <v>0.271086189800068</v>
      </c>
    </row>
    <row r="164" customFormat="false" ht="17.15" hidden="false" customHeight="false" outlineLevel="0" collapsed="false">
      <c r="A164" s="1" t="s">
        <v>474</v>
      </c>
    </row>
    <row r="165" customFormat="false" ht="15" hidden="false" customHeight="false" outlineLevel="0" collapsed="false">
      <c r="A165" s="5" t="s">
        <v>475</v>
      </c>
      <c r="B165" s="0" t="s">
        <v>243</v>
      </c>
      <c r="C165" s="16" t="n">
        <f aca="false">q25_cer</f>
        <v>82.554</v>
      </c>
      <c r="D165" s="16" t="n">
        <f aca="false">q26_cer</f>
        <v>84</v>
      </c>
      <c r="E165" s="16" t="n">
        <f aca="false">D165*(1+g_cer)</f>
        <v>84</v>
      </c>
      <c r="F165" s="16" t="n">
        <f aca="false">E165*(1+g_cer)</f>
        <v>84</v>
      </c>
      <c r="G165" s="16" t="n">
        <f aca="false">F165*(1+g_cer)</f>
        <v>84</v>
      </c>
    </row>
    <row r="166" customFormat="false" ht="15" hidden="false" customHeight="false" outlineLevel="0" collapsed="false">
      <c r="A166" s="5" t="s">
        <v>476</v>
      </c>
      <c r="B166" s="0" t="s">
        <v>243</v>
      </c>
      <c r="C166" s="16" t="n">
        <f aca="false">q25_oth</f>
        <v>90.33</v>
      </c>
      <c r="D166" s="16" t="n">
        <f aca="false">q26_oth</f>
        <v>91</v>
      </c>
      <c r="E166" s="16" t="n">
        <f aca="false">D166*(1+g_oth)</f>
        <v>93.73</v>
      </c>
      <c r="F166" s="16" t="n">
        <f aca="false">E166*(1+g_oth)</f>
        <v>96.5419</v>
      </c>
      <c r="G166" s="16" t="n">
        <f aca="false">F166*(1+g_oth)</f>
        <v>99.438157</v>
      </c>
    </row>
    <row r="167" customFormat="false" ht="15" hidden="false" customHeight="false" outlineLevel="0" collapsed="false">
      <c r="A167" s="5" t="s">
        <v>395</v>
      </c>
      <c r="B167" s="0" t="s">
        <v>243</v>
      </c>
      <c r="C167" s="16" t="n">
        <f aca="false">C159+C165+C166</f>
        <v>416.2</v>
      </c>
      <c r="D167" s="16" t="n">
        <f aca="false">D159+D165+D166</f>
        <v>550</v>
      </c>
      <c r="E167" s="16" t="n">
        <f aca="false">E159+E165+E166</f>
        <v>729.13859962406</v>
      </c>
      <c r="F167" s="16" t="n">
        <f aca="false">F159+F165+F166</f>
        <v>819.189600892857</v>
      </c>
      <c r="G167" s="16" t="n">
        <f aca="false">G159+G165+G166</f>
        <v>959.371501304511</v>
      </c>
    </row>
    <row r="168" customFormat="false" ht="17.15" hidden="false" customHeight="false" outlineLevel="0" collapsed="false">
      <c r="A168" s="5" t="s">
        <v>477</v>
      </c>
      <c r="B168" s="0" t="s">
        <v>243</v>
      </c>
      <c r="C168" s="20" t="n">
        <f aca="false">C159+C165+C166-q25_rev</f>
        <v>-0.0010000000000332</v>
      </c>
      <c r="D168" s="20" t="n">
        <f aca="false">D159+D165+D166-q26_rev</f>
        <v>0</v>
      </c>
    </row>
    <row r="169" customFormat="false" ht="15" hidden="false" customHeight="false" outlineLevel="0" collapsed="false">
      <c r="A169" s="5" t="s">
        <v>478</v>
      </c>
      <c r="B169" s="0" t="s">
        <v>47</v>
      </c>
      <c r="D169" s="15" t="n">
        <f aca="false">D167/C167-1</f>
        <v>0.321480057664584</v>
      </c>
      <c r="E169" s="15" t="n">
        <f aca="false">E167/D167-1</f>
        <v>0.325706544771018</v>
      </c>
      <c r="F169" s="15" t="n">
        <f aca="false">F167/E167-1</f>
        <v>0.123503269906746</v>
      </c>
      <c r="G169" s="15" t="n">
        <f aca="false">G167/F167-1</f>
        <v>0.171122656170032</v>
      </c>
    </row>
    <row r="170" customFormat="false" ht="17.15" hidden="false" customHeight="false" outlineLevel="0" collapsed="false">
      <c r="A170" s="0" t="s">
        <v>479</v>
      </c>
      <c r="B170" s="0" t="s">
        <v>47</v>
      </c>
      <c r="D170" s="15" t="n">
        <f aca="false">D156/D167</f>
        <v>0.443181818181818</v>
      </c>
      <c r="E170" s="15" t="n">
        <f aca="false">E156/E167</f>
        <v>0.567239342200931</v>
      </c>
      <c r="F170" s="15" t="n">
        <f aca="false">F156/F167</f>
        <v>0.602967341570857</v>
      </c>
      <c r="G170" s="15" t="n">
        <f aca="false">G156/G167</f>
        <v>0.650420678752736</v>
      </c>
    </row>
    <row r="171" customFormat="false" ht="15" hidden="false" customHeight="false" outlineLevel="0" collapsed="false">
      <c r="A171" s="5" t="s">
        <v>480</v>
      </c>
      <c r="B171" s="0" t="s">
        <v>243</v>
      </c>
      <c r="C171" s="16" t="n">
        <f aca="false">q25_oi-q25_eoi</f>
        <v>16.779</v>
      </c>
      <c r="D171" s="16" t="n">
        <f aca="false">q26_oi-q26_eoi</f>
        <v>17</v>
      </c>
      <c r="E171" s="16" t="n">
        <f aca="false">E165*m_cer+E166*m_oth+q26_adj</f>
        <v>17.24695</v>
      </c>
      <c r="F171" s="16" t="n">
        <f aca="false">F165*m_cer+F166*m_oth+q26_adj</f>
        <v>17.5703185</v>
      </c>
      <c r="G171" s="16" t="n">
        <f aca="false">G165*m_cer+G166*m_oth+q26_adj</f>
        <v>17.903388055</v>
      </c>
    </row>
    <row r="172" customFormat="false" ht="15" hidden="false" customHeight="false" outlineLevel="0" collapsed="false">
      <c r="A172" s="5" t="s">
        <v>400</v>
      </c>
      <c r="B172" s="0" t="s">
        <v>243</v>
      </c>
      <c r="C172" s="16" t="n">
        <f aca="false">C162+C171</f>
        <v>62.027</v>
      </c>
      <c r="D172" s="16" t="n">
        <f aca="false">D162+D171</f>
        <v>127</v>
      </c>
      <c r="E172" s="16" t="n">
        <f aca="false">E162+E171</f>
        <v>191.161482424812</v>
      </c>
      <c r="F172" s="16" t="n">
        <f aca="false">F162+F171</f>
        <v>205.923754825188</v>
      </c>
      <c r="G172" s="16" t="n">
        <f aca="false">G162+G171</f>
        <v>228.248201901335</v>
      </c>
    </row>
    <row r="173" customFormat="false" ht="15" hidden="false" customHeight="false" outlineLevel="0" collapsed="false">
      <c r="A173" s="5" t="s">
        <v>407</v>
      </c>
      <c r="B173" s="0" t="s">
        <v>47</v>
      </c>
      <c r="C173" s="15" t="n">
        <f aca="false">C172/C167</f>
        <v>0.149031715521384</v>
      </c>
      <c r="D173" s="15" t="n">
        <f aca="false">D172/D167</f>
        <v>0.230909090909091</v>
      </c>
      <c r="E173" s="15" t="n">
        <f aca="false">E172/E167</f>
        <v>0.262174410356788</v>
      </c>
      <c r="F173" s="15" t="n">
        <f aca="false">F172/F167</f>
        <v>0.251374962036562</v>
      </c>
      <c r="G173" s="15" t="n">
        <f aca="false">G172/G167</f>
        <v>0.237914302844073</v>
      </c>
    </row>
    <row r="174" customFormat="false" ht="15" hidden="false" customHeight="false" outlineLevel="0" collapsed="false">
      <c r="A174" s="5" t="s">
        <v>402</v>
      </c>
      <c r="B174" s="0" t="s">
        <v>243</v>
      </c>
      <c r="C174" s="16" t="n">
        <f aca="false">q25_ni</f>
        <v>63.713</v>
      </c>
      <c r="D174" s="16" t="n">
        <f aca="false">q26_ni</f>
        <v>84</v>
      </c>
      <c r="E174" s="16" t="n">
        <f aca="false">E172*ni_oi</f>
        <v>126.357739882801</v>
      </c>
      <c r="F174" s="16" t="n">
        <f aca="false">F172*ni_oi</f>
        <v>136.115601939449</v>
      </c>
      <c r="G174" s="16" t="n">
        <f aca="false">G172*ni_oi</f>
        <v>150.872061456782</v>
      </c>
    </row>
    <row r="175" customFormat="false" ht="15" hidden="false" customHeight="false" outlineLevel="0" collapsed="false">
      <c r="A175" s="5" t="s">
        <v>481</v>
      </c>
      <c r="B175" s="5" t="s">
        <v>482</v>
      </c>
      <c r="D175" s="17" t="n">
        <f aca="false">q26_sh</f>
        <v>0.561197220737574</v>
      </c>
      <c r="E175" s="17" t="n">
        <f aca="false">D175*(1+sh_g)</f>
        <v>0.561197220737574</v>
      </c>
      <c r="F175" s="17" t="n">
        <f aca="false">E175*(1+sh_g)</f>
        <v>0.561197220737574</v>
      </c>
      <c r="G175" s="17" t="n">
        <f aca="false">F175*(1+sh_g)</f>
        <v>0.561197220737574</v>
      </c>
    </row>
    <row r="176" customFormat="false" ht="17.15" hidden="false" customHeight="false" outlineLevel="0" collapsed="false">
      <c r="A176" s="0" t="s">
        <v>483</v>
      </c>
      <c r="B176" s="0" t="s">
        <v>268</v>
      </c>
      <c r="C176" s="16" t="n">
        <f aca="false">q25_eps</f>
        <v>114.08</v>
      </c>
      <c r="D176" s="16" t="n">
        <f aca="false">D174/D175</f>
        <v>149.68</v>
      </c>
      <c r="E176" s="16" t="n">
        <f aca="false">E174/E175</f>
        <v>225.157458400686</v>
      </c>
      <c r="F176" s="16" t="n">
        <f aca="false">F174/F175</f>
        <v>242.545039265438</v>
      </c>
      <c r="G176" s="16" t="n">
        <f aca="false">G174/G175</f>
        <v>268.839644748228</v>
      </c>
    </row>
    <row r="177" customFormat="false" ht="17.15" hidden="false" customHeight="false" outlineLevel="0" collapsed="false">
      <c r="A177" s="0" t="s">
        <v>484</v>
      </c>
      <c r="B177" s="0" t="s">
        <v>47</v>
      </c>
      <c r="D177" s="15" t="n">
        <f aca="false">D176/C176-1</f>
        <v>0.312061711079944</v>
      </c>
      <c r="E177" s="15" t="n">
        <f aca="false">E176/D176-1</f>
        <v>0.50425880812858</v>
      </c>
      <c r="F177" s="15" t="n">
        <f aca="false">F176/E176-1</f>
        <v>0.077224094588104</v>
      </c>
      <c r="G177" s="15" t="n">
        <f aca="false">G176/F176-1</f>
        <v>0.108411227714347</v>
      </c>
    </row>
    <row r="180" customFormat="false" ht="17.15" hidden="false" customHeight="false" outlineLevel="0" collapsed="false">
      <c r="A180" s="3" t="s">
        <v>800</v>
      </c>
    </row>
    <row r="181" customFormat="false" ht="17.15" hidden="false" customHeight="false" outlineLevel="0" collapsed="false">
      <c r="A181" s="6" t="s">
        <v>24</v>
      </c>
      <c r="B181" s="6" t="s">
        <v>25</v>
      </c>
      <c r="C181" s="13" t="s">
        <v>392</v>
      </c>
      <c r="D181" s="13" t="s">
        <v>438</v>
      </c>
      <c r="E181" s="13" t="s">
        <v>414</v>
      </c>
      <c r="F181" s="13" t="s">
        <v>415</v>
      </c>
      <c r="G181" s="13" t="s">
        <v>416</v>
      </c>
      <c r="H181" s="6" t="s">
        <v>377</v>
      </c>
    </row>
    <row r="182" customFormat="false" ht="17.15" hidden="false" customHeight="false" outlineLevel="0" collapsed="false">
      <c r="A182" s="1" t="s">
        <v>452</v>
      </c>
    </row>
    <row r="183" customFormat="false" ht="17.15" hidden="false" customHeight="false" outlineLevel="0" collapsed="false">
      <c r="A183" s="0" t="s">
        <v>453</v>
      </c>
      <c r="B183" s="5" t="s">
        <v>35</v>
      </c>
      <c r="D183" s="16" t="n">
        <f aca="false">(u_bw_26+u_rb_26+u_ru_26+u_hp_26)*1</f>
        <v>7.6</v>
      </c>
      <c r="E183" s="16" t="n">
        <f aca="false">(u_bw_27+u_rb_27+u_ru_27+u_hp_27)*1</f>
        <v>9.7</v>
      </c>
      <c r="F183" s="16" t="n">
        <f aca="false">(u_bw_28+u_rb_28+u_ru_28+u_hp_28)*um28_A</f>
        <v>9.5</v>
      </c>
      <c r="G183" s="16" t="n">
        <f aca="false">(u_bw_28*(1+g29_bw)+u_rb_28*(1+g29_rb)+u_ru_28*(1+g29_ru)+u_hp_28*(1+g29_hp))*um29_A</f>
        <v>10.6</v>
      </c>
      <c r="H183" s="8" t="s">
        <v>454</v>
      </c>
    </row>
    <row r="184" customFormat="false" ht="17.15" hidden="false" customHeight="false" outlineLevel="0" collapsed="false">
      <c r="A184" s="5" t="s">
        <v>455</v>
      </c>
      <c r="B184" s="5" t="s">
        <v>35</v>
      </c>
      <c r="D184" s="16" t="n">
        <f aca="false">(u_amd_26+u_tpu_26+u_trn_26+u_oth_26)*1</f>
        <v>7.6</v>
      </c>
      <c r="E184" s="16" t="n">
        <f aca="false">(u_amd_27+u_tpu_27+u_trn_27+u_oth_27)*1</f>
        <v>14</v>
      </c>
      <c r="F184" s="16" t="n">
        <f aca="false">(u_amd_28+u_tpu_28+u_trn_28+u_oth_28)*um28_A</f>
        <v>17</v>
      </c>
      <c r="G184" s="16" t="n">
        <f aca="false">(u_amd_28*(1+g29_amd)+u_tpu_28*(1+g29_tpu)+u_trn_28*(1+g29_trn)+u_oth_28*(1+g29_oth))*um29_A</f>
        <v>19.55</v>
      </c>
      <c r="H184" s="8" t="s">
        <v>456</v>
      </c>
    </row>
    <row r="185" customFormat="false" ht="17.15" hidden="false" customHeight="false" outlineLevel="0" collapsed="false">
      <c r="A185" s="5" t="s">
        <v>457</v>
      </c>
      <c r="B185" s="5" t="s">
        <v>35</v>
      </c>
      <c r="D185" s="16" t="n">
        <f aca="false">D183+w_ot*D184</f>
        <v>10.64</v>
      </c>
      <c r="E185" s="16" t="n">
        <f aca="false">E183+w_ot*E184</f>
        <v>15.3</v>
      </c>
      <c r="F185" s="16" t="n">
        <f aca="false">F183+w_ot*F184</f>
        <v>16.3</v>
      </c>
      <c r="G185" s="16" t="n">
        <f aca="false">G183+w_ot*G184</f>
        <v>18.42</v>
      </c>
    </row>
    <row r="186" customFormat="false" ht="17.15" hidden="false" customHeight="false" outlineLevel="0" collapsed="false">
      <c r="A186" s="0" t="s">
        <v>458</v>
      </c>
      <c r="B186" s="0" t="s">
        <v>243</v>
      </c>
      <c r="D186" s="16" t="n">
        <f aca="false">q26_e*ai_e</f>
        <v>243.75</v>
      </c>
      <c r="H186" s="8" t="s">
        <v>459</v>
      </c>
    </row>
    <row r="187" customFormat="false" ht="17.15" hidden="false" customHeight="false" outlineLevel="0" collapsed="false">
      <c r="A187" s="5" t="s">
        <v>460</v>
      </c>
      <c r="B187" s="5" t="s">
        <v>461</v>
      </c>
      <c r="D187" s="14" t="n">
        <f aca="false">D186/D185</f>
        <v>22.9088345864662</v>
      </c>
      <c r="H187" s="8" t="s">
        <v>462</v>
      </c>
    </row>
    <row r="188" customFormat="false" ht="17.15" hidden="false" customHeight="false" outlineLevel="0" collapsed="false">
      <c r="A188" s="5" t="s">
        <v>463</v>
      </c>
      <c r="B188" s="0" t="s">
        <v>147</v>
      </c>
      <c r="D188" s="20" t="n">
        <f aca="false">1</f>
        <v>1</v>
      </c>
      <c r="E188" s="20" t="n">
        <f aca="false">D188*(1+g_asp_lo)</f>
        <v>1.1</v>
      </c>
      <c r="F188" s="20" t="n">
        <f aca="false">E188*(1+g_asp_lo)</f>
        <v>1.21</v>
      </c>
      <c r="G188" s="20" t="n">
        <f aca="false">F188*(1+g_asp_lo)</f>
        <v>1.331</v>
      </c>
    </row>
    <row r="189" customFormat="false" ht="17.15" hidden="false" customHeight="false" outlineLevel="0" collapsed="false">
      <c r="A189" s="0" t="s">
        <v>464</v>
      </c>
      <c r="B189" s="0" t="s">
        <v>147</v>
      </c>
      <c r="D189" s="21" t="n">
        <f aca="false">1</f>
        <v>1</v>
      </c>
      <c r="E189" s="21" t="n">
        <f aca="false">rel_27</f>
        <v>0.95</v>
      </c>
      <c r="F189" s="21" t="n">
        <f aca="false">rel_28</f>
        <v>0.88</v>
      </c>
      <c r="G189" s="21" t="n">
        <f aca="false">rel_29</f>
        <v>0.85</v>
      </c>
    </row>
    <row r="190" customFormat="false" ht="17.15" hidden="false" customHeight="false" outlineLevel="0" collapsed="false">
      <c r="A190" s="5" t="s">
        <v>465</v>
      </c>
      <c r="B190" s="0" t="s">
        <v>147</v>
      </c>
      <c r="D190" s="21" t="n">
        <f aca="false">1</f>
        <v>1</v>
      </c>
      <c r="E190" s="21" t="n">
        <f aca="false">pp_27</f>
        <v>1</v>
      </c>
      <c r="F190" s="21" t="n">
        <f aca="false">pp_28</f>
        <v>0.95</v>
      </c>
      <c r="G190" s="21" t="n">
        <f aca="false">pp_29</f>
        <v>0.9</v>
      </c>
    </row>
    <row r="191" customFormat="false" ht="17.15" hidden="false" customHeight="false" outlineLevel="0" collapsed="false">
      <c r="A191" s="0" t="s">
        <v>427</v>
      </c>
      <c r="B191" s="0" t="s">
        <v>243</v>
      </c>
      <c r="D191" s="16" t="n">
        <f aca="false">D186</f>
        <v>243.75</v>
      </c>
      <c r="E191" s="16" t="n">
        <f aca="false">E185*$D$187*E188*E189*E190</f>
        <v>366.277901785714</v>
      </c>
      <c r="F191" s="16" t="n">
        <f aca="false">F185*$D$187*F188*F189*F190</f>
        <v>377.730669642857</v>
      </c>
      <c r="G191" s="16" t="n">
        <f aca="false">G185*$D$187*G188*G189*G190</f>
        <v>429.667112135808</v>
      </c>
    </row>
    <row r="192" customFormat="false" ht="17.15" hidden="false" customHeight="false" outlineLevel="0" collapsed="false">
      <c r="A192" s="1" t="s">
        <v>466</v>
      </c>
    </row>
    <row r="193" customFormat="false" ht="17.15" hidden="false" customHeight="false" outlineLevel="0" collapsed="false">
      <c r="A193" s="5" t="s">
        <v>467</v>
      </c>
      <c r="B193" s="0" t="s">
        <v>243</v>
      </c>
      <c r="D193" s="16" t="n">
        <f aca="false">q26_e-D191</f>
        <v>131.25</v>
      </c>
      <c r="E193" s="16" t="n">
        <f aca="false">D193*(1+g_ne)</f>
        <v>137.8125</v>
      </c>
      <c r="F193" s="16" t="n">
        <f aca="false">E193*(1+g_ne)</f>
        <v>144.703125</v>
      </c>
      <c r="G193" s="16" t="n">
        <f aca="false">F193*(1+g_ne)</f>
        <v>151.93828125</v>
      </c>
    </row>
    <row r="194" customFormat="false" ht="15" hidden="false" customHeight="false" outlineLevel="0" collapsed="false">
      <c r="A194" s="5" t="s">
        <v>468</v>
      </c>
      <c r="B194" s="0" t="s">
        <v>243</v>
      </c>
      <c r="C194" s="16" t="n">
        <f aca="false">q25_e</f>
        <v>243.316</v>
      </c>
      <c r="D194" s="16" t="n">
        <f aca="false">D191+D193</f>
        <v>375</v>
      </c>
      <c r="E194" s="16" t="n">
        <f aca="false">E191+E193</f>
        <v>504.090401785714</v>
      </c>
      <c r="F194" s="16" t="n">
        <f aca="false">F191+F193</f>
        <v>522.433794642857</v>
      </c>
      <c r="G194" s="16" t="n">
        <f aca="false">G191+G193</f>
        <v>581.605393385808</v>
      </c>
    </row>
    <row r="195" customFormat="false" ht="17.15" hidden="false" customHeight="false" outlineLevel="0" collapsed="false">
      <c r="A195" s="0" t="s">
        <v>469</v>
      </c>
      <c r="B195" s="0" t="s">
        <v>47</v>
      </c>
      <c r="D195" s="15" t="n">
        <f aca="false">(q26_eoi-m_ne*D193)/D191</f>
        <v>0.370512820512821</v>
      </c>
      <c r="H195" s="8" t="s">
        <v>470</v>
      </c>
    </row>
    <row r="196" customFormat="false" ht="17.15" hidden="false" customHeight="false" outlineLevel="0" collapsed="false">
      <c r="A196" s="0" t="s">
        <v>471</v>
      </c>
      <c r="B196" s="0" t="s">
        <v>47</v>
      </c>
      <c r="D196" s="15" t="n">
        <f aca="false">D195</f>
        <v>0.370512820512821</v>
      </c>
      <c r="E196" s="15" t="n">
        <f aca="false">1-(1-$D$195)/E190</f>
        <v>0.370512820512821</v>
      </c>
      <c r="F196" s="15" t="n">
        <f aca="false">1-(1-$D$195)/F190</f>
        <v>0.337381916329285</v>
      </c>
      <c r="G196" s="15" t="n">
        <f aca="false">1-(1-$D$195)/G190</f>
        <v>0.300569800569801</v>
      </c>
      <c r="H196" s="8" t="s">
        <v>472</v>
      </c>
    </row>
    <row r="197" customFormat="false" ht="15" hidden="false" customHeight="false" outlineLevel="0" collapsed="false">
      <c r="A197" s="5" t="s">
        <v>473</v>
      </c>
      <c r="B197" s="0" t="s">
        <v>243</v>
      </c>
      <c r="C197" s="16" t="n">
        <f aca="false">q25_eoi</f>
        <v>45.248</v>
      </c>
      <c r="D197" s="16" t="n">
        <f aca="false">D191*D196+D193*m_ne</f>
        <v>110</v>
      </c>
      <c r="E197" s="16" t="n">
        <f aca="false">E191*E196+E193*m_ne</f>
        <v>156.382533482143</v>
      </c>
      <c r="F197" s="16" t="n">
        <f aca="false">F191*F196+F193*m_ne</f>
        <v>149.144965930451</v>
      </c>
      <c r="G197" s="16" t="n">
        <f aca="false">G191*G196+G193*m_ne</f>
        <v>151.935700393562</v>
      </c>
    </row>
    <row r="198" customFormat="false" ht="15" hidden="false" customHeight="false" outlineLevel="0" collapsed="false">
      <c r="A198" s="5" t="s">
        <v>406</v>
      </c>
      <c r="B198" s="0" t="s">
        <v>47</v>
      </c>
      <c r="C198" s="15" t="n">
        <f aca="false">C197/C194</f>
        <v>0.185963931677325</v>
      </c>
      <c r="D198" s="15" t="n">
        <f aca="false">D197/D194</f>
        <v>0.293333333333333</v>
      </c>
      <c r="E198" s="15" t="n">
        <f aca="false">E197/E194</f>
        <v>0.310227159509814</v>
      </c>
      <c r="F198" s="15" t="n">
        <f aca="false">F197/F194</f>
        <v>0.285481083842229</v>
      </c>
      <c r="G198" s="15" t="n">
        <f aca="false">G197/G194</f>
        <v>0.261235026568565</v>
      </c>
    </row>
    <row r="199" customFormat="false" ht="17.15" hidden="false" customHeight="false" outlineLevel="0" collapsed="false">
      <c r="A199" s="1" t="s">
        <v>474</v>
      </c>
    </row>
    <row r="200" customFormat="false" ht="15" hidden="false" customHeight="false" outlineLevel="0" collapsed="false">
      <c r="A200" s="5" t="s">
        <v>475</v>
      </c>
      <c r="B200" s="0" t="s">
        <v>243</v>
      </c>
      <c r="C200" s="16" t="n">
        <f aca="false">q25_cer</f>
        <v>82.554</v>
      </c>
      <c r="D200" s="16" t="n">
        <f aca="false">q26_cer</f>
        <v>84</v>
      </c>
      <c r="E200" s="16" t="n">
        <f aca="false">D200*(1+g_cer)</f>
        <v>84</v>
      </c>
      <c r="F200" s="16" t="n">
        <f aca="false">E200*(1+g_cer)</f>
        <v>84</v>
      </c>
      <c r="G200" s="16" t="n">
        <f aca="false">F200*(1+g_cer)</f>
        <v>84</v>
      </c>
    </row>
    <row r="201" customFormat="false" ht="15" hidden="false" customHeight="false" outlineLevel="0" collapsed="false">
      <c r="A201" s="5" t="s">
        <v>476</v>
      </c>
      <c r="B201" s="0" t="s">
        <v>243</v>
      </c>
      <c r="C201" s="16" t="n">
        <f aca="false">q25_oth</f>
        <v>90.33</v>
      </c>
      <c r="D201" s="16" t="n">
        <f aca="false">q26_oth</f>
        <v>91</v>
      </c>
      <c r="E201" s="16" t="n">
        <f aca="false">D201*(1+g_oth)</f>
        <v>93.73</v>
      </c>
      <c r="F201" s="16" t="n">
        <f aca="false">E201*(1+g_oth)</f>
        <v>96.5419</v>
      </c>
      <c r="G201" s="16" t="n">
        <f aca="false">F201*(1+g_oth)</f>
        <v>99.438157</v>
      </c>
    </row>
    <row r="202" customFormat="false" ht="15" hidden="false" customHeight="false" outlineLevel="0" collapsed="false">
      <c r="A202" s="5" t="s">
        <v>395</v>
      </c>
      <c r="B202" s="0" t="s">
        <v>243</v>
      </c>
      <c r="C202" s="16" t="n">
        <f aca="false">C194+C200+C201</f>
        <v>416.2</v>
      </c>
      <c r="D202" s="16" t="n">
        <f aca="false">D194+D200+D201</f>
        <v>550</v>
      </c>
      <c r="E202" s="16" t="n">
        <f aca="false">E194+E200+E201</f>
        <v>681.820401785714</v>
      </c>
      <c r="F202" s="16" t="n">
        <f aca="false">F194+F200+F201</f>
        <v>702.975694642857</v>
      </c>
      <c r="G202" s="16" t="n">
        <f aca="false">G194+G200+G201</f>
        <v>765.043550385808</v>
      </c>
    </row>
    <row r="203" customFormat="false" ht="17.15" hidden="false" customHeight="false" outlineLevel="0" collapsed="false">
      <c r="A203" s="5" t="s">
        <v>477</v>
      </c>
      <c r="B203" s="0" t="s">
        <v>243</v>
      </c>
      <c r="C203" s="20" t="n">
        <f aca="false">C194+C200+C201-q25_rev</f>
        <v>-0.0010000000000332</v>
      </c>
      <c r="D203" s="20" t="n">
        <f aca="false">D194+D200+D201-q26_rev</f>
        <v>0</v>
      </c>
    </row>
    <row r="204" customFormat="false" ht="15" hidden="false" customHeight="false" outlineLevel="0" collapsed="false">
      <c r="A204" s="5" t="s">
        <v>478</v>
      </c>
      <c r="B204" s="0" t="s">
        <v>47</v>
      </c>
      <c r="D204" s="15" t="n">
        <f aca="false">D202/C202-1</f>
        <v>0.321480057664584</v>
      </c>
      <c r="E204" s="15" t="n">
        <f aca="false">E202/D202-1</f>
        <v>0.239673457792208</v>
      </c>
      <c r="F204" s="15" t="n">
        <f aca="false">F202/E202-1</f>
        <v>0.0310276618325538</v>
      </c>
      <c r="G204" s="15" t="n">
        <f aca="false">G202/F202-1</f>
        <v>0.0882930323422979</v>
      </c>
    </row>
    <row r="205" customFormat="false" ht="17.15" hidden="false" customHeight="false" outlineLevel="0" collapsed="false">
      <c r="A205" s="0" t="s">
        <v>479</v>
      </c>
      <c r="B205" s="0" t="s">
        <v>47</v>
      </c>
      <c r="D205" s="15" t="n">
        <f aca="false">D191/D202</f>
        <v>0.443181818181818</v>
      </c>
      <c r="E205" s="15" t="n">
        <f aca="false">E191/E202</f>
        <v>0.53720584016908</v>
      </c>
      <c r="F205" s="15" t="n">
        <f aca="false">F191/F202</f>
        <v>0.537331052156449</v>
      </c>
      <c r="G205" s="15" t="n">
        <f aca="false">G191/G202</f>
        <v>0.561624383238221</v>
      </c>
    </row>
    <row r="206" customFormat="false" ht="15" hidden="false" customHeight="false" outlineLevel="0" collapsed="false">
      <c r="A206" s="5" t="s">
        <v>480</v>
      </c>
      <c r="B206" s="0" t="s">
        <v>243</v>
      </c>
      <c r="C206" s="16" t="n">
        <f aca="false">q25_oi-q25_eoi</f>
        <v>16.779</v>
      </c>
      <c r="D206" s="16" t="n">
        <f aca="false">q26_oi-q26_eoi</f>
        <v>17</v>
      </c>
      <c r="E206" s="16" t="n">
        <f aca="false">E200*m_cer+E201*m_oth+q26_adj</f>
        <v>17.24695</v>
      </c>
      <c r="F206" s="16" t="n">
        <f aca="false">F200*m_cer+F201*m_oth+q26_adj</f>
        <v>17.5703185</v>
      </c>
      <c r="G206" s="16" t="n">
        <f aca="false">G200*m_cer+G201*m_oth+q26_adj</f>
        <v>17.903388055</v>
      </c>
    </row>
    <row r="207" customFormat="false" ht="15" hidden="false" customHeight="false" outlineLevel="0" collapsed="false">
      <c r="A207" s="5" t="s">
        <v>400</v>
      </c>
      <c r="B207" s="0" t="s">
        <v>243</v>
      </c>
      <c r="C207" s="16" t="n">
        <f aca="false">C197+C206</f>
        <v>62.027</v>
      </c>
      <c r="D207" s="16" t="n">
        <f aca="false">D197+D206</f>
        <v>127</v>
      </c>
      <c r="E207" s="16" t="n">
        <f aca="false">E197+E206</f>
        <v>173.629483482143</v>
      </c>
      <c r="F207" s="16" t="n">
        <f aca="false">F197+F206</f>
        <v>166.715284430451</v>
      </c>
      <c r="G207" s="16" t="n">
        <f aca="false">G197+G206</f>
        <v>169.839088448562</v>
      </c>
    </row>
    <row r="208" customFormat="false" ht="15" hidden="false" customHeight="false" outlineLevel="0" collapsed="false">
      <c r="A208" s="5" t="s">
        <v>407</v>
      </c>
      <c r="B208" s="0" t="s">
        <v>47</v>
      </c>
      <c r="C208" s="15" t="n">
        <f aca="false">C207/C202</f>
        <v>0.149031715521384</v>
      </c>
      <c r="D208" s="15" t="n">
        <f aca="false">D207/D202</f>
        <v>0.230909090909091</v>
      </c>
      <c r="E208" s="15" t="n">
        <f aca="false">E207/E202</f>
        <v>0.254655746626825</v>
      </c>
      <c r="F208" s="15" t="n">
        <f aca="false">F207/F202</f>
        <v>0.23715654140098</v>
      </c>
      <c r="G208" s="15" t="n">
        <f aca="false">G207/G202</f>
        <v>0.221999242216882</v>
      </c>
    </row>
    <row r="209" customFormat="false" ht="15" hidden="false" customHeight="false" outlineLevel="0" collapsed="false">
      <c r="A209" s="5" t="s">
        <v>402</v>
      </c>
      <c r="B209" s="0" t="s">
        <v>243</v>
      </c>
      <c r="C209" s="16" t="n">
        <f aca="false">q25_ni</f>
        <v>63.713</v>
      </c>
      <c r="D209" s="16" t="n">
        <f aca="false">q26_ni</f>
        <v>84</v>
      </c>
      <c r="E209" s="16" t="n">
        <f aca="false">E207*ni_oi</f>
        <v>114.769088581696</v>
      </c>
      <c r="F209" s="16" t="n">
        <f aca="false">F207*ni_oi</f>
        <v>110.198803008528</v>
      </c>
      <c r="G209" s="16" t="n">
        <f aca="false">G207*ni_oi</f>
        <v>112.2636374645</v>
      </c>
    </row>
    <row r="210" customFormat="false" ht="15" hidden="false" customHeight="false" outlineLevel="0" collapsed="false">
      <c r="A210" s="5" t="s">
        <v>481</v>
      </c>
      <c r="B210" s="5" t="s">
        <v>482</v>
      </c>
      <c r="D210" s="17" t="n">
        <f aca="false">q26_sh</f>
        <v>0.561197220737574</v>
      </c>
      <c r="E210" s="17" t="n">
        <f aca="false">D210*(1+sh_g)</f>
        <v>0.561197220737574</v>
      </c>
      <c r="F210" s="17" t="n">
        <f aca="false">E210*(1+sh_g)</f>
        <v>0.561197220737574</v>
      </c>
      <c r="G210" s="17" t="n">
        <f aca="false">F210*(1+sh_g)</f>
        <v>0.561197220737574</v>
      </c>
    </row>
    <row r="211" customFormat="false" ht="17.15" hidden="false" customHeight="false" outlineLevel="0" collapsed="false">
      <c r="A211" s="0" t="s">
        <v>483</v>
      </c>
      <c r="B211" s="0" t="s">
        <v>268</v>
      </c>
      <c r="C211" s="16" t="n">
        <f aca="false">q25_eps</f>
        <v>114.08</v>
      </c>
      <c r="D211" s="16" t="n">
        <f aca="false">D209/D210</f>
        <v>149.68</v>
      </c>
      <c r="E211" s="16" t="n">
        <f aca="false">E209/E210</f>
        <v>204.507585463194</v>
      </c>
      <c r="F211" s="16" t="n">
        <f aca="false">F209/F210</f>
        <v>196.363771837101</v>
      </c>
      <c r="G211" s="16" t="n">
        <f aca="false">G209/G210</f>
        <v>200.043110186742</v>
      </c>
    </row>
    <row r="212" customFormat="false" ht="17.15" hidden="false" customHeight="false" outlineLevel="0" collapsed="false">
      <c r="A212" s="0" t="s">
        <v>484</v>
      </c>
      <c r="B212" s="0" t="s">
        <v>47</v>
      </c>
      <c r="D212" s="15" t="n">
        <f aca="false">D211/C211-1</f>
        <v>0.312061711079944</v>
      </c>
      <c r="E212" s="15" t="n">
        <f aca="false">E211/D211-1</f>
        <v>0.366298673591624</v>
      </c>
      <c r="F212" s="15" t="n">
        <f aca="false">F211/E211-1</f>
        <v>-0.0398215724255311</v>
      </c>
      <c r="G212" s="15" t="n">
        <f aca="false">G211/F211-1</f>
        <v>0.0187373582979076</v>
      </c>
    </row>
    <row r="215" customFormat="false" ht="17.15" hidden="false" customHeight="false" outlineLevel="0" collapsed="false">
      <c r="A215" s="3" t="s">
        <v>801</v>
      </c>
    </row>
    <row r="216" customFormat="false" ht="17.15" hidden="false" customHeight="false" outlineLevel="0" collapsed="false">
      <c r="A216" s="6" t="s">
        <v>24</v>
      </c>
      <c r="B216" s="6" t="s">
        <v>25</v>
      </c>
      <c r="C216" s="13" t="s">
        <v>392</v>
      </c>
      <c r="D216" s="13" t="s">
        <v>438</v>
      </c>
      <c r="E216" s="13" t="s">
        <v>414</v>
      </c>
      <c r="F216" s="13" t="s">
        <v>415</v>
      </c>
      <c r="G216" s="13" t="s">
        <v>416</v>
      </c>
      <c r="H216" s="6" t="s">
        <v>377</v>
      </c>
    </row>
    <row r="217" customFormat="false" ht="17.15" hidden="false" customHeight="false" outlineLevel="0" collapsed="false">
      <c r="A217" s="1" t="s">
        <v>452</v>
      </c>
    </row>
    <row r="218" customFormat="false" ht="17.15" hidden="false" customHeight="false" outlineLevel="0" collapsed="false">
      <c r="A218" s="0" t="s">
        <v>453</v>
      </c>
      <c r="B218" s="5" t="s">
        <v>35</v>
      </c>
      <c r="D218" s="16" t="n">
        <f aca="false">(u_bw_26+u_rb_26+u_ru_26+u_hp_26)*1</f>
        <v>7.6</v>
      </c>
      <c r="E218" s="16" t="n">
        <f aca="false">(u_bw_27+u_rb_27+u_ru_27+u_hp_27)*1</f>
        <v>9.7</v>
      </c>
      <c r="F218" s="16" t="n">
        <f aca="false">(u_bw_28+u_rb_28+u_ru_28+u_hp_28)*um28_A</f>
        <v>9.5</v>
      </c>
      <c r="G218" s="16" t="n">
        <f aca="false">(u_bw_28*(1+g29_bw)+u_rb_28*(1+g29_rb)+u_ru_28*(1+g29_ru)+u_hp_28*(1+g29_hp))*um29_A</f>
        <v>10.6</v>
      </c>
      <c r="H218" s="8" t="s">
        <v>454</v>
      </c>
    </row>
    <row r="219" customFormat="false" ht="17.15" hidden="false" customHeight="false" outlineLevel="0" collapsed="false">
      <c r="A219" s="5" t="s">
        <v>455</v>
      </c>
      <c r="B219" s="5" t="s">
        <v>35</v>
      </c>
      <c r="D219" s="16" t="n">
        <f aca="false">(u_amd_26+u_tpu_26+u_trn_26+u_oth_26)*1</f>
        <v>7.6</v>
      </c>
      <c r="E219" s="16" t="n">
        <f aca="false">(u_amd_27+u_tpu_27+u_trn_27+u_oth_27)*1</f>
        <v>14</v>
      </c>
      <c r="F219" s="16" t="n">
        <f aca="false">(u_amd_28+u_tpu_28+u_trn_28+u_oth_28)*um28_A</f>
        <v>17</v>
      </c>
      <c r="G219" s="16" t="n">
        <f aca="false">(u_amd_28*(1+g29_amd)+u_tpu_28*(1+g29_tpu)+u_trn_28*(1+g29_trn)+u_oth_28*(1+g29_oth))*um29_A</f>
        <v>19.55</v>
      </c>
      <c r="H219" s="8" t="s">
        <v>456</v>
      </c>
    </row>
    <row r="220" customFormat="false" ht="17.15" hidden="false" customHeight="false" outlineLevel="0" collapsed="false">
      <c r="A220" s="5" t="s">
        <v>457</v>
      </c>
      <c r="B220" s="5" t="s">
        <v>35</v>
      </c>
      <c r="D220" s="16" t="n">
        <f aca="false">D218+w_ot*D219</f>
        <v>10.64</v>
      </c>
      <c r="E220" s="16" t="n">
        <f aca="false">E218+w_ot*E219</f>
        <v>15.3</v>
      </c>
      <c r="F220" s="16" t="n">
        <f aca="false">F218+w_ot*F219</f>
        <v>16.3</v>
      </c>
      <c r="G220" s="16" t="n">
        <f aca="false">G218+w_ot*G219</f>
        <v>18.42</v>
      </c>
    </row>
    <row r="221" customFormat="false" ht="17.15" hidden="false" customHeight="false" outlineLevel="0" collapsed="false">
      <c r="A221" s="0" t="s">
        <v>458</v>
      </c>
      <c r="B221" s="0" t="s">
        <v>243</v>
      </c>
      <c r="D221" s="16" t="n">
        <f aca="false">q26_e*ai_e</f>
        <v>243.75</v>
      </c>
      <c r="H221" s="8" t="s">
        <v>459</v>
      </c>
    </row>
    <row r="222" customFormat="false" ht="17.15" hidden="false" customHeight="false" outlineLevel="0" collapsed="false">
      <c r="A222" s="5" t="s">
        <v>460</v>
      </c>
      <c r="B222" s="5" t="s">
        <v>461</v>
      </c>
      <c r="D222" s="14" t="n">
        <f aca="false">D221/D220</f>
        <v>22.9088345864662</v>
      </c>
      <c r="H222" s="8" t="s">
        <v>462</v>
      </c>
    </row>
    <row r="223" customFormat="false" ht="17.15" hidden="false" customHeight="false" outlineLevel="0" collapsed="false">
      <c r="A223" s="5" t="s">
        <v>463</v>
      </c>
      <c r="B223" s="0" t="s">
        <v>147</v>
      </c>
      <c r="D223" s="20" t="n">
        <f aca="false">1</f>
        <v>1</v>
      </c>
      <c r="E223" s="20" t="n">
        <f aca="false">D223*(1+g_asp_hi)</f>
        <v>1.22</v>
      </c>
      <c r="F223" s="20" t="n">
        <f aca="false">E223*(1+g_asp_hi)</f>
        <v>1.4884</v>
      </c>
      <c r="G223" s="20" t="n">
        <f aca="false">F223*(1+g_asp_hi)</f>
        <v>1.815848</v>
      </c>
    </row>
    <row r="224" customFormat="false" ht="17.15" hidden="false" customHeight="false" outlineLevel="0" collapsed="false">
      <c r="A224" s="0" t="s">
        <v>464</v>
      </c>
      <c r="B224" s="0" t="s">
        <v>147</v>
      </c>
      <c r="D224" s="21" t="n">
        <f aca="false">1</f>
        <v>1</v>
      </c>
      <c r="E224" s="21" t="n">
        <f aca="false">rel_27</f>
        <v>0.95</v>
      </c>
      <c r="F224" s="21" t="n">
        <f aca="false">rel_28</f>
        <v>0.88</v>
      </c>
      <c r="G224" s="21" t="n">
        <f aca="false">rel_29</f>
        <v>0.85</v>
      </c>
    </row>
    <row r="225" customFormat="false" ht="17.15" hidden="false" customHeight="false" outlineLevel="0" collapsed="false">
      <c r="A225" s="5" t="s">
        <v>465</v>
      </c>
      <c r="B225" s="0" t="s">
        <v>147</v>
      </c>
      <c r="D225" s="21" t="n">
        <f aca="false">1</f>
        <v>1</v>
      </c>
      <c r="E225" s="21" t="n">
        <f aca="false">pp_27</f>
        <v>1</v>
      </c>
      <c r="F225" s="21" t="n">
        <f aca="false">pp_28</f>
        <v>0.95</v>
      </c>
      <c r="G225" s="21" t="n">
        <f aca="false">pp_29</f>
        <v>0.9</v>
      </c>
    </row>
    <row r="226" customFormat="false" ht="17.15" hidden="false" customHeight="false" outlineLevel="0" collapsed="false">
      <c r="A226" s="0" t="s">
        <v>427</v>
      </c>
      <c r="B226" s="0" t="s">
        <v>243</v>
      </c>
      <c r="D226" s="16" t="n">
        <f aca="false">D221</f>
        <v>243.75</v>
      </c>
      <c r="E226" s="16" t="n">
        <f aca="false">E220*$D$222*E223*E224*E225</f>
        <v>406.235491071429</v>
      </c>
      <c r="F226" s="16" t="n">
        <f aca="false">F220*$D$222*F223*F224*F225</f>
        <v>464.639941071429</v>
      </c>
      <c r="G226" s="16" t="n">
        <f aca="false">G220*$D$222*G223*G224*G225</f>
        <v>586.183445708177</v>
      </c>
    </row>
    <row r="227" customFormat="false" ht="17.15" hidden="false" customHeight="false" outlineLevel="0" collapsed="false">
      <c r="A227" s="1" t="s">
        <v>466</v>
      </c>
    </row>
    <row r="228" customFormat="false" ht="17.15" hidden="false" customHeight="false" outlineLevel="0" collapsed="false">
      <c r="A228" s="5" t="s">
        <v>467</v>
      </c>
      <c r="B228" s="0" t="s">
        <v>243</v>
      </c>
      <c r="D228" s="16" t="n">
        <f aca="false">q26_e-D226</f>
        <v>131.25</v>
      </c>
      <c r="E228" s="16" t="n">
        <f aca="false">D228*(1+g_ne)</f>
        <v>137.8125</v>
      </c>
      <c r="F228" s="16" t="n">
        <f aca="false">E228*(1+g_ne)</f>
        <v>144.703125</v>
      </c>
      <c r="G228" s="16" t="n">
        <f aca="false">F228*(1+g_ne)</f>
        <v>151.93828125</v>
      </c>
    </row>
    <row r="229" customFormat="false" ht="15" hidden="false" customHeight="false" outlineLevel="0" collapsed="false">
      <c r="A229" s="5" t="s">
        <v>468</v>
      </c>
      <c r="B229" s="0" t="s">
        <v>243</v>
      </c>
      <c r="C229" s="16" t="n">
        <f aca="false">q25_e</f>
        <v>243.316</v>
      </c>
      <c r="D229" s="16" t="n">
        <f aca="false">D226+D228</f>
        <v>375</v>
      </c>
      <c r="E229" s="16" t="n">
        <f aca="false">E226+E228</f>
        <v>544.047991071428</v>
      </c>
      <c r="F229" s="16" t="n">
        <f aca="false">F226+F228</f>
        <v>609.343066071429</v>
      </c>
      <c r="G229" s="16" t="n">
        <f aca="false">G226+G228</f>
        <v>738.121726958177</v>
      </c>
    </row>
    <row r="230" customFormat="false" ht="17.15" hidden="false" customHeight="false" outlineLevel="0" collapsed="false">
      <c r="A230" s="0" t="s">
        <v>469</v>
      </c>
      <c r="B230" s="0" t="s">
        <v>47</v>
      </c>
      <c r="D230" s="15" t="n">
        <f aca="false">(q26_eoi-m_ne*D228)/D226</f>
        <v>0.370512820512821</v>
      </c>
      <c r="H230" s="8" t="s">
        <v>470</v>
      </c>
    </row>
    <row r="231" customFormat="false" ht="17.15" hidden="false" customHeight="false" outlineLevel="0" collapsed="false">
      <c r="A231" s="0" t="s">
        <v>471</v>
      </c>
      <c r="B231" s="0" t="s">
        <v>47</v>
      </c>
      <c r="D231" s="15" t="n">
        <f aca="false">D230</f>
        <v>0.370512820512821</v>
      </c>
      <c r="E231" s="15" t="n">
        <f aca="false">1-(1-$D$230)/E225</f>
        <v>0.370512820512821</v>
      </c>
      <c r="F231" s="15" t="n">
        <f aca="false">1-(1-$D$230)/F225</f>
        <v>0.337381916329285</v>
      </c>
      <c r="G231" s="15" t="n">
        <f aca="false">1-(1-$D$230)/G225</f>
        <v>0.300569800569801</v>
      </c>
      <c r="H231" s="8" t="s">
        <v>472</v>
      </c>
    </row>
    <row r="232" customFormat="false" ht="15" hidden="false" customHeight="false" outlineLevel="0" collapsed="false">
      <c r="A232" s="5" t="s">
        <v>473</v>
      </c>
      <c r="B232" s="0" t="s">
        <v>243</v>
      </c>
      <c r="C232" s="16" t="n">
        <f aca="false">q25_eoi</f>
        <v>45.248</v>
      </c>
      <c r="D232" s="16" t="n">
        <f aca="false">D226*D231+D228*m_ne</f>
        <v>110</v>
      </c>
      <c r="E232" s="16" t="n">
        <f aca="false">E226*E231+E228*m_ne</f>
        <v>171.187332589286</v>
      </c>
      <c r="F232" s="16" t="n">
        <f aca="false">F226*F231+F228*m_ne</f>
        <v>178.466582471805</v>
      </c>
      <c r="G232" s="16" t="n">
        <f aca="false">G226*G231+G228*m_ne</f>
        <v>198.979783561325</v>
      </c>
    </row>
    <row r="233" customFormat="false" ht="15" hidden="false" customHeight="false" outlineLevel="0" collapsed="false">
      <c r="A233" s="5" t="s">
        <v>406</v>
      </c>
      <c r="B233" s="0" t="s">
        <v>47</v>
      </c>
      <c r="C233" s="15" t="n">
        <f aca="false">C232/C229</f>
        <v>0.185963931677325</v>
      </c>
      <c r="D233" s="15" t="n">
        <f aca="false">D232/D229</f>
        <v>0.293333333333333</v>
      </c>
      <c r="E233" s="15" t="n">
        <f aca="false">E232/E229</f>
        <v>0.314654838173661</v>
      </c>
      <c r="F233" s="15" t="n">
        <f aca="false">F232/F229</f>
        <v>0.29288358628977</v>
      </c>
      <c r="G233" s="15" t="n">
        <f aca="false">G232/G229</f>
        <v>0.26957583863752</v>
      </c>
    </row>
    <row r="234" customFormat="false" ht="17.15" hidden="false" customHeight="false" outlineLevel="0" collapsed="false">
      <c r="A234" s="1" t="s">
        <v>474</v>
      </c>
    </row>
    <row r="235" customFormat="false" ht="15" hidden="false" customHeight="false" outlineLevel="0" collapsed="false">
      <c r="A235" s="5" t="s">
        <v>475</v>
      </c>
      <c r="B235" s="0" t="s">
        <v>243</v>
      </c>
      <c r="C235" s="16" t="n">
        <f aca="false">q25_cer</f>
        <v>82.554</v>
      </c>
      <c r="D235" s="16" t="n">
        <f aca="false">q26_cer</f>
        <v>84</v>
      </c>
      <c r="E235" s="16" t="n">
        <f aca="false">D235*(1+g_cer)</f>
        <v>84</v>
      </c>
      <c r="F235" s="16" t="n">
        <f aca="false">E235*(1+g_cer)</f>
        <v>84</v>
      </c>
      <c r="G235" s="16" t="n">
        <f aca="false">F235*(1+g_cer)</f>
        <v>84</v>
      </c>
    </row>
    <row r="236" customFormat="false" ht="15" hidden="false" customHeight="false" outlineLevel="0" collapsed="false">
      <c r="A236" s="5" t="s">
        <v>476</v>
      </c>
      <c r="B236" s="0" t="s">
        <v>243</v>
      </c>
      <c r="C236" s="16" t="n">
        <f aca="false">q25_oth</f>
        <v>90.33</v>
      </c>
      <c r="D236" s="16" t="n">
        <f aca="false">q26_oth</f>
        <v>91</v>
      </c>
      <c r="E236" s="16" t="n">
        <f aca="false">D236*(1+g_oth)</f>
        <v>93.73</v>
      </c>
      <c r="F236" s="16" t="n">
        <f aca="false">E236*(1+g_oth)</f>
        <v>96.5419</v>
      </c>
      <c r="G236" s="16" t="n">
        <f aca="false">F236*(1+g_oth)</f>
        <v>99.438157</v>
      </c>
    </row>
    <row r="237" customFormat="false" ht="15" hidden="false" customHeight="false" outlineLevel="0" collapsed="false">
      <c r="A237" s="5" t="s">
        <v>395</v>
      </c>
      <c r="B237" s="0" t="s">
        <v>243</v>
      </c>
      <c r="C237" s="16" t="n">
        <f aca="false">C229+C235+C236</f>
        <v>416.2</v>
      </c>
      <c r="D237" s="16" t="n">
        <f aca="false">D229+D235+D236</f>
        <v>550</v>
      </c>
      <c r="E237" s="16" t="n">
        <f aca="false">E229+E235+E236</f>
        <v>721.777991071429</v>
      </c>
      <c r="F237" s="16" t="n">
        <f aca="false">F229+F235+F236</f>
        <v>789.884966071429</v>
      </c>
      <c r="G237" s="16" t="n">
        <f aca="false">G229+G235+G236</f>
        <v>921.559883958177</v>
      </c>
    </row>
    <row r="238" customFormat="false" ht="17.15" hidden="false" customHeight="false" outlineLevel="0" collapsed="false">
      <c r="A238" s="5" t="s">
        <v>477</v>
      </c>
      <c r="B238" s="0" t="s">
        <v>243</v>
      </c>
      <c r="C238" s="20" t="n">
        <f aca="false">C229+C235+C236-q25_rev</f>
        <v>-0.0010000000000332</v>
      </c>
      <c r="D238" s="20" t="n">
        <f aca="false">D229+D235+D236-q26_rev</f>
        <v>0</v>
      </c>
    </row>
    <row r="239" customFormat="false" ht="15" hidden="false" customHeight="false" outlineLevel="0" collapsed="false">
      <c r="A239" s="5" t="s">
        <v>478</v>
      </c>
      <c r="B239" s="0" t="s">
        <v>47</v>
      </c>
      <c r="D239" s="15" t="n">
        <f aca="false">D237/C237-1</f>
        <v>0.321480057664584</v>
      </c>
      <c r="E239" s="15" t="n">
        <f aca="false">E237/D237-1</f>
        <v>0.31232362012987</v>
      </c>
      <c r="F239" s="15" t="n">
        <f aca="false">F237/E237-1</f>
        <v>0.094360005212822</v>
      </c>
      <c r="G239" s="15" t="n">
        <f aca="false">G237/F237-1</f>
        <v>0.166701385065785</v>
      </c>
    </row>
    <row r="240" customFormat="false" ht="17.15" hidden="false" customHeight="false" outlineLevel="0" collapsed="false">
      <c r="A240" s="0" t="s">
        <v>479</v>
      </c>
      <c r="B240" s="0" t="s">
        <v>47</v>
      </c>
      <c r="D240" s="15" t="n">
        <f aca="false">D226/D237</f>
        <v>0.443181818181818</v>
      </c>
      <c r="E240" s="15" t="n">
        <f aca="false">E226/E237</f>
        <v>0.562826099017512</v>
      </c>
      <c r="F240" s="15" t="n">
        <f aca="false">F226/F237</f>
        <v>0.588237478910836</v>
      </c>
      <c r="G240" s="15" t="n">
        <f aca="false">G226/G237</f>
        <v>0.636077433395288</v>
      </c>
    </row>
    <row r="241" customFormat="false" ht="15" hidden="false" customHeight="false" outlineLevel="0" collapsed="false">
      <c r="A241" s="5" t="s">
        <v>480</v>
      </c>
      <c r="B241" s="0" t="s">
        <v>243</v>
      </c>
      <c r="C241" s="16" t="n">
        <f aca="false">q25_oi-q25_eoi</f>
        <v>16.779</v>
      </c>
      <c r="D241" s="16" t="n">
        <f aca="false">q26_oi-q26_eoi</f>
        <v>17</v>
      </c>
      <c r="E241" s="16" t="n">
        <f aca="false">E235*m_cer+E236*m_oth+q26_adj</f>
        <v>17.24695</v>
      </c>
      <c r="F241" s="16" t="n">
        <f aca="false">F235*m_cer+F236*m_oth+q26_adj</f>
        <v>17.5703185</v>
      </c>
      <c r="G241" s="16" t="n">
        <f aca="false">G235*m_cer+G236*m_oth+q26_adj</f>
        <v>17.903388055</v>
      </c>
    </row>
    <row r="242" customFormat="false" ht="15" hidden="false" customHeight="false" outlineLevel="0" collapsed="false">
      <c r="A242" s="5" t="s">
        <v>400</v>
      </c>
      <c r="B242" s="0" t="s">
        <v>243</v>
      </c>
      <c r="C242" s="16" t="n">
        <f aca="false">C232+C241</f>
        <v>62.027</v>
      </c>
      <c r="D242" s="16" t="n">
        <f aca="false">D232+D241</f>
        <v>127</v>
      </c>
      <c r="E242" s="16" t="n">
        <f aca="false">E232+E241</f>
        <v>188.434282589286</v>
      </c>
      <c r="F242" s="16" t="n">
        <f aca="false">F232+F241</f>
        <v>196.036900971805</v>
      </c>
      <c r="G242" s="16" t="n">
        <f aca="false">G232+G241</f>
        <v>216.883171616325</v>
      </c>
    </row>
    <row r="243" customFormat="false" ht="15" hidden="false" customHeight="false" outlineLevel="0" collapsed="false">
      <c r="A243" s="5" t="s">
        <v>407</v>
      </c>
      <c r="B243" s="0" t="s">
        <v>47</v>
      </c>
      <c r="C243" s="15" t="n">
        <f aca="false">C242/C237</f>
        <v>0.149031715521384</v>
      </c>
      <c r="D243" s="15" t="n">
        <f aca="false">D242/D237</f>
        <v>0.230909090909091</v>
      </c>
      <c r="E243" s="15" t="n">
        <f aca="false">E242/E237</f>
        <v>0.26106958776835</v>
      </c>
      <c r="F243" s="15" t="n">
        <f aca="false">F242/F237</f>
        <v>0.248184114639899</v>
      </c>
      <c r="G243" s="15" t="n">
        <f aca="false">G242/G237</f>
        <v>0.23534354673165</v>
      </c>
    </row>
    <row r="244" customFormat="false" ht="15" hidden="false" customHeight="false" outlineLevel="0" collapsed="false">
      <c r="A244" s="5" t="s">
        <v>402</v>
      </c>
      <c r="B244" s="0" t="s">
        <v>243</v>
      </c>
      <c r="C244" s="16" t="n">
        <f aca="false">q25_ni</f>
        <v>63.713</v>
      </c>
      <c r="D244" s="16" t="n">
        <f aca="false">q26_ni</f>
        <v>84</v>
      </c>
      <c r="E244" s="16" t="n">
        <f aca="false">E242*ni_oi</f>
        <v>124.555060791518</v>
      </c>
      <c r="F244" s="16" t="n">
        <f aca="false">F242*ni_oi</f>
        <v>129.580391542363</v>
      </c>
      <c r="G244" s="16" t="n">
        <f aca="false">G242*ni_oi</f>
        <v>143.359776438391</v>
      </c>
    </row>
    <row r="245" customFormat="false" ht="15" hidden="false" customHeight="false" outlineLevel="0" collapsed="false">
      <c r="A245" s="5" t="s">
        <v>481</v>
      </c>
      <c r="B245" s="5" t="s">
        <v>482</v>
      </c>
      <c r="D245" s="17" t="n">
        <f aca="false">q26_sh</f>
        <v>0.561197220737574</v>
      </c>
      <c r="E245" s="17" t="n">
        <f aca="false">D245*(1+sh_g)</f>
        <v>0.561197220737574</v>
      </c>
      <c r="F245" s="17" t="n">
        <f aca="false">E245*(1+sh_g)</f>
        <v>0.561197220737574</v>
      </c>
      <c r="G245" s="17" t="n">
        <f aca="false">F245*(1+sh_g)</f>
        <v>0.561197220737574</v>
      </c>
    </row>
    <row r="246" customFormat="false" ht="17.15" hidden="false" customHeight="false" outlineLevel="0" collapsed="false">
      <c r="A246" s="0" t="s">
        <v>483</v>
      </c>
      <c r="B246" s="0" t="s">
        <v>268</v>
      </c>
      <c r="C246" s="16" t="n">
        <f aca="false">q25_eps</f>
        <v>114.08</v>
      </c>
      <c r="D246" s="16" t="n">
        <f aca="false">D244/D245</f>
        <v>149.68</v>
      </c>
      <c r="E246" s="16" t="n">
        <f aca="false">E244/E245</f>
        <v>221.945255943743</v>
      </c>
      <c r="F246" s="16" t="n">
        <f aca="false">F244/F245</f>
        <v>230.89991673882</v>
      </c>
      <c r="G246" s="16" t="n">
        <f aca="false">G244/G245</f>
        <v>255.453468301171</v>
      </c>
    </row>
    <row r="247" customFormat="false" ht="17.15" hidden="false" customHeight="false" outlineLevel="0" collapsed="false">
      <c r="A247" s="0" t="s">
        <v>484</v>
      </c>
      <c r="B247" s="0" t="s">
        <v>47</v>
      </c>
      <c r="D247" s="15" t="n">
        <f aca="false">D246/C246-1</f>
        <v>0.312061711079944</v>
      </c>
      <c r="E247" s="15" t="n">
        <f aca="false">E246/D246-1</f>
        <v>0.482798342756165</v>
      </c>
      <c r="F247" s="15" t="n">
        <f aca="false">F246/E246-1</f>
        <v>0.0403462590673567</v>
      </c>
      <c r="G247" s="15" t="n">
        <f aca="false">G246/F246-1</f>
        <v>0.106338503318408</v>
      </c>
    </row>
    <row r="250" customFormat="false" ht="17.15" hidden="false" customHeight="false" outlineLevel="0" collapsed="false">
      <c r="A250" s="3" t="s">
        <v>802</v>
      </c>
    </row>
    <row r="251" customFormat="false" ht="17.15" hidden="false" customHeight="false" outlineLevel="0" collapsed="false">
      <c r="A251" s="6" t="s">
        <v>24</v>
      </c>
      <c r="B251" s="6" t="s">
        <v>25</v>
      </c>
      <c r="C251" s="13" t="s">
        <v>392</v>
      </c>
      <c r="D251" s="13" t="s">
        <v>438</v>
      </c>
      <c r="E251" s="13" t="s">
        <v>414</v>
      </c>
      <c r="F251" s="13" t="s">
        <v>415</v>
      </c>
      <c r="G251" s="13" t="s">
        <v>416</v>
      </c>
      <c r="H251" s="6" t="s">
        <v>377</v>
      </c>
    </row>
    <row r="252" customFormat="false" ht="17.15" hidden="false" customHeight="false" outlineLevel="0" collapsed="false">
      <c r="A252" s="1" t="s">
        <v>452</v>
      </c>
    </row>
    <row r="253" customFormat="false" ht="17.15" hidden="false" customHeight="false" outlineLevel="0" collapsed="false">
      <c r="A253" s="0" t="s">
        <v>453</v>
      </c>
      <c r="B253" s="5" t="s">
        <v>35</v>
      </c>
      <c r="D253" s="16" t="n">
        <f aca="false">(u_bw_26+u_rb_26+u_ru_26+u_hp_26)*1</f>
        <v>7.6</v>
      </c>
      <c r="E253" s="16" t="n">
        <f aca="false">(u_bw_27+u_rb_27+u_ru_27+u_hp_27)*1</f>
        <v>9.7</v>
      </c>
      <c r="F253" s="16" t="n">
        <f aca="false">(u_bw_28+u_rb_28+u_ru_28+u_hp_28)*um28_A</f>
        <v>9.5</v>
      </c>
      <c r="G253" s="16" t="n">
        <f aca="false">(u_bw_28*(1+g29_bw)+u_rb_28*(1+g29_rb)+u_ru_28*(1+g29_ru)+u_hp_28*(1+g29_hp))*um29_A</f>
        <v>10.6</v>
      </c>
      <c r="H253" s="8" t="s">
        <v>454</v>
      </c>
    </row>
    <row r="254" customFormat="false" ht="17.15" hidden="false" customHeight="false" outlineLevel="0" collapsed="false">
      <c r="A254" s="5" t="s">
        <v>455</v>
      </c>
      <c r="B254" s="5" t="s">
        <v>35</v>
      </c>
      <c r="D254" s="16" t="n">
        <f aca="false">(u_amd_26+u_tpu_26+u_trn_26+u_oth_26)*1</f>
        <v>7.6</v>
      </c>
      <c r="E254" s="16" t="n">
        <f aca="false">(u_amd_27+u_tpu_27+u_trn_27+u_oth_27)*1</f>
        <v>14</v>
      </c>
      <c r="F254" s="16" t="n">
        <f aca="false">(u_amd_28+u_tpu_28+u_trn_28+u_oth_28)*um28_A</f>
        <v>17</v>
      </c>
      <c r="G254" s="16" t="n">
        <f aca="false">(u_amd_28*(1+g29_amd)+u_tpu_28*(1+g29_tpu)+u_trn_28*(1+g29_trn)+u_oth_28*(1+g29_oth))*um29_A</f>
        <v>19.55</v>
      </c>
      <c r="H254" s="8" t="s">
        <v>456</v>
      </c>
    </row>
    <row r="255" customFormat="false" ht="17.15" hidden="false" customHeight="false" outlineLevel="0" collapsed="false">
      <c r="A255" s="5" t="s">
        <v>457</v>
      </c>
      <c r="B255" s="5" t="s">
        <v>35</v>
      </c>
      <c r="D255" s="16" t="n">
        <f aca="false">D253+w_ot_lo*D254</f>
        <v>9.12</v>
      </c>
      <c r="E255" s="16" t="n">
        <f aca="false">E253+w_ot_lo*E254</f>
        <v>12.5</v>
      </c>
      <c r="F255" s="16" t="n">
        <f aca="false">F253+w_ot_lo*F254</f>
        <v>12.9</v>
      </c>
      <c r="G255" s="16" t="n">
        <f aca="false">G253+w_ot_lo*G254</f>
        <v>14.51</v>
      </c>
    </row>
    <row r="256" customFormat="false" ht="17.15" hidden="false" customHeight="false" outlineLevel="0" collapsed="false">
      <c r="A256" s="0" t="s">
        <v>458</v>
      </c>
      <c r="B256" s="0" t="s">
        <v>243</v>
      </c>
      <c r="D256" s="16" t="n">
        <f aca="false">q26_e*ai_e</f>
        <v>243.75</v>
      </c>
      <c r="H256" s="8" t="s">
        <v>459</v>
      </c>
    </row>
    <row r="257" customFormat="false" ht="17.15" hidden="false" customHeight="false" outlineLevel="0" collapsed="false">
      <c r="A257" s="5" t="s">
        <v>460</v>
      </c>
      <c r="B257" s="5" t="s">
        <v>461</v>
      </c>
      <c r="D257" s="14" t="n">
        <f aca="false">D256/D255</f>
        <v>26.7269736842105</v>
      </c>
      <c r="H257" s="8" t="s">
        <v>462</v>
      </c>
    </row>
    <row r="258" customFormat="false" ht="17.15" hidden="false" customHeight="false" outlineLevel="0" collapsed="false">
      <c r="A258" s="5" t="s">
        <v>463</v>
      </c>
      <c r="B258" s="0" t="s">
        <v>147</v>
      </c>
      <c r="D258" s="20" t="n">
        <f aca="false">1</f>
        <v>1</v>
      </c>
      <c r="E258" s="20" t="n">
        <f aca="false">D258*(1+g_asp)</f>
        <v>1.18</v>
      </c>
      <c r="F258" s="20" t="n">
        <f aca="false">E258*(1+g_asp)</f>
        <v>1.3924</v>
      </c>
      <c r="G258" s="20" t="n">
        <f aca="false">F258*(1+g_asp)</f>
        <v>1.643032</v>
      </c>
    </row>
    <row r="259" customFormat="false" ht="17.15" hidden="false" customHeight="false" outlineLevel="0" collapsed="false">
      <c r="A259" s="0" t="s">
        <v>464</v>
      </c>
      <c r="B259" s="0" t="s">
        <v>147</v>
      </c>
      <c r="D259" s="21" t="n">
        <f aca="false">1</f>
        <v>1</v>
      </c>
      <c r="E259" s="21" t="n">
        <f aca="false">rel_27</f>
        <v>0.95</v>
      </c>
      <c r="F259" s="21" t="n">
        <f aca="false">rel_28</f>
        <v>0.88</v>
      </c>
      <c r="G259" s="21" t="n">
        <f aca="false">rel_29</f>
        <v>0.85</v>
      </c>
    </row>
    <row r="260" customFormat="false" ht="17.15" hidden="false" customHeight="false" outlineLevel="0" collapsed="false">
      <c r="A260" s="5" t="s">
        <v>465</v>
      </c>
      <c r="B260" s="0" t="s">
        <v>147</v>
      </c>
      <c r="D260" s="21" t="n">
        <f aca="false">1</f>
        <v>1</v>
      </c>
      <c r="E260" s="21" t="n">
        <f aca="false">pp_27</f>
        <v>1</v>
      </c>
      <c r="F260" s="21" t="n">
        <f aca="false">pp_28</f>
        <v>0.95</v>
      </c>
      <c r="G260" s="21" t="n">
        <f aca="false">pp_29</f>
        <v>0.9</v>
      </c>
    </row>
    <row r="261" customFormat="false" ht="17.15" hidden="false" customHeight="false" outlineLevel="0" collapsed="false">
      <c r="A261" s="0" t="s">
        <v>427</v>
      </c>
      <c r="B261" s="0" t="s">
        <v>243</v>
      </c>
      <c r="D261" s="16" t="n">
        <f aca="false">D256</f>
        <v>243.75</v>
      </c>
      <c r="E261" s="16" t="n">
        <f aca="false">E255*$D$257*E258*E259*E260</f>
        <v>374.51171875</v>
      </c>
      <c r="F261" s="16" t="n">
        <f aca="false">F255*$D$257*F258*F259*F260</f>
        <v>401.33754375</v>
      </c>
      <c r="G261" s="16" t="n">
        <f aca="false">G255*$D$257*G258*G259*G260</f>
        <v>487.443917583059</v>
      </c>
    </row>
    <row r="262" customFormat="false" ht="17.15" hidden="false" customHeight="false" outlineLevel="0" collapsed="false">
      <c r="A262" s="1" t="s">
        <v>466</v>
      </c>
    </row>
    <row r="263" customFormat="false" ht="17.15" hidden="false" customHeight="false" outlineLevel="0" collapsed="false">
      <c r="A263" s="5" t="s">
        <v>467</v>
      </c>
      <c r="B263" s="0" t="s">
        <v>243</v>
      </c>
      <c r="D263" s="16" t="n">
        <f aca="false">q26_e-D261</f>
        <v>131.25</v>
      </c>
      <c r="E263" s="16" t="n">
        <f aca="false">D263*(1+g_ne)</f>
        <v>137.8125</v>
      </c>
      <c r="F263" s="16" t="n">
        <f aca="false">E263*(1+g_ne)</f>
        <v>144.703125</v>
      </c>
      <c r="G263" s="16" t="n">
        <f aca="false">F263*(1+g_ne)</f>
        <v>151.93828125</v>
      </c>
    </row>
    <row r="264" customFormat="false" ht="15" hidden="false" customHeight="false" outlineLevel="0" collapsed="false">
      <c r="A264" s="5" t="s">
        <v>468</v>
      </c>
      <c r="B264" s="0" t="s">
        <v>243</v>
      </c>
      <c r="C264" s="16" t="n">
        <f aca="false">q25_e</f>
        <v>243.316</v>
      </c>
      <c r="D264" s="16" t="n">
        <f aca="false">D261+D263</f>
        <v>375</v>
      </c>
      <c r="E264" s="16" t="n">
        <f aca="false">E261+E263</f>
        <v>512.32421875</v>
      </c>
      <c r="F264" s="16" t="n">
        <f aca="false">F261+F263</f>
        <v>546.04066875</v>
      </c>
      <c r="G264" s="16" t="n">
        <f aca="false">G261+G263</f>
        <v>639.382198833059</v>
      </c>
    </row>
    <row r="265" customFormat="false" ht="17.15" hidden="false" customHeight="false" outlineLevel="0" collapsed="false">
      <c r="A265" s="0" t="s">
        <v>469</v>
      </c>
      <c r="B265" s="0" t="s">
        <v>47</v>
      </c>
      <c r="D265" s="15" t="n">
        <f aca="false">(q26_eoi-m_ne*D263)/D261</f>
        <v>0.370512820512821</v>
      </c>
      <c r="H265" s="8" t="s">
        <v>470</v>
      </c>
    </row>
    <row r="266" customFormat="false" ht="17.15" hidden="false" customHeight="false" outlineLevel="0" collapsed="false">
      <c r="A266" s="0" t="s">
        <v>471</v>
      </c>
      <c r="B266" s="0" t="s">
        <v>47</v>
      </c>
      <c r="D266" s="15" t="n">
        <f aca="false">D265</f>
        <v>0.370512820512821</v>
      </c>
      <c r="E266" s="15" t="n">
        <f aca="false">1-(1-$D$265)/E260</f>
        <v>0.370512820512821</v>
      </c>
      <c r="F266" s="15" t="n">
        <f aca="false">1-(1-$D$265)/F260</f>
        <v>0.337381916329285</v>
      </c>
      <c r="G266" s="15" t="n">
        <f aca="false">1-(1-$D$265)/G260</f>
        <v>0.300569800569801</v>
      </c>
      <c r="H266" s="8" t="s">
        <v>472</v>
      </c>
    </row>
    <row r="267" customFormat="false" ht="15" hidden="false" customHeight="false" outlineLevel="0" collapsed="false">
      <c r="A267" s="5" t="s">
        <v>473</v>
      </c>
      <c r="B267" s="0" t="s">
        <v>243</v>
      </c>
      <c r="C267" s="16" t="n">
        <f aca="false">q25_eoi</f>
        <v>45.248</v>
      </c>
      <c r="D267" s="16" t="n">
        <f aca="false">D261*D266+D263*m_ne</f>
        <v>110</v>
      </c>
      <c r="E267" s="16" t="n">
        <f aca="false">E261*E266+E263*m_ne</f>
        <v>159.433268229167</v>
      </c>
      <c r="F267" s="16" t="n">
        <f aca="false">F261*F266+F263*m_ne</f>
        <v>157.109498355263</v>
      </c>
      <c r="G267" s="16" t="n">
        <f aca="false">G261*G266+G263*m_ne</f>
        <v>169.301663284402</v>
      </c>
    </row>
    <row r="268" customFormat="false" ht="15" hidden="false" customHeight="false" outlineLevel="0" collapsed="false">
      <c r="A268" s="5" t="s">
        <v>406</v>
      </c>
      <c r="B268" s="0" t="s">
        <v>47</v>
      </c>
      <c r="C268" s="15" t="n">
        <f aca="false">C267/C264</f>
        <v>0.185963931677325</v>
      </c>
      <c r="D268" s="15" t="n">
        <f aca="false">D267/D264</f>
        <v>0.293333333333333</v>
      </c>
      <c r="E268" s="15" t="n">
        <f aca="false">E267/E264</f>
        <v>0.311196040308541</v>
      </c>
      <c r="F268" s="15" t="n">
        <f aca="false">F267/F264</f>
        <v>0.28772490282623</v>
      </c>
      <c r="G268" s="15" t="n">
        <f aca="false">G267/G264</f>
        <v>0.264789453934432</v>
      </c>
    </row>
    <row r="269" customFormat="false" ht="17.15" hidden="false" customHeight="false" outlineLevel="0" collapsed="false">
      <c r="A269" s="1" t="s">
        <v>474</v>
      </c>
    </row>
    <row r="270" customFormat="false" ht="15" hidden="false" customHeight="false" outlineLevel="0" collapsed="false">
      <c r="A270" s="5" t="s">
        <v>475</v>
      </c>
      <c r="B270" s="0" t="s">
        <v>243</v>
      </c>
      <c r="C270" s="16" t="n">
        <f aca="false">q25_cer</f>
        <v>82.554</v>
      </c>
      <c r="D270" s="16" t="n">
        <f aca="false">q26_cer</f>
        <v>84</v>
      </c>
      <c r="E270" s="16" t="n">
        <f aca="false">D270*(1+g_cer)</f>
        <v>84</v>
      </c>
      <c r="F270" s="16" t="n">
        <f aca="false">E270*(1+g_cer)</f>
        <v>84</v>
      </c>
      <c r="G270" s="16" t="n">
        <f aca="false">F270*(1+g_cer)</f>
        <v>84</v>
      </c>
    </row>
    <row r="271" customFormat="false" ht="15" hidden="false" customHeight="false" outlineLevel="0" collapsed="false">
      <c r="A271" s="5" t="s">
        <v>476</v>
      </c>
      <c r="B271" s="0" t="s">
        <v>243</v>
      </c>
      <c r="C271" s="16" t="n">
        <f aca="false">q25_oth</f>
        <v>90.33</v>
      </c>
      <c r="D271" s="16" t="n">
        <f aca="false">q26_oth</f>
        <v>91</v>
      </c>
      <c r="E271" s="16" t="n">
        <f aca="false">D271*(1+g_oth)</f>
        <v>93.73</v>
      </c>
      <c r="F271" s="16" t="n">
        <f aca="false">E271*(1+g_oth)</f>
        <v>96.5419</v>
      </c>
      <c r="G271" s="16" t="n">
        <f aca="false">F271*(1+g_oth)</f>
        <v>99.438157</v>
      </c>
    </row>
    <row r="272" customFormat="false" ht="15" hidden="false" customHeight="false" outlineLevel="0" collapsed="false">
      <c r="A272" s="5" t="s">
        <v>395</v>
      </c>
      <c r="B272" s="0" t="s">
        <v>243</v>
      </c>
      <c r="C272" s="16" t="n">
        <f aca="false">C264+C270+C271</f>
        <v>416.2</v>
      </c>
      <c r="D272" s="16" t="n">
        <f aca="false">D264+D270+D271</f>
        <v>550</v>
      </c>
      <c r="E272" s="16" t="n">
        <f aca="false">E264+E270+E271</f>
        <v>690.05421875</v>
      </c>
      <c r="F272" s="16" t="n">
        <f aca="false">F264+F270+F271</f>
        <v>726.58256875</v>
      </c>
      <c r="G272" s="16" t="n">
        <f aca="false">G264+G270+G271</f>
        <v>822.820355833059</v>
      </c>
    </row>
    <row r="273" customFormat="false" ht="17.15" hidden="false" customHeight="false" outlineLevel="0" collapsed="false">
      <c r="A273" s="5" t="s">
        <v>477</v>
      </c>
      <c r="B273" s="0" t="s">
        <v>243</v>
      </c>
      <c r="C273" s="20" t="n">
        <f aca="false">C264+C270+C271-q25_rev</f>
        <v>-0.0010000000000332</v>
      </c>
      <c r="D273" s="20" t="n">
        <f aca="false">D264+D270+D271-q26_rev</f>
        <v>0</v>
      </c>
    </row>
    <row r="274" customFormat="false" ht="15" hidden="false" customHeight="false" outlineLevel="0" collapsed="false">
      <c r="A274" s="5" t="s">
        <v>478</v>
      </c>
      <c r="B274" s="0" t="s">
        <v>47</v>
      </c>
      <c r="D274" s="15" t="n">
        <f aca="false">D272/C272-1</f>
        <v>0.321480057664584</v>
      </c>
      <c r="E274" s="15" t="n">
        <f aca="false">E272/D272-1</f>
        <v>0.254644034090909</v>
      </c>
      <c r="F274" s="15" t="n">
        <f aca="false">F272/E272-1</f>
        <v>0.0529354781225297</v>
      </c>
      <c r="G274" s="15" t="n">
        <f aca="false">G272/F272-1</f>
        <v>0.132452650561966</v>
      </c>
    </row>
    <row r="275" customFormat="false" ht="17.15" hidden="false" customHeight="false" outlineLevel="0" collapsed="false">
      <c r="A275" s="0" t="s">
        <v>479</v>
      </c>
      <c r="B275" s="0" t="s">
        <v>47</v>
      </c>
      <c r="D275" s="15" t="n">
        <f aca="false">D261/D272</f>
        <v>0.443181818181818</v>
      </c>
      <c r="E275" s="15" t="n">
        <f aca="false">E261/E272</f>
        <v>0.54272796046144</v>
      </c>
      <c r="F275" s="15" t="n">
        <f aca="false">F261/F272</f>
        <v>0.552363297732912</v>
      </c>
      <c r="G275" s="15" t="n">
        <f aca="false">G261/G272</f>
        <v>0.592406245333527</v>
      </c>
    </row>
    <row r="276" customFormat="false" ht="15" hidden="false" customHeight="false" outlineLevel="0" collapsed="false">
      <c r="A276" s="5" t="s">
        <v>480</v>
      </c>
      <c r="B276" s="0" t="s">
        <v>243</v>
      </c>
      <c r="C276" s="16" t="n">
        <f aca="false">q25_oi-q25_eoi</f>
        <v>16.779</v>
      </c>
      <c r="D276" s="16" t="n">
        <f aca="false">q26_oi-q26_eoi</f>
        <v>17</v>
      </c>
      <c r="E276" s="16" t="n">
        <f aca="false">E270*m_cer+E271*m_oth+q26_adj</f>
        <v>17.24695</v>
      </c>
      <c r="F276" s="16" t="n">
        <f aca="false">F270*m_cer+F271*m_oth+q26_adj</f>
        <v>17.5703185</v>
      </c>
      <c r="G276" s="16" t="n">
        <f aca="false">G270*m_cer+G271*m_oth+q26_adj</f>
        <v>17.903388055</v>
      </c>
    </row>
    <row r="277" customFormat="false" ht="15" hidden="false" customHeight="false" outlineLevel="0" collapsed="false">
      <c r="A277" s="5" t="s">
        <v>400</v>
      </c>
      <c r="B277" s="0" t="s">
        <v>243</v>
      </c>
      <c r="C277" s="16" t="n">
        <f aca="false">C267+C276</f>
        <v>62.027</v>
      </c>
      <c r="D277" s="16" t="n">
        <f aca="false">D267+D276</f>
        <v>127</v>
      </c>
      <c r="E277" s="16" t="n">
        <f aca="false">E267+E276</f>
        <v>176.680218229167</v>
      </c>
      <c r="F277" s="16" t="n">
        <f aca="false">F267+F276</f>
        <v>174.679816855263</v>
      </c>
      <c r="G277" s="16" t="n">
        <f aca="false">G267+G276</f>
        <v>187.205051339402</v>
      </c>
    </row>
    <row r="278" customFormat="false" ht="15" hidden="false" customHeight="false" outlineLevel="0" collapsed="false">
      <c r="A278" s="5" t="s">
        <v>407</v>
      </c>
      <c r="B278" s="0" t="s">
        <v>47</v>
      </c>
      <c r="C278" s="15" t="n">
        <f aca="false">C277/C272</f>
        <v>0.149031715521384</v>
      </c>
      <c r="D278" s="15" t="n">
        <f aca="false">D277/D272</f>
        <v>0.230909090909091</v>
      </c>
      <c r="E278" s="15" t="n">
        <f aca="false">E277/E272</f>
        <v>0.25603816834743</v>
      </c>
      <c r="F278" s="15" t="n">
        <f aca="false">F277/F272</f>
        <v>0.240412892310064</v>
      </c>
      <c r="G278" s="15" t="n">
        <f aca="false">G277/G272</f>
        <v>0.227516310227726</v>
      </c>
    </row>
    <row r="279" customFormat="false" ht="15" hidden="false" customHeight="false" outlineLevel="0" collapsed="false">
      <c r="A279" s="5" t="s">
        <v>402</v>
      </c>
      <c r="B279" s="0" t="s">
        <v>243</v>
      </c>
      <c r="C279" s="16" t="n">
        <f aca="false">q25_ni</f>
        <v>63.713</v>
      </c>
      <c r="D279" s="16" t="n">
        <f aca="false">q26_ni</f>
        <v>84</v>
      </c>
      <c r="E279" s="16" t="n">
        <f aca="false">E277*ni_oi</f>
        <v>116.785624249479</v>
      </c>
      <c r="F279" s="16" t="n">
        <f aca="false">F277*ni_oi</f>
        <v>115.463358941329</v>
      </c>
      <c r="G279" s="16" t="n">
        <f aca="false">G277*ni_oi</f>
        <v>123.742538935345</v>
      </c>
    </row>
    <row r="280" customFormat="false" ht="15" hidden="false" customHeight="false" outlineLevel="0" collapsed="false">
      <c r="A280" s="5" t="s">
        <v>481</v>
      </c>
      <c r="B280" s="5" t="s">
        <v>482</v>
      </c>
      <c r="D280" s="17" t="n">
        <f aca="false">q26_sh</f>
        <v>0.561197220737574</v>
      </c>
      <c r="E280" s="17" t="n">
        <f aca="false">D280*(1+sh_g)</f>
        <v>0.561197220737574</v>
      </c>
      <c r="F280" s="17" t="n">
        <f aca="false">E280*(1+sh_g)</f>
        <v>0.561197220737574</v>
      </c>
      <c r="G280" s="17" t="n">
        <f aca="false">F280*(1+sh_g)</f>
        <v>0.561197220737574</v>
      </c>
    </row>
    <row r="281" customFormat="false" ht="17.15" hidden="false" customHeight="false" outlineLevel="0" collapsed="false">
      <c r="A281" s="0" t="s">
        <v>483</v>
      </c>
      <c r="B281" s="0" t="s">
        <v>268</v>
      </c>
      <c r="C281" s="16" t="n">
        <f aca="false">q25_eps</f>
        <v>114.08</v>
      </c>
      <c r="D281" s="16" t="n">
        <f aca="false">D279/D280</f>
        <v>149.68</v>
      </c>
      <c r="E281" s="16" t="n">
        <f aca="false">E279/E280</f>
        <v>208.100859972167</v>
      </c>
      <c r="F281" s="16" t="n">
        <f aca="false">F279/F280</f>
        <v>205.744709123073</v>
      </c>
      <c r="G281" s="16" t="n">
        <f aca="false">G279/G280</f>
        <v>220.497419379077</v>
      </c>
    </row>
    <row r="282" customFormat="false" ht="17.15" hidden="false" customHeight="false" outlineLevel="0" collapsed="false">
      <c r="A282" s="0" t="s">
        <v>484</v>
      </c>
      <c r="B282" s="0" t="s">
        <v>47</v>
      </c>
      <c r="D282" s="15" t="n">
        <f aca="false">D281/C281-1</f>
        <v>0.312061711079944</v>
      </c>
      <c r="E282" s="15" t="n">
        <f aca="false">E281/D281-1</f>
        <v>0.390305050589038</v>
      </c>
      <c r="F282" s="15" t="n">
        <f aca="false">F281/E281-1</f>
        <v>-0.011322158156432</v>
      </c>
      <c r="G282" s="15" t="n">
        <f aca="false">G281/F281-1</f>
        <v>0.0717039593333066</v>
      </c>
    </row>
    <row r="285" customFormat="false" ht="17.15" hidden="false" customHeight="false" outlineLevel="0" collapsed="false">
      <c r="A285" s="3" t="s">
        <v>803</v>
      </c>
    </row>
    <row r="286" customFormat="false" ht="17.15" hidden="false" customHeight="false" outlineLevel="0" collapsed="false">
      <c r="A286" s="6" t="s">
        <v>24</v>
      </c>
      <c r="B286" s="6" t="s">
        <v>25</v>
      </c>
      <c r="C286" s="13" t="s">
        <v>392</v>
      </c>
      <c r="D286" s="13" t="s">
        <v>438</v>
      </c>
      <c r="E286" s="13" t="s">
        <v>414</v>
      </c>
      <c r="F286" s="13" t="s">
        <v>415</v>
      </c>
      <c r="G286" s="13" t="s">
        <v>416</v>
      </c>
      <c r="H286" s="6" t="s">
        <v>377</v>
      </c>
    </row>
    <row r="287" customFormat="false" ht="17.15" hidden="false" customHeight="false" outlineLevel="0" collapsed="false">
      <c r="A287" s="1" t="s">
        <v>452</v>
      </c>
    </row>
    <row r="288" customFormat="false" ht="17.15" hidden="false" customHeight="false" outlineLevel="0" collapsed="false">
      <c r="A288" s="0" t="s">
        <v>453</v>
      </c>
      <c r="B288" s="5" t="s">
        <v>35</v>
      </c>
      <c r="D288" s="16" t="n">
        <f aca="false">(u_bw_26+u_rb_26+u_ru_26+u_hp_26)*1</f>
        <v>7.6</v>
      </c>
      <c r="E288" s="16" t="n">
        <f aca="false">(u_bw_27+u_rb_27+u_ru_27+u_hp_27)*1</f>
        <v>9.7</v>
      </c>
      <c r="F288" s="16" t="n">
        <f aca="false">(u_bw_28+u_rb_28+u_ru_28+u_hp_28)*um28_A</f>
        <v>9.5</v>
      </c>
      <c r="G288" s="16" t="n">
        <f aca="false">(u_bw_28*(1+g29_bw)+u_rb_28*(1+g29_rb)+u_ru_28*(1+g29_ru)+u_hp_28*(1+g29_hp))*um29_A</f>
        <v>10.6</v>
      </c>
      <c r="H288" s="8" t="s">
        <v>454</v>
      </c>
    </row>
    <row r="289" customFormat="false" ht="17.15" hidden="false" customHeight="false" outlineLevel="0" collapsed="false">
      <c r="A289" s="5" t="s">
        <v>455</v>
      </c>
      <c r="B289" s="5" t="s">
        <v>35</v>
      </c>
      <c r="D289" s="16" t="n">
        <f aca="false">(u_amd_26+u_tpu_26+u_trn_26+u_oth_26)*1</f>
        <v>7.6</v>
      </c>
      <c r="E289" s="16" t="n">
        <f aca="false">(u_amd_27+u_tpu_27+u_trn_27+u_oth_27)*1</f>
        <v>14</v>
      </c>
      <c r="F289" s="16" t="n">
        <f aca="false">(u_amd_28+u_tpu_28+u_trn_28+u_oth_28)*um28_A</f>
        <v>17</v>
      </c>
      <c r="G289" s="16" t="n">
        <f aca="false">(u_amd_28*(1+g29_amd)+u_tpu_28*(1+g29_tpu)+u_trn_28*(1+g29_trn)+u_oth_28*(1+g29_oth))*um29_A</f>
        <v>19.55</v>
      </c>
      <c r="H289" s="8" t="s">
        <v>456</v>
      </c>
    </row>
    <row r="290" customFormat="false" ht="17.15" hidden="false" customHeight="false" outlineLevel="0" collapsed="false">
      <c r="A290" s="5" t="s">
        <v>457</v>
      </c>
      <c r="B290" s="5" t="s">
        <v>35</v>
      </c>
      <c r="D290" s="16" t="n">
        <f aca="false">D288+w_ot_hi*D289</f>
        <v>12.16</v>
      </c>
      <c r="E290" s="16" t="n">
        <f aca="false">E288+w_ot_hi*E289</f>
        <v>18.1</v>
      </c>
      <c r="F290" s="16" t="n">
        <f aca="false">F288+w_ot_hi*F289</f>
        <v>19.7</v>
      </c>
      <c r="G290" s="16" t="n">
        <f aca="false">G288+w_ot_hi*G289</f>
        <v>22.33</v>
      </c>
    </row>
    <row r="291" customFormat="false" ht="17.15" hidden="false" customHeight="false" outlineLevel="0" collapsed="false">
      <c r="A291" s="0" t="s">
        <v>458</v>
      </c>
      <c r="B291" s="0" t="s">
        <v>243</v>
      </c>
      <c r="D291" s="16" t="n">
        <f aca="false">q26_e*ai_e</f>
        <v>243.75</v>
      </c>
      <c r="H291" s="8" t="s">
        <v>459</v>
      </c>
    </row>
    <row r="292" customFormat="false" ht="17.15" hidden="false" customHeight="false" outlineLevel="0" collapsed="false">
      <c r="A292" s="5" t="s">
        <v>460</v>
      </c>
      <c r="B292" s="5" t="s">
        <v>461</v>
      </c>
      <c r="D292" s="14" t="n">
        <f aca="false">D291/D290</f>
        <v>20.0452302631579</v>
      </c>
      <c r="H292" s="8" t="s">
        <v>462</v>
      </c>
    </row>
    <row r="293" customFormat="false" ht="17.15" hidden="false" customHeight="false" outlineLevel="0" collapsed="false">
      <c r="A293" s="5" t="s">
        <v>463</v>
      </c>
      <c r="B293" s="0" t="s">
        <v>147</v>
      </c>
      <c r="D293" s="20" t="n">
        <f aca="false">1</f>
        <v>1</v>
      </c>
      <c r="E293" s="20" t="n">
        <f aca="false">D293*(1+g_asp)</f>
        <v>1.18</v>
      </c>
      <c r="F293" s="20" t="n">
        <f aca="false">E293*(1+g_asp)</f>
        <v>1.3924</v>
      </c>
      <c r="G293" s="20" t="n">
        <f aca="false">F293*(1+g_asp)</f>
        <v>1.643032</v>
      </c>
    </row>
    <row r="294" customFormat="false" ht="17.15" hidden="false" customHeight="false" outlineLevel="0" collapsed="false">
      <c r="A294" s="0" t="s">
        <v>464</v>
      </c>
      <c r="B294" s="0" t="s">
        <v>147</v>
      </c>
      <c r="D294" s="21" t="n">
        <f aca="false">1</f>
        <v>1</v>
      </c>
      <c r="E294" s="21" t="n">
        <f aca="false">rel_27</f>
        <v>0.95</v>
      </c>
      <c r="F294" s="21" t="n">
        <f aca="false">rel_28</f>
        <v>0.88</v>
      </c>
      <c r="G294" s="21" t="n">
        <f aca="false">rel_29</f>
        <v>0.85</v>
      </c>
    </row>
    <row r="295" customFormat="false" ht="17.15" hidden="false" customHeight="false" outlineLevel="0" collapsed="false">
      <c r="A295" s="5" t="s">
        <v>465</v>
      </c>
      <c r="B295" s="0" t="s">
        <v>147</v>
      </c>
      <c r="D295" s="21" t="n">
        <f aca="false">1</f>
        <v>1</v>
      </c>
      <c r="E295" s="21" t="n">
        <f aca="false">pp_27</f>
        <v>1</v>
      </c>
      <c r="F295" s="21" t="n">
        <f aca="false">pp_28</f>
        <v>0.95</v>
      </c>
      <c r="G295" s="21" t="n">
        <f aca="false">pp_29</f>
        <v>0.9</v>
      </c>
    </row>
    <row r="296" customFormat="false" ht="17.15" hidden="false" customHeight="false" outlineLevel="0" collapsed="false">
      <c r="A296" s="0" t="s">
        <v>427</v>
      </c>
      <c r="B296" s="0" t="s">
        <v>243</v>
      </c>
      <c r="D296" s="16" t="n">
        <f aca="false">D291</f>
        <v>243.75</v>
      </c>
      <c r="E296" s="16" t="n">
        <f aca="false">E290*$D$292*E293*E294*E295</f>
        <v>406.7197265625</v>
      </c>
      <c r="F296" s="16" t="n">
        <f aca="false">F290*$D$292*F293*F294*F295</f>
        <v>459.6714890625</v>
      </c>
      <c r="G296" s="16" t="n">
        <f aca="false">G290*$D$292*G293*G294*G295</f>
        <v>562.609718106291</v>
      </c>
    </row>
    <row r="297" customFormat="false" ht="17.15" hidden="false" customHeight="false" outlineLevel="0" collapsed="false">
      <c r="A297" s="1" t="s">
        <v>466</v>
      </c>
    </row>
    <row r="298" customFormat="false" ht="17.15" hidden="false" customHeight="false" outlineLevel="0" collapsed="false">
      <c r="A298" s="5" t="s">
        <v>467</v>
      </c>
      <c r="B298" s="0" t="s">
        <v>243</v>
      </c>
      <c r="D298" s="16" t="n">
        <f aca="false">q26_e-D296</f>
        <v>131.25</v>
      </c>
      <c r="E298" s="16" t="n">
        <f aca="false">D298*(1+g_ne)</f>
        <v>137.8125</v>
      </c>
      <c r="F298" s="16" t="n">
        <f aca="false">E298*(1+g_ne)</f>
        <v>144.703125</v>
      </c>
      <c r="G298" s="16" t="n">
        <f aca="false">F298*(1+g_ne)</f>
        <v>151.93828125</v>
      </c>
    </row>
    <row r="299" customFormat="false" ht="15" hidden="false" customHeight="false" outlineLevel="0" collapsed="false">
      <c r="A299" s="5" t="s">
        <v>468</v>
      </c>
      <c r="B299" s="0" t="s">
        <v>243</v>
      </c>
      <c r="C299" s="16" t="n">
        <f aca="false">q25_e</f>
        <v>243.316</v>
      </c>
      <c r="D299" s="16" t="n">
        <f aca="false">D296+D298</f>
        <v>375</v>
      </c>
      <c r="E299" s="16" t="n">
        <f aca="false">E296+E298</f>
        <v>544.5322265625</v>
      </c>
      <c r="F299" s="16" t="n">
        <f aca="false">F296+F298</f>
        <v>604.3746140625</v>
      </c>
      <c r="G299" s="16" t="n">
        <f aca="false">G296+G298</f>
        <v>714.547999356291</v>
      </c>
    </row>
    <row r="300" customFormat="false" ht="17.15" hidden="false" customHeight="false" outlineLevel="0" collapsed="false">
      <c r="A300" s="0" t="s">
        <v>469</v>
      </c>
      <c r="B300" s="0" t="s">
        <v>47</v>
      </c>
      <c r="D300" s="15" t="n">
        <f aca="false">(q26_eoi-m_ne*D298)/D296</f>
        <v>0.370512820512821</v>
      </c>
      <c r="H300" s="8" t="s">
        <v>470</v>
      </c>
    </row>
    <row r="301" customFormat="false" ht="17.15" hidden="false" customHeight="false" outlineLevel="0" collapsed="false">
      <c r="A301" s="0" t="s">
        <v>471</v>
      </c>
      <c r="B301" s="0" t="s">
        <v>47</v>
      </c>
      <c r="D301" s="15" t="n">
        <f aca="false">D300</f>
        <v>0.370512820512821</v>
      </c>
      <c r="E301" s="15" t="n">
        <f aca="false">1-(1-$D$300)/E295</f>
        <v>0.370512820512821</v>
      </c>
      <c r="F301" s="15" t="n">
        <f aca="false">1-(1-$D$300)/F295</f>
        <v>0.337381916329285</v>
      </c>
      <c r="G301" s="15" t="n">
        <f aca="false">1-(1-$D$300)/G295</f>
        <v>0.300569800569801</v>
      </c>
      <c r="H301" s="8" t="s">
        <v>472</v>
      </c>
    </row>
    <row r="302" customFormat="false" ht="15" hidden="false" customHeight="false" outlineLevel="0" collapsed="false">
      <c r="A302" s="5" t="s">
        <v>473</v>
      </c>
      <c r="B302" s="0" t="s">
        <v>243</v>
      </c>
      <c r="C302" s="16" t="n">
        <f aca="false">q25_eoi</f>
        <v>45.248</v>
      </c>
      <c r="D302" s="16" t="n">
        <f aca="false">D296*D301+D298*m_ne</f>
        <v>110</v>
      </c>
      <c r="E302" s="16" t="n">
        <f aca="false">E296*E301+E298*m_ne</f>
        <v>171.366748046875</v>
      </c>
      <c r="F302" s="16" t="n">
        <f aca="false">F296*F301+F298*m_ne</f>
        <v>176.790316611842</v>
      </c>
      <c r="G302" s="16" t="n">
        <f aca="false">G296*G301+G298*m_ne</f>
        <v>191.89423295734</v>
      </c>
    </row>
    <row r="303" customFormat="false" ht="15" hidden="false" customHeight="false" outlineLevel="0" collapsed="false">
      <c r="A303" s="5" t="s">
        <v>406</v>
      </c>
      <c r="B303" s="0" t="s">
        <v>47</v>
      </c>
      <c r="C303" s="15" t="n">
        <f aca="false">C302/C299</f>
        <v>0.185963931677325</v>
      </c>
      <c r="D303" s="15" t="n">
        <f aca="false">D302/D299</f>
        <v>0.293333333333333</v>
      </c>
      <c r="E303" s="15" t="n">
        <f aca="false">E302/E299</f>
        <v>0.314704510931652</v>
      </c>
      <c r="F303" s="15" t="n">
        <f aca="false">F302/F299</f>
        <v>0.292517773742164</v>
      </c>
      <c r="G303" s="15" t="n">
        <f aca="false">G302/G299</f>
        <v>0.268553313605538</v>
      </c>
    </row>
    <row r="304" customFormat="false" ht="17.15" hidden="false" customHeight="false" outlineLevel="0" collapsed="false">
      <c r="A304" s="1" t="s">
        <v>474</v>
      </c>
    </row>
    <row r="305" customFormat="false" ht="15" hidden="false" customHeight="false" outlineLevel="0" collapsed="false">
      <c r="A305" s="5" t="s">
        <v>475</v>
      </c>
      <c r="B305" s="0" t="s">
        <v>243</v>
      </c>
      <c r="C305" s="16" t="n">
        <f aca="false">q25_cer</f>
        <v>82.554</v>
      </c>
      <c r="D305" s="16" t="n">
        <f aca="false">q26_cer</f>
        <v>84</v>
      </c>
      <c r="E305" s="16" t="n">
        <f aca="false">D305*(1+g_cer)</f>
        <v>84</v>
      </c>
      <c r="F305" s="16" t="n">
        <f aca="false">E305*(1+g_cer)</f>
        <v>84</v>
      </c>
      <c r="G305" s="16" t="n">
        <f aca="false">F305*(1+g_cer)</f>
        <v>84</v>
      </c>
    </row>
    <row r="306" customFormat="false" ht="15" hidden="false" customHeight="false" outlineLevel="0" collapsed="false">
      <c r="A306" s="5" t="s">
        <v>476</v>
      </c>
      <c r="B306" s="0" t="s">
        <v>243</v>
      </c>
      <c r="C306" s="16" t="n">
        <f aca="false">q25_oth</f>
        <v>90.33</v>
      </c>
      <c r="D306" s="16" t="n">
        <f aca="false">q26_oth</f>
        <v>91</v>
      </c>
      <c r="E306" s="16" t="n">
        <f aca="false">D306*(1+g_oth)</f>
        <v>93.73</v>
      </c>
      <c r="F306" s="16" t="n">
        <f aca="false">E306*(1+g_oth)</f>
        <v>96.5419</v>
      </c>
      <c r="G306" s="16" t="n">
        <f aca="false">F306*(1+g_oth)</f>
        <v>99.438157</v>
      </c>
    </row>
    <row r="307" customFormat="false" ht="15" hidden="false" customHeight="false" outlineLevel="0" collapsed="false">
      <c r="A307" s="5" t="s">
        <v>395</v>
      </c>
      <c r="B307" s="0" t="s">
        <v>243</v>
      </c>
      <c r="C307" s="16" t="n">
        <f aca="false">C299+C305+C306</f>
        <v>416.2</v>
      </c>
      <c r="D307" s="16" t="n">
        <f aca="false">D299+D305+D306</f>
        <v>550</v>
      </c>
      <c r="E307" s="16" t="n">
        <f aca="false">E299+E305+E306</f>
        <v>722.2622265625</v>
      </c>
      <c r="F307" s="16" t="n">
        <f aca="false">F299+F305+F306</f>
        <v>784.9165140625</v>
      </c>
      <c r="G307" s="16" t="n">
        <f aca="false">G299+G305+G306</f>
        <v>897.986156356291</v>
      </c>
    </row>
    <row r="308" customFormat="false" ht="17.15" hidden="false" customHeight="false" outlineLevel="0" collapsed="false">
      <c r="A308" s="5" t="s">
        <v>477</v>
      </c>
      <c r="B308" s="0" t="s">
        <v>243</v>
      </c>
      <c r="C308" s="20" t="n">
        <f aca="false">C299+C305+C306-q25_rev</f>
        <v>-0.0010000000000332</v>
      </c>
      <c r="D308" s="20" t="n">
        <f aca="false">D299+D305+D306-q26_rev</f>
        <v>0</v>
      </c>
    </row>
    <row r="309" customFormat="false" ht="15" hidden="false" customHeight="false" outlineLevel="0" collapsed="false">
      <c r="A309" s="5" t="s">
        <v>478</v>
      </c>
      <c r="B309" s="0" t="s">
        <v>47</v>
      </c>
      <c r="D309" s="15" t="n">
        <f aca="false">D307/C307-1</f>
        <v>0.321480057664584</v>
      </c>
      <c r="E309" s="15" t="n">
        <f aca="false">E307/D307-1</f>
        <v>0.313204048295455</v>
      </c>
      <c r="F309" s="15" t="n">
        <f aca="false">F307/E307-1</f>
        <v>0.08674728539826</v>
      </c>
      <c r="G309" s="15" t="n">
        <f aca="false">G307/F307-1</f>
        <v>0.144053081146905</v>
      </c>
    </row>
    <row r="310" customFormat="false" ht="17.15" hidden="false" customHeight="false" outlineLevel="0" collapsed="false">
      <c r="A310" s="0" t="s">
        <v>479</v>
      </c>
      <c r="B310" s="0" t="s">
        <v>47</v>
      </c>
      <c r="D310" s="15" t="n">
        <f aca="false">D296/D307</f>
        <v>0.443181818181818</v>
      </c>
      <c r="E310" s="15" t="n">
        <f aca="false">E296/E307</f>
        <v>0.563119199100612</v>
      </c>
      <c r="F310" s="15" t="n">
        <f aca="false">F296/F307</f>
        <v>0.585631058624788</v>
      </c>
      <c r="G310" s="15" t="n">
        <f aca="false">G296/G307</f>
        <v>0.626523821245933</v>
      </c>
    </row>
    <row r="311" customFormat="false" ht="15" hidden="false" customHeight="false" outlineLevel="0" collapsed="false">
      <c r="A311" s="5" t="s">
        <v>480</v>
      </c>
      <c r="B311" s="0" t="s">
        <v>243</v>
      </c>
      <c r="C311" s="16" t="n">
        <f aca="false">q25_oi-q25_eoi</f>
        <v>16.779</v>
      </c>
      <c r="D311" s="16" t="n">
        <f aca="false">q26_oi-q26_eoi</f>
        <v>17</v>
      </c>
      <c r="E311" s="16" t="n">
        <f aca="false">E305*m_cer+E306*m_oth+q26_adj</f>
        <v>17.24695</v>
      </c>
      <c r="F311" s="16" t="n">
        <f aca="false">F305*m_cer+F306*m_oth+q26_adj</f>
        <v>17.5703185</v>
      </c>
      <c r="G311" s="16" t="n">
        <f aca="false">G305*m_cer+G306*m_oth+q26_adj</f>
        <v>17.903388055</v>
      </c>
    </row>
    <row r="312" customFormat="false" ht="15" hidden="false" customHeight="false" outlineLevel="0" collapsed="false">
      <c r="A312" s="5" t="s">
        <v>400</v>
      </c>
      <c r="B312" s="0" t="s">
        <v>243</v>
      </c>
      <c r="C312" s="16" t="n">
        <f aca="false">C302+C311</f>
        <v>62.027</v>
      </c>
      <c r="D312" s="16" t="n">
        <f aca="false">D302+D311</f>
        <v>127</v>
      </c>
      <c r="E312" s="16" t="n">
        <f aca="false">E302+E311</f>
        <v>188.613698046875</v>
      </c>
      <c r="F312" s="16" t="n">
        <f aca="false">F302+F311</f>
        <v>194.360635111842</v>
      </c>
      <c r="G312" s="16" t="n">
        <f aca="false">G302+G311</f>
        <v>209.79762101234</v>
      </c>
    </row>
    <row r="313" customFormat="false" ht="15" hidden="false" customHeight="false" outlineLevel="0" collapsed="false">
      <c r="A313" s="5" t="s">
        <v>407</v>
      </c>
      <c r="B313" s="0" t="s">
        <v>47</v>
      </c>
      <c r="C313" s="15" t="n">
        <f aca="false">C312/C307</f>
        <v>0.149031715521384</v>
      </c>
      <c r="D313" s="15" t="n">
        <f aca="false">D312/D307</f>
        <v>0.230909090909091</v>
      </c>
      <c r="E313" s="15" t="n">
        <f aca="false">E312/E307</f>
        <v>0.261142963192958</v>
      </c>
      <c r="F313" s="15" t="n">
        <f aca="false">F312/F307</f>
        <v>0.247619500456027</v>
      </c>
      <c r="G313" s="15" t="n">
        <f aca="false">G312/G307</f>
        <v>0.233631242004469</v>
      </c>
    </row>
    <row r="314" customFormat="false" ht="15" hidden="false" customHeight="false" outlineLevel="0" collapsed="false">
      <c r="A314" s="5" t="s">
        <v>402</v>
      </c>
      <c r="B314" s="0" t="s">
        <v>243</v>
      </c>
      <c r="C314" s="16" t="n">
        <f aca="false">q25_ni</f>
        <v>63.713</v>
      </c>
      <c r="D314" s="16" t="n">
        <f aca="false">q26_ni</f>
        <v>84</v>
      </c>
      <c r="E314" s="16" t="n">
        <f aca="false">E312*ni_oi</f>
        <v>124.673654408984</v>
      </c>
      <c r="F314" s="16" t="n">
        <f aca="false">F312*ni_oi</f>
        <v>128.472379808928</v>
      </c>
      <c r="G314" s="16" t="n">
        <f aca="false">G312*ni_oi</f>
        <v>138.676227489157</v>
      </c>
    </row>
    <row r="315" customFormat="false" ht="15" hidden="false" customHeight="false" outlineLevel="0" collapsed="false">
      <c r="A315" s="5" t="s">
        <v>481</v>
      </c>
      <c r="B315" s="5" t="s">
        <v>482</v>
      </c>
      <c r="D315" s="17" t="n">
        <f aca="false">q26_sh</f>
        <v>0.561197220737574</v>
      </c>
      <c r="E315" s="17" t="n">
        <f aca="false">D315*(1+sh_g)</f>
        <v>0.561197220737574</v>
      </c>
      <c r="F315" s="17" t="n">
        <f aca="false">E315*(1+sh_g)</f>
        <v>0.561197220737574</v>
      </c>
      <c r="G315" s="17" t="n">
        <f aca="false">F315*(1+sh_g)</f>
        <v>0.561197220737574</v>
      </c>
    </row>
    <row r="316" customFormat="false" ht="17.15" hidden="false" customHeight="false" outlineLevel="0" collapsed="false">
      <c r="A316" s="0" t="s">
        <v>483</v>
      </c>
      <c r="B316" s="0" t="s">
        <v>268</v>
      </c>
      <c r="C316" s="16" t="n">
        <f aca="false">q25_eps</f>
        <v>114.08</v>
      </c>
      <c r="D316" s="16" t="n">
        <f aca="false">D314/D315</f>
        <v>149.68</v>
      </c>
      <c r="E316" s="16" t="n">
        <f aca="false">E314/E315</f>
        <v>222.156578475438</v>
      </c>
      <c r="F316" s="16" t="n">
        <f aca="false">F314/F315</f>
        <v>228.925545354765</v>
      </c>
      <c r="G316" s="16" t="n">
        <f aca="false">G314/G315</f>
        <v>247.107830125916</v>
      </c>
    </row>
    <row r="317" customFormat="false" ht="17.15" hidden="false" customHeight="false" outlineLevel="0" collapsed="false">
      <c r="A317" s="0" t="s">
        <v>484</v>
      </c>
      <c r="B317" s="0" t="s">
        <v>47</v>
      </c>
      <c r="D317" s="15" t="n">
        <f aca="false">D316/C316-1</f>
        <v>0.312061711079944</v>
      </c>
      <c r="E317" s="15" t="n">
        <f aca="false">E316/D316-1</f>
        <v>0.484210171535528</v>
      </c>
      <c r="F317" s="15" t="n">
        <f aca="false">F316/E316-1</f>
        <v>0.0304693515077512</v>
      </c>
      <c r="G317" s="15" t="n">
        <f aca="false">G316/F316-1</f>
        <v>0.0794244466818836</v>
      </c>
    </row>
    <row r="320" customFormat="false" ht="17.15" hidden="false" customHeight="false" outlineLevel="0" collapsed="false">
      <c r="A320" s="3" t="s">
        <v>804</v>
      </c>
    </row>
    <row r="321" customFormat="false" ht="17.15" hidden="false" customHeight="false" outlineLevel="0" collapsed="false">
      <c r="A321" s="6" t="s">
        <v>24</v>
      </c>
      <c r="B321" s="6" t="s">
        <v>25</v>
      </c>
      <c r="C321" s="13" t="s">
        <v>392</v>
      </c>
      <c r="D321" s="13" t="s">
        <v>438</v>
      </c>
      <c r="E321" s="13" t="s">
        <v>414</v>
      </c>
      <c r="F321" s="13" t="s">
        <v>415</v>
      </c>
      <c r="G321" s="13" t="s">
        <v>416</v>
      </c>
      <c r="H321" s="6" t="s">
        <v>377</v>
      </c>
    </row>
    <row r="322" customFormat="false" ht="17.15" hidden="false" customHeight="false" outlineLevel="0" collapsed="false">
      <c r="A322" s="1" t="s">
        <v>452</v>
      </c>
    </row>
    <row r="323" customFormat="false" ht="17.15" hidden="false" customHeight="false" outlineLevel="0" collapsed="false">
      <c r="A323" s="0" t="s">
        <v>453</v>
      </c>
      <c r="B323" s="5" t="s">
        <v>35</v>
      </c>
      <c r="D323" s="16" t="n">
        <f aca="false">(u_bw_26+u_rb_26+u_ru_26+u_hp_26)*1</f>
        <v>7.6</v>
      </c>
      <c r="E323" s="16" t="n">
        <f aca="false">(u_bw_27+u_rb_27+u_ru_27+u_hp_27)*1</f>
        <v>9.7</v>
      </c>
      <c r="F323" s="16" t="n">
        <f aca="false">(u_bw_28+u_rb_28+u_ru_28+u_hp_28)*um28_A</f>
        <v>9.5</v>
      </c>
      <c r="G323" s="16" t="n">
        <f aca="false">(u_bw_28*(1+g29_bw)+u_rb_28*(1+g29_rb)+u_ru_28*(1+g29_ru)+u_hp_28*(1+g29_hp))*um29_A</f>
        <v>10.6</v>
      </c>
      <c r="H323" s="8" t="s">
        <v>454</v>
      </c>
    </row>
    <row r="324" customFormat="false" ht="17.15" hidden="false" customHeight="false" outlineLevel="0" collapsed="false">
      <c r="A324" s="5" t="s">
        <v>455</v>
      </c>
      <c r="B324" s="5" t="s">
        <v>35</v>
      </c>
      <c r="D324" s="16" t="n">
        <f aca="false">(u_amd_26+u_tpu_26+u_trn_26+u_oth_26)*1</f>
        <v>7.6</v>
      </c>
      <c r="E324" s="16" t="n">
        <f aca="false">(u_amd_27+u_tpu_27+u_trn_27+u_oth_27)*1</f>
        <v>14</v>
      </c>
      <c r="F324" s="16" t="n">
        <f aca="false">(u_amd_28+u_tpu_28+u_trn_28+u_oth_28)*um28_A</f>
        <v>17</v>
      </c>
      <c r="G324" s="16" t="n">
        <f aca="false">(u_amd_28*(1+g29_amd)+u_tpu_28*(1+g29_tpu)+u_trn_28*(1+g29_trn)+u_oth_28*(1+g29_oth))*um29_A</f>
        <v>19.55</v>
      </c>
      <c r="H324" s="8" t="s">
        <v>456</v>
      </c>
    </row>
    <row r="325" customFormat="false" ht="17.15" hidden="false" customHeight="false" outlineLevel="0" collapsed="false">
      <c r="A325" s="5" t="s">
        <v>457</v>
      </c>
      <c r="B325" s="5" t="s">
        <v>35</v>
      </c>
      <c r="D325" s="16" t="n">
        <f aca="false">D323+w_ot*D324</f>
        <v>10.64</v>
      </c>
      <c r="E325" s="16" t="n">
        <f aca="false">E323+w_ot*E324</f>
        <v>15.3</v>
      </c>
      <c r="F325" s="16" t="n">
        <f aca="false">F323+w_ot*F324</f>
        <v>16.3</v>
      </c>
      <c r="G325" s="16" t="n">
        <f aca="false">G323+w_ot*G324</f>
        <v>18.42</v>
      </c>
    </row>
    <row r="326" customFormat="false" ht="17.15" hidden="false" customHeight="false" outlineLevel="0" collapsed="false">
      <c r="A326" s="0" t="s">
        <v>458</v>
      </c>
      <c r="B326" s="0" t="s">
        <v>243</v>
      </c>
      <c r="D326" s="16" t="n">
        <f aca="false">q26_e*ai_e_lo</f>
        <v>206.25</v>
      </c>
      <c r="H326" s="8" t="s">
        <v>459</v>
      </c>
    </row>
    <row r="327" customFormat="false" ht="17.15" hidden="false" customHeight="false" outlineLevel="0" collapsed="false">
      <c r="A327" s="5" t="s">
        <v>460</v>
      </c>
      <c r="B327" s="5" t="s">
        <v>461</v>
      </c>
      <c r="D327" s="14" t="n">
        <f aca="false">D326/D325</f>
        <v>19.3843984962406</v>
      </c>
      <c r="H327" s="8" t="s">
        <v>462</v>
      </c>
    </row>
    <row r="328" customFormat="false" ht="17.15" hidden="false" customHeight="false" outlineLevel="0" collapsed="false">
      <c r="A328" s="5" t="s">
        <v>463</v>
      </c>
      <c r="B328" s="0" t="s">
        <v>147</v>
      </c>
      <c r="D328" s="20" t="n">
        <f aca="false">1</f>
        <v>1</v>
      </c>
      <c r="E328" s="20" t="n">
        <f aca="false">D328*(1+g_asp)</f>
        <v>1.18</v>
      </c>
      <c r="F328" s="20" t="n">
        <f aca="false">E328*(1+g_asp)</f>
        <v>1.3924</v>
      </c>
      <c r="G328" s="20" t="n">
        <f aca="false">F328*(1+g_asp)</f>
        <v>1.643032</v>
      </c>
    </row>
    <row r="329" customFormat="false" ht="17.15" hidden="false" customHeight="false" outlineLevel="0" collapsed="false">
      <c r="A329" s="0" t="s">
        <v>464</v>
      </c>
      <c r="B329" s="0" t="s">
        <v>147</v>
      </c>
      <c r="D329" s="21" t="n">
        <f aca="false">1</f>
        <v>1</v>
      </c>
      <c r="E329" s="21" t="n">
        <f aca="false">rel_27</f>
        <v>0.95</v>
      </c>
      <c r="F329" s="21" t="n">
        <f aca="false">rel_28</f>
        <v>0.88</v>
      </c>
      <c r="G329" s="21" t="n">
        <f aca="false">rel_29</f>
        <v>0.85</v>
      </c>
    </row>
    <row r="330" customFormat="false" ht="17.15" hidden="false" customHeight="false" outlineLevel="0" collapsed="false">
      <c r="A330" s="5" t="s">
        <v>465</v>
      </c>
      <c r="B330" s="0" t="s">
        <v>147</v>
      </c>
      <c r="D330" s="21" t="n">
        <f aca="false">1</f>
        <v>1</v>
      </c>
      <c r="E330" s="21" t="n">
        <f aca="false">pp_27</f>
        <v>1</v>
      </c>
      <c r="F330" s="21" t="n">
        <f aca="false">pp_28</f>
        <v>0.95</v>
      </c>
      <c r="G330" s="21" t="n">
        <f aca="false">pp_29</f>
        <v>0.9</v>
      </c>
    </row>
    <row r="331" customFormat="false" ht="17.15" hidden="false" customHeight="false" outlineLevel="0" collapsed="false">
      <c r="A331" s="0" t="s">
        <v>427</v>
      </c>
      <c r="B331" s="0" t="s">
        <v>243</v>
      </c>
      <c r="D331" s="16" t="n">
        <f aca="false">D326</f>
        <v>206.25</v>
      </c>
      <c r="E331" s="16" t="n">
        <f aca="false">E325*$D$327*E328*E329*E330</f>
        <v>332.467633928571</v>
      </c>
      <c r="F331" s="16" t="n">
        <f aca="false">F325*$D$327*F328*F329*F330</f>
        <v>367.798730357143</v>
      </c>
      <c r="G331" s="16" t="n">
        <f aca="false">G325*$D$327*G328*G329*G330</f>
        <v>448.796449196898</v>
      </c>
    </row>
    <row r="332" customFormat="false" ht="17.15" hidden="false" customHeight="false" outlineLevel="0" collapsed="false">
      <c r="A332" s="1" t="s">
        <v>466</v>
      </c>
    </row>
    <row r="333" customFormat="false" ht="17.15" hidden="false" customHeight="false" outlineLevel="0" collapsed="false">
      <c r="A333" s="5" t="s">
        <v>467</v>
      </c>
      <c r="B333" s="0" t="s">
        <v>243</v>
      </c>
      <c r="D333" s="16" t="n">
        <f aca="false">q26_e-D331</f>
        <v>168.75</v>
      </c>
      <c r="E333" s="16" t="n">
        <f aca="false">D333*(1+g_ne)</f>
        <v>177.1875</v>
      </c>
      <c r="F333" s="16" t="n">
        <f aca="false">E333*(1+g_ne)</f>
        <v>186.046875</v>
      </c>
      <c r="G333" s="16" t="n">
        <f aca="false">F333*(1+g_ne)</f>
        <v>195.34921875</v>
      </c>
    </row>
    <row r="334" customFormat="false" ht="15" hidden="false" customHeight="false" outlineLevel="0" collapsed="false">
      <c r="A334" s="5" t="s">
        <v>468</v>
      </c>
      <c r="B334" s="0" t="s">
        <v>243</v>
      </c>
      <c r="C334" s="16" t="n">
        <f aca="false">q25_e</f>
        <v>243.316</v>
      </c>
      <c r="D334" s="16" t="n">
        <f aca="false">D331+D333</f>
        <v>375</v>
      </c>
      <c r="E334" s="16" t="n">
        <f aca="false">E331+E333</f>
        <v>509.655133928571</v>
      </c>
      <c r="F334" s="16" t="n">
        <f aca="false">F331+F333</f>
        <v>553.845605357143</v>
      </c>
      <c r="G334" s="16" t="n">
        <f aca="false">G331+G333</f>
        <v>644.145667946898</v>
      </c>
    </row>
    <row r="335" customFormat="false" ht="17.15" hidden="false" customHeight="false" outlineLevel="0" collapsed="false">
      <c r="A335" s="0" t="s">
        <v>469</v>
      </c>
      <c r="B335" s="0" t="s">
        <v>47</v>
      </c>
      <c r="D335" s="15" t="n">
        <f aca="false">(q26_eoi-m_ne*D333)/D331</f>
        <v>0.410606060606061</v>
      </c>
      <c r="H335" s="8" t="s">
        <v>470</v>
      </c>
    </row>
    <row r="336" customFormat="false" ht="17.15" hidden="false" customHeight="false" outlineLevel="0" collapsed="false">
      <c r="A336" s="0" t="s">
        <v>471</v>
      </c>
      <c r="B336" s="0" t="s">
        <v>47</v>
      </c>
      <c r="D336" s="15" t="n">
        <f aca="false">D335</f>
        <v>0.410606060606061</v>
      </c>
      <c r="E336" s="15" t="n">
        <f aca="false">1-(1-$D$335)/E330</f>
        <v>0.410606060606061</v>
      </c>
      <c r="F336" s="15" t="n">
        <f aca="false">1-(1-$D$335)/F330</f>
        <v>0.379585326953748</v>
      </c>
      <c r="G336" s="15" t="n">
        <f aca="false">1-(1-$D$335)/G330</f>
        <v>0.345117845117845</v>
      </c>
      <c r="H336" s="8" t="s">
        <v>472</v>
      </c>
    </row>
    <row r="337" customFormat="false" ht="15" hidden="false" customHeight="false" outlineLevel="0" collapsed="false">
      <c r="A337" s="5" t="s">
        <v>473</v>
      </c>
      <c r="B337" s="0" t="s">
        <v>243</v>
      </c>
      <c r="C337" s="16" t="n">
        <f aca="false">q25_eoi</f>
        <v>45.248</v>
      </c>
      <c r="D337" s="16" t="n">
        <f aca="false">D331*D336+D333*m_ne</f>
        <v>110</v>
      </c>
      <c r="E337" s="16" t="n">
        <f aca="false">E331*E336+E333*m_ne</f>
        <v>163.091350446429</v>
      </c>
      <c r="F337" s="16" t="n">
        <f aca="false">F331*F336+F333*m_ne</f>
        <v>167.518032565789</v>
      </c>
      <c r="G337" s="16" t="n">
        <f aca="false">G331*G336+G333*m_ne</f>
        <v>184.190046255874</v>
      </c>
    </row>
    <row r="338" customFormat="false" ht="15" hidden="false" customHeight="false" outlineLevel="0" collapsed="false">
      <c r="A338" s="5" t="s">
        <v>406</v>
      </c>
      <c r="B338" s="0" t="s">
        <v>47</v>
      </c>
      <c r="C338" s="15" t="n">
        <f aca="false">C337/C334</f>
        <v>0.185963931677325</v>
      </c>
      <c r="D338" s="15" t="n">
        <f aca="false">D337/D334</f>
        <v>0.293333333333333</v>
      </c>
      <c r="E338" s="15" t="n">
        <f aca="false">E337/E334</f>
        <v>0.320003350479907</v>
      </c>
      <c r="F338" s="15" t="n">
        <f aca="false">F337/F334</f>
        <v>0.302463413892698</v>
      </c>
      <c r="G338" s="15" t="n">
        <f aca="false">G337/G334</f>
        <v>0.285944710057505</v>
      </c>
    </row>
    <row r="339" customFormat="false" ht="17.15" hidden="false" customHeight="false" outlineLevel="0" collapsed="false">
      <c r="A339" s="1" t="s">
        <v>474</v>
      </c>
    </row>
    <row r="340" customFormat="false" ht="15" hidden="false" customHeight="false" outlineLevel="0" collapsed="false">
      <c r="A340" s="5" t="s">
        <v>475</v>
      </c>
      <c r="B340" s="0" t="s">
        <v>243</v>
      </c>
      <c r="C340" s="16" t="n">
        <f aca="false">q25_cer</f>
        <v>82.554</v>
      </c>
      <c r="D340" s="16" t="n">
        <f aca="false">q26_cer</f>
        <v>84</v>
      </c>
      <c r="E340" s="16" t="n">
        <f aca="false">D340*(1+g_cer)</f>
        <v>84</v>
      </c>
      <c r="F340" s="16" t="n">
        <f aca="false">E340*(1+g_cer)</f>
        <v>84</v>
      </c>
      <c r="G340" s="16" t="n">
        <f aca="false">F340*(1+g_cer)</f>
        <v>84</v>
      </c>
    </row>
    <row r="341" customFormat="false" ht="15" hidden="false" customHeight="false" outlineLevel="0" collapsed="false">
      <c r="A341" s="5" t="s">
        <v>476</v>
      </c>
      <c r="B341" s="0" t="s">
        <v>243</v>
      </c>
      <c r="C341" s="16" t="n">
        <f aca="false">q25_oth</f>
        <v>90.33</v>
      </c>
      <c r="D341" s="16" t="n">
        <f aca="false">q26_oth</f>
        <v>91</v>
      </c>
      <c r="E341" s="16" t="n">
        <f aca="false">D341*(1+g_oth)</f>
        <v>93.73</v>
      </c>
      <c r="F341" s="16" t="n">
        <f aca="false">E341*(1+g_oth)</f>
        <v>96.5419</v>
      </c>
      <c r="G341" s="16" t="n">
        <f aca="false">F341*(1+g_oth)</f>
        <v>99.438157</v>
      </c>
    </row>
    <row r="342" customFormat="false" ht="15" hidden="false" customHeight="false" outlineLevel="0" collapsed="false">
      <c r="A342" s="5" t="s">
        <v>395</v>
      </c>
      <c r="B342" s="0" t="s">
        <v>243</v>
      </c>
      <c r="C342" s="16" t="n">
        <f aca="false">C334+C340+C341</f>
        <v>416.2</v>
      </c>
      <c r="D342" s="16" t="n">
        <f aca="false">D334+D340+D341</f>
        <v>550</v>
      </c>
      <c r="E342" s="16" t="n">
        <f aca="false">E334+E340+E341</f>
        <v>687.385133928572</v>
      </c>
      <c r="F342" s="16" t="n">
        <f aca="false">F334+F340+F341</f>
        <v>734.387505357143</v>
      </c>
      <c r="G342" s="16" t="n">
        <f aca="false">G334+G340+G341</f>
        <v>827.583824946898</v>
      </c>
    </row>
    <row r="343" customFormat="false" ht="17.15" hidden="false" customHeight="false" outlineLevel="0" collapsed="false">
      <c r="A343" s="5" t="s">
        <v>477</v>
      </c>
      <c r="B343" s="0" t="s">
        <v>243</v>
      </c>
      <c r="C343" s="20" t="n">
        <f aca="false">C334+C340+C341-q25_rev</f>
        <v>-0.0010000000000332</v>
      </c>
      <c r="D343" s="20" t="n">
        <f aca="false">D334+D340+D341-q26_rev</f>
        <v>0</v>
      </c>
    </row>
    <row r="344" customFormat="false" ht="15" hidden="false" customHeight="false" outlineLevel="0" collapsed="false">
      <c r="A344" s="5" t="s">
        <v>478</v>
      </c>
      <c r="B344" s="0" t="s">
        <v>47</v>
      </c>
      <c r="D344" s="15" t="n">
        <f aca="false">D342/C342-1</f>
        <v>0.321480057664584</v>
      </c>
      <c r="E344" s="15" t="n">
        <f aca="false">E342/D342-1</f>
        <v>0.249791152597403</v>
      </c>
      <c r="F344" s="15" t="n">
        <f aca="false">F342/E342-1</f>
        <v>0.0683785102536938</v>
      </c>
      <c r="G344" s="15" t="n">
        <f aca="false">G342/F342-1</f>
        <v>0.126903465690682</v>
      </c>
    </row>
    <row r="345" customFormat="false" ht="17.15" hidden="false" customHeight="false" outlineLevel="0" collapsed="false">
      <c r="A345" s="0" t="s">
        <v>479</v>
      </c>
      <c r="B345" s="0" t="s">
        <v>47</v>
      </c>
      <c r="D345" s="15" t="n">
        <f aca="false">D331/D342</f>
        <v>0.375</v>
      </c>
      <c r="E345" s="15" t="n">
        <f aca="false">E331/E342</f>
        <v>0.483670096308948</v>
      </c>
      <c r="F345" s="15" t="n">
        <f aca="false">F331/F342</f>
        <v>0.500823785364209</v>
      </c>
      <c r="G345" s="15" t="n">
        <f aca="false">G331/G342</f>
        <v>0.54229727028038</v>
      </c>
    </row>
    <row r="346" customFormat="false" ht="15" hidden="false" customHeight="false" outlineLevel="0" collapsed="false">
      <c r="A346" s="5" t="s">
        <v>480</v>
      </c>
      <c r="B346" s="0" t="s">
        <v>243</v>
      </c>
      <c r="C346" s="16" t="n">
        <f aca="false">q25_oi-q25_eoi</f>
        <v>16.779</v>
      </c>
      <c r="D346" s="16" t="n">
        <f aca="false">q26_oi-q26_eoi</f>
        <v>17</v>
      </c>
      <c r="E346" s="16" t="n">
        <f aca="false">E340*m_cer+E341*m_oth+q26_adj</f>
        <v>17.24695</v>
      </c>
      <c r="F346" s="16" t="n">
        <f aca="false">F340*m_cer+F341*m_oth+q26_adj</f>
        <v>17.5703185</v>
      </c>
      <c r="G346" s="16" t="n">
        <f aca="false">G340*m_cer+G341*m_oth+q26_adj</f>
        <v>17.903388055</v>
      </c>
    </row>
    <row r="347" customFormat="false" ht="15" hidden="false" customHeight="false" outlineLevel="0" collapsed="false">
      <c r="A347" s="5" t="s">
        <v>400</v>
      </c>
      <c r="B347" s="0" t="s">
        <v>243</v>
      </c>
      <c r="C347" s="16" t="n">
        <f aca="false">C337+C346</f>
        <v>62.027</v>
      </c>
      <c r="D347" s="16" t="n">
        <f aca="false">D337+D346</f>
        <v>127</v>
      </c>
      <c r="E347" s="16" t="n">
        <f aca="false">E337+E346</f>
        <v>180.338300446429</v>
      </c>
      <c r="F347" s="16" t="n">
        <f aca="false">F337+F346</f>
        <v>185.088351065789</v>
      </c>
      <c r="G347" s="16" t="n">
        <f aca="false">G337+G346</f>
        <v>202.093434310874</v>
      </c>
    </row>
    <row r="348" customFormat="false" ht="15" hidden="false" customHeight="false" outlineLevel="0" collapsed="false">
      <c r="A348" s="5" t="s">
        <v>407</v>
      </c>
      <c r="B348" s="0" t="s">
        <v>47</v>
      </c>
      <c r="C348" s="15" t="n">
        <f aca="false">C347/C342</f>
        <v>0.149031715521384</v>
      </c>
      <c r="D348" s="15" t="n">
        <f aca="false">D347/D342</f>
        <v>0.230909090909091</v>
      </c>
      <c r="E348" s="15" t="n">
        <f aca="false">E347/E342</f>
        <v>0.262354088770806</v>
      </c>
      <c r="F348" s="15" t="n">
        <f aca="false">F347/F342</f>
        <v>0.252030909724939</v>
      </c>
      <c r="G348" s="15" t="n">
        <f aca="false">G347/G342</f>
        <v>0.244196935970615</v>
      </c>
    </row>
    <row r="349" customFormat="false" ht="15" hidden="false" customHeight="false" outlineLevel="0" collapsed="false">
      <c r="A349" s="5" t="s">
        <v>402</v>
      </c>
      <c r="B349" s="0" t="s">
        <v>243</v>
      </c>
      <c r="C349" s="16" t="n">
        <f aca="false">q25_ni</f>
        <v>63.713</v>
      </c>
      <c r="D349" s="16" t="n">
        <f aca="false">q26_ni</f>
        <v>84</v>
      </c>
      <c r="E349" s="16" t="n">
        <f aca="false">E347*ni_oi</f>
        <v>119.203616595089</v>
      </c>
      <c r="F349" s="16" t="n">
        <f aca="false">F347*ni_oi</f>
        <v>122.343400054487</v>
      </c>
      <c r="G349" s="16" t="n">
        <f aca="false">G347*ni_oi</f>
        <v>133.583760079488</v>
      </c>
    </row>
    <row r="350" customFormat="false" ht="15" hidden="false" customHeight="false" outlineLevel="0" collapsed="false">
      <c r="A350" s="5" t="s">
        <v>481</v>
      </c>
      <c r="B350" s="5" t="s">
        <v>482</v>
      </c>
      <c r="D350" s="17" t="n">
        <f aca="false">q26_sh</f>
        <v>0.561197220737574</v>
      </c>
      <c r="E350" s="17" t="n">
        <f aca="false">D350*(1+sh_g)</f>
        <v>0.561197220737574</v>
      </c>
      <c r="F350" s="17" t="n">
        <f aca="false">E350*(1+sh_g)</f>
        <v>0.561197220737574</v>
      </c>
      <c r="G350" s="17" t="n">
        <f aca="false">F350*(1+sh_g)</f>
        <v>0.561197220737574</v>
      </c>
    </row>
    <row r="351" customFormat="false" ht="17.15" hidden="false" customHeight="false" outlineLevel="0" collapsed="false">
      <c r="A351" s="0" t="s">
        <v>483</v>
      </c>
      <c r="B351" s="0" t="s">
        <v>268</v>
      </c>
      <c r="C351" s="16" t="n">
        <f aca="false">q25_eps</f>
        <v>114.08</v>
      </c>
      <c r="D351" s="16" t="n">
        <f aca="false">D349/D350</f>
        <v>149.68</v>
      </c>
      <c r="E351" s="16" t="n">
        <f aca="false">E349/E350</f>
        <v>212.409492047059</v>
      </c>
      <c r="F351" s="16" t="n">
        <f aca="false">F349/F350</f>
        <v>218.004287144709</v>
      </c>
      <c r="G351" s="16" t="n">
        <f aca="false">G349/G350</f>
        <v>238.033538198782</v>
      </c>
    </row>
    <row r="352" customFormat="false" ht="17.15" hidden="false" customHeight="false" outlineLevel="0" collapsed="false">
      <c r="A352" s="0" t="s">
        <v>484</v>
      </c>
      <c r="B352" s="0" t="s">
        <v>47</v>
      </c>
      <c r="D352" s="15" t="n">
        <f aca="false">D351/C351-1</f>
        <v>0.312061711079944</v>
      </c>
      <c r="E352" s="15" t="n">
        <f aca="false">E351/D351-1</f>
        <v>0.419090673751063</v>
      </c>
      <c r="F352" s="15" t="n">
        <f aca="false">F351/E351-1</f>
        <v>0.0263396661031081</v>
      </c>
      <c r="G352" s="15" t="n">
        <f aca="false">G351/F351-1</f>
        <v>0.0918754916080056</v>
      </c>
    </row>
    <row r="355" customFormat="false" ht="17.15" hidden="false" customHeight="false" outlineLevel="0" collapsed="false">
      <c r="A355" s="3" t="s">
        <v>805</v>
      </c>
    </row>
    <row r="356" customFormat="false" ht="17.15" hidden="false" customHeight="false" outlineLevel="0" collapsed="false">
      <c r="A356" s="6" t="s">
        <v>24</v>
      </c>
      <c r="B356" s="6" t="s">
        <v>25</v>
      </c>
      <c r="C356" s="13" t="s">
        <v>392</v>
      </c>
      <c r="D356" s="13" t="s">
        <v>438</v>
      </c>
      <c r="E356" s="13" t="s">
        <v>414</v>
      </c>
      <c r="F356" s="13" t="s">
        <v>415</v>
      </c>
      <c r="G356" s="13" t="s">
        <v>416</v>
      </c>
      <c r="H356" s="6" t="s">
        <v>377</v>
      </c>
    </row>
    <row r="357" customFormat="false" ht="17.15" hidden="false" customHeight="false" outlineLevel="0" collapsed="false">
      <c r="A357" s="1" t="s">
        <v>452</v>
      </c>
    </row>
    <row r="358" customFormat="false" ht="17.15" hidden="false" customHeight="false" outlineLevel="0" collapsed="false">
      <c r="A358" s="0" t="s">
        <v>453</v>
      </c>
      <c r="B358" s="5" t="s">
        <v>35</v>
      </c>
      <c r="D358" s="16" t="n">
        <f aca="false">(u_bw_26+u_rb_26+u_ru_26+u_hp_26)*1</f>
        <v>7.6</v>
      </c>
      <c r="E358" s="16" t="n">
        <f aca="false">(u_bw_27+u_rb_27+u_ru_27+u_hp_27)*1</f>
        <v>9.7</v>
      </c>
      <c r="F358" s="16" t="n">
        <f aca="false">(u_bw_28+u_rb_28+u_ru_28+u_hp_28)*um28_A</f>
        <v>9.5</v>
      </c>
      <c r="G358" s="16" t="n">
        <f aca="false">(u_bw_28*(1+g29_bw)+u_rb_28*(1+g29_rb)+u_ru_28*(1+g29_ru)+u_hp_28*(1+g29_hp))*um29_A</f>
        <v>10.6</v>
      </c>
      <c r="H358" s="8" t="s">
        <v>454</v>
      </c>
    </row>
    <row r="359" customFormat="false" ht="17.15" hidden="false" customHeight="false" outlineLevel="0" collapsed="false">
      <c r="A359" s="5" t="s">
        <v>455</v>
      </c>
      <c r="B359" s="5" t="s">
        <v>35</v>
      </c>
      <c r="D359" s="16" t="n">
        <f aca="false">(u_amd_26+u_tpu_26+u_trn_26+u_oth_26)*1</f>
        <v>7.6</v>
      </c>
      <c r="E359" s="16" t="n">
        <f aca="false">(u_amd_27+u_tpu_27+u_trn_27+u_oth_27)*1</f>
        <v>14</v>
      </c>
      <c r="F359" s="16" t="n">
        <f aca="false">(u_amd_28+u_tpu_28+u_trn_28+u_oth_28)*um28_A</f>
        <v>17</v>
      </c>
      <c r="G359" s="16" t="n">
        <f aca="false">(u_amd_28*(1+g29_amd)+u_tpu_28*(1+g29_tpu)+u_trn_28*(1+g29_trn)+u_oth_28*(1+g29_oth))*um29_A</f>
        <v>19.55</v>
      </c>
      <c r="H359" s="8" t="s">
        <v>456</v>
      </c>
    </row>
    <row r="360" customFormat="false" ht="17.15" hidden="false" customHeight="false" outlineLevel="0" collapsed="false">
      <c r="A360" s="5" t="s">
        <v>457</v>
      </c>
      <c r="B360" s="5" t="s">
        <v>35</v>
      </c>
      <c r="D360" s="16" t="n">
        <f aca="false">D358+w_ot*D359</f>
        <v>10.64</v>
      </c>
      <c r="E360" s="16" t="n">
        <f aca="false">E358+w_ot*E359</f>
        <v>15.3</v>
      </c>
      <c r="F360" s="16" t="n">
        <f aca="false">F358+w_ot*F359</f>
        <v>16.3</v>
      </c>
      <c r="G360" s="16" t="n">
        <f aca="false">G358+w_ot*G359</f>
        <v>18.42</v>
      </c>
    </row>
    <row r="361" customFormat="false" ht="17.15" hidden="false" customHeight="false" outlineLevel="0" collapsed="false">
      <c r="A361" s="0" t="s">
        <v>458</v>
      </c>
      <c r="B361" s="0" t="s">
        <v>243</v>
      </c>
      <c r="D361" s="16" t="n">
        <f aca="false">q26_e*ai_e_hi</f>
        <v>281.25</v>
      </c>
      <c r="H361" s="8" t="s">
        <v>459</v>
      </c>
    </row>
    <row r="362" customFormat="false" ht="17.15" hidden="false" customHeight="false" outlineLevel="0" collapsed="false">
      <c r="A362" s="5" t="s">
        <v>460</v>
      </c>
      <c r="B362" s="5" t="s">
        <v>461</v>
      </c>
      <c r="D362" s="14" t="n">
        <f aca="false">D361/D360</f>
        <v>26.4332706766917</v>
      </c>
      <c r="H362" s="8" t="s">
        <v>462</v>
      </c>
    </row>
    <row r="363" customFormat="false" ht="17.15" hidden="false" customHeight="false" outlineLevel="0" collapsed="false">
      <c r="A363" s="5" t="s">
        <v>463</v>
      </c>
      <c r="B363" s="0" t="s">
        <v>147</v>
      </c>
      <c r="D363" s="20" t="n">
        <f aca="false">1</f>
        <v>1</v>
      </c>
      <c r="E363" s="20" t="n">
        <f aca="false">D363*(1+g_asp)</f>
        <v>1.18</v>
      </c>
      <c r="F363" s="20" t="n">
        <f aca="false">E363*(1+g_asp)</f>
        <v>1.3924</v>
      </c>
      <c r="G363" s="20" t="n">
        <f aca="false">F363*(1+g_asp)</f>
        <v>1.643032</v>
      </c>
    </row>
    <row r="364" customFormat="false" ht="17.15" hidden="false" customHeight="false" outlineLevel="0" collapsed="false">
      <c r="A364" s="0" t="s">
        <v>464</v>
      </c>
      <c r="B364" s="0" t="s">
        <v>147</v>
      </c>
      <c r="D364" s="21" t="n">
        <f aca="false">1</f>
        <v>1</v>
      </c>
      <c r="E364" s="21" t="n">
        <f aca="false">rel_27</f>
        <v>0.95</v>
      </c>
      <c r="F364" s="21" t="n">
        <f aca="false">rel_28</f>
        <v>0.88</v>
      </c>
      <c r="G364" s="21" t="n">
        <f aca="false">rel_29</f>
        <v>0.85</v>
      </c>
    </row>
    <row r="365" customFormat="false" ht="17.15" hidden="false" customHeight="false" outlineLevel="0" collapsed="false">
      <c r="A365" s="5" t="s">
        <v>465</v>
      </c>
      <c r="B365" s="0" t="s">
        <v>147</v>
      </c>
      <c r="D365" s="21" t="n">
        <f aca="false">1</f>
        <v>1</v>
      </c>
      <c r="E365" s="21" t="n">
        <f aca="false">pp_27</f>
        <v>1</v>
      </c>
      <c r="F365" s="21" t="n">
        <f aca="false">pp_28</f>
        <v>0.95</v>
      </c>
      <c r="G365" s="21" t="n">
        <f aca="false">pp_29</f>
        <v>0.9</v>
      </c>
    </row>
    <row r="366" customFormat="false" ht="17.15" hidden="false" customHeight="false" outlineLevel="0" collapsed="false">
      <c r="A366" s="0" t="s">
        <v>427</v>
      </c>
      <c r="B366" s="0" t="s">
        <v>243</v>
      </c>
      <c r="D366" s="16" t="n">
        <f aca="false">D361</f>
        <v>281.25</v>
      </c>
      <c r="E366" s="16" t="n">
        <f aca="false">E360*$D$362*E363*E364*E365</f>
        <v>453.364955357143</v>
      </c>
      <c r="F366" s="16" t="n">
        <f aca="false">F360*$D$362*F363*F364*F365</f>
        <v>501.543723214286</v>
      </c>
      <c r="G366" s="16" t="n">
        <f aca="false">G360*$D$362*G363*G364*G365</f>
        <v>611.995157995771</v>
      </c>
    </row>
    <row r="367" customFormat="false" ht="17.15" hidden="false" customHeight="false" outlineLevel="0" collapsed="false">
      <c r="A367" s="1" t="s">
        <v>466</v>
      </c>
    </row>
    <row r="368" customFormat="false" ht="17.15" hidden="false" customHeight="false" outlineLevel="0" collapsed="false">
      <c r="A368" s="5" t="s">
        <v>467</v>
      </c>
      <c r="B368" s="0" t="s">
        <v>243</v>
      </c>
      <c r="D368" s="16" t="n">
        <f aca="false">q26_e-D366</f>
        <v>93.75</v>
      </c>
      <c r="E368" s="16" t="n">
        <f aca="false">D368*(1+g_ne)</f>
        <v>98.4375</v>
      </c>
      <c r="F368" s="16" t="n">
        <f aca="false">E368*(1+g_ne)</f>
        <v>103.359375</v>
      </c>
      <c r="G368" s="16" t="n">
        <f aca="false">F368*(1+g_ne)</f>
        <v>108.52734375</v>
      </c>
    </row>
    <row r="369" customFormat="false" ht="15" hidden="false" customHeight="false" outlineLevel="0" collapsed="false">
      <c r="A369" s="5" t="s">
        <v>468</v>
      </c>
      <c r="B369" s="0" t="s">
        <v>243</v>
      </c>
      <c r="C369" s="16" t="n">
        <f aca="false">q25_e</f>
        <v>243.316</v>
      </c>
      <c r="D369" s="16" t="n">
        <f aca="false">D366+D368</f>
        <v>375</v>
      </c>
      <c r="E369" s="16" t="n">
        <f aca="false">E366+E368</f>
        <v>551.802455357143</v>
      </c>
      <c r="F369" s="16" t="n">
        <f aca="false">F366+F368</f>
        <v>604.903098214286</v>
      </c>
      <c r="G369" s="16" t="n">
        <f aca="false">G366+G368</f>
        <v>720.522501745771</v>
      </c>
    </row>
    <row r="370" customFormat="false" ht="17.15" hidden="false" customHeight="false" outlineLevel="0" collapsed="false">
      <c r="A370" s="0" t="s">
        <v>469</v>
      </c>
      <c r="B370" s="0" t="s">
        <v>47</v>
      </c>
      <c r="D370" s="15" t="n">
        <f aca="false">(q26_eoi-m_ne*D368)/D366</f>
        <v>0.341111111111111</v>
      </c>
      <c r="H370" s="8" t="s">
        <v>470</v>
      </c>
    </row>
    <row r="371" customFormat="false" ht="17.15" hidden="false" customHeight="false" outlineLevel="0" collapsed="false">
      <c r="A371" s="0" t="s">
        <v>471</v>
      </c>
      <c r="B371" s="0" t="s">
        <v>47</v>
      </c>
      <c r="D371" s="15" t="n">
        <f aca="false">D370</f>
        <v>0.341111111111111</v>
      </c>
      <c r="E371" s="15" t="n">
        <f aca="false">1-(1-$D$370)/E365</f>
        <v>0.341111111111111</v>
      </c>
      <c r="F371" s="15" t="n">
        <f aca="false">1-(1-$D$370)/F365</f>
        <v>0.306432748538012</v>
      </c>
      <c r="G371" s="15" t="n">
        <f aca="false">1-(1-$D$370)/G365</f>
        <v>0.267901234567901</v>
      </c>
      <c r="H371" s="8" t="s">
        <v>472</v>
      </c>
    </row>
    <row r="372" customFormat="false" ht="15" hidden="false" customHeight="false" outlineLevel="0" collapsed="false">
      <c r="A372" s="5" t="s">
        <v>473</v>
      </c>
      <c r="B372" s="0" t="s">
        <v>243</v>
      </c>
      <c r="C372" s="16" t="n">
        <f aca="false">q25_eoi</f>
        <v>45.248</v>
      </c>
      <c r="D372" s="16" t="n">
        <f aca="false">D366*D371+D368*m_ne</f>
        <v>110</v>
      </c>
      <c r="E372" s="16" t="n">
        <f aca="false">E366*E371+E368*m_ne</f>
        <v>169.413448660714</v>
      </c>
      <c r="F372" s="16" t="n">
        <f aca="false">F366*F371+F368*m_ne</f>
        <v>169.193327866541</v>
      </c>
      <c r="G372" s="16" t="n">
        <f aca="false">G366*G371+G368*m_ne</f>
        <v>180.233359939145</v>
      </c>
    </row>
    <row r="373" customFormat="false" ht="15" hidden="false" customHeight="false" outlineLevel="0" collapsed="false">
      <c r="A373" s="5" t="s">
        <v>406</v>
      </c>
      <c r="B373" s="0" t="s">
        <v>47</v>
      </c>
      <c r="C373" s="15" t="n">
        <f aca="false">C372/C369</f>
        <v>0.185963931677325</v>
      </c>
      <c r="D373" s="15" t="n">
        <f aca="false">D372/D369</f>
        <v>0.293333333333333</v>
      </c>
      <c r="E373" s="15" t="n">
        <f aca="false">E372/E369</f>
        <v>0.307018294347866</v>
      </c>
      <c r="F373" s="15" t="n">
        <f aca="false">F372/F369</f>
        <v>0.279703192736178</v>
      </c>
      <c r="G373" s="15" t="n">
        <f aca="false">G372/G369</f>
        <v>0.250142583337027</v>
      </c>
    </row>
    <row r="374" customFormat="false" ht="17.15" hidden="false" customHeight="false" outlineLevel="0" collapsed="false">
      <c r="A374" s="1" t="s">
        <v>474</v>
      </c>
    </row>
    <row r="375" customFormat="false" ht="15" hidden="false" customHeight="false" outlineLevel="0" collapsed="false">
      <c r="A375" s="5" t="s">
        <v>475</v>
      </c>
      <c r="B375" s="0" t="s">
        <v>243</v>
      </c>
      <c r="C375" s="16" t="n">
        <f aca="false">q25_cer</f>
        <v>82.554</v>
      </c>
      <c r="D375" s="16" t="n">
        <f aca="false">q26_cer</f>
        <v>84</v>
      </c>
      <c r="E375" s="16" t="n">
        <f aca="false">D375*(1+g_cer)</f>
        <v>84</v>
      </c>
      <c r="F375" s="16" t="n">
        <f aca="false">E375*(1+g_cer)</f>
        <v>84</v>
      </c>
      <c r="G375" s="16" t="n">
        <f aca="false">F375*(1+g_cer)</f>
        <v>84</v>
      </c>
    </row>
    <row r="376" customFormat="false" ht="15" hidden="false" customHeight="false" outlineLevel="0" collapsed="false">
      <c r="A376" s="5" t="s">
        <v>476</v>
      </c>
      <c r="B376" s="0" t="s">
        <v>243</v>
      </c>
      <c r="C376" s="16" t="n">
        <f aca="false">q25_oth</f>
        <v>90.33</v>
      </c>
      <c r="D376" s="16" t="n">
        <f aca="false">q26_oth</f>
        <v>91</v>
      </c>
      <c r="E376" s="16" t="n">
        <f aca="false">D376*(1+g_oth)</f>
        <v>93.73</v>
      </c>
      <c r="F376" s="16" t="n">
        <f aca="false">E376*(1+g_oth)</f>
        <v>96.5419</v>
      </c>
      <c r="G376" s="16" t="n">
        <f aca="false">F376*(1+g_oth)</f>
        <v>99.438157</v>
      </c>
    </row>
    <row r="377" customFormat="false" ht="15" hidden="false" customHeight="false" outlineLevel="0" collapsed="false">
      <c r="A377" s="5" t="s">
        <v>395</v>
      </c>
      <c r="B377" s="0" t="s">
        <v>243</v>
      </c>
      <c r="C377" s="16" t="n">
        <f aca="false">C369+C375+C376</f>
        <v>416.2</v>
      </c>
      <c r="D377" s="16" t="n">
        <f aca="false">D369+D375+D376</f>
        <v>550</v>
      </c>
      <c r="E377" s="16" t="n">
        <f aca="false">E369+E375+E376</f>
        <v>729.532455357143</v>
      </c>
      <c r="F377" s="16" t="n">
        <f aca="false">F369+F375+F376</f>
        <v>785.444998214286</v>
      </c>
      <c r="G377" s="16" t="n">
        <f aca="false">G369+G375+G376</f>
        <v>903.960658745771</v>
      </c>
    </row>
    <row r="378" customFormat="false" ht="17.15" hidden="false" customHeight="false" outlineLevel="0" collapsed="false">
      <c r="A378" s="5" t="s">
        <v>477</v>
      </c>
      <c r="B378" s="0" t="s">
        <v>243</v>
      </c>
      <c r="C378" s="20" t="n">
        <f aca="false">C369+C375+C376-q25_rev</f>
        <v>-0.0010000000000332</v>
      </c>
      <c r="D378" s="20" t="n">
        <f aca="false">D369+D375+D376-q26_rev</f>
        <v>0</v>
      </c>
    </row>
    <row r="379" customFormat="false" ht="15" hidden="false" customHeight="false" outlineLevel="0" collapsed="false">
      <c r="A379" s="5" t="s">
        <v>478</v>
      </c>
      <c r="B379" s="0" t="s">
        <v>47</v>
      </c>
      <c r="D379" s="15" t="n">
        <f aca="false">D377/C377-1</f>
        <v>0.321480057664584</v>
      </c>
      <c r="E379" s="15" t="n">
        <f aca="false">E377/D377-1</f>
        <v>0.326422646103896</v>
      </c>
      <c r="F379" s="15" t="n">
        <f aca="false">F377/E377-1</f>
        <v>0.076641611276596</v>
      </c>
      <c r="G379" s="15" t="n">
        <f aca="false">G377/F377-1</f>
        <v>0.150889827805806</v>
      </c>
    </row>
    <row r="380" customFormat="false" ht="17.15" hidden="false" customHeight="false" outlineLevel="0" collapsed="false">
      <c r="A380" s="0" t="s">
        <v>479</v>
      </c>
      <c r="B380" s="0" t="s">
        <v>47</v>
      </c>
      <c r="D380" s="15" t="n">
        <f aca="false">D366/D377</f>
        <v>0.511363636363636</v>
      </c>
      <c r="E380" s="15" t="n">
        <f aca="false">E366/E377</f>
        <v>0.621445902821689</v>
      </c>
      <c r="F380" s="15" t="n">
        <f aca="false">F366/F377</f>
        <v>0.638547223999833</v>
      </c>
      <c r="G380" s="15" t="n">
        <f aca="false">G366/G377</f>
        <v>0.67701525732868</v>
      </c>
    </row>
    <row r="381" customFormat="false" ht="15" hidden="false" customHeight="false" outlineLevel="0" collapsed="false">
      <c r="A381" s="5" t="s">
        <v>480</v>
      </c>
      <c r="B381" s="0" t="s">
        <v>243</v>
      </c>
      <c r="C381" s="16" t="n">
        <f aca="false">q25_oi-q25_eoi</f>
        <v>16.779</v>
      </c>
      <c r="D381" s="16" t="n">
        <f aca="false">q26_oi-q26_eoi</f>
        <v>17</v>
      </c>
      <c r="E381" s="16" t="n">
        <f aca="false">E375*m_cer+E376*m_oth+q26_adj</f>
        <v>17.24695</v>
      </c>
      <c r="F381" s="16" t="n">
        <f aca="false">F375*m_cer+F376*m_oth+q26_adj</f>
        <v>17.5703185</v>
      </c>
      <c r="G381" s="16" t="n">
        <f aca="false">G375*m_cer+G376*m_oth+q26_adj</f>
        <v>17.903388055</v>
      </c>
    </row>
    <row r="382" customFormat="false" ht="15" hidden="false" customHeight="false" outlineLevel="0" collapsed="false">
      <c r="A382" s="5" t="s">
        <v>400</v>
      </c>
      <c r="B382" s="0" t="s">
        <v>243</v>
      </c>
      <c r="C382" s="16" t="n">
        <f aca="false">C372+C381</f>
        <v>62.027</v>
      </c>
      <c r="D382" s="16" t="n">
        <f aca="false">D372+D381</f>
        <v>127</v>
      </c>
      <c r="E382" s="16" t="n">
        <f aca="false">E372+E381</f>
        <v>186.660398660714</v>
      </c>
      <c r="F382" s="16" t="n">
        <f aca="false">F372+F381</f>
        <v>186.763646366541</v>
      </c>
      <c r="G382" s="16" t="n">
        <f aca="false">G372+G381</f>
        <v>198.136747994145</v>
      </c>
    </row>
    <row r="383" customFormat="false" ht="15" hidden="false" customHeight="false" outlineLevel="0" collapsed="false">
      <c r="A383" s="5" t="s">
        <v>407</v>
      </c>
      <c r="B383" s="0" t="s">
        <v>47</v>
      </c>
      <c r="C383" s="15" t="n">
        <f aca="false">C382/C377</f>
        <v>0.149031715521384</v>
      </c>
      <c r="D383" s="15" t="n">
        <f aca="false">D382/D377</f>
        <v>0.230909090909091</v>
      </c>
      <c r="E383" s="15" t="n">
        <f aca="false">E382/E377</f>
        <v>0.255863049395568</v>
      </c>
      <c r="F383" s="15" t="n">
        <f aca="false">F382/F377</f>
        <v>0.23778068074932</v>
      </c>
      <c r="G383" s="15" t="n">
        <f aca="false">G382/G377</f>
        <v>0.219187357411169</v>
      </c>
    </row>
    <row r="384" customFormat="false" ht="15" hidden="false" customHeight="false" outlineLevel="0" collapsed="false">
      <c r="A384" s="5" t="s">
        <v>402</v>
      </c>
      <c r="B384" s="0" t="s">
        <v>243</v>
      </c>
      <c r="C384" s="16" t="n">
        <f aca="false">q25_ni</f>
        <v>63.713</v>
      </c>
      <c r="D384" s="16" t="n">
        <f aca="false">q26_ni</f>
        <v>84</v>
      </c>
      <c r="E384" s="16" t="n">
        <f aca="false">E382*ni_oi</f>
        <v>123.382523514732</v>
      </c>
      <c r="F384" s="16" t="n">
        <f aca="false">F382*ni_oi</f>
        <v>123.450770248284</v>
      </c>
      <c r="G384" s="16" t="n">
        <f aca="false">G382*ni_oi</f>
        <v>130.96839042413</v>
      </c>
    </row>
    <row r="385" customFormat="false" ht="15" hidden="false" customHeight="false" outlineLevel="0" collapsed="false">
      <c r="A385" s="5" t="s">
        <v>481</v>
      </c>
      <c r="B385" s="5" t="s">
        <v>482</v>
      </c>
      <c r="D385" s="17" t="n">
        <f aca="false">q26_sh</f>
        <v>0.561197220737574</v>
      </c>
      <c r="E385" s="17" t="n">
        <f aca="false">D385*(1+sh_g)</f>
        <v>0.561197220737574</v>
      </c>
      <c r="F385" s="17" t="n">
        <f aca="false">E385*(1+sh_g)</f>
        <v>0.561197220737574</v>
      </c>
      <c r="G385" s="17" t="n">
        <f aca="false">F385*(1+sh_g)</f>
        <v>0.561197220737574</v>
      </c>
    </row>
    <row r="386" customFormat="false" ht="17.15" hidden="false" customHeight="false" outlineLevel="0" collapsed="false">
      <c r="A386" s="0" t="s">
        <v>483</v>
      </c>
      <c r="B386" s="0" t="s">
        <v>268</v>
      </c>
      <c r="C386" s="16" t="n">
        <f aca="false">q25_eps</f>
        <v>114.08</v>
      </c>
      <c r="D386" s="16" t="n">
        <f aca="false">D384/D385</f>
        <v>149.68</v>
      </c>
      <c r="E386" s="16" t="n">
        <f aca="false">E384/E385</f>
        <v>219.855906186727</v>
      </c>
      <c r="F386" s="16" t="n">
        <f aca="false">F384/F385</f>
        <v>219.977515366228</v>
      </c>
      <c r="G386" s="16" t="n">
        <f aca="false">G384/G385</f>
        <v>233.373198555759</v>
      </c>
    </row>
    <row r="387" customFormat="false" ht="17.15" hidden="false" customHeight="false" outlineLevel="0" collapsed="false">
      <c r="A387" s="0" t="s">
        <v>484</v>
      </c>
      <c r="B387" s="0" t="s">
        <v>47</v>
      </c>
      <c r="D387" s="15" t="n">
        <f aca="false">D386/C386-1</f>
        <v>0.312061711079944</v>
      </c>
      <c r="E387" s="15" t="n">
        <f aca="false">E386/D386-1</f>
        <v>0.468839565651573</v>
      </c>
      <c r="F387" s="15" t="n">
        <f aca="false">F386/E386-1</f>
        <v>0.000553131283163699</v>
      </c>
      <c r="G387" s="15" t="n">
        <f aca="false">G386/F386-1</f>
        <v>0.0608956927585498</v>
      </c>
    </row>
    <row r="390" customFormat="false" ht="17.15" hidden="false" customHeight="false" outlineLevel="0" collapsed="false">
      <c r="A390" s="3" t="s">
        <v>806</v>
      </c>
    </row>
    <row r="391" customFormat="false" ht="17.15" hidden="false" customHeight="false" outlineLevel="0" collapsed="false">
      <c r="A391" s="6" t="s">
        <v>24</v>
      </c>
      <c r="B391" s="6" t="s">
        <v>25</v>
      </c>
      <c r="C391" s="13" t="s">
        <v>392</v>
      </c>
      <c r="D391" s="13" t="s">
        <v>438</v>
      </c>
      <c r="E391" s="13" t="s">
        <v>414</v>
      </c>
      <c r="F391" s="13" t="s">
        <v>415</v>
      </c>
      <c r="G391" s="13" t="s">
        <v>416</v>
      </c>
      <c r="H391" s="6" t="s">
        <v>377</v>
      </c>
    </row>
    <row r="392" customFormat="false" ht="17.15" hidden="false" customHeight="false" outlineLevel="0" collapsed="false">
      <c r="A392" s="1" t="s">
        <v>452</v>
      </c>
    </row>
    <row r="393" customFormat="false" ht="17.15" hidden="false" customHeight="false" outlineLevel="0" collapsed="false">
      <c r="A393" s="0" t="s">
        <v>453</v>
      </c>
      <c r="B393" s="5" t="s">
        <v>35</v>
      </c>
      <c r="D393" s="16" t="n">
        <f aca="false">(u_bw_26+u_rb_26+u_ru_26+u_hp_26)*1</f>
        <v>7.6</v>
      </c>
      <c r="E393" s="16" t="n">
        <f aca="false">(u_bw_27+u_rb_27+u_ru_27+u_hp_27)*1</f>
        <v>9.7</v>
      </c>
      <c r="F393" s="16" t="n">
        <f aca="false">(u_bw_28+u_rb_28+u_ru_28+u_hp_28)*um28_A</f>
        <v>9.5</v>
      </c>
      <c r="G393" s="16" t="n">
        <f aca="false">(u_bw_28*(1+g29_bw)+u_rb_28*(1+g29_rb)+u_ru_28*(1+g29_ru)+u_hp_28*(1+g29_hp))*um29_A</f>
        <v>10.6</v>
      </c>
      <c r="H393" s="8" t="s">
        <v>454</v>
      </c>
    </row>
    <row r="394" customFormat="false" ht="17.15" hidden="false" customHeight="false" outlineLevel="0" collapsed="false">
      <c r="A394" s="5" t="s">
        <v>455</v>
      </c>
      <c r="B394" s="5" t="s">
        <v>35</v>
      </c>
      <c r="D394" s="16" t="n">
        <f aca="false">(u_amd_26+u_tpu_26+u_trn_26+u_oth_26)*1</f>
        <v>7.6</v>
      </c>
      <c r="E394" s="16" t="n">
        <f aca="false">(u_amd_27+u_tpu_27+u_trn_27+u_oth_27)*1</f>
        <v>14</v>
      </c>
      <c r="F394" s="16" t="n">
        <f aca="false">(u_amd_28+u_tpu_28+u_trn_28+u_oth_28)*um28_A</f>
        <v>17</v>
      </c>
      <c r="G394" s="16" t="n">
        <f aca="false">(u_amd_28*(1+g29_amd)+u_tpu_28*(1+g29_tpu)+u_trn_28*(1+g29_trn)+u_oth_28*(1+g29_oth))*um29_A</f>
        <v>19.55</v>
      </c>
      <c r="H394" s="8" t="s">
        <v>456</v>
      </c>
    </row>
    <row r="395" customFormat="false" ht="17.15" hidden="false" customHeight="false" outlineLevel="0" collapsed="false">
      <c r="A395" s="5" t="s">
        <v>457</v>
      </c>
      <c r="B395" s="5" t="s">
        <v>35</v>
      </c>
      <c r="D395" s="16" t="n">
        <f aca="false">D393+w_ot*D394</f>
        <v>10.64</v>
      </c>
      <c r="E395" s="16" t="n">
        <f aca="false">E393+w_ot*E394</f>
        <v>15.3</v>
      </c>
      <c r="F395" s="16" t="n">
        <f aca="false">F393+w_ot*F394</f>
        <v>16.3</v>
      </c>
      <c r="G395" s="16" t="n">
        <f aca="false">G393+w_ot*G394</f>
        <v>18.42</v>
      </c>
    </row>
    <row r="396" customFormat="false" ht="17.15" hidden="false" customHeight="false" outlineLevel="0" collapsed="false">
      <c r="A396" s="0" t="s">
        <v>458</v>
      </c>
      <c r="B396" s="0" t="s">
        <v>243</v>
      </c>
      <c r="D396" s="16" t="n">
        <f aca="false">q26_e*ai_e</f>
        <v>243.75</v>
      </c>
      <c r="H396" s="8" t="s">
        <v>459</v>
      </c>
    </row>
    <row r="397" customFormat="false" ht="17.15" hidden="false" customHeight="false" outlineLevel="0" collapsed="false">
      <c r="A397" s="5" t="s">
        <v>460</v>
      </c>
      <c r="B397" s="5" t="s">
        <v>461</v>
      </c>
      <c r="D397" s="14" t="n">
        <f aca="false">D396/D395</f>
        <v>22.9088345864662</v>
      </c>
      <c r="H397" s="8" t="s">
        <v>462</v>
      </c>
    </row>
    <row r="398" customFormat="false" ht="17.15" hidden="false" customHeight="false" outlineLevel="0" collapsed="false">
      <c r="A398" s="5" t="s">
        <v>463</v>
      </c>
      <c r="B398" s="0" t="s">
        <v>147</v>
      </c>
      <c r="D398" s="20" t="n">
        <f aca="false">1</f>
        <v>1</v>
      </c>
      <c r="E398" s="20" t="n">
        <f aca="false">D398*(1+g_asp)</f>
        <v>1.18</v>
      </c>
      <c r="F398" s="20" t="n">
        <f aca="false">E398*(1+g_asp)</f>
        <v>1.3924</v>
      </c>
      <c r="G398" s="20" t="n">
        <f aca="false">F398*(1+g_asp)</f>
        <v>1.643032</v>
      </c>
    </row>
    <row r="399" customFormat="false" ht="17.15" hidden="false" customHeight="false" outlineLevel="0" collapsed="false">
      <c r="A399" s="0" t="s">
        <v>464</v>
      </c>
      <c r="B399" s="0" t="s">
        <v>147</v>
      </c>
      <c r="D399" s="21" t="n">
        <f aca="false">1</f>
        <v>1</v>
      </c>
      <c r="E399" s="21" t="n">
        <f aca="false">rel_27</f>
        <v>0.95</v>
      </c>
      <c r="F399" s="21" t="n">
        <f aca="false">rel_28</f>
        <v>0.88</v>
      </c>
      <c r="G399" s="21" t="n">
        <f aca="false">rel_29</f>
        <v>0.85</v>
      </c>
    </row>
    <row r="400" customFormat="false" ht="17.15" hidden="false" customHeight="false" outlineLevel="0" collapsed="false">
      <c r="A400" s="5" t="s">
        <v>465</v>
      </c>
      <c r="B400" s="0" t="s">
        <v>147</v>
      </c>
      <c r="D400" s="21" t="n">
        <f aca="false">1</f>
        <v>1</v>
      </c>
      <c r="E400" s="21" t="n">
        <f aca="false">pp_27</f>
        <v>1</v>
      </c>
      <c r="F400" s="21" t="n">
        <f aca="false">pp_28</f>
        <v>0.95</v>
      </c>
      <c r="G400" s="21" t="n">
        <f aca="false">pp_29</f>
        <v>0.9</v>
      </c>
    </row>
    <row r="401" customFormat="false" ht="17.15" hidden="false" customHeight="false" outlineLevel="0" collapsed="false">
      <c r="A401" s="0" t="s">
        <v>427</v>
      </c>
      <c r="B401" s="0" t="s">
        <v>243</v>
      </c>
      <c r="D401" s="16" t="n">
        <f aca="false">D396</f>
        <v>243.75</v>
      </c>
      <c r="E401" s="16" t="n">
        <f aca="false">E395*$D$397*E398*E399*E400</f>
        <v>392.916294642857</v>
      </c>
      <c r="F401" s="16" t="n">
        <f aca="false">F395*$D$397*F398*F399*F400</f>
        <v>434.671226785714</v>
      </c>
      <c r="G401" s="16" t="n">
        <f aca="false">G395*$D$397*G398*G399*G400</f>
        <v>530.395803596334</v>
      </c>
    </row>
    <row r="402" customFormat="false" ht="17.15" hidden="false" customHeight="false" outlineLevel="0" collapsed="false">
      <c r="A402" s="1" t="s">
        <v>466</v>
      </c>
    </row>
    <row r="403" customFormat="false" ht="17.15" hidden="false" customHeight="false" outlineLevel="0" collapsed="false">
      <c r="A403" s="5" t="s">
        <v>467</v>
      </c>
      <c r="B403" s="0" t="s">
        <v>243</v>
      </c>
      <c r="D403" s="16" t="n">
        <f aca="false">q26_e-D401</f>
        <v>131.25</v>
      </c>
      <c r="E403" s="16" t="n">
        <f aca="false">D403*(1+g_ne)</f>
        <v>137.8125</v>
      </c>
      <c r="F403" s="16" t="n">
        <f aca="false">E403*(1+g_ne)</f>
        <v>144.703125</v>
      </c>
      <c r="G403" s="16" t="n">
        <f aca="false">F403*(1+g_ne)</f>
        <v>151.93828125</v>
      </c>
    </row>
    <row r="404" customFormat="false" ht="15" hidden="false" customHeight="false" outlineLevel="0" collapsed="false">
      <c r="A404" s="5" t="s">
        <v>468</v>
      </c>
      <c r="B404" s="0" t="s">
        <v>243</v>
      </c>
      <c r="C404" s="16" t="n">
        <f aca="false">q25_e</f>
        <v>243.316</v>
      </c>
      <c r="D404" s="16" t="n">
        <f aca="false">D401+D403</f>
        <v>375</v>
      </c>
      <c r="E404" s="16" t="n">
        <f aca="false">E401+E403</f>
        <v>530.728794642857</v>
      </c>
      <c r="F404" s="16" t="n">
        <f aca="false">F401+F403</f>
        <v>579.374351785714</v>
      </c>
      <c r="G404" s="16" t="n">
        <f aca="false">G401+G403</f>
        <v>682.334084846335</v>
      </c>
    </row>
    <row r="405" customFormat="false" ht="17.15" hidden="false" customHeight="false" outlineLevel="0" collapsed="false">
      <c r="A405" s="0" t="s">
        <v>469</v>
      </c>
      <c r="B405" s="0" t="s">
        <v>47</v>
      </c>
      <c r="D405" s="15" t="n">
        <f aca="false">(q26_eoi-m_ne_lo*D403)/D401</f>
        <v>0.397435897435897</v>
      </c>
      <c r="H405" s="8" t="s">
        <v>470</v>
      </c>
    </row>
    <row r="406" customFormat="false" ht="17.15" hidden="false" customHeight="false" outlineLevel="0" collapsed="false">
      <c r="A406" s="0" t="s">
        <v>471</v>
      </c>
      <c r="B406" s="0" t="s">
        <v>47</v>
      </c>
      <c r="D406" s="15" t="n">
        <f aca="false">D405</f>
        <v>0.397435897435897</v>
      </c>
      <c r="E406" s="15" t="n">
        <f aca="false">1-(1-$D$405)/E400</f>
        <v>0.397435897435897</v>
      </c>
      <c r="F406" s="15" t="n">
        <f aca="false">1-(1-$D$405)/F400</f>
        <v>0.365721997300945</v>
      </c>
      <c r="G406" s="15" t="n">
        <f aca="false">1-(1-$D$405)/G400</f>
        <v>0.33048433048433</v>
      </c>
      <c r="H406" s="8" t="s">
        <v>472</v>
      </c>
    </row>
    <row r="407" customFormat="false" ht="15" hidden="false" customHeight="false" outlineLevel="0" collapsed="false">
      <c r="A407" s="5" t="s">
        <v>473</v>
      </c>
      <c r="B407" s="0" t="s">
        <v>243</v>
      </c>
      <c r="C407" s="16" t="n">
        <f aca="false">q25_eoi</f>
        <v>45.248</v>
      </c>
      <c r="D407" s="16" t="n">
        <f aca="false">D401*D406+D403*m_ne_lo</f>
        <v>110</v>
      </c>
      <c r="E407" s="16" t="n">
        <f aca="false">E401*E406+E403*m_ne_lo</f>
        <v>169.940290178571</v>
      </c>
      <c r="F407" s="16" t="n">
        <f aca="false">F401*F406+F403*m_ne_lo</f>
        <v>173.439141729323</v>
      </c>
      <c r="G407" s="16" t="n">
        <f aca="false">G401*G406+G403*m_ne_lo</f>
        <v>190.481330168233</v>
      </c>
    </row>
    <row r="408" customFormat="false" ht="15" hidden="false" customHeight="false" outlineLevel="0" collapsed="false">
      <c r="A408" s="5" t="s">
        <v>406</v>
      </c>
      <c r="B408" s="0" t="s">
        <v>47</v>
      </c>
      <c r="C408" s="15" t="n">
        <f aca="false">C407/C404</f>
        <v>0.185963931677325</v>
      </c>
      <c r="D408" s="15" t="n">
        <f aca="false">D407/D404</f>
        <v>0.293333333333333</v>
      </c>
      <c r="E408" s="15" t="n">
        <f aca="false">E407/E404</f>
        <v>0.320201752559759</v>
      </c>
      <c r="F408" s="15" t="n">
        <f aca="false">F407/F404</f>
        <v>0.299355919354661</v>
      </c>
      <c r="G408" s="15" t="n">
        <f aca="false">G407/G404</f>
        <v>0.279161387945511</v>
      </c>
    </row>
    <row r="409" customFormat="false" ht="17.15" hidden="false" customHeight="false" outlineLevel="0" collapsed="false">
      <c r="A409" s="1" t="s">
        <v>474</v>
      </c>
    </row>
    <row r="410" customFormat="false" ht="15" hidden="false" customHeight="false" outlineLevel="0" collapsed="false">
      <c r="A410" s="5" t="s">
        <v>475</v>
      </c>
      <c r="B410" s="0" t="s">
        <v>243</v>
      </c>
      <c r="C410" s="16" t="n">
        <f aca="false">q25_cer</f>
        <v>82.554</v>
      </c>
      <c r="D410" s="16" t="n">
        <f aca="false">q26_cer</f>
        <v>84</v>
      </c>
      <c r="E410" s="16" t="n">
        <f aca="false">D410*(1+g_cer)</f>
        <v>84</v>
      </c>
      <c r="F410" s="16" t="n">
        <f aca="false">E410*(1+g_cer)</f>
        <v>84</v>
      </c>
      <c r="G410" s="16" t="n">
        <f aca="false">F410*(1+g_cer)</f>
        <v>84</v>
      </c>
    </row>
    <row r="411" customFormat="false" ht="15" hidden="false" customHeight="false" outlineLevel="0" collapsed="false">
      <c r="A411" s="5" t="s">
        <v>476</v>
      </c>
      <c r="B411" s="0" t="s">
        <v>243</v>
      </c>
      <c r="C411" s="16" t="n">
        <f aca="false">q25_oth</f>
        <v>90.33</v>
      </c>
      <c r="D411" s="16" t="n">
        <f aca="false">q26_oth</f>
        <v>91</v>
      </c>
      <c r="E411" s="16" t="n">
        <f aca="false">D411*(1+g_oth)</f>
        <v>93.73</v>
      </c>
      <c r="F411" s="16" t="n">
        <f aca="false">E411*(1+g_oth)</f>
        <v>96.5419</v>
      </c>
      <c r="G411" s="16" t="n">
        <f aca="false">F411*(1+g_oth)</f>
        <v>99.438157</v>
      </c>
    </row>
    <row r="412" customFormat="false" ht="15" hidden="false" customHeight="false" outlineLevel="0" collapsed="false">
      <c r="A412" s="5" t="s">
        <v>395</v>
      </c>
      <c r="B412" s="0" t="s">
        <v>243</v>
      </c>
      <c r="C412" s="16" t="n">
        <f aca="false">C404+C410+C411</f>
        <v>416.2</v>
      </c>
      <c r="D412" s="16" t="n">
        <f aca="false">D404+D410+D411</f>
        <v>550</v>
      </c>
      <c r="E412" s="16" t="n">
        <f aca="false">E404+E410+E411</f>
        <v>708.458794642857</v>
      </c>
      <c r="F412" s="16" t="n">
        <f aca="false">F404+F410+F411</f>
        <v>759.916251785714</v>
      </c>
      <c r="G412" s="16" t="n">
        <f aca="false">G404+G410+G411</f>
        <v>865.772241846335</v>
      </c>
    </row>
    <row r="413" customFormat="false" ht="17.15" hidden="false" customHeight="false" outlineLevel="0" collapsed="false">
      <c r="A413" s="5" t="s">
        <v>477</v>
      </c>
      <c r="B413" s="0" t="s">
        <v>243</v>
      </c>
      <c r="C413" s="20" t="n">
        <f aca="false">C404+C410+C411-q25_rev</f>
        <v>-0.0010000000000332</v>
      </c>
      <c r="D413" s="20" t="n">
        <f aca="false">D404+D410+D411-q26_rev</f>
        <v>0</v>
      </c>
    </row>
    <row r="414" customFormat="false" ht="15" hidden="false" customHeight="false" outlineLevel="0" collapsed="false">
      <c r="A414" s="5" t="s">
        <v>478</v>
      </c>
      <c r="B414" s="0" t="s">
        <v>47</v>
      </c>
      <c r="D414" s="15" t="n">
        <f aca="false">D412/C412-1</f>
        <v>0.321480057664584</v>
      </c>
      <c r="E414" s="15" t="n">
        <f aca="false">E412/D412-1</f>
        <v>0.288106899350649</v>
      </c>
      <c r="F414" s="15" t="n">
        <f aca="false">F412/E412-1</f>
        <v>0.0726329569651225</v>
      </c>
      <c r="G414" s="15" t="n">
        <f aca="false">G412/F412-1</f>
        <v>0.139299547564447</v>
      </c>
    </row>
    <row r="415" customFormat="false" ht="17.15" hidden="false" customHeight="false" outlineLevel="0" collapsed="false">
      <c r="A415" s="0" t="s">
        <v>479</v>
      </c>
      <c r="B415" s="0" t="s">
        <v>47</v>
      </c>
      <c r="D415" s="15" t="n">
        <f aca="false">D401/D412</f>
        <v>0.443181818181818</v>
      </c>
      <c r="E415" s="15" t="n">
        <f aca="false">E401/E412</f>
        <v>0.554607124103712</v>
      </c>
      <c r="F415" s="15" t="n">
        <f aca="false">F401/F412</f>
        <v>0.57199885614275</v>
      </c>
      <c r="G415" s="15" t="n">
        <f aca="false">G401/G412</f>
        <v>0.612627407024761</v>
      </c>
    </row>
    <row r="416" customFormat="false" ht="15" hidden="false" customHeight="false" outlineLevel="0" collapsed="false">
      <c r="A416" s="5" t="s">
        <v>480</v>
      </c>
      <c r="B416" s="0" t="s">
        <v>243</v>
      </c>
      <c r="C416" s="16" t="n">
        <f aca="false">q25_oi-q25_eoi</f>
        <v>16.779</v>
      </c>
      <c r="D416" s="16" t="n">
        <f aca="false">q26_oi-q26_eoi</f>
        <v>17</v>
      </c>
      <c r="E416" s="16" t="n">
        <f aca="false">E410*m_cer+E411*m_oth+q26_adj</f>
        <v>17.24695</v>
      </c>
      <c r="F416" s="16" t="n">
        <f aca="false">F410*m_cer+F411*m_oth+q26_adj</f>
        <v>17.5703185</v>
      </c>
      <c r="G416" s="16" t="n">
        <f aca="false">G410*m_cer+G411*m_oth+q26_adj</f>
        <v>17.903388055</v>
      </c>
    </row>
    <row r="417" customFormat="false" ht="15" hidden="false" customHeight="false" outlineLevel="0" collapsed="false">
      <c r="A417" s="5" t="s">
        <v>400</v>
      </c>
      <c r="B417" s="0" t="s">
        <v>243</v>
      </c>
      <c r="C417" s="16" t="n">
        <f aca="false">C407+C416</f>
        <v>62.027</v>
      </c>
      <c r="D417" s="16" t="n">
        <f aca="false">D407+D416</f>
        <v>127</v>
      </c>
      <c r="E417" s="16" t="n">
        <f aca="false">E407+E416</f>
        <v>187.187240178571</v>
      </c>
      <c r="F417" s="16" t="n">
        <f aca="false">F407+F416</f>
        <v>191.009460229323</v>
      </c>
      <c r="G417" s="16" t="n">
        <f aca="false">G407+G416</f>
        <v>208.384718223233</v>
      </c>
    </row>
    <row r="418" customFormat="false" ht="15" hidden="false" customHeight="false" outlineLevel="0" collapsed="false">
      <c r="A418" s="5" t="s">
        <v>407</v>
      </c>
      <c r="B418" s="0" t="s">
        <v>47</v>
      </c>
      <c r="C418" s="15" t="n">
        <f aca="false">C417/C412</f>
        <v>0.149031715521384</v>
      </c>
      <c r="D418" s="15" t="n">
        <f aca="false">D417/D412</f>
        <v>0.230909090909091</v>
      </c>
      <c r="E418" s="15" t="n">
        <f aca="false">E417/E412</f>
        <v>0.264217540376409</v>
      </c>
      <c r="F418" s="15" t="n">
        <f aca="false">F417/F412</f>
        <v>0.251355935315863</v>
      </c>
      <c r="G418" s="15" t="n">
        <f aca="false">G417/G412</f>
        <v>0.240692306996162</v>
      </c>
    </row>
    <row r="419" customFormat="false" ht="15" hidden="false" customHeight="false" outlineLevel="0" collapsed="false">
      <c r="A419" s="5" t="s">
        <v>402</v>
      </c>
      <c r="B419" s="0" t="s">
        <v>243</v>
      </c>
      <c r="C419" s="16" t="n">
        <f aca="false">q25_ni</f>
        <v>63.713</v>
      </c>
      <c r="D419" s="16" t="n">
        <f aca="false">q26_ni</f>
        <v>84</v>
      </c>
      <c r="E419" s="16" t="n">
        <f aca="false">E417*ni_oi</f>
        <v>123.730765758036</v>
      </c>
      <c r="F419" s="16" t="n">
        <f aca="false">F417*ni_oi</f>
        <v>126.257253211583</v>
      </c>
      <c r="G419" s="16" t="n">
        <f aca="false">G417*ni_oi</f>
        <v>137.742298745557</v>
      </c>
    </row>
    <row r="420" customFormat="false" ht="15" hidden="false" customHeight="false" outlineLevel="0" collapsed="false">
      <c r="A420" s="5" t="s">
        <v>481</v>
      </c>
      <c r="B420" s="5" t="s">
        <v>482</v>
      </c>
      <c r="D420" s="17" t="n">
        <f aca="false">q26_sh</f>
        <v>0.561197220737574</v>
      </c>
      <c r="E420" s="17" t="n">
        <f aca="false">D420*(1+sh_g)</f>
        <v>0.561197220737574</v>
      </c>
      <c r="F420" s="17" t="n">
        <f aca="false">E420*(1+sh_g)</f>
        <v>0.561197220737574</v>
      </c>
      <c r="G420" s="17" t="n">
        <f aca="false">F420*(1+sh_g)</f>
        <v>0.561197220737574</v>
      </c>
    </row>
    <row r="421" customFormat="false" ht="17.15" hidden="false" customHeight="false" outlineLevel="0" collapsed="false">
      <c r="A421" s="0" t="s">
        <v>483</v>
      </c>
      <c r="B421" s="0" t="s">
        <v>268</v>
      </c>
      <c r="C421" s="16" t="n">
        <f aca="false">q25_eps</f>
        <v>114.08</v>
      </c>
      <c r="D421" s="16" t="n">
        <f aca="false">D419/D420</f>
        <v>149.68</v>
      </c>
      <c r="E421" s="16" t="n">
        <f aca="false">E419/E420</f>
        <v>220.476440698366</v>
      </c>
      <c r="F421" s="16" t="n">
        <f aca="false">F419/F420</f>
        <v>224.978400722734</v>
      </c>
      <c r="G421" s="16" t="n">
        <f aca="false">G419/G420</f>
        <v>245.443658050416</v>
      </c>
    </row>
    <row r="422" customFormat="false" ht="17.15" hidden="false" customHeight="false" outlineLevel="0" collapsed="false">
      <c r="A422" s="0" t="s">
        <v>484</v>
      </c>
      <c r="B422" s="0" t="s">
        <v>47</v>
      </c>
      <c r="D422" s="15" t="n">
        <f aca="false">D421/C421-1</f>
        <v>0.312061711079944</v>
      </c>
      <c r="E422" s="15" t="n">
        <f aca="false">E421/D421-1</f>
        <v>0.472985306643282</v>
      </c>
      <c r="F422" s="15" t="n">
        <f aca="false">F421/E421-1</f>
        <v>0.0204192339558273</v>
      </c>
      <c r="G422" s="15" t="n">
        <f aca="false">G421/F421-1</f>
        <v>0.0909654316233828</v>
      </c>
    </row>
    <row r="425" customFormat="false" ht="17.15" hidden="false" customHeight="false" outlineLevel="0" collapsed="false">
      <c r="A425" s="3" t="s">
        <v>807</v>
      </c>
    </row>
    <row r="426" customFormat="false" ht="17.15" hidden="false" customHeight="false" outlineLevel="0" collapsed="false">
      <c r="A426" s="6" t="s">
        <v>24</v>
      </c>
      <c r="B426" s="6" t="s">
        <v>25</v>
      </c>
      <c r="C426" s="13" t="s">
        <v>392</v>
      </c>
      <c r="D426" s="13" t="s">
        <v>438</v>
      </c>
      <c r="E426" s="13" t="s">
        <v>414</v>
      </c>
      <c r="F426" s="13" t="s">
        <v>415</v>
      </c>
      <c r="G426" s="13" t="s">
        <v>416</v>
      </c>
      <c r="H426" s="6" t="s">
        <v>377</v>
      </c>
    </row>
    <row r="427" customFormat="false" ht="17.15" hidden="false" customHeight="false" outlineLevel="0" collapsed="false">
      <c r="A427" s="1" t="s">
        <v>452</v>
      </c>
    </row>
    <row r="428" customFormat="false" ht="17.15" hidden="false" customHeight="false" outlineLevel="0" collapsed="false">
      <c r="A428" s="0" t="s">
        <v>453</v>
      </c>
      <c r="B428" s="5" t="s">
        <v>35</v>
      </c>
      <c r="D428" s="16" t="n">
        <f aca="false">(u_bw_26+u_rb_26+u_ru_26+u_hp_26)*1</f>
        <v>7.6</v>
      </c>
      <c r="E428" s="16" t="n">
        <f aca="false">(u_bw_27+u_rb_27+u_ru_27+u_hp_27)*1</f>
        <v>9.7</v>
      </c>
      <c r="F428" s="16" t="n">
        <f aca="false">(u_bw_28+u_rb_28+u_ru_28+u_hp_28)*um28_A</f>
        <v>9.5</v>
      </c>
      <c r="G428" s="16" t="n">
        <f aca="false">(u_bw_28*(1+g29_bw)+u_rb_28*(1+g29_rb)+u_ru_28*(1+g29_ru)+u_hp_28*(1+g29_hp))*um29_A</f>
        <v>10.6</v>
      </c>
      <c r="H428" s="8" t="s">
        <v>454</v>
      </c>
    </row>
    <row r="429" customFormat="false" ht="17.15" hidden="false" customHeight="false" outlineLevel="0" collapsed="false">
      <c r="A429" s="5" t="s">
        <v>455</v>
      </c>
      <c r="B429" s="5" t="s">
        <v>35</v>
      </c>
      <c r="D429" s="16" t="n">
        <f aca="false">(u_amd_26+u_tpu_26+u_trn_26+u_oth_26)*1</f>
        <v>7.6</v>
      </c>
      <c r="E429" s="16" t="n">
        <f aca="false">(u_amd_27+u_tpu_27+u_trn_27+u_oth_27)*1</f>
        <v>14</v>
      </c>
      <c r="F429" s="16" t="n">
        <f aca="false">(u_amd_28+u_tpu_28+u_trn_28+u_oth_28)*um28_A</f>
        <v>17</v>
      </c>
      <c r="G429" s="16" t="n">
        <f aca="false">(u_amd_28*(1+g29_amd)+u_tpu_28*(1+g29_tpu)+u_trn_28*(1+g29_trn)+u_oth_28*(1+g29_oth))*um29_A</f>
        <v>19.55</v>
      </c>
      <c r="H429" s="8" t="s">
        <v>456</v>
      </c>
    </row>
    <row r="430" customFormat="false" ht="17.15" hidden="false" customHeight="false" outlineLevel="0" collapsed="false">
      <c r="A430" s="5" t="s">
        <v>457</v>
      </c>
      <c r="B430" s="5" t="s">
        <v>35</v>
      </c>
      <c r="D430" s="16" t="n">
        <f aca="false">D428+w_ot*D429</f>
        <v>10.64</v>
      </c>
      <c r="E430" s="16" t="n">
        <f aca="false">E428+w_ot*E429</f>
        <v>15.3</v>
      </c>
      <c r="F430" s="16" t="n">
        <f aca="false">F428+w_ot*F429</f>
        <v>16.3</v>
      </c>
      <c r="G430" s="16" t="n">
        <f aca="false">G428+w_ot*G429</f>
        <v>18.42</v>
      </c>
    </row>
    <row r="431" customFormat="false" ht="17.15" hidden="false" customHeight="false" outlineLevel="0" collapsed="false">
      <c r="A431" s="0" t="s">
        <v>458</v>
      </c>
      <c r="B431" s="0" t="s">
        <v>243</v>
      </c>
      <c r="D431" s="16" t="n">
        <f aca="false">q26_e*ai_e</f>
        <v>243.75</v>
      </c>
      <c r="H431" s="8" t="s">
        <v>459</v>
      </c>
    </row>
    <row r="432" customFormat="false" ht="17.15" hidden="false" customHeight="false" outlineLevel="0" collapsed="false">
      <c r="A432" s="5" t="s">
        <v>460</v>
      </c>
      <c r="B432" s="5" t="s">
        <v>461</v>
      </c>
      <c r="D432" s="14" t="n">
        <f aca="false">D431/D430</f>
        <v>22.9088345864662</v>
      </c>
      <c r="H432" s="8" t="s">
        <v>462</v>
      </c>
    </row>
    <row r="433" customFormat="false" ht="17.15" hidden="false" customHeight="false" outlineLevel="0" collapsed="false">
      <c r="A433" s="5" t="s">
        <v>463</v>
      </c>
      <c r="B433" s="0" t="s">
        <v>147</v>
      </c>
      <c r="D433" s="20" t="n">
        <f aca="false">1</f>
        <v>1</v>
      </c>
      <c r="E433" s="20" t="n">
        <f aca="false">D433*(1+g_asp)</f>
        <v>1.18</v>
      </c>
      <c r="F433" s="20" t="n">
        <f aca="false">E433*(1+g_asp)</f>
        <v>1.3924</v>
      </c>
      <c r="G433" s="20" t="n">
        <f aca="false">F433*(1+g_asp)</f>
        <v>1.643032</v>
      </c>
    </row>
    <row r="434" customFormat="false" ht="17.15" hidden="false" customHeight="false" outlineLevel="0" collapsed="false">
      <c r="A434" s="0" t="s">
        <v>464</v>
      </c>
      <c r="B434" s="0" t="s">
        <v>147</v>
      </c>
      <c r="D434" s="21" t="n">
        <f aca="false">1</f>
        <v>1</v>
      </c>
      <c r="E434" s="21" t="n">
        <f aca="false">rel_27</f>
        <v>0.95</v>
      </c>
      <c r="F434" s="21" t="n">
        <f aca="false">rel_28</f>
        <v>0.88</v>
      </c>
      <c r="G434" s="21" t="n">
        <f aca="false">rel_29</f>
        <v>0.85</v>
      </c>
    </row>
    <row r="435" customFormat="false" ht="17.15" hidden="false" customHeight="false" outlineLevel="0" collapsed="false">
      <c r="A435" s="5" t="s">
        <v>465</v>
      </c>
      <c r="B435" s="0" t="s">
        <v>147</v>
      </c>
      <c r="D435" s="21" t="n">
        <f aca="false">1</f>
        <v>1</v>
      </c>
      <c r="E435" s="21" t="n">
        <f aca="false">pp_27</f>
        <v>1</v>
      </c>
      <c r="F435" s="21" t="n">
        <f aca="false">pp_28</f>
        <v>0.95</v>
      </c>
      <c r="G435" s="21" t="n">
        <f aca="false">pp_29</f>
        <v>0.9</v>
      </c>
    </row>
    <row r="436" customFormat="false" ht="17.15" hidden="false" customHeight="false" outlineLevel="0" collapsed="false">
      <c r="A436" s="0" t="s">
        <v>427</v>
      </c>
      <c r="B436" s="0" t="s">
        <v>243</v>
      </c>
      <c r="D436" s="16" t="n">
        <f aca="false">D431</f>
        <v>243.75</v>
      </c>
      <c r="E436" s="16" t="n">
        <f aca="false">E430*$D$432*E433*E434*E435</f>
        <v>392.916294642857</v>
      </c>
      <c r="F436" s="16" t="n">
        <f aca="false">F430*$D$432*F433*F434*F435</f>
        <v>434.671226785714</v>
      </c>
      <c r="G436" s="16" t="n">
        <f aca="false">G430*$D$432*G433*G434*G435</f>
        <v>530.395803596334</v>
      </c>
    </row>
    <row r="437" customFormat="false" ht="17.15" hidden="false" customHeight="false" outlineLevel="0" collapsed="false">
      <c r="A437" s="1" t="s">
        <v>466</v>
      </c>
    </row>
    <row r="438" customFormat="false" ht="17.15" hidden="false" customHeight="false" outlineLevel="0" collapsed="false">
      <c r="A438" s="5" t="s">
        <v>467</v>
      </c>
      <c r="B438" s="0" t="s">
        <v>243</v>
      </c>
      <c r="D438" s="16" t="n">
        <f aca="false">q26_e-D436</f>
        <v>131.25</v>
      </c>
      <c r="E438" s="16" t="n">
        <f aca="false">D438*(1+g_ne)</f>
        <v>137.8125</v>
      </c>
      <c r="F438" s="16" t="n">
        <f aca="false">E438*(1+g_ne)</f>
        <v>144.703125</v>
      </c>
      <c r="G438" s="16" t="n">
        <f aca="false">F438*(1+g_ne)</f>
        <v>151.93828125</v>
      </c>
    </row>
    <row r="439" customFormat="false" ht="15" hidden="false" customHeight="false" outlineLevel="0" collapsed="false">
      <c r="A439" s="5" t="s">
        <v>468</v>
      </c>
      <c r="B439" s="0" t="s">
        <v>243</v>
      </c>
      <c r="C439" s="16" t="n">
        <f aca="false">q25_e</f>
        <v>243.316</v>
      </c>
      <c r="D439" s="16" t="n">
        <f aca="false">D436+D438</f>
        <v>375</v>
      </c>
      <c r="E439" s="16" t="n">
        <f aca="false">E436+E438</f>
        <v>530.728794642857</v>
      </c>
      <c r="F439" s="16" t="n">
        <f aca="false">F436+F438</f>
        <v>579.374351785714</v>
      </c>
      <c r="G439" s="16" t="n">
        <f aca="false">G436+G438</f>
        <v>682.334084846335</v>
      </c>
    </row>
    <row r="440" customFormat="false" ht="17.15" hidden="false" customHeight="false" outlineLevel="0" collapsed="false">
      <c r="A440" s="0" t="s">
        <v>469</v>
      </c>
      <c r="B440" s="0" t="s">
        <v>47</v>
      </c>
      <c r="D440" s="15" t="n">
        <f aca="false">(q26_eoi-m_ne_hi*D438)/D436</f>
        <v>0.343589743589744</v>
      </c>
      <c r="H440" s="8" t="s">
        <v>470</v>
      </c>
    </row>
    <row r="441" customFormat="false" ht="17.15" hidden="false" customHeight="false" outlineLevel="0" collapsed="false">
      <c r="A441" s="0" t="s">
        <v>471</v>
      </c>
      <c r="B441" s="0" t="s">
        <v>47</v>
      </c>
      <c r="D441" s="15" t="n">
        <f aca="false">D440</f>
        <v>0.343589743589744</v>
      </c>
      <c r="E441" s="15" t="n">
        <f aca="false">1-(1-$D$440)/E435</f>
        <v>0.343589743589744</v>
      </c>
      <c r="F441" s="15" t="n">
        <f aca="false">1-(1-$D$440)/F435</f>
        <v>0.309041835357625</v>
      </c>
      <c r="G441" s="15" t="n">
        <f aca="false">1-(1-$D$440)/G435</f>
        <v>0.270655270655271</v>
      </c>
      <c r="H441" s="8" t="s">
        <v>472</v>
      </c>
    </row>
    <row r="442" customFormat="false" ht="15" hidden="false" customHeight="false" outlineLevel="0" collapsed="false">
      <c r="A442" s="5" t="s">
        <v>473</v>
      </c>
      <c r="B442" s="0" t="s">
        <v>243</v>
      </c>
      <c r="C442" s="16" t="n">
        <f aca="false">q25_eoi</f>
        <v>45.248</v>
      </c>
      <c r="D442" s="16" t="n">
        <f aca="false">D436*D441+D438*m_ne_hi</f>
        <v>110</v>
      </c>
      <c r="E442" s="16" t="n">
        <f aca="false">E436*E441+E438*m_ne_hi</f>
        <v>162.564508928571</v>
      </c>
      <c r="F442" s="16" t="n">
        <f aca="false">F436*F441+F438*m_ne_hi</f>
        <v>163.272218703007</v>
      </c>
      <c r="G442" s="16" t="n">
        <f aca="false">G436*G441+G438*m_ne_hi</f>
        <v>173.942076026786</v>
      </c>
    </row>
    <row r="443" customFormat="false" ht="15" hidden="false" customHeight="false" outlineLevel="0" collapsed="false">
      <c r="A443" s="5" t="s">
        <v>406</v>
      </c>
      <c r="B443" s="0" t="s">
        <v>47</v>
      </c>
      <c r="C443" s="15" t="n">
        <f aca="false">C442/C439</f>
        <v>0.185963931677325</v>
      </c>
      <c r="D443" s="15" t="n">
        <f aca="false">D442/D439</f>
        <v>0.293333333333333</v>
      </c>
      <c r="E443" s="15" t="n">
        <f aca="false">E442/E439</f>
        <v>0.306304294339194</v>
      </c>
      <c r="F443" s="15" t="n">
        <f aca="false">F442/F439</f>
        <v>0.281807812513238</v>
      </c>
      <c r="G443" s="15" t="n">
        <f aca="false">G442/G439</f>
        <v>0.254922156008018</v>
      </c>
    </row>
    <row r="444" customFormat="false" ht="17.15" hidden="false" customHeight="false" outlineLevel="0" collapsed="false">
      <c r="A444" s="1" t="s">
        <v>474</v>
      </c>
    </row>
    <row r="445" customFormat="false" ht="15" hidden="false" customHeight="false" outlineLevel="0" collapsed="false">
      <c r="A445" s="5" t="s">
        <v>475</v>
      </c>
      <c r="B445" s="0" t="s">
        <v>243</v>
      </c>
      <c r="C445" s="16" t="n">
        <f aca="false">q25_cer</f>
        <v>82.554</v>
      </c>
      <c r="D445" s="16" t="n">
        <f aca="false">q26_cer</f>
        <v>84</v>
      </c>
      <c r="E445" s="16" t="n">
        <f aca="false">D445*(1+g_cer)</f>
        <v>84</v>
      </c>
      <c r="F445" s="16" t="n">
        <f aca="false">E445*(1+g_cer)</f>
        <v>84</v>
      </c>
      <c r="G445" s="16" t="n">
        <f aca="false">F445*(1+g_cer)</f>
        <v>84</v>
      </c>
    </row>
    <row r="446" customFormat="false" ht="15" hidden="false" customHeight="false" outlineLevel="0" collapsed="false">
      <c r="A446" s="5" t="s">
        <v>476</v>
      </c>
      <c r="B446" s="0" t="s">
        <v>243</v>
      </c>
      <c r="C446" s="16" t="n">
        <f aca="false">q25_oth</f>
        <v>90.33</v>
      </c>
      <c r="D446" s="16" t="n">
        <f aca="false">q26_oth</f>
        <v>91</v>
      </c>
      <c r="E446" s="16" t="n">
        <f aca="false">D446*(1+g_oth)</f>
        <v>93.73</v>
      </c>
      <c r="F446" s="16" t="n">
        <f aca="false">E446*(1+g_oth)</f>
        <v>96.5419</v>
      </c>
      <c r="G446" s="16" t="n">
        <f aca="false">F446*(1+g_oth)</f>
        <v>99.438157</v>
      </c>
    </row>
    <row r="447" customFormat="false" ht="15" hidden="false" customHeight="false" outlineLevel="0" collapsed="false">
      <c r="A447" s="5" t="s">
        <v>395</v>
      </c>
      <c r="B447" s="0" t="s">
        <v>243</v>
      </c>
      <c r="C447" s="16" t="n">
        <f aca="false">C439+C445+C446</f>
        <v>416.2</v>
      </c>
      <c r="D447" s="16" t="n">
        <f aca="false">D439+D445+D446</f>
        <v>550</v>
      </c>
      <c r="E447" s="16" t="n">
        <f aca="false">E439+E445+E446</f>
        <v>708.458794642857</v>
      </c>
      <c r="F447" s="16" t="n">
        <f aca="false">F439+F445+F446</f>
        <v>759.916251785714</v>
      </c>
      <c r="G447" s="16" t="n">
        <f aca="false">G439+G445+G446</f>
        <v>865.772241846335</v>
      </c>
    </row>
    <row r="448" customFormat="false" ht="17.15" hidden="false" customHeight="false" outlineLevel="0" collapsed="false">
      <c r="A448" s="5" t="s">
        <v>477</v>
      </c>
      <c r="B448" s="0" t="s">
        <v>243</v>
      </c>
      <c r="C448" s="20" t="n">
        <f aca="false">C439+C445+C446-q25_rev</f>
        <v>-0.0010000000000332</v>
      </c>
      <c r="D448" s="20" t="n">
        <f aca="false">D439+D445+D446-q26_rev</f>
        <v>0</v>
      </c>
    </row>
    <row r="449" customFormat="false" ht="15" hidden="false" customHeight="false" outlineLevel="0" collapsed="false">
      <c r="A449" s="5" t="s">
        <v>478</v>
      </c>
      <c r="B449" s="0" t="s">
        <v>47</v>
      </c>
      <c r="D449" s="15" t="n">
        <f aca="false">D447/C447-1</f>
        <v>0.321480057664584</v>
      </c>
      <c r="E449" s="15" t="n">
        <f aca="false">E447/D447-1</f>
        <v>0.288106899350649</v>
      </c>
      <c r="F449" s="15" t="n">
        <f aca="false">F447/E447-1</f>
        <v>0.0726329569651225</v>
      </c>
      <c r="G449" s="15" t="n">
        <f aca="false">G447/F447-1</f>
        <v>0.139299547564447</v>
      </c>
    </row>
    <row r="450" customFormat="false" ht="17.15" hidden="false" customHeight="false" outlineLevel="0" collapsed="false">
      <c r="A450" s="0" t="s">
        <v>479</v>
      </c>
      <c r="B450" s="0" t="s">
        <v>47</v>
      </c>
      <c r="D450" s="15" t="n">
        <f aca="false">D436/D447</f>
        <v>0.443181818181818</v>
      </c>
      <c r="E450" s="15" t="n">
        <f aca="false">E436/E447</f>
        <v>0.554607124103712</v>
      </c>
      <c r="F450" s="15" t="n">
        <f aca="false">F436/F447</f>
        <v>0.57199885614275</v>
      </c>
      <c r="G450" s="15" t="n">
        <f aca="false">G436/G447</f>
        <v>0.612627407024761</v>
      </c>
    </row>
    <row r="451" customFormat="false" ht="15" hidden="false" customHeight="false" outlineLevel="0" collapsed="false">
      <c r="A451" s="5" t="s">
        <v>480</v>
      </c>
      <c r="B451" s="0" t="s">
        <v>243</v>
      </c>
      <c r="C451" s="16" t="n">
        <f aca="false">q25_oi-q25_eoi</f>
        <v>16.779</v>
      </c>
      <c r="D451" s="16" t="n">
        <f aca="false">q26_oi-q26_eoi</f>
        <v>17</v>
      </c>
      <c r="E451" s="16" t="n">
        <f aca="false">E445*m_cer+E446*m_oth+q26_adj</f>
        <v>17.24695</v>
      </c>
      <c r="F451" s="16" t="n">
        <f aca="false">F445*m_cer+F446*m_oth+q26_adj</f>
        <v>17.5703185</v>
      </c>
      <c r="G451" s="16" t="n">
        <f aca="false">G445*m_cer+G446*m_oth+q26_adj</f>
        <v>17.903388055</v>
      </c>
    </row>
    <row r="452" customFormat="false" ht="15" hidden="false" customHeight="false" outlineLevel="0" collapsed="false">
      <c r="A452" s="5" t="s">
        <v>400</v>
      </c>
      <c r="B452" s="0" t="s">
        <v>243</v>
      </c>
      <c r="C452" s="16" t="n">
        <f aca="false">C442+C451</f>
        <v>62.027</v>
      </c>
      <c r="D452" s="16" t="n">
        <f aca="false">D442+D451</f>
        <v>127</v>
      </c>
      <c r="E452" s="16" t="n">
        <f aca="false">E442+E451</f>
        <v>179.811458928571</v>
      </c>
      <c r="F452" s="16" t="n">
        <f aca="false">F442+F451</f>
        <v>180.842537203007</v>
      </c>
      <c r="G452" s="16" t="n">
        <f aca="false">G442+G451</f>
        <v>191.845464081786</v>
      </c>
    </row>
    <row r="453" customFormat="false" ht="15" hidden="false" customHeight="false" outlineLevel="0" collapsed="false">
      <c r="A453" s="5" t="s">
        <v>407</v>
      </c>
      <c r="B453" s="0" t="s">
        <v>47</v>
      </c>
      <c r="C453" s="15" t="n">
        <f aca="false">C452/C447</f>
        <v>0.149031715521384</v>
      </c>
      <c r="D453" s="15" t="n">
        <f aca="false">D452/D447</f>
        <v>0.230909090909091</v>
      </c>
      <c r="E453" s="15" t="n">
        <f aca="false">E452/E447</f>
        <v>0.253806516749103</v>
      </c>
      <c r="F453" s="15" t="n">
        <f aca="false">F452/F447</f>
        <v>0.237976930718416</v>
      </c>
      <c r="G453" s="15" t="n">
        <f aca="false">G452/G447</f>
        <v>0.221588836889317</v>
      </c>
    </row>
    <row r="454" customFormat="false" ht="15" hidden="false" customHeight="false" outlineLevel="0" collapsed="false">
      <c r="A454" s="5" t="s">
        <v>402</v>
      </c>
      <c r="B454" s="0" t="s">
        <v>243</v>
      </c>
      <c r="C454" s="16" t="n">
        <f aca="false">q25_ni</f>
        <v>63.713</v>
      </c>
      <c r="D454" s="16" t="n">
        <f aca="false">q26_ni</f>
        <v>84</v>
      </c>
      <c r="E454" s="16" t="n">
        <f aca="false">E452*ni_oi</f>
        <v>118.855374351786</v>
      </c>
      <c r="F454" s="16" t="n">
        <f aca="false">F452*ni_oi</f>
        <v>119.536917091188</v>
      </c>
      <c r="G454" s="16" t="n">
        <f aca="false">G452*ni_oi</f>
        <v>126.80985175806</v>
      </c>
    </row>
    <row r="455" customFormat="false" ht="15" hidden="false" customHeight="false" outlineLevel="0" collapsed="false">
      <c r="A455" s="5" t="s">
        <v>481</v>
      </c>
      <c r="B455" s="5" t="s">
        <v>482</v>
      </c>
      <c r="D455" s="17" t="n">
        <f aca="false">q26_sh</f>
        <v>0.561197220737574</v>
      </c>
      <c r="E455" s="17" t="n">
        <f aca="false">D455*(1+sh_g)</f>
        <v>0.561197220737574</v>
      </c>
      <c r="F455" s="17" t="n">
        <f aca="false">E455*(1+sh_g)</f>
        <v>0.561197220737574</v>
      </c>
      <c r="G455" s="17" t="n">
        <f aca="false">F455*(1+sh_g)</f>
        <v>0.561197220737574</v>
      </c>
    </row>
    <row r="456" customFormat="false" ht="17.15" hidden="false" customHeight="false" outlineLevel="0" collapsed="false">
      <c r="A456" s="0" t="s">
        <v>483</v>
      </c>
      <c r="B456" s="0" t="s">
        <v>268</v>
      </c>
      <c r="C456" s="16" t="n">
        <f aca="false">q25_eps</f>
        <v>114.08</v>
      </c>
      <c r="D456" s="16" t="n">
        <f aca="false">D454/D455</f>
        <v>149.68</v>
      </c>
      <c r="E456" s="16" t="n">
        <f aca="false">E454/E455</f>
        <v>211.78895753542</v>
      </c>
      <c r="F456" s="16" t="n">
        <f aca="false">F454/F455</f>
        <v>213.003401788203</v>
      </c>
      <c r="G456" s="16" t="n">
        <f aca="false">G454/G455</f>
        <v>225.963078704125</v>
      </c>
    </row>
    <row r="457" customFormat="false" ht="17.15" hidden="false" customHeight="false" outlineLevel="0" collapsed="false">
      <c r="A457" s="0" t="s">
        <v>484</v>
      </c>
      <c r="B457" s="0" t="s">
        <v>47</v>
      </c>
      <c r="D457" s="15" t="n">
        <f aca="false">D456/C456-1</f>
        <v>0.312061711079944</v>
      </c>
      <c r="E457" s="15" t="n">
        <f aca="false">E456/D456-1</f>
        <v>0.414944932759354</v>
      </c>
      <c r="F457" s="15" t="n">
        <f aca="false">F456/E456-1</f>
        <v>0.00573421894566617</v>
      </c>
      <c r="G457" s="15" t="n">
        <f aca="false">G456/F456-1</f>
        <v>0.0608425818889427</v>
      </c>
    </row>
    <row r="460" customFormat="false" ht="17.15" hidden="false" customHeight="false" outlineLevel="0" collapsed="false">
      <c r="A460" s="3" t="s">
        <v>808</v>
      </c>
    </row>
    <row r="461" customFormat="false" ht="17.15" hidden="false" customHeight="false" outlineLevel="0" collapsed="false">
      <c r="A461" s="6" t="s">
        <v>24</v>
      </c>
      <c r="B461" s="6" t="s">
        <v>25</v>
      </c>
      <c r="C461" s="13" t="s">
        <v>392</v>
      </c>
      <c r="D461" s="13" t="s">
        <v>438</v>
      </c>
      <c r="E461" s="13" t="s">
        <v>414</v>
      </c>
      <c r="F461" s="13" t="s">
        <v>415</v>
      </c>
      <c r="G461" s="13" t="s">
        <v>416</v>
      </c>
      <c r="H461" s="6" t="s">
        <v>377</v>
      </c>
    </row>
    <row r="462" customFormat="false" ht="17.15" hidden="false" customHeight="false" outlineLevel="0" collapsed="false">
      <c r="A462" s="1" t="s">
        <v>452</v>
      </c>
    </row>
    <row r="463" customFormat="false" ht="17.15" hidden="false" customHeight="false" outlineLevel="0" collapsed="false">
      <c r="A463" s="0" t="s">
        <v>453</v>
      </c>
      <c r="B463" s="5" t="s">
        <v>35</v>
      </c>
      <c r="D463" s="16" t="n">
        <f aca="false">(u_bw_26+u_rb_26+u_ru_26+u_hp_26)*1</f>
        <v>7.6</v>
      </c>
      <c r="E463" s="16" t="n">
        <f aca="false">(u_bw_27+u_rb_27+u_ru_27+u_hp_27)*1</f>
        <v>9.7</v>
      </c>
      <c r="F463" s="16" t="n">
        <f aca="false">(u_bw_28+u_rb_28+u_ru_28+u_hp_28)*um28_A</f>
        <v>9.5</v>
      </c>
      <c r="G463" s="16" t="n">
        <f aca="false">(u_bw_28*(1+g29_bw)+u_rb_28*(1+g29_rb)+u_ru_28*(1+g29_ru)+u_hp_28*(1+g29_hp))*um29_A</f>
        <v>10.6</v>
      </c>
      <c r="H463" s="8" t="s">
        <v>454</v>
      </c>
    </row>
    <row r="464" customFormat="false" ht="17.15" hidden="false" customHeight="false" outlineLevel="0" collapsed="false">
      <c r="A464" s="5" t="s">
        <v>455</v>
      </c>
      <c r="B464" s="5" t="s">
        <v>35</v>
      </c>
      <c r="D464" s="16" t="n">
        <f aca="false">(u_amd_26+u_tpu_26+u_trn_26+u_oth_26)*1</f>
        <v>7.6</v>
      </c>
      <c r="E464" s="16" t="n">
        <f aca="false">(u_amd_27+u_tpu_27+u_trn_27+u_oth_27)*1</f>
        <v>14</v>
      </c>
      <c r="F464" s="16" t="n">
        <f aca="false">(u_amd_28+u_tpu_28+u_trn_28+u_oth_28)*um28_A</f>
        <v>17</v>
      </c>
      <c r="G464" s="16" t="n">
        <f aca="false">(u_amd_28*(1+g29_amd)+u_tpu_28*(1+g29_tpu)+u_trn_28*(1+g29_trn)+u_oth_28*(1+g29_oth))*um29_A</f>
        <v>19.55</v>
      </c>
      <c r="H464" s="8" t="s">
        <v>456</v>
      </c>
    </row>
    <row r="465" customFormat="false" ht="17.15" hidden="false" customHeight="false" outlineLevel="0" collapsed="false">
      <c r="A465" s="5" t="s">
        <v>457</v>
      </c>
      <c r="B465" s="5" t="s">
        <v>35</v>
      </c>
      <c r="D465" s="16" t="n">
        <f aca="false">D463+w_ot*D464</f>
        <v>10.64</v>
      </c>
      <c r="E465" s="16" t="n">
        <f aca="false">E463+w_ot*E464</f>
        <v>15.3</v>
      </c>
      <c r="F465" s="16" t="n">
        <f aca="false">F463+w_ot*F464</f>
        <v>16.3</v>
      </c>
      <c r="G465" s="16" t="n">
        <f aca="false">G463+w_ot*G464</f>
        <v>18.42</v>
      </c>
    </row>
    <row r="466" customFormat="false" ht="17.15" hidden="false" customHeight="false" outlineLevel="0" collapsed="false">
      <c r="A466" s="0" t="s">
        <v>458</v>
      </c>
      <c r="B466" s="0" t="s">
        <v>243</v>
      </c>
      <c r="D466" s="16" t="n">
        <f aca="false">q26_e*ai_e</f>
        <v>243.75</v>
      </c>
      <c r="H466" s="8" t="s">
        <v>459</v>
      </c>
    </row>
    <row r="467" customFormat="false" ht="17.15" hidden="false" customHeight="false" outlineLevel="0" collapsed="false">
      <c r="A467" s="5" t="s">
        <v>460</v>
      </c>
      <c r="B467" s="5" t="s">
        <v>461</v>
      </c>
      <c r="D467" s="14" t="n">
        <f aca="false">D466/D465</f>
        <v>22.9088345864662</v>
      </c>
      <c r="H467" s="8" t="s">
        <v>462</v>
      </c>
    </row>
    <row r="468" customFormat="false" ht="17.15" hidden="false" customHeight="false" outlineLevel="0" collapsed="false">
      <c r="A468" s="5" t="s">
        <v>463</v>
      </c>
      <c r="B468" s="0" t="s">
        <v>147</v>
      </c>
      <c r="D468" s="20" t="n">
        <f aca="false">1</f>
        <v>1</v>
      </c>
      <c r="E468" s="20" t="n">
        <f aca="false">D468*(1+g_asp)</f>
        <v>1.18</v>
      </c>
      <c r="F468" s="20" t="n">
        <f aca="false">E468*(1+g_asp)</f>
        <v>1.3924</v>
      </c>
      <c r="G468" s="20" t="n">
        <f aca="false">F468*(1+g_asp)</f>
        <v>1.643032</v>
      </c>
    </row>
    <row r="469" customFormat="false" ht="17.15" hidden="false" customHeight="false" outlineLevel="0" collapsed="false">
      <c r="A469" s="0" t="s">
        <v>464</v>
      </c>
      <c r="B469" s="0" t="s">
        <v>147</v>
      </c>
      <c r="D469" s="21" t="n">
        <f aca="false">1</f>
        <v>1</v>
      </c>
      <c r="E469" s="21" t="n">
        <f aca="false">rel_27</f>
        <v>0.95</v>
      </c>
      <c r="F469" s="21" t="n">
        <f aca="false">rel_28</f>
        <v>0.88</v>
      </c>
      <c r="G469" s="21" t="n">
        <f aca="false">rel_29</f>
        <v>0.85</v>
      </c>
    </row>
    <row r="470" customFormat="false" ht="17.15" hidden="false" customHeight="false" outlineLevel="0" collapsed="false">
      <c r="A470" s="5" t="s">
        <v>465</v>
      </c>
      <c r="B470" s="0" t="s">
        <v>147</v>
      </c>
      <c r="D470" s="21" t="n">
        <f aca="false">1</f>
        <v>1</v>
      </c>
      <c r="E470" s="21" t="n">
        <f aca="false">pp_27</f>
        <v>1</v>
      </c>
      <c r="F470" s="21" t="n">
        <f aca="false">pp_28</f>
        <v>0.95</v>
      </c>
      <c r="G470" s="21" t="n">
        <f aca="false">pp_29</f>
        <v>0.9</v>
      </c>
    </row>
    <row r="471" customFormat="false" ht="17.15" hidden="false" customHeight="false" outlineLevel="0" collapsed="false">
      <c r="A471" s="0" t="s">
        <v>427</v>
      </c>
      <c r="B471" s="0" t="s">
        <v>243</v>
      </c>
      <c r="D471" s="16" t="n">
        <f aca="false">D466</f>
        <v>243.75</v>
      </c>
      <c r="E471" s="16" t="n">
        <f aca="false">E465*$D$467*E468*E469*E470</f>
        <v>392.916294642857</v>
      </c>
      <c r="F471" s="16" t="n">
        <f aca="false">F465*$D$467*F468*F469*F470</f>
        <v>434.671226785714</v>
      </c>
      <c r="G471" s="16" t="n">
        <f aca="false">G465*$D$467*G468*G469*G470</f>
        <v>530.395803596334</v>
      </c>
    </row>
    <row r="472" customFormat="false" ht="17.15" hidden="false" customHeight="false" outlineLevel="0" collapsed="false">
      <c r="A472" s="1" t="s">
        <v>466</v>
      </c>
    </row>
    <row r="473" customFormat="false" ht="17.15" hidden="false" customHeight="false" outlineLevel="0" collapsed="false">
      <c r="A473" s="5" t="s">
        <v>467</v>
      </c>
      <c r="B473" s="0" t="s">
        <v>243</v>
      </c>
      <c r="D473" s="16" t="n">
        <f aca="false">q26_e-D471</f>
        <v>131.25</v>
      </c>
      <c r="E473" s="16" t="n">
        <f aca="false">D473*(1+g_ne)</f>
        <v>137.8125</v>
      </c>
      <c r="F473" s="16" t="n">
        <f aca="false">E473*(1+g_ne)</f>
        <v>144.703125</v>
      </c>
      <c r="G473" s="16" t="n">
        <f aca="false">F473*(1+g_ne)</f>
        <v>151.93828125</v>
      </c>
    </row>
    <row r="474" customFormat="false" ht="15" hidden="false" customHeight="false" outlineLevel="0" collapsed="false">
      <c r="A474" s="5" t="s">
        <v>468</v>
      </c>
      <c r="B474" s="0" t="s">
        <v>243</v>
      </c>
      <c r="C474" s="16" t="n">
        <f aca="false">q25_e</f>
        <v>243.316</v>
      </c>
      <c r="D474" s="16" t="n">
        <f aca="false">D471+D473</f>
        <v>375</v>
      </c>
      <c r="E474" s="16" t="n">
        <f aca="false">E471+E473</f>
        <v>530.728794642857</v>
      </c>
      <c r="F474" s="16" t="n">
        <f aca="false">F471+F473</f>
        <v>579.374351785714</v>
      </c>
      <c r="G474" s="16" t="n">
        <f aca="false">G471+G473</f>
        <v>682.334084846335</v>
      </c>
    </row>
    <row r="475" customFormat="false" ht="17.15" hidden="false" customHeight="false" outlineLevel="0" collapsed="false">
      <c r="A475" s="0" t="s">
        <v>469</v>
      </c>
      <c r="B475" s="0" t="s">
        <v>47</v>
      </c>
      <c r="D475" s="15" t="n">
        <f aca="false">(q26_eoi-m_ne*D473)/D471</f>
        <v>0.370512820512821</v>
      </c>
      <c r="H475" s="8" t="s">
        <v>470</v>
      </c>
    </row>
    <row r="476" customFormat="false" ht="17.15" hidden="false" customHeight="false" outlineLevel="0" collapsed="false">
      <c r="A476" s="0" t="s">
        <v>471</v>
      </c>
      <c r="B476" s="0" t="s">
        <v>47</v>
      </c>
      <c r="D476" s="15" t="n">
        <f aca="false">D475</f>
        <v>0.370512820512821</v>
      </c>
      <c r="E476" s="15" t="n">
        <f aca="false">1-(1-$D$475)/E470</f>
        <v>0.370512820512821</v>
      </c>
      <c r="F476" s="15" t="n">
        <f aca="false">1-(1-$D$475)/F470</f>
        <v>0.337381916329285</v>
      </c>
      <c r="G476" s="15" t="n">
        <f aca="false">1-(1-$D$475)/G470</f>
        <v>0.300569800569801</v>
      </c>
      <c r="H476" s="8" t="s">
        <v>472</v>
      </c>
    </row>
    <row r="477" customFormat="false" ht="15" hidden="false" customHeight="false" outlineLevel="0" collapsed="false">
      <c r="A477" s="5" t="s">
        <v>473</v>
      </c>
      <c r="B477" s="0" t="s">
        <v>243</v>
      </c>
      <c r="C477" s="16" t="n">
        <f aca="false">q25_eoi</f>
        <v>45.248</v>
      </c>
      <c r="D477" s="16" t="n">
        <f aca="false">D471*D476+D473*m_ne</f>
        <v>110</v>
      </c>
      <c r="E477" s="16" t="n">
        <f aca="false">E471*E476+E473*m_ne</f>
        <v>166.252399553571</v>
      </c>
      <c r="F477" s="16" t="n">
        <f aca="false">F471*F476+F473*m_ne</f>
        <v>168.355680216165</v>
      </c>
      <c r="G477" s="16" t="n">
        <f aca="false">G471*G476+G473*m_ne</f>
        <v>182.211703097509</v>
      </c>
    </row>
    <row r="478" customFormat="false" ht="15" hidden="false" customHeight="false" outlineLevel="0" collapsed="false">
      <c r="A478" s="5" t="s">
        <v>406</v>
      </c>
      <c r="B478" s="0" t="s">
        <v>47</v>
      </c>
      <c r="C478" s="15" t="n">
        <f aca="false">C477/C474</f>
        <v>0.185963931677325</v>
      </c>
      <c r="D478" s="15" t="n">
        <f aca="false">D477/D474</f>
        <v>0.293333333333333</v>
      </c>
      <c r="E478" s="15" t="n">
        <f aca="false">E477/E474</f>
        <v>0.313253023449477</v>
      </c>
      <c r="F478" s="15" t="n">
        <f aca="false">F477/F474</f>
        <v>0.29058186593395</v>
      </c>
      <c r="G478" s="15" t="n">
        <f aca="false">G477/G474</f>
        <v>0.267041771976765</v>
      </c>
    </row>
    <row r="479" customFormat="false" ht="17.15" hidden="false" customHeight="false" outlineLevel="0" collapsed="false">
      <c r="A479" s="1" t="s">
        <v>474</v>
      </c>
    </row>
    <row r="480" customFormat="false" ht="15" hidden="false" customHeight="false" outlineLevel="0" collapsed="false">
      <c r="A480" s="5" t="s">
        <v>475</v>
      </c>
      <c r="B480" s="0" t="s">
        <v>243</v>
      </c>
      <c r="C480" s="16" t="n">
        <f aca="false">q25_cer</f>
        <v>82.554</v>
      </c>
      <c r="D480" s="16" t="n">
        <f aca="false">q26_cer</f>
        <v>84</v>
      </c>
      <c r="E480" s="16" t="n">
        <f aca="false">D480*(1+g_cer)</f>
        <v>84</v>
      </c>
      <c r="F480" s="16" t="n">
        <f aca="false">E480*(1+g_cer)</f>
        <v>84</v>
      </c>
      <c r="G480" s="16" t="n">
        <f aca="false">F480*(1+g_cer)</f>
        <v>84</v>
      </c>
    </row>
    <row r="481" customFormat="false" ht="15" hidden="false" customHeight="false" outlineLevel="0" collapsed="false">
      <c r="A481" s="5" t="s">
        <v>476</v>
      </c>
      <c r="B481" s="0" t="s">
        <v>243</v>
      </c>
      <c r="C481" s="16" t="n">
        <f aca="false">q25_oth</f>
        <v>90.33</v>
      </c>
      <c r="D481" s="16" t="n">
        <f aca="false">q26_oth</f>
        <v>91</v>
      </c>
      <c r="E481" s="16" t="n">
        <f aca="false">D481*(1+g_oth)</f>
        <v>93.73</v>
      </c>
      <c r="F481" s="16" t="n">
        <f aca="false">E481*(1+g_oth)</f>
        <v>96.5419</v>
      </c>
      <c r="G481" s="16" t="n">
        <f aca="false">F481*(1+g_oth)</f>
        <v>99.438157</v>
      </c>
    </row>
    <row r="482" customFormat="false" ht="15" hidden="false" customHeight="false" outlineLevel="0" collapsed="false">
      <c r="A482" s="5" t="s">
        <v>395</v>
      </c>
      <c r="B482" s="0" t="s">
        <v>243</v>
      </c>
      <c r="C482" s="16" t="n">
        <f aca="false">C474+C480+C481</f>
        <v>416.2</v>
      </c>
      <c r="D482" s="16" t="n">
        <f aca="false">D474+D480+D481</f>
        <v>550</v>
      </c>
      <c r="E482" s="16" t="n">
        <f aca="false">E474+E480+E481</f>
        <v>708.458794642857</v>
      </c>
      <c r="F482" s="16" t="n">
        <f aca="false">F474+F480+F481</f>
        <v>759.916251785714</v>
      </c>
      <c r="G482" s="16" t="n">
        <f aca="false">G474+G480+G481</f>
        <v>865.772241846335</v>
      </c>
    </row>
    <row r="483" customFormat="false" ht="17.15" hidden="false" customHeight="false" outlineLevel="0" collapsed="false">
      <c r="A483" s="5" t="s">
        <v>477</v>
      </c>
      <c r="B483" s="0" t="s">
        <v>243</v>
      </c>
      <c r="C483" s="20" t="n">
        <f aca="false">C474+C480+C481-q25_rev</f>
        <v>-0.0010000000000332</v>
      </c>
      <c r="D483" s="20" t="n">
        <f aca="false">D474+D480+D481-q26_rev</f>
        <v>0</v>
      </c>
    </row>
    <row r="484" customFormat="false" ht="15" hidden="false" customHeight="false" outlineLevel="0" collapsed="false">
      <c r="A484" s="5" t="s">
        <v>478</v>
      </c>
      <c r="B484" s="0" t="s">
        <v>47</v>
      </c>
      <c r="D484" s="15" t="n">
        <f aca="false">D482/C482-1</f>
        <v>0.321480057664584</v>
      </c>
      <c r="E484" s="15" t="n">
        <f aca="false">E482/D482-1</f>
        <v>0.288106899350649</v>
      </c>
      <c r="F484" s="15" t="n">
        <f aca="false">F482/E482-1</f>
        <v>0.0726329569651225</v>
      </c>
      <c r="G484" s="15" t="n">
        <f aca="false">G482/F482-1</f>
        <v>0.139299547564447</v>
      </c>
    </row>
    <row r="485" customFormat="false" ht="17.15" hidden="false" customHeight="false" outlineLevel="0" collapsed="false">
      <c r="A485" s="0" t="s">
        <v>479</v>
      </c>
      <c r="B485" s="0" t="s">
        <v>47</v>
      </c>
      <c r="D485" s="15" t="n">
        <f aca="false">D471/D482</f>
        <v>0.443181818181818</v>
      </c>
      <c r="E485" s="15" t="n">
        <f aca="false">E471/E482</f>
        <v>0.554607124103712</v>
      </c>
      <c r="F485" s="15" t="n">
        <f aca="false">F471/F482</f>
        <v>0.57199885614275</v>
      </c>
      <c r="G485" s="15" t="n">
        <f aca="false">G471/G482</f>
        <v>0.612627407024761</v>
      </c>
    </row>
    <row r="486" customFormat="false" ht="15" hidden="false" customHeight="false" outlineLevel="0" collapsed="false">
      <c r="A486" s="5" t="s">
        <v>480</v>
      </c>
      <c r="B486" s="0" t="s">
        <v>243</v>
      </c>
      <c r="C486" s="16" t="n">
        <f aca="false">q25_oi-q25_eoi</f>
        <v>16.779</v>
      </c>
      <c r="D486" s="16" t="n">
        <f aca="false">q26_oi-q26_eoi</f>
        <v>17</v>
      </c>
      <c r="E486" s="16" t="n">
        <f aca="false">E480*m_cer+E481*m_oth+q26_adj</f>
        <v>17.24695</v>
      </c>
      <c r="F486" s="16" t="n">
        <f aca="false">F480*m_cer+F481*m_oth+q26_adj</f>
        <v>17.5703185</v>
      </c>
      <c r="G486" s="16" t="n">
        <f aca="false">G480*m_cer+G481*m_oth+q26_adj</f>
        <v>17.903388055</v>
      </c>
    </row>
    <row r="487" customFormat="false" ht="15" hidden="false" customHeight="false" outlineLevel="0" collapsed="false">
      <c r="A487" s="5" t="s">
        <v>400</v>
      </c>
      <c r="B487" s="0" t="s">
        <v>243</v>
      </c>
      <c r="C487" s="16" t="n">
        <f aca="false">C477+C486</f>
        <v>62.027</v>
      </c>
      <c r="D487" s="16" t="n">
        <f aca="false">D477+D486</f>
        <v>127</v>
      </c>
      <c r="E487" s="16" t="n">
        <f aca="false">E477+E486</f>
        <v>183.499349553571</v>
      </c>
      <c r="F487" s="16" t="n">
        <f aca="false">F477+F486</f>
        <v>185.925998716165</v>
      </c>
      <c r="G487" s="16" t="n">
        <f aca="false">G477+G486</f>
        <v>200.115091152509</v>
      </c>
    </row>
    <row r="488" customFormat="false" ht="15" hidden="false" customHeight="false" outlineLevel="0" collapsed="false">
      <c r="A488" s="5" t="s">
        <v>407</v>
      </c>
      <c r="B488" s="0" t="s">
        <v>47</v>
      </c>
      <c r="C488" s="15" t="n">
        <f aca="false">C487/C482</f>
        <v>0.149031715521384</v>
      </c>
      <c r="D488" s="15" t="n">
        <f aca="false">D487/D482</f>
        <v>0.230909090909091</v>
      </c>
      <c r="E488" s="15" t="n">
        <f aca="false">E487/E482</f>
        <v>0.259012028562756</v>
      </c>
      <c r="F488" s="15" t="n">
        <f aca="false">F487/F482</f>
        <v>0.24466643301714</v>
      </c>
      <c r="G488" s="15" t="n">
        <f aca="false">G487/G482</f>
        <v>0.231140571942739</v>
      </c>
    </row>
    <row r="489" customFormat="false" ht="15" hidden="false" customHeight="false" outlineLevel="0" collapsed="false">
      <c r="A489" s="5" t="s">
        <v>402</v>
      </c>
      <c r="B489" s="0" t="s">
        <v>243</v>
      </c>
      <c r="C489" s="16" t="n">
        <f aca="false">q25_ni</f>
        <v>63.713</v>
      </c>
      <c r="D489" s="16" t="n">
        <f aca="false">q26_ni</f>
        <v>84</v>
      </c>
      <c r="E489" s="16" t="n">
        <f aca="false">E487*ni_oi_lo</f>
        <v>113.769596723214</v>
      </c>
      <c r="F489" s="16" t="n">
        <f aca="false">F487*ni_oi_lo</f>
        <v>115.274119204023</v>
      </c>
      <c r="G489" s="16" t="n">
        <f aca="false">G487*ni_oi_lo</f>
        <v>124.071356514556</v>
      </c>
    </row>
    <row r="490" customFormat="false" ht="15" hidden="false" customHeight="false" outlineLevel="0" collapsed="false">
      <c r="A490" s="5" t="s">
        <v>481</v>
      </c>
      <c r="B490" s="5" t="s">
        <v>482</v>
      </c>
      <c r="D490" s="17" t="n">
        <f aca="false">q26_sh</f>
        <v>0.561197220737574</v>
      </c>
      <c r="E490" s="17" t="n">
        <f aca="false">D490*(1+sh_g)</f>
        <v>0.561197220737574</v>
      </c>
      <c r="F490" s="17" t="n">
        <f aca="false">E490*(1+sh_g)</f>
        <v>0.561197220737574</v>
      </c>
      <c r="G490" s="17" t="n">
        <f aca="false">F490*(1+sh_g)</f>
        <v>0.561197220737574</v>
      </c>
    </row>
    <row r="491" customFormat="false" ht="17.15" hidden="false" customHeight="false" outlineLevel="0" collapsed="false">
      <c r="A491" s="0" t="s">
        <v>483</v>
      </c>
      <c r="B491" s="0" t="s">
        <v>268</v>
      </c>
      <c r="C491" s="16" t="n">
        <f aca="false">q25_eps</f>
        <v>114.08</v>
      </c>
      <c r="D491" s="16" t="n">
        <f aca="false">D489/D490</f>
        <v>149.68</v>
      </c>
      <c r="E491" s="16" t="n">
        <f aca="false">E489/E490</f>
        <v>202.72658616108</v>
      </c>
      <c r="F491" s="16" t="n">
        <f aca="false">F489/F490</f>
        <v>205.407501934025</v>
      </c>
      <c r="G491" s="16" t="n">
        <f aca="false">G489/G490</f>
        <v>221.08334098927</v>
      </c>
    </row>
    <row r="492" customFormat="false" ht="17.15" hidden="false" customHeight="false" outlineLevel="0" collapsed="false">
      <c r="A492" s="0" t="s">
        <v>484</v>
      </c>
      <c r="B492" s="0" t="s">
        <v>47</v>
      </c>
      <c r="D492" s="15" t="n">
        <f aca="false">D491/C491-1</f>
        <v>0.312061711079944</v>
      </c>
      <c r="E492" s="15" t="n">
        <f aca="false">E491/D491-1</f>
        <v>0.354399960990646</v>
      </c>
      <c r="F492" s="15" t="n">
        <f aca="false">F491/E491-1</f>
        <v>0.0132242929933957</v>
      </c>
      <c r="G492" s="15" t="n">
        <f aca="false">G491/F491-1</f>
        <v>0.0763158059352691</v>
      </c>
    </row>
    <row r="495" customFormat="false" ht="17.15" hidden="false" customHeight="false" outlineLevel="0" collapsed="false">
      <c r="A495" s="3" t="s">
        <v>809</v>
      </c>
    </row>
    <row r="496" customFormat="false" ht="17.15" hidden="false" customHeight="false" outlineLevel="0" collapsed="false">
      <c r="A496" s="6" t="s">
        <v>24</v>
      </c>
      <c r="B496" s="6" t="s">
        <v>25</v>
      </c>
      <c r="C496" s="13" t="s">
        <v>392</v>
      </c>
      <c r="D496" s="13" t="s">
        <v>438</v>
      </c>
      <c r="E496" s="13" t="s">
        <v>414</v>
      </c>
      <c r="F496" s="13" t="s">
        <v>415</v>
      </c>
      <c r="G496" s="13" t="s">
        <v>416</v>
      </c>
      <c r="H496" s="6" t="s">
        <v>377</v>
      </c>
    </row>
    <row r="497" customFormat="false" ht="17.15" hidden="false" customHeight="false" outlineLevel="0" collapsed="false">
      <c r="A497" s="1" t="s">
        <v>452</v>
      </c>
    </row>
    <row r="498" customFormat="false" ht="17.15" hidden="false" customHeight="false" outlineLevel="0" collapsed="false">
      <c r="A498" s="0" t="s">
        <v>453</v>
      </c>
      <c r="B498" s="5" t="s">
        <v>35</v>
      </c>
      <c r="D498" s="16" t="n">
        <f aca="false">(u_bw_26+u_rb_26+u_ru_26+u_hp_26)*1</f>
        <v>7.6</v>
      </c>
      <c r="E498" s="16" t="n">
        <f aca="false">(u_bw_27+u_rb_27+u_ru_27+u_hp_27)*1</f>
        <v>9.7</v>
      </c>
      <c r="F498" s="16" t="n">
        <f aca="false">(u_bw_28+u_rb_28+u_ru_28+u_hp_28)*um28_A</f>
        <v>9.5</v>
      </c>
      <c r="G498" s="16" t="n">
        <f aca="false">(u_bw_28*(1+g29_bw)+u_rb_28*(1+g29_rb)+u_ru_28*(1+g29_ru)+u_hp_28*(1+g29_hp))*um29_A</f>
        <v>10.6</v>
      </c>
      <c r="H498" s="8" t="s">
        <v>454</v>
      </c>
    </row>
    <row r="499" customFormat="false" ht="17.15" hidden="false" customHeight="false" outlineLevel="0" collapsed="false">
      <c r="A499" s="5" t="s">
        <v>455</v>
      </c>
      <c r="B499" s="5" t="s">
        <v>35</v>
      </c>
      <c r="D499" s="16" t="n">
        <f aca="false">(u_amd_26+u_tpu_26+u_trn_26+u_oth_26)*1</f>
        <v>7.6</v>
      </c>
      <c r="E499" s="16" t="n">
        <f aca="false">(u_amd_27+u_tpu_27+u_trn_27+u_oth_27)*1</f>
        <v>14</v>
      </c>
      <c r="F499" s="16" t="n">
        <f aca="false">(u_amd_28+u_tpu_28+u_trn_28+u_oth_28)*um28_A</f>
        <v>17</v>
      </c>
      <c r="G499" s="16" t="n">
        <f aca="false">(u_amd_28*(1+g29_amd)+u_tpu_28*(1+g29_tpu)+u_trn_28*(1+g29_trn)+u_oth_28*(1+g29_oth))*um29_A</f>
        <v>19.55</v>
      </c>
      <c r="H499" s="8" t="s">
        <v>456</v>
      </c>
    </row>
    <row r="500" customFormat="false" ht="17.15" hidden="false" customHeight="false" outlineLevel="0" collapsed="false">
      <c r="A500" s="5" t="s">
        <v>457</v>
      </c>
      <c r="B500" s="5" t="s">
        <v>35</v>
      </c>
      <c r="D500" s="16" t="n">
        <f aca="false">D498+w_ot*D499</f>
        <v>10.64</v>
      </c>
      <c r="E500" s="16" t="n">
        <f aca="false">E498+w_ot*E499</f>
        <v>15.3</v>
      </c>
      <c r="F500" s="16" t="n">
        <f aca="false">F498+w_ot*F499</f>
        <v>16.3</v>
      </c>
      <c r="G500" s="16" t="n">
        <f aca="false">G498+w_ot*G499</f>
        <v>18.42</v>
      </c>
    </row>
    <row r="501" customFormat="false" ht="17.15" hidden="false" customHeight="false" outlineLevel="0" collapsed="false">
      <c r="A501" s="0" t="s">
        <v>458</v>
      </c>
      <c r="B501" s="0" t="s">
        <v>243</v>
      </c>
      <c r="D501" s="16" t="n">
        <f aca="false">q26_e*ai_e</f>
        <v>243.75</v>
      </c>
      <c r="H501" s="8" t="s">
        <v>459</v>
      </c>
    </row>
    <row r="502" customFormat="false" ht="17.15" hidden="false" customHeight="false" outlineLevel="0" collapsed="false">
      <c r="A502" s="5" t="s">
        <v>460</v>
      </c>
      <c r="B502" s="5" t="s">
        <v>461</v>
      </c>
      <c r="D502" s="14" t="n">
        <f aca="false">D501/D500</f>
        <v>22.9088345864662</v>
      </c>
      <c r="H502" s="8" t="s">
        <v>462</v>
      </c>
    </row>
    <row r="503" customFormat="false" ht="17.15" hidden="false" customHeight="false" outlineLevel="0" collapsed="false">
      <c r="A503" s="5" t="s">
        <v>463</v>
      </c>
      <c r="B503" s="0" t="s">
        <v>147</v>
      </c>
      <c r="D503" s="20" t="n">
        <f aca="false">1</f>
        <v>1</v>
      </c>
      <c r="E503" s="20" t="n">
        <f aca="false">D503*(1+g_asp)</f>
        <v>1.18</v>
      </c>
      <c r="F503" s="20" t="n">
        <f aca="false">E503*(1+g_asp)</f>
        <v>1.3924</v>
      </c>
      <c r="G503" s="20" t="n">
        <f aca="false">F503*(1+g_asp)</f>
        <v>1.643032</v>
      </c>
    </row>
    <row r="504" customFormat="false" ht="17.15" hidden="false" customHeight="false" outlineLevel="0" collapsed="false">
      <c r="A504" s="0" t="s">
        <v>464</v>
      </c>
      <c r="B504" s="0" t="s">
        <v>147</v>
      </c>
      <c r="D504" s="21" t="n">
        <f aca="false">1</f>
        <v>1</v>
      </c>
      <c r="E504" s="21" t="n">
        <f aca="false">rel_27</f>
        <v>0.95</v>
      </c>
      <c r="F504" s="21" t="n">
        <f aca="false">rel_28</f>
        <v>0.88</v>
      </c>
      <c r="G504" s="21" t="n">
        <f aca="false">rel_29</f>
        <v>0.85</v>
      </c>
    </row>
    <row r="505" customFormat="false" ht="17.15" hidden="false" customHeight="false" outlineLevel="0" collapsed="false">
      <c r="A505" s="5" t="s">
        <v>465</v>
      </c>
      <c r="B505" s="0" t="s">
        <v>147</v>
      </c>
      <c r="D505" s="21" t="n">
        <f aca="false">1</f>
        <v>1</v>
      </c>
      <c r="E505" s="21" t="n">
        <f aca="false">pp_27</f>
        <v>1</v>
      </c>
      <c r="F505" s="21" t="n">
        <f aca="false">pp_28</f>
        <v>0.95</v>
      </c>
      <c r="G505" s="21" t="n">
        <f aca="false">pp_29</f>
        <v>0.9</v>
      </c>
    </row>
    <row r="506" customFormat="false" ht="17.15" hidden="false" customHeight="false" outlineLevel="0" collapsed="false">
      <c r="A506" s="0" t="s">
        <v>427</v>
      </c>
      <c r="B506" s="0" t="s">
        <v>243</v>
      </c>
      <c r="D506" s="16" t="n">
        <f aca="false">D501</f>
        <v>243.75</v>
      </c>
      <c r="E506" s="16" t="n">
        <f aca="false">E500*$D$502*E503*E504*E505</f>
        <v>392.916294642857</v>
      </c>
      <c r="F506" s="16" t="n">
        <f aca="false">F500*$D$502*F503*F504*F505</f>
        <v>434.671226785714</v>
      </c>
      <c r="G506" s="16" t="n">
        <f aca="false">G500*$D$502*G503*G504*G505</f>
        <v>530.395803596334</v>
      </c>
    </row>
    <row r="507" customFormat="false" ht="17.15" hidden="false" customHeight="false" outlineLevel="0" collapsed="false">
      <c r="A507" s="1" t="s">
        <v>466</v>
      </c>
    </row>
    <row r="508" customFormat="false" ht="17.15" hidden="false" customHeight="false" outlineLevel="0" collapsed="false">
      <c r="A508" s="5" t="s">
        <v>467</v>
      </c>
      <c r="B508" s="0" t="s">
        <v>243</v>
      </c>
      <c r="D508" s="16" t="n">
        <f aca="false">q26_e-D506</f>
        <v>131.25</v>
      </c>
      <c r="E508" s="16" t="n">
        <f aca="false">D508*(1+g_ne)</f>
        <v>137.8125</v>
      </c>
      <c r="F508" s="16" t="n">
        <f aca="false">E508*(1+g_ne)</f>
        <v>144.703125</v>
      </c>
      <c r="G508" s="16" t="n">
        <f aca="false">F508*(1+g_ne)</f>
        <v>151.93828125</v>
      </c>
    </row>
    <row r="509" customFormat="false" ht="15" hidden="false" customHeight="false" outlineLevel="0" collapsed="false">
      <c r="A509" s="5" t="s">
        <v>468</v>
      </c>
      <c r="B509" s="0" t="s">
        <v>243</v>
      </c>
      <c r="C509" s="16" t="n">
        <f aca="false">q25_e</f>
        <v>243.316</v>
      </c>
      <c r="D509" s="16" t="n">
        <f aca="false">D506+D508</f>
        <v>375</v>
      </c>
      <c r="E509" s="16" t="n">
        <f aca="false">E506+E508</f>
        <v>530.728794642857</v>
      </c>
      <c r="F509" s="16" t="n">
        <f aca="false">F506+F508</f>
        <v>579.374351785714</v>
      </c>
      <c r="G509" s="16" t="n">
        <f aca="false">G506+G508</f>
        <v>682.334084846335</v>
      </c>
    </row>
    <row r="510" customFormat="false" ht="17.15" hidden="false" customHeight="false" outlineLevel="0" collapsed="false">
      <c r="A510" s="0" t="s">
        <v>469</v>
      </c>
      <c r="B510" s="0" t="s">
        <v>47</v>
      </c>
      <c r="D510" s="15" t="n">
        <f aca="false">(q26_eoi-m_ne*D508)/D506</f>
        <v>0.370512820512821</v>
      </c>
      <c r="H510" s="8" t="s">
        <v>470</v>
      </c>
    </row>
    <row r="511" customFormat="false" ht="17.15" hidden="false" customHeight="false" outlineLevel="0" collapsed="false">
      <c r="A511" s="0" t="s">
        <v>471</v>
      </c>
      <c r="B511" s="0" t="s">
        <v>47</v>
      </c>
      <c r="D511" s="15" t="n">
        <f aca="false">D510</f>
        <v>0.370512820512821</v>
      </c>
      <c r="E511" s="15" t="n">
        <f aca="false">1-(1-$D$510)/E505</f>
        <v>0.370512820512821</v>
      </c>
      <c r="F511" s="15" t="n">
        <f aca="false">1-(1-$D$510)/F505</f>
        <v>0.337381916329285</v>
      </c>
      <c r="G511" s="15" t="n">
        <f aca="false">1-(1-$D$510)/G505</f>
        <v>0.300569800569801</v>
      </c>
      <c r="H511" s="8" t="s">
        <v>472</v>
      </c>
    </row>
    <row r="512" customFormat="false" ht="15" hidden="false" customHeight="false" outlineLevel="0" collapsed="false">
      <c r="A512" s="5" t="s">
        <v>473</v>
      </c>
      <c r="B512" s="0" t="s">
        <v>243</v>
      </c>
      <c r="C512" s="16" t="n">
        <f aca="false">q25_eoi</f>
        <v>45.248</v>
      </c>
      <c r="D512" s="16" t="n">
        <f aca="false">D506*D511+D508*m_ne</f>
        <v>110</v>
      </c>
      <c r="E512" s="16" t="n">
        <f aca="false">E506*E511+E508*m_ne</f>
        <v>166.252399553571</v>
      </c>
      <c r="F512" s="16" t="n">
        <f aca="false">F506*F511+F508*m_ne</f>
        <v>168.355680216165</v>
      </c>
      <c r="G512" s="16" t="n">
        <f aca="false">G506*G511+G508*m_ne</f>
        <v>182.211703097509</v>
      </c>
    </row>
    <row r="513" customFormat="false" ht="15" hidden="false" customHeight="false" outlineLevel="0" collapsed="false">
      <c r="A513" s="5" t="s">
        <v>406</v>
      </c>
      <c r="B513" s="0" t="s">
        <v>47</v>
      </c>
      <c r="C513" s="15" t="n">
        <f aca="false">C512/C509</f>
        <v>0.185963931677325</v>
      </c>
      <c r="D513" s="15" t="n">
        <f aca="false">D512/D509</f>
        <v>0.293333333333333</v>
      </c>
      <c r="E513" s="15" t="n">
        <f aca="false">E512/E509</f>
        <v>0.313253023449477</v>
      </c>
      <c r="F513" s="15" t="n">
        <f aca="false">F512/F509</f>
        <v>0.29058186593395</v>
      </c>
      <c r="G513" s="15" t="n">
        <f aca="false">G512/G509</f>
        <v>0.267041771976765</v>
      </c>
    </row>
    <row r="514" customFormat="false" ht="17.15" hidden="false" customHeight="false" outlineLevel="0" collapsed="false">
      <c r="A514" s="1" t="s">
        <v>474</v>
      </c>
    </row>
    <row r="515" customFormat="false" ht="15" hidden="false" customHeight="false" outlineLevel="0" collapsed="false">
      <c r="A515" s="5" t="s">
        <v>475</v>
      </c>
      <c r="B515" s="0" t="s">
        <v>243</v>
      </c>
      <c r="C515" s="16" t="n">
        <f aca="false">q25_cer</f>
        <v>82.554</v>
      </c>
      <c r="D515" s="16" t="n">
        <f aca="false">q26_cer</f>
        <v>84</v>
      </c>
      <c r="E515" s="16" t="n">
        <f aca="false">D515*(1+g_cer)</f>
        <v>84</v>
      </c>
      <c r="F515" s="16" t="n">
        <f aca="false">E515*(1+g_cer)</f>
        <v>84</v>
      </c>
      <c r="G515" s="16" t="n">
        <f aca="false">F515*(1+g_cer)</f>
        <v>84</v>
      </c>
    </row>
    <row r="516" customFormat="false" ht="15" hidden="false" customHeight="false" outlineLevel="0" collapsed="false">
      <c r="A516" s="5" t="s">
        <v>476</v>
      </c>
      <c r="B516" s="0" t="s">
        <v>243</v>
      </c>
      <c r="C516" s="16" t="n">
        <f aca="false">q25_oth</f>
        <v>90.33</v>
      </c>
      <c r="D516" s="16" t="n">
        <f aca="false">q26_oth</f>
        <v>91</v>
      </c>
      <c r="E516" s="16" t="n">
        <f aca="false">D516*(1+g_oth)</f>
        <v>93.73</v>
      </c>
      <c r="F516" s="16" t="n">
        <f aca="false">E516*(1+g_oth)</f>
        <v>96.5419</v>
      </c>
      <c r="G516" s="16" t="n">
        <f aca="false">F516*(1+g_oth)</f>
        <v>99.438157</v>
      </c>
    </row>
    <row r="517" customFormat="false" ht="15" hidden="false" customHeight="false" outlineLevel="0" collapsed="false">
      <c r="A517" s="5" t="s">
        <v>395</v>
      </c>
      <c r="B517" s="0" t="s">
        <v>243</v>
      </c>
      <c r="C517" s="16" t="n">
        <f aca="false">C509+C515+C516</f>
        <v>416.2</v>
      </c>
      <c r="D517" s="16" t="n">
        <f aca="false">D509+D515+D516</f>
        <v>550</v>
      </c>
      <c r="E517" s="16" t="n">
        <f aca="false">E509+E515+E516</f>
        <v>708.458794642857</v>
      </c>
      <c r="F517" s="16" t="n">
        <f aca="false">F509+F515+F516</f>
        <v>759.916251785714</v>
      </c>
      <c r="G517" s="16" t="n">
        <f aca="false">G509+G515+G516</f>
        <v>865.772241846335</v>
      </c>
    </row>
    <row r="518" customFormat="false" ht="17.15" hidden="false" customHeight="false" outlineLevel="0" collapsed="false">
      <c r="A518" s="5" t="s">
        <v>477</v>
      </c>
      <c r="B518" s="0" t="s">
        <v>243</v>
      </c>
      <c r="C518" s="20" t="n">
        <f aca="false">C509+C515+C516-q25_rev</f>
        <v>-0.0010000000000332</v>
      </c>
      <c r="D518" s="20" t="n">
        <f aca="false">D509+D515+D516-q26_rev</f>
        <v>0</v>
      </c>
    </row>
    <row r="519" customFormat="false" ht="15" hidden="false" customHeight="false" outlineLevel="0" collapsed="false">
      <c r="A519" s="5" t="s">
        <v>478</v>
      </c>
      <c r="B519" s="0" t="s">
        <v>47</v>
      </c>
      <c r="D519" s="15" t="n">
        <f aca="false">D517/C517-1</f>
        <v>0.321480057664584</v>
      </c>
      <c r="E519" s="15" t="n">
        <f aca="false">E517/D517-1</f>
        <v>0.288106899350649</v>
      </c>
      <c r="F519" s="15" t="n">
        <f aca="false">F517/E517-1</f>
        <v>0.0726329569651225</v>
      </c>
      <c r="G519" s="15" t="n">
        <f aca="false">G517/F517-1</f>
        <v>0.139299547564447</v>
      </c>
    </row>
    <row r="520" customFormat="false" ht="17.15" hidden="false" customHeight="false" outlineLevel="0" collapsed="false">
      <c r="A520" s="0" t="s">
        <v>479</v>
      </c>
      <c r="B520" s="0" t="s">
        <v>47</v>
      </c>
      <c r="D520" s="15" t="n">
        <f aca="false">D506/D517</f>
        <v>0.443181818181818</v>
      </c>
      <c r="E520" s="15" t="n">
        <f aca="false">E506/E517</f>
        <v>0.554607124103712</v>
      </c>
      <c r="F520" s="15" t="n">
        <f aca="false">F506/F517</f>
        <v>0.57199885614275</v>
      </c>
      <c r="G520" s="15" t="n">
        <f aca="false">G506/G517</f>
        <v>0.612627407024761</v>
      </c>
    </row>
    <row r="521" customFormat="false" ht="15" hidden="false" customHeight="false" outlineLevel="0" collapsed="false">
      <c r="A521" s="5" t="s">
        <v>480</v>
      </c>
      <c r="B521" s="0" t="s">
        <v>243</v>
      </c>
      <c r="C521" s="16" t="n">
        <f aca="false">q25_oi-q25_eoi</f>
        <v>16.779</v>
      </c>
      <c r="D521" s="16" t="n">
        <f aca="false">q26_oi-q26_eoi</f>
        <v>17</v>
      </c>
      <c r="E521" s="16" t="n">
        <f aca="false">E515*m_cer+E516*m_oth+q26_adj</f>
        <v>17.24695</v>
      </c>
      <c r="F521" s="16" t="n">
        <f aca="false">F515*m_cer+F516*m_oth+q26_adj</f>
        <v>17.5703185</v>
      </c>
      <c r="G521" s="16" t="n">
        <f aca="false">G515*m_cer+G516*m_oth+q26_adj</f>
        <v>17.903388055</v>
      </c>
    </row>
    <row r="522" customFormat="false" ht="15" hidden="false" customHeight="false" outlineLevel="0" collapsed="false">
      <c r="A522" s="5" t="s">
        <v>400</v>
      </c>
      <c r="B522" s="0" t="s">
        <v>243</v>
      </c>
      <c r="C522" s="16" t="n">
        <f aca="false">C512+C521</f>
        <v>62.027</v>
      </c>
      <c r="D522" s="16" t="n">
        <f aca="false">D512+D521</f>
        <v>127</v>
      </c>
      <c r="E522" s="16" t="n">
        <f aca="false">E512+E521</f>
        <v>183.499349553571</v>
      </c>
      <c r="F522" s="16" t="n">
        <f aca="false">F512+F521</f>
        <v>185.925998716165</v>
      </c>
      <c r="G522" s="16" t="n">
        <f aca="false">G512+G521</f>
        <v>200.115091152509</v>
      </c>
    </row>
    <row r="523" customFormat="false" ht="15" hidden="false" customHeight="false" outlineLevel="0" collapsed="false">
      <c r="A523" s="5" t="s">
        <v>407</v>
      </c>
      <c r="B523" s="0" t="s">
        <v>47</v>
      </c>
      <c r="C523" s="15" t="n">
        <f aca="false">C522/C517</f>
        <v>0.149031715521384</v>
      </c>
      <c r="D523" s="15" t="n">
        <f aca="false">D522/D517</f>
        <v>0.230909090909091</v>
      </c>
      <c r="E523" s="15" t="n">
        <f aca="false">E522/E517</f>
        <v>0.259012028562756</v>
      </c>
      <c r="F523" s="15" t="n">
        <f aca="false">F522/F517</f>
        <v>0.24466643301714</v>
      </c>
      <c r="G523" s="15" t="n">
        <f aca="false">G522/G517</f>
        <v>0.231140571942739</v>
      </c>
    </row>
    <row r="524" customFormat="false" ht="15" hidden="false" customHeight="false" outlineLevel="0" collapsed="false">
      <c r="A524" s="5" t="s">
        <v>402</v>
      </c>
      <c r="B524" s="0" t="s">
        <v>243</v>
      </c>
      <c r="C524" s="16" t="n">
        <f aca="false">q25_ni</f>
        <v>63.713</v>
      </c>
      <c r="D524" s="16" t="n">
        <f aca="false">q26_ni</f>
        <v>84</v>
      </c>
      <c r="E524" s="16" t="n">
        <f aca="false">E522*ni_oi</f>
        <v>121.293070054911</v>
      </c>
      <c r="F524" s="16" t="n">
        <f aca="false">F522*ni_oi</f>
        <v>122.897085151385</v>
      </c>
      <c r="G524" s="16" t="n">
        <f aca="false">G522*ni_oi</f>
        <v>132.276075251809</v>
      </c>
    </row>
    <row r="525" customFormat="false" ht="15" hidden="false" customHeight="false" outlineLevel="0" collapsed="false">
      <c r="A525" s="5" t="s">
        <v>481</v>
      </c>
      <c r="B525" s="5" t="s">
        <v>482</v>
      </c>
      <c r="D525" s="17" t="n">
        <f aca="false">q26_sh</f>
        <v>0.561197220737574</v>
      </c>
      <c r="E525" s="17" t="n">
        <f aca="false">D525*(1+sh_g_hi)</f>
        <v>0.578033137359701</v>
      </c>
      <c r="F525" s="17" t="n">
        <f aca="false">E525*(1+sh_g_hi)</f>
        <v>0.595374131480492</v>
      </c>
      <c r="G525" s="17" t="n">
        <f aca="false">F525*(1+sh_g_hi)</f>
        <v>0.613235355424907</v>
      </c>
    </row>
    <row r="526" customFormat="false" ht="17.15" hidden="false" customHeight="false" outlineLevel="0" collapsed="false">
      <c r="A526" s="0" t="s">
        <v>483</v>
      </c>
      <c r="B526" s="0" t="s">
        <v>268</v>
      </c>
      <c r="C526" s="16" t="n">
        <f aca="false">q25_eps</f>
        <v>114.08</v>
      </c>
      <c r="D526" s="16" t="n">
        <f aca="false">D524/D525</f>
        <v>149.68</v>
      </c>
      <c r="E526" s="16" t="n">
        <f aca="false">E524/E525</f>
        <v>209.837571958149</v>
      </c>
      <c r="F526" s="16" t="n">
        <f aca="false">F524/F525</f>
        <v>206.419927660919</v>
      </c>
      <c r="G526" s="16" t="n">
        <f aca="false">G524/G525</f>
        <v>215.701971651904</v>
      </c>
    </row>
    <row r="527" customFormat="false" ht="17.15" hidden="false" customHeight="false" outlineLevel="0" collapsed="false">
      <c r="A527" s="0" t="s">
        <v>484</v>
      </c>
      <c r="B527" s="0" t="s">
        <v>47</v>
      </c>
      <c r="D527" s="15" t="n">
        <f aca="false">D526/C526-1</f>
        <v>0.312061711079944</v>
      </c>
      <c r="E527" s="15" t="n">
        <f aca="false">E526/D526-1</f>
        <v>0.401907883205163</v>
      </c>
      <c r="F527" s="15" t="n">
        <f aca="false">F526/E526-1</f>
        <v>-0.0162870941811692</v>
      </c>
      <c r="G527" s="15" t="n">
        <f aca="false">G526/F526-1</f>
        <v>0.0449668018789022</v>
      </c>
    </row>
    <row r="530" customFormat="false" ht="17.15" hidden="false" customHeight="false" outlineLevel="0" collapsed="false">
      <c r="A530" s="3" t="s">
        <v>810</v>
      </c>
    </row>
    <row r="531" customFormat="false" ht="17.15" hidden="false" customHeight="false" outlineLevel="0" collapsed="false">
      <c r="A531" s="6" t="s">
        <v>751</v>
      </c>
      <c r="B531" s="6" t="s">
        <v>752</v>
      </c>
      <c r="C531" s="13" t="s">
        <v>811</v>
      </c>
      <c r="D531" s="13" t="s">
        <v>713</v>
      </c>
      <c r="E531" s="6" t="s">
        <v>812</v>
      </c>
      <c r="F531" s="6" t="s">
        <v>813</v>
      </c>
    </row>
    <row r="532" customFormat="false" ht="17.15" hidden="false" customHeight="false" outlineLevel="0" collapsed="false">
      <c r="A532" s="5" t="s">
        <v>27</v>
      </c>
      <c r="B532" s="0" t="s">
        <v>814</v>
      </c>
      <c r="C532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2" s="18" t="n">
        <f aca="false">tp_comp_adj</f>
        <v>11065.7751615638</v>
      </c>
      <c r="E532" s="18" t="n">
        <f aca="false">tp_w_dcf*C532+(1-tp_w_dcf)*D532</f>
        <v>6498.50902445777</v>
      </c>
      <c r="F532" s="15" t="n">
        <f aca="false">E532/E$532-1</f>
        <v>0</v>
      </c>
    </row>
    <row r="533" customFormat="false" ht="17.15" hidden="false" customHeight="false" outlineLevel="0" collapsed="false">
      <c r="A533" s="5" t="s">
        <v>815</v>
      </c>
      <c r="B533" s="0" t="s">
        <v>816</v>
      </c>
      <c r="C533" s="18" t="n">
        <f aca="false">(tp_wA*(Val!B65*(1-MIN(tp_g/tp_roe,0.8))/(1+(tp_r+0.01))^1+Val!B66*(1-MIN(tp_g/tp_roe,0.8))/(1+(tp_r+0.01))^2+Val!B67*(1-MIN(tp_g/tp_roe,0.8))/(1+(tp_r+0.01))^3+Val!B68*(1-MIN(tp_g/tp_roe,0.8))/(1+(tp_r+0.01))^4+Val!B69*(1-MIN(tp_g/tp_roe,0.8))/(1+(tp_r+0.01))^5+Val!B70*(1-MIN(tp_g/tp_roe,0.8))/(1+(tp_r+0.01))^6+Val!B70*(1-MIN(tp_g/tp_roe,0.8))*(1+tp_g)/((tp_r+0.01)-tp_g)/(1+(tp_r+0.01))^6)+tp_wB*(Val!C65*(1-MIN(tp_g/tp_roe,0.8))/(1+(tp_r+0.01))^1+Val!C66*(1-MIN(tp_g/tp_roe,0.8))/(1+(tp_r+0.01))^2+Val!C67*(1-MIN(tp_g/tp_roe,0.8))/(1+(tp_r+0.01))^3+Val!C68*(1-MIN(tp_g/tp_roe,0.8))/(1+(tp_r+0.01))^4+Val!C69*(1-MIN(tp_g/tp_roe,0.8))/(1+(tp_r+0.01))^5+Val!C70*(1-MIN(tp_g/tp_roe,0.8))/(1+(tp_r+0.01))^6+Val!C70*(1-MIN(tp_g/tp_roe,0.8))*(1+tp_g)/((tp_r+0.01)-tp_g)/(1+(tp_r+0.01))^6)+tp_wC*(Val!D65*(1-MIN(tp_g/tp_roe,0.8))/(1+(tp_r+0.01))^1+Val!D66*(1-MIN(tp_g/tp_roe,0.8))/(1+(tp_r+0.01))^2+Val!D67*(1-MIN(tp_g/tp_roe,0.8))/(1+(tp_r+0.01))^3+Val!D68*(1-MIN(tp_g/tp_roe,0.8))/(1+(tp_r+0.01))^4+Val!D69*(1-MIN(tp_g/tp_roe,0.8))/(1+(tp_r+0.01))^5+Val!D70*(1-MIN(tp_g/tp_roe,0.8))/(1+(tp_r+0.01))^6+Val!D70*(1-MIN(tp_g/tp_roe,0.8))*(1+tp_g)/((tp_r+0.01)-tp_g)/(1+(tp_r+0.01))^6))*(1+(tp_r+0.01))</f>
        <v>1670.88029262619</v>
      </c>
      <c r="D533" s="18" t="n">
        <f aca="false">tp_comp_adj</f>
        <v>11065.7751615638</v>
      </c>
      <c r="E533" s="18" t="n">
        <f aca="false">tp_w_dcf*C533+(1-tp_w_dcf)*D533</f>
        <v>6368.32772709499</v>
      </c>
      <c r="F533" s="15" t="n">
        <f aca="false">E533/E$532-1</f>
        <v>-0.0200324869709076</v>
      </c>
    </row>
    <row r="534" customFormat="false" ht="17.15" hidden="false" customHeight="false" outlineLevel="0" collapsed="false">
      <c r="A534" s="5" t="s">
        <v>817</v>
      </c>
      <c r="B534" s="0" t="s">
        <v>818</v>
      </c>
      <c r="C534" s="18" t="n">
        <f aca="false">(tp_wA*(Val!B65*(1-MIN(tp_g/tp_roe,0.8))/(1+(tp_r-0.01))^1+Val!B66*(1-MIN(tp_g/tp_roe,0.8))/(1+(tp_r-0.01))^2+Val!B67*(1-MIN(tp_g/tp_roe,0.8))/(1+(tp_r-0.01))^3+Val!B68*(1-MIN(tp_g/tp_roe,0.8))/(1+(tp_r-0.01))^4+Val!B69*(1-MIN(tp_g/tp_roe,0.8))/(1+(tp_r-0.01))^5+Val!B70*(1-MIN(tp_g/tp_roe,0.8))/(1+(tp_r-0.01))^6+Val!B70*(1-MIN(tp_g/tp_roe,0.8))*(1+tp_g)/((tp_r-0.01)-tp_g)/(1+(tp_r-0.01))^6)+tp_wB*(Val!C65*(1-MIN(tp_g/tp_roe,0.8))/(1+(tp_r-0.01))^1+Val!C66*(1-MIN(tp_g/tp_roe,0.8))/(1+(tp_r-0.01))^2+Val!C67*(1-MIN(tp_g/tp_roe,0.8))/(1+(tp_r-0.01))^3+Val!C68*(1-MIN(tp_g/tp_roe,0.8))/(1+(tp_r-0.01))^4+Val!C69*(1-MIN(tp_g/tp_roe,0.8))/(1+(tp_r-0.01))^5+Val!C70*(1-MIN(tp_g/tp_roe,0.8))/(1+(tp_r-0.01))^6+Val!C70*(1-MIN(tp_g/tp_roe,0.8))*(1+tp_g)/((tp_r-0.01)-tp_g)/(1+(tp_r-0.01))^6)+tp_wC*(Val!D65*(1-MIN(tp_g/tp_roe,0.8))/(1+(tp_r-0.01))^1+Val!D66*(1-MIN(tp_g/tp_roe,0.8))/(1+(tp_r-0.01))^2+Val!D67*(1-MIN(tp_g/tp_roe,0.8))/(1+(tp_r-0.01))^3+Val!D68*(1-MIN(tp_g/tp_roe,0.8))/(1+(tp_r-0.01))^4+Val!D69*(1-MIN(tp_g/tp_roe,0.8))/(1+(tp_r-0.01))^5+Val!D70*(1-MIN(tp_g/tp_roe,0.8))/(1+(tp_r-0.01))^6+Val!D70*(1-MIN(tp_g/tp_roe,0.8))*(1+tp_g)/((tp_r-0.01)-tp_g)/(1+(tp_r-0.01))^6))*(1+(tp_r-0.01))</f>
        <v>2295.75644686694</v>
      </c>
      <c r="D534" s="18" t="n">
        <f aca="false">tp_comp_adj</f>
        <v>11065.7751615638</v>
      </c>
      <c r="E534" s="18" t="n">
        <f aca="false">tp_w_dcf*C534+(1-tp_w_dcf)*D534</f>
        <v>6680.76580421537</v>
      </c>
      <c r="F534" s="15" t="n">
        <f aca="false">E534/E$532-1</f>
        <v>0.0280459377792139</v>
      </c>
    </row>
    <row r="535" customFormat="false" ht="17.15" hidden="false" customHeight="false" outlineLevel="0" collapsed="false">
      <c r="A535" s="5" t="s">
        <v>819</v>
      </c>
      <c r="B535" s="0" t="s">
        <v>820</v>
      </c>
      <c r="C535" s="18" t="n">
        <f aca="false">(tp_wA*(Val!B65*(1-MIN((tp_g+0.01)/tp_roe,0.8))/(1+tp_r)^1+Val!B66*(1-MIN((tp_g+0.01)/tp_roe,0.8))/(1+tp_r)^2+Val!B67*(1-MIN((tp_g+0.01)/tp_roe,0.8))/(1+tp_r)^3+Val!B68*(1-MIN((tp_g+0.01)/tp_roe,0.8))/(1+tp_r)^4+Val!B69*(1-MIN((tp_g+0.01)/tp_roe,0.8))/(1+tp_r)^5+Val!B70*(1-MIN((tp_g+0.01)/tp_roe,0.8))/(1+tp_r)^6+Val!B70*(1-MIN((tp_g+0.01)/tp_roe,0.8))*(1+(tp_g+0.01))/(tp_r-(tp_g+0.01))/(1+tp_r)^6)+tp_wB*(Val!C65*(1-MIN((tp_g+0.01)/tp_roe,0.8))/(1+tp_r)^1+Val!C66*(1-MIN((tp_g+0.01)/tp_roe,0.8))/(1+tp_r)^2+Val!C67*(1-MIN((tp_g+0.01)/tp_roe,0.8))/(1+tp_r)^3+Val!C68*(1-MIN((tp_g+0.01)/tp_roe,0.8))/(1+tp_r)^4+Val!C69*(1-MIN((tp_g+0.01)/tp_roe,0.8))/(1+tp_r)^5+Val!C70*(1-MIN((tp_g+0.01)/tp_roe,0.8))/(1+tp_r)^6+Val!C70*(1-MIN((tp_g+0.01)/tp_roe,0.8))*(1+(tp_g+0.01))/(tp_r-(tp_g+0.01))/(1+tp_r)^6)+tp_wC*(Val!D65*(1-MIN((tp_g+0.01)/tp_roe,0.8))/(1+tp_r)^1+Val!D66*(1-MIN((tp_g+0.01)/tp_roe,0.8))/(1+tp_r)^2+Val!D67*(1-MIN((tp_g+0.01)/tp_roe,0.8))/(1+tp_r)^3+Val!D68*(1-MIN((tp_g+0.01)/tp_roe,0.8))/(1+tp_r)^4+Val!D69*(1-MIN((tp_g+0.01)/tp_roe,0.8))/(1+tp_r)^5+Val!D70*(1-MIN((tp_g+0.01)/tp_roe,0.8))/(1+tp_r)^6+Val!D70*(1-MIN((tp_g+0.01)/tp_roe,0.8))*(1+(tp_g+0.01))/(tp_r-(tp_g+0.01))/(1+tp_r)^6))*(1+tp_r)</f>
        <v>1740.74878335702</v>
      </c>
      <c r="D535" s="18" t="n">
        <f aca="false">tp_comp_adj</f>
        <v>11065.7751615638</v>
      </c>
      <c r="E535" s="18" t="n">
        <f aca="false">tp_w_dcf*C535+(1-tp_w_dcf)*D535</f>
        <v>6403.26197246041</v>
      </c>
      <c r="F535" s="15" t="n">
        <f aca="false">E535/E$532-1</f>
        <v>-0.0146567545938443</v>
      </c>
    </row>
    <row r="536" customFormat="false" ht="17.15" hidden="false" customHeight="false" outlineLevel="0" collapsed="false">
      <c r="A536" s="5" t="s">
        <v>821</v>
      </c>
      <c r="B536" s="0" t="s">
        <v>822</v>
      </c>
      <c r="C536" s="18" t="n">
        <f aca="false">(tp_wA*(Val!B65*(1-MIN((tp_g-0.01)/tp_roe,0.8))/(1+tp_r)^1+Val!B66*(1-MIN((tp_g-0.01)/tp_roe,0.8))/(1+tp_r)^2+Val!B67*(1-MIN((tp_g-0.01)/tp_roe,0.8))/(1+tp_r)^3+Val!B68*(1-MIN((tp_g-0.01)/tp_roe,0.8))/(1+tp_r)^4+Val!B69*(1-MIN((tp_g-0.01)/tp_roe,0.8))/(1+tp_r)^5+Val!B70*(1-MIN((tp_g-0.01)/tp_roe,0.8))/(1+tp_r)^6+Val!B70*(1-MIN((tp_g-0.01)/tp_roe,0.8))*(1+(tp_g-0.01))/(tp_r-(tp_g-0.01))/(1+tp_r)^6)+tp_wB*(Val!C65*(1-MIN((tp_g-0.01)/tp_roe,0.8))/(1+tp_r)^1+Val!C66*(1-MIN((tp_g-0.01)/tp_roe,0.8))/(1+tp_r)^2+Val!C67*(1-MIN((tp_g-0.01)/tp_roe,0.8))/(1+tp_r)^3+Val!C68*(1-MIN((tp_g-0.01)/tp_roe,0.8))/(1+tp_r)^4+Val!C69*(1-MIN((tp_g-0.01)/tp_roe,0.8))/(1+tp_r)^5+Val!C70*(1-MIN((tp_g-0.01)/tp_roe,0.8))/(1+tp_r)^6+Val!C70*(1-MIN((tp_g-0.01)/tp_roe,0.8))*(1+(tp_g-0.01))/(tp_r-(tp_g-0.01))/(1+tp_r)^6)+tp_wC*(Val!D65*(1-MIN((tp_g-0.01)/tp_roe,0.8))/(1+tp_r)^1+Val!D66*(1-MIN((tp_g-0.01)/tp_roe,0.8))/(1+tp_r)^2+Val!D67*(1-MIN((tp_g-0.01)/tp_roe,0.8))/(1+tp_r)^3+Val!D68*(1-MIN((tp_g-0.01)/tp_roe,0.8))/(1+tp_r)^4+Val!D69*(1-MIN((tp_g-0.01)/tp_roe,0.8))/(1+tp_r)^5+Val!D70*(1-MIN((tp_g-0.01)/tp_roe,0.8))/(1+tp_r)^6+Val!D70*(1-MIN((tp_g-0.01)/tp_roe,0.8))*(1+(tp_g-0.01))/(tp_r-(tp_g-0.01))/(1+tp_r)^6))*(1+tp_r)</f>
        <v>2096.72349366317</v>
      </c>
      <c r="D536" s="18" t="n">
        <f aca="false">tp_comp_adj</f>
        <v>11065.7751615638</v>
      </c>
      <c r="E536" s="18" t="n">
        <f aca="false">tp_w_dcf*C536+(1-tp_w_dcf)*D536</f>
        <v>6581.24932761349</v>
      </c>
      <c r="F536" s="15" t="n">
        <f aca="false">E536/E$532-1</f>
        <v>0.0127321979309896</v>
      </c>
    </row>
    <row r="537" customFormat="false" ht="17.15" hidden="false" customHeight="false" outlineLevel="0" collapsed="false">
      <c r="A537" s="0" t="s">
        <v>823</v>
      </c>
      <c r="B537" s="0" t="s">
        <v>824</v>
      </c>
      <c r="C537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7" s="18" t="n">
        <f aca="false">tp_comp_adj</f>
        <v>11065.7751615638</v>
      </c>
      <c r="E537" s="18" t="n">
        <f aca="false">0.4*C537+(1-0.4)*D537</f>
        <v>7411.96225187897</v>
      </c>
      <c r="F537" s="15" t="n">
        <f aca="false">E537/E$532-1</f>
        <v>0.140563508334502</v>
      </c>
    </row>
    <row r="538" customFormat="false" ht="17.15" hidden="false" customHeight="false" outlineLevel="0" collapsed="false">
      <c r="A538" s="0" t="s">
        <v>825</v>
      </c>
      <c r="B538" s="0" t="s">
        <v>826</v>
      </c>
      <c r="C538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8" s="18" t="n">
        <f aca="false">tp_comp_adj</f>
        <v>11065.7751615638</v>
      </c>
      <c r="E538" s="18" t="n">
        <f aca="false">0.8*C538+(1-0.8)*D538</f>
        <v>3758.14934219415</v>
      </c>
      <c r="F538" s="15" t="n">
        <f aca="false">E538/E$532-1</f>
        <v>-0.421690525003506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827</v>
      </c>
    </row>
    <row r="2" customFormat="false" ht="17.15" hidden="false" customHeight="false" outlineLevel="0" collapsed="false">
      <c r="A2" s="5" t="s">
        <v>828</v>
      </c>
      <c r="B2" s="0" t="s">
        <v>829</v>
      </c>
    </row>
    <row r="3" customFormat="false" ht="17.15" hidden="false" customHeight="false" outlineLevel="0" collapsed="false">
      <c r="A3" s="5" t="s">
        <v>830</v>
      </c>
      <c r="B3" s="0" t="s">
        <v>831</v>
      </c>
    </row>
    <row r="4" customFormat="false" ht="17.15" hidden="false" customHeight="false" outlineLevel="0" collapsed="false">
      <c r="A4" s="5" t="s">
        <v>832</v>
      </c>
      <c r="B4" s="0" t="s">
        <v>833</v>
      </c>
    </row>
    <row r="5" customFormat="false" ht="17.15" hidden="false" customHeight="false" outlineLevel="0" collapsed="false">
      <c r="A5" s="5" t="s">
        <v>834</v>
      </c>
      <c r="B5" s="0" t="s">
        <v>835</v>
      </c>
    </row>
    <row r="6" customFormat="false" ht="17.15" hidden="false" customHeight="false" outlineLevel="0" collapsed="false">
      <c r="A6" s="5" t="s">
        <v>836</v>
      </c>
      <c r="B6" s="0" t="s">
        <v>837</v>
      </c>
    </row>
    <row r="7" customFormat="false" ht="17.15" hidden="false" customHeight="false" outlineLevel="0" collapsed="false">
      <c r="A7" s="5" t="s">
        <v>838</v>
      </c>
      <c r="B7" s="0" t="s">
        <v>839</v>
      </c>
    </row>
    <row r="8" customFormat="false" ht="17.15" hidden="false" customHeight="false" outlineLevel="0" collapsed="false">
      <c r="A8" s="5" t="s">
        <v>840</v>
      </c>
      <c r="B8" s="0" t="s">
        <v>841</v>
      </c>
    </row>
    <row r="9" customFormat="false" ht="17.15" hidden="false" customHeight="false" outlineLevel="0" collapsed="false">
      <c r="A9" s="5" t="s">
        <v>842</v>
      </c>
      <c r="B9" s="0" t="s">
        <v>843</v>
      </c>
    </row>
    <row r="10" customFormat="false" ht="17.15" hidden="false" customHeight="false" outlineLevel="0" collapsed="false">
      <c r="A10" s="5" t="s">
        <v>844</v>
      </c>
      <c r="B10" s="0" t="s">
        <v>845</v>
      </c>
    </row>
    <row r="11" customFormat="false" ht="17.15" hidden="false" customHeight="false" outlineLevel="0" collapsed="false">
      <c r="A11" s="5" t="s">
        <v>846</v>
      </c>
      <c r="B11" s="0" t="s">
        <v>847</v>
      </c>
    </row>
    <row r="12" customFormat="false" ht="17.15" hidden="false" customHeight="false" outlineLevel="0" collapsed="false">
      <c r="A12" s="5" t="s">
        <v>848</v>
      </c>
      <c r="B12" s="0" t="s">
        <v>849</v>
      </c>
    </row>
    <row r="13" customFormat="false" ht="17.15" hidden="false" customHeight="false" outlineLevel="0" collapsed="false">
      <c r="A13" s="5" t="s">
        <v>850</v>
      </c>
      <c r="B13" s="0" t="s">
        <v>851</v>
      </c>
    </row>
    <row r="14" customFormat="false" ht="17.15" hidden="false" customHeight="false" outlineLevel="0" collapsed="false">
      <c r="A14" s="5" t="s">
        <v>852</v>
      </c>
      <c r="B14" s="0" t="s">
        <v>853</v>
      </c>
    </row>
    <row r="15" customFormat="false" ht="17.15" hidden="false" customHeight="false" outlineLevel="0" collapsed="false">
      <c r="A15" s="5" t="s">
        <v>854</v>
      </c>
    </row>
    <row r="16" customFormat="false" ht="17.15" hidden="false" customHeight="false" outlineLevel="0" collapsed="false">
      <c r="A16" s="5" t="s">
        <v>855</v>
      </c>
      <c r="B16" s="5" t="s">
        <v>856</v>
      </c>
    </row>
    <row r="17" customFormat="false" ht="15" hidden="false" customHeight="false" outlineLevel="0" collapsed="false">
      <c r="A17" s="0" t="s">
        <v>857</v>
      </c>
      <c r="B17" s="5" t="s">
        <v>858</v>
      </c>
    </row>
    <row r="18" customFormat="false" ht="17.15" hidden="false" customHeight="false" outlineLevel="0" collapsed="false">
      <c r="A18" s="0" t="s">
        <v>859</v>
      </c>
      <c r="B18" s="0" t="s">
        <v>860</v>
      </c>
    </row>
    <row r="19" customFormat="false" ht="17.15" hidden="false" customHeight="false" outlineLevel="0" collapsed="false">
      <c r="A19" s="0" t="s">
        <v>861</v>
      </c>
      <c r="B19" s="0" t="s">
        <v>833</v>
      </c>
    </row>
    <row r="20" customFormat="false" ht="17.15" hidden="false" customHeight="false" outlineLevel="0" collapsed="false">
      <c r="A20" s="0" t="s">
        <v>862</v>
      </c>
      <c r="B20" s="0" t="s">
        <v>863</v>
      </c>
    </row>
    <row r="21" customFormat="false" ht="17.15" hidden="false" customHeight="false" outlineLevel="0" collapsed="false">
      <c r="A21" s="0" t="s">
        <v>864</v>
      </c>
      <c r="B21" s="0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2026-10-30T00:24:42Z</dcterms:created>
  <dc:creator>openpyxl</dc:creator>
  <dc:description/>
  <dc:language>en-US</dc:language>
  <cp:lastModifiedBy/>
  <dcterms:modified xsi:type="dcterms:W3CDTF">2026-10-30T00:24:42Z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