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i_e" vbProcedure="false">In!$E$49</definedName>
    <definedName function="false" hidden="false" name="ai_e_hi" vbProcedure="false">In!$F$49</definedName>
    <definedName function="false" hidden="false" name="ai_e_lo" vbProcedure="false">In!$D$49</definedName>
    <definedName function="false" hidden="false" name="a_cer" vbProcedure="false">In!$E$83</definedName>
    <definedName function="false" hidden="false" name="a_ceroi" vbProcedure="false">In!$E$84</definedName>
    <definedName function="false" hidden="false" name="a_e" vbProcedure="false">In!$E$81</definedName>
    <definedName function="false" hidden="false" name="a_eoi" vbProcedure="false">In!$E$82</definedName>
    <definedName function="false" hidden="false" name="a_eps" vbProcedure="false">In!$E$90</definedName>
    <definedName function="false" hidden="false" name="a_gp" vbProcedure="false">In!$E$88</definedName>
    <definedName function="false" hidden="false" name="a_ni" vbProcedure="false">In!$E$89</definedName>
    <definedName function="false" hidden="false" name="a_oi" vbProcedure="false">In!$E$87</definedName>
    <definedName function="false" hidden="false" name="a_oth" vbProcedure="false">In!$E$85</definedName>
    <definedName function="false" hidden="false" name="a_othoi" vbProcedure="false">In!$E$86</definedName>
    <definedName function="false" hidden="false" name="a_rev" vbProcedure="false">In!$E$80</definedName>
    <definedName function="false" hidden="false" name="cons_feps" vbProcedure="false">In!$E$112</definedName>
    <definedName function="false" hidden="false" name="cons_tp" vbProcedure="false">In!$E$111</definedName>
    <definedName function="false" hidden="false" name="fade_gA" vbProcedure="false">In!$E$107</definedName>
    <definedName function="false" hidden="false" name="fade_gB" vbProcedure="false">In!$E$108</definedName>
    <definedName function="false" hidden="false" name="fade_gC" vbProcedure="false">In!$E$109</definedName>
    <definedName function="false" hidden="false" name="fx" vbProcedure="false">In!$E$67</definedName>
    <definedName function="false" hidden="false" name="f_cer" vbProcedure="false">In!$E$72</definedName>
    <definedName function="false" hidden="false" name="f_ceroi" vbProcedure="false">In!$E$73</definedName>
    <definedName function="false" hidden="false" name="f_e" vbProcedure="false">In!$E$70</definedName>
    <definedName function="false" hidden="false" name="f_eoi" vbProcedure="false">In!$E$71</definedName>
    <definedName function="false" hidden="false" name="f_eps" vbProcedure="false">In!$E$78</definedName>
    <definedName function="false" hidden="false" name="f_ni" vbProcedure="false">In!$E$77</definedName>
    <definedName function="false" hidden="false" name="f_oi" vbProcedure="false">In!$E$76</definedName>
    <definedName function="false" hidden="false" name="f_oth" vbProcedure="false">In!$E$74</definedName>
    <definedName function="false" hidden="false" name="f_othoi" vbProcedure="false">In!$E$75</definedName>
    <definedName function="false" hidden="false" name="f_rev" vbProcedure="false">In!$E$69</definedName>
    <definedName function="false" hidden="false" name="g29_amd" vbProcedure="false">In!$E$24</definedName>
    <definedName function="false" hidden="false" name="g29_bw" vbProcedure="false">In!$E$8</definedName>
    <definedName function="false" hidden="false" name="g29_hp" vbProcedure="false">In!$E$20</definedName>
    <definedName function="false" hidden="false" name="g29_oth" vbProcedure="false">In!$E$36</definedName>
    <definedName function="false" hidden="false" name="g29_rb" vbProcedure="false">In!$E$12</definedName>
    <definedName function="false" hidden="false" name="g29_ru" vbProcedure="false">In!$E$16</definedName>
    <definedName function="false" hidden="false" name="g29_tpu" vbProcedure="false">In!$E$28</definedName>
    <definedName function="false" hidden="false" name="g29_trn" vbProcedure="false">In!$E$32</definedName>
    <definedName function="false" hidden="false" name="g_asp" vbProcedure="false">In!$E$50</definedName>
    <definedName function="false" hidden="false" name="g_asp_hi" vbProcedure="false">In!$F$50</definedName>
    <definedName function="false" hidden="false" name="g_asp_lo" vbProcedure="false">In!$D$50</definedName>
    <definedName function="false" hidden="false" name="g_cer" vbProcedure="false">In!$E$61</definedName>
    <definedName function="false" hidden="false" name="g_cer_hi" vbProcedure="false">In!$F$61</definedName>
    <definedName function="false" hidden="false" name="g_cer_lo" vbProcedure="false">In!$D$61</definedName>
    <definedName function="false" hidden="false" name="g_ne" vbProcedure="false">In!$E$59</definedName>
    <definedName function="false" hidden="false" name="g_ne_hi" vbProcedure="false">In!$F$59</definedName>
    <definedName function="false" hidden="false" name="g_ne_lo" vbProcedure="false">In!$D$59</definedName>
    <definedName function="false" hidden="false" name="g_oth" vbProcedure="false">In!$E$63</definedName>
    <definedName function="false" hidden="false" name="g_oth_hi" vbProcedure="false">In!$F$63</definedName>
    <definedName function="false" hidden="false" name="g_oth_lo" vbProcedure="false">In!$D$63</definedName>
    <definedName function="false" hidden="false" name="itc_26" vbProcedure="false">In!$E$37</definedName>
    <definedName function="false" hidden="false" name="itc_27" vbProcedure="false">In!$E$38</definedName>
    <definedName function="false" hidden="false" name="itc_28" vbProcedure="false">In!$E$39</definedName>
    <definedName function="false" hidden="false" name="itc_29" vbProcedure="false">In!$E$40</definedName>
    <definedName function="false" hidden="false" name="m_cer" vbProcedure="false">In!$E$62</definedName>
    <definedName function="false" hidden="false" name="m_cer_hi" vbProcedure="false">In!$F$62</definedName>
    <definedName function="false" hidden="false" name="m_cer_lo" vbProcedure="false">In!$D$62</definedName>
    <definedName function="false" hidden="false" name="m_ne" vbProcedure="false">In!$E$58</definedName>
    <definedName function="false" hidden="false" name="m_ne_hi" vbProcedure="false">In!$F$58</definedName>
    <definedName function="false" hidden="false" name="m_ne_lo" vbProcedure="false">In!$D$58</definedName>
    <definedName function="false" hidden="false" name="m_oth" vbProcedure="false">In!$E$64</definedName>
    <definedName function="false" hidden="false" name="m_oth_hi" vbProcedure="false">In!$F$64</definedName>
    <definedName function="false" hidden="false" name="m_oth_lo" vbProcedure="false">In!$D$64</definedName>
    <definedName function="false" hidden="false" name="nim10_f" vbProcedure="false">In!$E$110</definedName>
    <definedName function="false" hidden="false" name="ni_oi" vbProcedure="false">In!$E$65</definedName>
    <definedName function="false" hidden="false" name="ni_oi_hi" vbProcedure="false">In!$F$65</definedName>
    <definedName function="false" hidden="false" name="ni_oi_lo" vbProcedure="false">In!$D$65</definedName>
    <definedName function="false" hidden="false" name="pe_fair_andy" vbProcedure="false">In!$E$95</definedName>
    <definedName function="false" hidden="false" name="pe_fwd_sa" vbProcedure="false">In!$E$93</definedName>
    <definedName function="false" hidden="false" name="pe_ttm" vbProcedure="false">In!$E$94</definedName>
    <definedName function="false" hidden="false" name="PPHI_27" vbProcedure="false">In!$F$55</definedName>
    <definedName function="false" hidden="false" name="PPHI_28" vbProcedure="false">In!$F$56</definedName>
    <definedName function="false" hidden="false" name="PPHI_29" vbProcedure="false">In!$F$57</definedName>
    <definedName function="false" hidden="false" name="PPLO_27" vbProcedure="false">In!$D$55</definedName>
    <definedName function="false" hidden="false" name="PPLO_28" vbProcedure="false">In!$D$56</definedName>
    <definedName function="false" hidden="false" name="PPLO_29" vbProcedure="false">In!$D$57</definedName>
    <definedName function="false" hidden="false" name="pp_27" vbProcedure="false">In!$E$55</definedName>
    <definedName function="false" hidden="false" name="pp_27_hi" vbProcedure="false">In!$F$55</definedName>
    <definedName function="false" hidden="false" name="pp_27_lo" vbProcedure="false">In!$D$55</definedName>
    <definedName function="false" hidden="false" name="pp_28" vbProcedure="false">In!$E$56</definedName>
    <definedName function="false" hidden="false" name="pp_28_hi" vbProcedure="false">In!$F$56</definedName>
    <definedName function="false" hidden="false" name="pp_28_lo" vbProcedure="false">In!$D$56</definedName>
    <definedName function="false" hidden="false" name="pp_29" vbProcedure="false">In!$E$57</definedName>
    <definedName function="false" hidden="false" name="pp_29_hi" vbProcedure="false">In!$F$57</definedName>
    <definedName function="false" hidden="false" name="pp_29_lo" vbProcedure="false">In!$D$57</definedName>
    <definedName function="false" hidden="false" name="px" vbProcedure="false">In!$E$92</definedName>
    <definedName function="false" hidden="false" name="q25_adj" vbProcedure="false">Q!$B$12</definedName>
    <definedName function="false" hidden="false" name="q25_cer" vbProcedure="false">Q!$B$6</definedName>
    <definedName function="false" hidden="false" name="q25_e" vbProcedure="false">Q!$B$5</definedName>
    <definedName function="false" hidden="false" name="q25_eoi" vbProcedure="false">Q!$B$9</definedName>
    <definedName function="false" hidden="false" name="q25_eps" vbProcedure="false">Q!$B$14</definedName>
    <definedName function="false" hidden="false" name="q25_ni" vbProcedure="false">Q!$B$13</definedName>
    <definedName function="false" hidden="false" name="q25_oi" vbProcedure="false">Q!$B$8</definedName>
    <definedName function="false" hidden="false" name="q25_oth" vbProcedure="false">Q!$B$7</definedName>
    <definedName function="false" hidden="false" name="q25_rev" vbProcedure="false">Q!$B$4</definedName>
    <definedName function="false" hidden="false" name="q26_adj" vbProcedure="false">Q!$C$12</definedName>
    <definedName function="false" hidden="false" name="q26_cer" vbProcedure="false">Q!$C$6</definedName>
    <definedName function="false" hidden="false" name="q26_e" vbProcedure="false">Q!$C$5</definedName>
    <definedName function="false" hidden="false" name="q26_eoi" vbProcedure="false">Q!$C$9</definedName>
    <definedName function="false" hidden="false" name="q26_eps" vbProcedure="false">Q!$C$14</definedName>
    <definedName function="false" hidden="false" name="q26_ni" vbProcedure="false">Q!$C$13</definedName>
    <definedName function="false" hidden="false" name="q26_oi" vbProcedure="false">Q!$C$8</definedName>
    <definedName function="false" hidden="false" name="q26_oth" vbProcedure="false">Q!$C$7</definedName>
    <definedName function="false" hidden="false" name="q26_rev" vbProcedure="false">Q!$C$4</definedName>
    <definedName function="false" hidden="false" name="q26_sh" vbProcedure="false">Q!$C$21</definedName>
    <definedName function="false" hidden="false" name="rel_27" vbProcedure="false">In!$E$51</definedName>
    <definedName function="false" hidden="false" name="rel_27_hi" vbProcedure="false">In!$F$51</definedName>
    <definedName function="false" hidden="false" name="rel_27_lo" vbProcedure="false">In!$D$51</definedName>
    <definedName function="false" hidden="false" name="rel_28" vbProcedure="false">In!$E$52</definedName>
    <definedName function="false" hidden="false" name="rel_28_hi" vbProcedure="false">In!$F$52</definedName>
    <definedName function="false" hidden="false" name="rel_28_lo" vbProcedure="false">In!$D$52</definedName>
    <definedName function="false" hidden="false" name="rel_29" vbProcedure="false">In!$E$53</definedName>
    <definedName function="false" hidden="false" name="rel_29_hi" vbProcedure="false">In!$F$53</definedName>
    <definedName function="false" hidden="false" name="rel_29_lo" vbProcedure="false">In!$D$53</definedName>
    <definedName function="false" hidden="false" name="RHI_27" vbProcedure="false">In!$F$51</definedName>
    <definedName function="false" hidden="false" name="RHI_28" vbProcedure="false">In!$F$52</definedName>
    <definedName function="false" hidden="false" name="RHI_29" vbProcedure="false">In!$F$53</definedName>
    <definedName function="false" hidden="false" name="RLO_27" vbProcedure="false">In!$D$51</definedName>
    <definedName function="false" hidden="false" name="RLO_28" vbProcedure="false">In!$D$52</definedName>
    <definedName function="false" hidden="false" name="RLO_29" vbProcedure="false">In!$D$53</definedName>
    <definedName function="false" hidden="false" name="sh_g" vbProcedure="false">In!$E$66</definedName>
    <definedName function="false" hidden="false" name="sh_g_hi" vbProcedure="false">In!$F$66</definedName>
    <definedName function="false" hidden="false" name="sh_g_lo" vbProcedure="false">In!$D$66</definedName>
    <definedName function="false" hidden="false" name="tgt30_oi" vbProcedure="false">In!$E$97</definedName>
    <definedName function="false" hidden="false" name="tgt30_rev" vbProcedure="false">In!$E$96</definedName>
    <definedName function="false" hidden="false" name="tp_comp" vbProcedure="false">Val!$B$92</definedName>
    <definedName function="false" hidden="false" name="tp_dcf" vbProcedure="false">Val!$B$81</definedName>
    <definedName function="false" hidden="false" name="tp_final" vbProcedure="false">Val!$B$96</definedName>
    <definedName function="false" hidden="false" name="tp_g" vbProcedure="false">In!$E$104</definedName>
    <definedName function="false" hidden="false" name="tp_r" vbProcedure="false">In!$E$103</definedName>
    <definedName function="false" hidden="false" name="tp_roe" vbProcedure="false">In!$E$105</definedName>
    <definedName function="false" hidden="false" name="tp_wA" vbProcedure="false">In!$E$99</definedName>
    <definedName function="false" hidden="false" name="tp_wB" vbProcedure="false">In!$E$100</definedName>
    <definedName function="false" hidden="false" name="tp_wC" vbProcedure="false">In!$E$101</definedName>
    <definedName function="false" hidden="false" name="tp_w_dcf" vbProcedure="false">In!$E$106</definedName>
    <definedName function="false" hidden="false" name="um28_A" vbProcedure="false">In!$E$41</definedName>
    <definedName function="false" hidden="false" name="um28_B" vbProcedure="false">In!$E$43</definedName>
    <definedName function="false" hidden="false" name="um28_C" vbProcedure="false">In!$E$45</definedName>
    <definedName function="false" hidden="false" name="um29_A" vbProcedure="false">In!$E$42</definedName>
    <definedName function="false" hidden="false" name="um29_B" vbProcedure="false">In!$E$44</definedName>
    <definedName function="false" hidden="false" name="um29_C" vbProcedure="false">In!$E$46</definedName>
    <definedName function="false" hidden="false" name="u_amd_26" vbProcedure="false">In!$E$21</definedName>
    <definedName function="false" hidden="false" name="u_amd_27" vbProcedure="false">In!$E$22</definedName>
    <definedName function="false" hidden="false" name="u_amd_28" vbProcedure="false">In!$E$23</definedName>
    <definedName function="false" hidden="false" name="u_bw_26" vbProcedure="false">In!$E$5</definedName>
    <definedName function="false" hidden="false" name="u_bw_27" vbProcedure="false">In!$E$6</definedName>
    <definedName function="false" hidden="false" name="u_bw_28" vbProcedure="false">In!$E$7</definedName>
    <definedName function="false" hidden="false" name="u_hp_26" vbProcedure="false">In!$E$17</definedName>
    <definedName function="false" hidden="false" name="u_hp_27" vbProcedure="false">In!$E$18</definedName>
    <definedName function="false" hidden="false" name="u_hp_28" vbProcedure="false">In!$E$19</definedName>
    <definedName function="false" hidden="false" name="u_oth_26" vbProcedure="false">In!$E$33</definedName>
    <definedName function="false" hidden="false" name="u_oth_27" vbProcedure="false">In!$E$34</definedName>
    <definedName function="false" hidden="false" name="u_oth_28" vbProcedure="false">In!$E$35</definedName>
    <definedName function="false" hidden="false" name="u_rb_26" vbProcedure="false">In!$E$9</definedName>
    <definedName function="false" hidden="false" name="u_rb_27" vbProcedure="false">In!$E$10</definedName>
    <definedName function="false" hidden="false" name="u_rb_28" vbProcedure="false">In!$E$11</definedName>
    <definedName function="false" hidden="false" name="u_ru_26" vbProcedure="false">In!$E$13</definedName>
    <definedName function="false" hidden="false" name="u_ru_27" vbProcedure="false">In!$E$14</definedName>
    <definedName function="false" hidden="false" name="u_ru_28" vbProcedure="false">In!$E$15</definedName>
    <definedName function="false" hidden="false" name="u_tpu_26" vbProcedure="false">In!$E$25</definedName>
    <definedName function="false" hidden="false" name="u_tpu_27" vbProcedure="false">In!$E$26</definedName>
    <definedName function="false" hidden="false" name="u_tpu_28" vbProcedure="false">In!$E$27</definedName>
    <definedName function="false" hidden="false" name="u_trn_26" vbProcedure="false">In!$E$29</definedName>
    <definedName function="false" hidden="false" name="u_trn_27" vbProcedure="false">In!$E$30</definedName>
    <definedName function="false" hidden="false" name="u_trn_28" vbProcedure="false">In!$E$31</definedName>
    <definedName function="false" hidden="false" name="w_ot" vbProcedure="false">In!$E$48</definedName>
    <definedName function="false" hidden="false" name="w_ot_hi" vbProcedure="false">In!$F$48</definedName>
    <definedName function="false" hidden="false" name="w_ot_lo" vbProcedure="false">In!$D$48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<sst xmlns="http://schemas.openxmlformats.org/spreadsheetml/2006/main" count="2452" uniqueCount="760">
  <si>
    <r>
      <rPr>
        <b val="true"/>
        <sz val="11"/>
        <rFont val="Cambria"/>
        <family val="0"/>
        <charset val="1"/>
      </rPr>
      <t xml:space="preserve">Ibiden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4062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v0.2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</t>
    </r>
    <r>
      <rPr>
        <b val="true"/>
        <sz val="11"/>
        <rFont val="Noto Sans CJK SC"/>
        <family val="2"/>
      </rPr>
      <t xml:space="preserve">：載板與 </t>
    </r>
    <r>
      <rPr>
        <b val="true"/>
        <sz val="11"/>
        <rFont val="Cambria"/>
        <family val="0"/>
        <charset val="1"/>
      </rPr>
      <t xml:space="preserve">PCB </t>
    </r>
    <r>
      <rPr>
        <b val="true"/>
        <sz val="11"/>
        <rFont val="Noto Sans CJK SC"/>
        <family val="2"/>
      </rPr>
      <t xml:space="preserve">樣板）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</si>
  <si>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Noto Sans CJK SC"/>
        <family val="2"/>
      </rPr>
      <t xml:space="preserve">版本：</t>
    </r>
    <r>
      <rPr>
        <sz val="11"/>
        <rFont val="Cambria"/>
        <family val="0"/>
        <charset val="1"/>
      </rPr>
      <t xml:space="preserve">v0.2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：目標價改為 </t>
    </r>
    <r>
      <rPr>
        <sz val="11"/>
        <rFont val="Cambria"/>
        <family val="0"/>
        <charset val="1"/>
      </rPr>
      <t xml:space="preserve">DCF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Comparable </t>
    </r>
    <r>
      <rPr>
        <sz val="11"/>
        <rFont val="Noto Sans CJK SC"/>
        <family val="2"/>
      </rPr>
      <t xml:space="preserve">加權、三情境延伸到 </t>
    </r>
    <r>
      <rPr>
        <sz val="11"/>
        <rFont val="Cambria"/>
        <family val="0"/>
        <charset val="1"/>
      </rPr>
      <t xml:space="preserve">FY2032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FY2025–FY2029 </t>
    </r>
    <r>
      <rPr>
        <sz val="11"/>
        <rFont val="Noto Sans CJK SC"/>
        <family val="2"/>
      </rPr>
      <t xml:space="preserve">數值不變）。前版：</t>
    </r>
    <r>
      <rPr>
        <sz val="11"/>
        <rFont val="Cambria"/>
        <family val="0"/>
        <charset val="1"/>
      </rPr>
      <t xml:space="preserve">v0.1</t>
    </r>
    <r>
      <rPr>
        <sz val="11"/>
        <rFont val="Noto Sans CJK SC"/>
        <family val="2"/>
      </rPr>
      <t xml:space="preserve">（初版）。</t>
    </r>
    <r>
      <rPr>
        <sz val="11"/>
        <rFont val="Cambria"/>
        <family val="0"/>
        <charset val="1"/>
      </rPr>
      <t xml:space="preserve">Ibiden </t>
    </r>
    <r>
      <rPr>
        <sz val="11"/>
        <rFont val="Noto Sans CJK SC"/>
        <family val="2"/>
      </rPr>
      <t xml:space="preserve">在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加速器載板的有效金額與份額在本模型 </t>
    </r>
    <r>
      <rPr>
        <sz val="11"/>
        <rFont val="Cambria"/>
        <family val="0"/>
        <charset val="1"/>
      </rPr>
      <t xml:space="preserve">Units </t>
    </r>
    <r>
      <rPr>
        <sz val="11"/>
        <rFont val="Noto Sans CJK SC"/>
        <family val="2"/>
      </rPr>
      <t xml:space="preserve">頁建立，為本專案權威資料（規則第 </t>
    </r>
    <r>
      <rPr>
        <sz val="11"/>
        <rFont val="Cambria"/>
        <family val="0"/>
        <charset val="1"/>
      </rPr>
      <t xml:space="preserve">13 </t>
    </r>
    <r>
      <rPr>
        <sz val="11"/>
        <rFont val="Noto Sans CJK SC"/>
        <family val="2"/>
      </rPr>
      <t xml:space="preserve">條）。</t>
    </r>
  </si>
  <si>
    <r>
      <rPr>
        <sz val="11"/>
        <rFont val="Noto Sans CJK SC"/>
        <family val="2"/>
      </rPr>
      <t xml:space="preserve">模型命題：</t>
    </r>
    <r>
      <rPr>
        <sz val="11"/>
        <rFont val="Cambria"/>
        <family val="0"/>
        <charset val="1"/>
      </rPr>
      <t xml:space="preserve">Ibiden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伺服器載板營收＝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加速器顆數（本專案網通模型）</t>
    </r>
    <r>
      <rPr>
        <sz val="11"/>
        <rFont val="Cambria"/>
        <family val="0"/>
        <charset val="1"/>
      </rPr>
      <t xml:space="preserve">× Ibiden </t>
    </r>
    <r>
      <rPr>
        <sz val="11"/>
        <rFont val="Noto Sans CJK SC"/>
        <family val="2"/>
      </rPr>
      <t xml:space="preserve">份額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每顆載板金額（面積、層數逐年增加）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短缺溢價；電子事業的非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部分、陶瓷與其他事業另依成長率推。股價約 </t>
    </r>
    <r>
      <rPr>
        <sz val="11"/>
        <rFont val="Cambria"/>
        <family val="0"/>
        <charset val="1"/>
      </rPr>
      <t xml:space="preserve">54–65 </t>
    </r>
    <r>
      <rPr>
        <sz val="11"/>
        <rFont val="Noto Sans CJK SC"/>
        <family val="2"/>
      </rPr>
      <t xml:space="preserve">倍前瞻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2028 </t>
    </r>
    <r>
      <rPr>
        <sz val="11"/>
        <rFont val="Noto Sans CJK SC"/>
        <family val="2"/>
      </rPr>
      <t xml:space="preserve">年產能擴到 </t>
    </r>
    <r>
      <rPr>
        <sz val="11"/>
        <rFont val="Cambria"/>
        <family val="0"/>
        <charset val="1"/>
      </rPr>
      <t xml:space="preserve">2.5 </t>
    </r>
    <r>
      <rPr>
        <sz val="11"/>
        <rFont val="Noto Sans CJK SC"/>
        <family val="2"/>
      </rPr>
      <t xml:space="preserve">倍、競爭者同時擴產之後，短缺溢價能否守住電子事業約 </t>
    </r>
    <r>
      <rPr>
        <sz val="11"/>
        <rFont val="Cambria"/>
        <family val="0"/>
        <charset val="1"/>
      </rPr>
      <t xml:space="preserve">29% </t>
    </r>
    <r>
      <rPr>
        <sz val="11"/>
        <rFont val="Noto Sans CJK SC"/>
        <family val="2"/>
      </rPr>
      <t xml:space="preserve">的營益率？</t>
    </r>
  </si>
  <si>
    <r>
      <rPr>
        <sz val="11"/>
        <rFont val="Noto Sans CJK SC"/>
        <family val="2"/>
      </rPr>
      <t xml:space="preserve">核心問題：短缺溢價回落多少、何時回落，</t>
    </r>
    <r>
      <rPr>
        <sz val="11"/>
        <rFont val="Cambria"/>
        <family val="0"/>
        <charset val="1"/>
      </rPr>
      <t xml:space="preserve">FY2028 EPS </t>
    </r>
    <r>
      <rPr>
        <sz val="11"/>
        <rFont val="Noto Sans CJK SC"/>
        <family val="2"/>
      </rPr>
      <t xml:space="preserve">會少多少；現價隱含的溢價路徑合不合理。</t>
    </r>
  </si>
  <si>
    <r>
      <rPr>
        <sz val="11"/>
        <rFont val="Noto Sans CJK SC"/>
        <family val="2"/>
      </rPr>
      <t xml:space="preserve">會計年度 </t>
    </r>
    <r>
      <rPr>
        <sz val="11"/>
        <rFont val="Cambria"/>
        <family val="0"/>
        <charset val="1"/>
      </rPr>
      <t xml:space="preserve">4 </t>
    </r>
    <r>
      <rPr>
        <sz val="11"/>
        <rFont val="Noto Sans CJK SC"/>
        <family val="2"/>
      </rPr>
      <t xml:space="preserve">月至隔年 </t>
    </r>
    <r>
      <rPr>
        <sz val="11"/>
        <rFont val="Cambria"/>
        <family val="0"/>
        <charset val="1"/>
      </rPr>
      <t xml:space="preserve">3 </t>
    </r>
    <r>
      <rPr>
        <sz val="11"/>
        <rFont val="Noto Sans CJK SC"/>
        <family val="2"/>
      </rPr>
      <t xml:space="preserve">月：</t>
    </r>
    <r>
      <rPr>
        <sz val="11"/>
        <rFont val="Cambria"/>
        <family val="0"/>
        <charset val="1"/>
      </rPr>
      <t xml:space="preserve">FY(t)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t/4–(t+1)/3</t>
    </r>
    <r>
      <rPr>
        <sz val="11"/>
        <rFont val="Noto Sans CJK SC"/>
        <family val="2"/>
      </rPr>
      <t xml:space="preserve">，對照 </t>
    </r>
    <r>
      <rPr>
        <sz val="11"/>
        <rFont val="Cambria"/>
        <family val="0"/>
        <charset val="1"/>
      </rPr>
      <t xml:space="preserve">CY(t) </t>
    </r>
    <r>
      <rPr>
        <sz val="11"/>
        <rFont val="Noto Sans CJK SC"/>
        <family val="2"/>
      </rPr>
      <t xml:space="preserve">的加速器顆數（重疊 </t>
    </r>
    <r>
      <rPr>
        <sz val="11"/>
        <rFont val="Cambria"/>
        <family val="0"/>
        <charset val="1"/>
      </rPr>
      <t xml:space="preserve">9 </t>
    </r>
    <r>
      <rPr>
        <sz val="11"/>
        <rFont val="Noto Sans CJK SC"/>
        <family val="2"/>
      </rPr>
      <t xml:space="preserve">個月，不平移）。預測期 </t>
    </r>
    <r>
      <rPr>
        <sz val="11"/>
        <rFont val="Cambria"/>
        <family val="0"/>
        <charset val="1"/>
      </rPr>
      <t xml:space="preserve">FY2027–FY2029</t>
    </r>
    <r>
      <rPr>
        <sz val="11"/>
        <rFont val="Noto Sans CJK SC"/>
        <family val="2"/>
      </rPr>
      <t xml:space="preserve">（三年）。金額：十億日圓；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：日圓（</t>
    </r>
    <r>
      <rPr>
        <sz val="11"/>
        <rFont val="Cambria"/>
        <family val="0"/>
        <charset val="1"/>
      </rPr>
      <t xml:space="preserve">2026-10-01 </t>
    </r>
    <r>
      <rPr>
        <sz val="11"/>
        <rFont val="Noto Sans CJK SC"/>
        <family val="2"/>
      </rPr>
      <t xml:space="preserve">一拆二後）。</t>
    </r>
  </si>
  <si>
    <t xml:space="preserve">驅動因子 → 推導量（全部唯讀上游，不修改）</t>
  </si>
  <si>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載板：</t>
    </r>
    <r>
      <rPr>
        <sz val="11"/>
        <rFont val="Cambria"/>
        <family val="0"/>
        <charset val="1"/>
      </rPr>
      <t xml:space="preserve">markets/network </t>
    </r>
    <r>
      <rPr>
        <sz val="11"/>
        <rFont val="Noto Sans CJK SC"/>
        <family val="2"/>
      </rPr>
      <t xml:space="preserve">的加速器顆數（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＋ 權重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非 </t>
    </r>
    <r>
      <rPr>
        <sz val="11"/>
        <rFont val="Cambria"/>
        <family val="0"/>
        <charset val="1"/>
      </rPr>
      <t xml:space="preserve">NVIDIA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每顆有效金額（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校準）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金額指數（</t>
    </r>
    <r>
      <rPr>
        <sz val="11"/>
        <rFont val="Cambria"/>
        <family val="0"/>
        <charset val="1"/>
      </rPr>
      <t xml:space="preserve">+18%</t>
    </r>
    <r>
      <rPr>
        <sz val="11"/>
        <rFont val="Noto Sans CJK SC"/>
        <family val="2"/>
      </rPr>
      <t xml:space="preserve">／年，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份額相對值（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溢價指數（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</t>
    </r>
  </si>
  <si>
    <r>
      <rPr>
        <sz val="11"/>
        <rFont val="Noto Sans CJK SC"/>
        <family val="2"/>
      </rPr>
      <t xml:space="preserve">利潤率：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載板營益率 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校準（非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部分 </t>
    </r>
    <r>
      <rPr>
        <sz val="11"/>
        <rFont val="Cambria"/>
        <family val="0"/>
        <charset val="1"/>
      </rPr>
      <t xml:space="preserve">15%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），之後＝ </t>
    </r>
    <r>
      <rPr>
        <sz val="11"/>
        <rFont val="Cambria"/>
        <family val="0"/>
        <charset val="1"/>
      </rPr>
      <t xml:space="preserve">1 −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</t>
    </r>
    <r>
      <rPr>
        <sz val="11"/>
        <rFont val="Noto Sans CJK SC"/>
        <family val="2"/>
      </rPr>
      <t xml:space="preserve">校準值）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溢價指數（成本不變）。陶瓷、其他事業營益率沿用 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預測。淨利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營業利益 </t>
    </r>
    <r>
      <rPr>
        <sz val="11"/>
        <rFont val="Cambria"/>
        <family val="0"/>
        <charset val="1"/>
      </rPr>
      <t xml:space="preserve">0.661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預測）。</t>
    </r>
  </si>
  <si>
    <r>
      <rPr>
        <sz val="11"/>
        <rFont val="Noto Sans CJK SC"/>
        <family val="2"/>
      </rPr>
      <t xml:space="preserve">校準：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＝ 公司 </t>
    </r>
    <r>
      <rPr>
        <sz val="11"/>
        <rFont val="Cambria"/>
        <family val="0"/>
        <charset val="1"/>
      </rPr>
      <t xml:space="preserve">2026-08-04 </t>
    </r>
    <r>
      <rPr>
        <sz val="11"/>
        <rFont val="Noto Sans CJK SC"/>
        <family val="2"/>
      </rPr>
      <t xml:space="preserve">上修後預測（營收 </t>
    </r>
    <r>
      <rPr>
        <sz val="11"/>
        <rFont val="Cambria"/>
        <family val="0"/>
        <charset val="1"/>
      </rPr>
      <t xml:space="preserve">5,500 </t>
    </r>
    <r>
      <rPr>
        <sz val="11"/>
        <rFont val="Noto Sans CJK SC"/>
        <family val="2"/>
      </rPr>
      <t xml:space="preserve">億、營業利益 </t>
    </r>
    <r>
      <rPr>
        <sz val="11"/>
        <rFont val="Cambria"/>
        <family val="0"/>
        <charset val="1"/>
      </rPr>
      <t xml:space="preserve">1,270 </t>
    </r>
    <r>
      <rPr>
        <sz val="11"/>
        <rFont val="Noto Sans CJK SC"/>
        <family val="2"/>
      </rPr>
      <t xml:space="preserve">億、淨利 </t>
    </r>
    <r>
      <rPr>
        <sz val="11"/>
        <rFont val="Cambria"/>
        <family val="0"/>
        <charset val="1"/>
      </rPr>
      <t xml:space="preserve">840 </t>
    </r>
    <r>
      <rPr>
        <sz val="11"/>
        <rFont val="Noto Sans CJK SC"/>
        <family val="2"/>
      </rPr>
      <t xml:space="preserve">億、</t>
    </r>
    <r>
      <rPr>
        <sz val="11"/>
        <rFont val="Cambria"/>
        <family val="0"/>
        <charset val="1"/>
      </rPr>
      <t xml:space="preserve">EPS 149.68</t>
    </r>
    <r>
      <rPr>
        <sz val="11"/>
        <rFont val="Noto Sans CJK SC"/>
        <family val="2"/>
      </rPr>
      <t xml:space="preserve">）；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伺服器載板占電子事業 </t>
    </r>
    <r>
      <rPr>
        <sz val="11"/>
        <rFont val="Cambria"/>
        <family val="0"/>
        <charset val="1"/>
      </rPr>
      <t xml:space="preserve">65%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，公司未揭露）。</t>
    </r>
  </si>
  <si>
    <r>
      <rPr>
        <sz val="11"/>
        <rFont val="Noto Sans CJK SC"/>
        <family val="2"/>
      </rPr>
      <t xml:space="preserve">估值：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節目標價＝</t>
    </r>
    <r>
      <rPr>
        <sz val="11"/>
        <rFont val="Cambria"/>
        <family val="0"/>
        <charset val="1"/>
      </rPr>
      <t xml:space="preserve">0.5 × DCF </t>
    </r>
    <r>
      <rPr>
        <sz val="11"/>
        <rFont val="Noto Sans CJK SC"/>
        <family val="2"/>
      </rPr>
      <t xml:space="preserve">目標價（股東現金流＝</t>
    </r>
    <r>
      <rPr>
        <sz val="11"/>
        <rFont val="Cambria"/>
        <family val="0"/>
        <charset val="1"/>
      </rPr>
      <t xml:space="preserve">EPS 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tp_g ÷ tp_roe</t>
    </r>
    <r>
      <rPr>
        <sz val="11"/>
        <rFont val="Noto Sans CJK SC"/>
        <family val="2"/>
      </rPr>
      <t xml:space="preserve">），</t>
    </r>
    <r>
      <rPr>
        <sz val="11"/>
        <rFont val="Cambria"/>
        <family val="0"/>
        <charset val="1"/>
      </rPr>
      <t xml:space="preserve">FY2027–FY2032 </t>
    </r>
    <r>
      <rPr>
        <sz val="11"/>
        <rFont val="Noto Sans CJK SC"/>
        <family val="2"/>
      </rPr>
      <t xml:space="preserve">明確期＋永續，</t>
    </r>
    <r>
      <rPr>
        <sz val="11"/>
        <rFont val="Cambria"/>
        <family val="0"/>
        <charset val="1"/>
      </rPr>
      <t xml:space="preserve">r 10%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g 4%</t>
    </r>
    <r>
      <rPr>
        <sz val="11"/>
        <rFont val="Noto Sans CJK SC"/>
        <family val="2"/>
      </rPr>
      <t xml:space="preserve">，三情境權重 </t>
    </r>
    <r>
      <rPr>
        <sz val="11"/>
        <rFont val="Cambria"/>
        <family val="0"/>
        <charset val="1"/>
      </rPr>
      <t xml:space="preserve">0.3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0.2</t>
    </r>
    <r>
      <rPr>
        <sz val="11"/>
        <rFont val="Noto Sans CJK SC"/>
        <family val="2"/>
      </rPr>
      <t xml:space="preserve">，推到 </t>
    </r>
    <r>
      <rPr>
        <sz val="11"/>
        <rFont val="Cambria"/>
        <family val="0"/>
        <charset val="1"/>
      </rPr>
      <t xml:space="preserve">12 </t>
    </r>
    <r>
      <rPr>
        <sz val="11"/>
        <rFont val="Noto Sans CJK SC"/>
        <family val="2"/>
      </rPr>
      <t xml:space="preserve">個月後）＋</t>
    </r>
    <r>
      <rPr>
        <sz val="11"/>
        <rFont val="Cambria"/>
        <family val="0"/>
        <charset val="1"/>
      </rPr>
      <t xml:space="preserve">0.5 × Comparable </t>
    </r>
    <r>
      <rPr>
        <sz val="11"/>
        <rFont val="Noto Sans CJK SC"/>
        <family val="2"/>
      </rPr>
      <t xml:space="preserve">目標價（欣興、南電、景碩、三星電機、</t>
    </r>
    <r>
      <rPr>
        <sz val="11"/>
        <rFont val="Cambria"/>
        <family val="0"/>
        <charset val="1"/>
      </rPr>
      <t xml:space="preserve">AT&amp;S </t>
    </r>
    <r>
      <rPr>
        <sz val="11"/>
        <rFont val="Noto Sans CJK SC"/>
        <family val="2"/>
      </rPr>
      <t xml:space="preserve">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中位數 </t>
    </r>
    <r>
      <rPr>
        <sz val="11"/>
        <rFont val="Cambria"/>
        <family val="0"/>
        <charset val="1"/>
      </rPr>
      <t xml:space="preserve">× 12 </t>
    </r>
    <r>
      <rPr>
        <sz val="11"/>
        <rFont val="Noto Sans CJK SC"/>
        <family val="2"/>
      </rPr>
      <t xml:space="preserve">個月後前瞻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）；另列 </t>
    </r>
    <r>
      <rPr>
        <sz val="11"/>
        <rFont val="Cambria"/>
        <family val="0"/>
        <charset val="1"/>
      </rPr>
      <t xml:space="preserve">Comparable </t>
    </r>
    <r>
      <rPr>
        <sz val="11"/>
        <rFont val="Noto Sans CJK SC"/>
        <family val="2"/>
      </rPr>
      <t xml:space="preserve">單獨目標價、市場共識目標價與差距拆解（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因素、倍數因素）、</t>
    </r>
    <r>
      <rPr>
        <sz val="11"/>
        <rFont val="Cambria"/>
        <family val="0"/>
        <charset val="1"/>
      </rPr>
      <t xml:space="preserve">DCF </t>
    </r>
    <r>
      <rPr>
        <sz val="11"/>
        <rFont val="Noto Sans CJK SC"/>
        <family val="2"/>
      </rPr>
      <t xml:space="preserve">價格帶、十年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分位檢查（只作檢查）。會計年度 </t>
    </r>
    <r>
      <rPr>
        <sz val="11"/>
        <rFont val="Cambria"/>
        <family val="0"/>
        <charset val="1"/>
      </rPr>
      <t xml:space="preserve">4 </t>
    </r>
    <r>
      <rPr>
        <sz val="11"/>
        <rFont val="Noto Sans CJK SC"/>
        <family val="2"/>
      </rPr>
      <t xml:space="preserve">月制：</t>
    </r>
    <r>
      <rPr>
        <sz val="11"/>
        <rFont val="Cambria"/>
        <family val="0"/>
        <charset val="1"/>
      </rPr>
      <t xml:space="preserve">12 </t>
    </r>
    <r>
      <rPr>
        <sz val="11"/>
        <rFont val="Noto Sans CJK SC"/>
        <family val="2"/>
      </rPr>
      <t xml:space="preserve">個月後前瞻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½ FY2027</t>
    </r>
    <r>
      <rPr>
        <sz val="11"/>
        <rFont val="Noto Sans CJK SC"/>
        <family val="2"/>
      </rPr>
      <t xml:space="preserve">＋</t>
    </r>
    <r>
      <rPr>
        <sz val="11"/>
        <rFont val="Cambria"/>
        <family val="0"/>
        <charset val="1"/>
      </rPr>
      <t xml:space="preserve">½ FY2028</t>
    </r>
    <r>
      <rPr>
        <sz val="11"/>
        <rFont val="Noto Sans CJK SC"/>
        <family val="2"/>
      </rPr>
      <t xml:space="preserve">。（</t>
    </r>
    <r>
      <rPr>
        <sz val="11"/>
        <rFont val="Cambria"/>
        <family val="0"/>
        <charset val="1"/>
      </rPr>
      <t xml:space="preserve">v0.1.1 </t>
    </r>
    <r>
      <rPr>
        <sz val="11"/>
        <rFont val="Noto Sans CJK SC"/>
        <family val="2"/>
      </rPr>
      <t xml:space="preserve">原估值說明，保留作參考：現價 </t>
    </r>
    <r>
      <rPr>
        <sz val="11"/>
        <rFont val="Cambria"/>
        <family val="0"/>
        <charset val="1"/>
      </rPr>
      <t xml:space="preserve">÷ FY2026–FY2028 EPS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what must be true</t>
    </r>
    <r>
      <rPr>
        <sz val="11"/>
        <rFont val="Noto Sans CJK SC"/>
        <family val="2"/>
      </rPr>
      <t xml:space="preserve">；十年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規則值待 </t>
    </r>
    <r>
      <rPr>
        <sz val="11"/>
        <rFont val="Cambria"/>
        <family val="0"/>
        <charset val="1"/>
      </rPr>
      <t xml:space="preserve">Bloomberg</t>
    </r>
    <r>
      <rPr>
        <sz val="11"/>
        <rFont val="Noto Sans CJK SC"/>
        <family val="2"/>
      </rPr>
      <t xml:space="preserve">（本版不計）；循環位置以本模型營收最高年判定。）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</si>
  <si>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</si>
  <si>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AI </t>
    </r>
    <r>
      <rPr>
        <sz val="11"/>
        <rFont val="Noto Sans CJK SC"/>
        <family val="2"/>
      </rPr>
      <t xml:space="preserve">載板營收公司未揭露，以 </t>
    </r>
    <r>
      <rPr>
        <sz val="11"/>
        <rFont val="Cambria"/>
        <family val="0"/>
        <charset val="1"/>
      </rPr>
      <t xml:space="preserve">Assumed </t>
    </r>
    <r>
      <rPr>
        <sz val="11"/>
        <rFont val="Noto Sans CJK SC"/>
        <family val="2"/>
      </rPr>
      <t xml:space="preserve">切分校準；</t>
    </r>
    <r>
      <rPr>
        <sz val="11"/>
        <rFont val="Cambria"/>
        <family val="0"/>
        <charset val="1"/>
      </rPr>
      <t xml:space="preserve">(2) </t>
    </r>
    <r>
      <rPr>
        <sz val="11"/>
        <rFont val="Noto Sans CJK SC"/>
        <family val="2"/>
      </rPr>
      <t xml:space="preserve">溢價指數與份額相對值皆為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，是 </t>
    </r>
    <r>
      <rPr>
        <sz val="11"/>
        <rFont val="Cambria"/>
        <family val="0"/>
        <charset val="1"/>
      </rPr>
      <t xml:space="preserve">FY2028 EPS </t>
    </r>
    <r>
      <rPr>
        <sz val="11"/>
        <rFont val="Noto Sans CJK SC"/>
        <family val="2"/>
      </rPr>
      <t xml:space="preserve">最敏感的輸入（</t>
    </r>
    <r>
      <rPr>
        <sz val="11"/>
        <rFont val="Cambria"/>
        <family val="0"/>
        <charset val="1"/>
      </rPr>
      <t xml:space="preserve">Sens</t>
    </r>
    <r>
      <rPr>
        <sz val="11"/>
        <rFont val="Noto Sans CJK SC"/>
        <family val="2"/>
      </rPr>
      <t xml:space="preserve">）；</t>
    </r>
    <r>
      <rPr>
        <sz val="11"/>
        <rFont val="Cambria"/>
        <family val="0"/>
        <charset val="1"/>
      </rPr>
      <t xml:space="preserve">(3) </t>
    </r>
    <r>
      <rPr>
        <sz val="11"/>
        <rFont val="Noto Sans CJK SC"/>
        <family val="2"/>
      </rPr>
      <t xml:space="preserve">未設產能上限（</t>
    </r>
    <r>
      <rPr>
        <sz val="11"/>
        <rFont val="Cambria"/>
        <family val="0"/>
        <charset val="1"/>
      </rPr>
      <t xml:space="preserve">2024 </t>
    </r>
    <r>
      <rPr>
        <sz val="11"/>
        <rFont val="Noto Sans CJK SC"/>
        <family val="2"/>
      </rPr>
      <t xml:space="preserve">基準面積未找到）；</t>
    </r>
    <r>
      <rPr>
        <sz val="11"/>
        <rFont val="Cambria"/>
        <family val="0"/>
        <charset val="1"/>
      </rPr>
      <t xml:space="preserve">(4) FY2026 </t>
    </r>
    <r>
      <rPr>
        <sz val="11"/>
        <rFont val="Noto Sans CJK SC"/>
        <family val="2"/>
      </rPr>
      <t xml:space="preserve">錨點為公司預測，</t>
    </r>
    <r>
      <rPr>
        <sz val="11"/>
        <rFont val="Cambria"/>
        <family val="0"/>
        <charset val="1"/>
      </rPr>
      <t xml:space="preserve">Q2 </t>
    </r>
    <r>
      <rPr>
        <sz val="11"/>
        <rFont val="Noto Sans CJK SC"/>
        <family val="2"/>
      </rPr>
      <t xml:space="preserve">決算後更新；</t>
    </r>
    <r>
      <rPr>
        <sz val="11"/>
        <rFont val="Cambria"/>
        <family val="0"/>
        <charset val="1"/>
      </rPr>
      <t xml:space="preserve">(5) </t>
    </r>
    <r>
      <rPr>
        <sz val="11"/>
        <rFont val="Noto Sans CJK SC"/>
        <family val="2"/>
      </rPr>
      <t xml:space="preserve">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規則值待 </t>
    </r>
    <r>
      <rPr>
        <sz val="11"/>
        <rFont val="Cambria"/>
        <family val="0"/>
        <charset val="1"/>
      </rPr>
      <t xml:space="preserve">Bloomberg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(6) CB </t>
    </r>
    <r>
      <rPr>
        <sz val="11"/>
        <rFont val="Noto Sans CJK SC"/>
        <family val="2"/>
      </rPr>
      <t xml:space="preserve">轉換稀釋只在 </t>
    </r>
    <r>
      <rPr>
        <sz val="11"/>
        <rFont val="Cambria"/>
        <family val="0"/>
        <charset val="1"/>
      </rPr>
      <t xml:space="preserve">Sens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(7) R4 </t>
    </r>
    <r>
      <rPr>
        <sz val="11"/>
        <rFont val="Noto Sans CJK SC"/>
        <family val="2"/>
      </rPr>
      <t xml:space="preserve">產業部署路徑未建（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預留列）。</t>
    </r>
  </si>
  <si>
    <r>
      <rPr>
        <sz val="11"/>
        <rFont val="Cambria"/>
        <family val="0"/>
        <charset val="1"/>
      </rPr>
      <t xml:space="preserve">v0.1.1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）：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頁新增「</t>
    </r>
    <r>
      <rPr>
        <sz val="11"/>
        <rFont val="Cambria"/>
        <family val="0"/>
        <charset val="1"/>
      </rPr>
      <t xml:space="preserve">0. </t>
    </r>
    <r>
      <rPr>
        <sz val="11"/>
        <rFont val="Noto Sans CJK SC"/>
        <family val="2"/>
      </rPr>
      <t xml:space="preserve">目標價與上檔空間」與目標價用的十年 </t>
    </r>
    <r>
      <rPr>
        <sz val="11"/>
        <rFont val="Cambria"/>
        <family val="0"/>
        <charset val="1"/>
      </rPr>
      <t xml:space="preserve">P/E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companiesmarketcap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，單一來源）（放在 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既有內容之後，不位移既有儲存格），</t>
    </r>
    <r>
      <rPr>
        <sz val="11"/>
        <rFont val="Cambria"/>
        <family val="0"/>
        <charset val="1"/>
      </rPr>
      <t xml:space="preserve">In </t>
    </r>
    <r>
      <rPr>
        <sz val="11"/>
        <rFont val="Noto Sans CJK SC"/>
        <family val="2"/>
      </rPr>
      <t xml:space="preserve">頁新增目標價情境權重 </t>
    </r>
    <r>
      <rPr>
        <sz val="11"/>
        <rFont val="Cambria"/>
        <family val="0"/>
        <charset val="1"/>
      </rPr>
      <t xml:space="preserve">tp_wA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tp_wB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tp_wC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0.3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0.2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）。目標價＝十年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中位數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各情境 </t>
    </r>
    <r>
      <rPr>
        <sz val="11"/>
        <rFont val="Cambria"/>
        <family val="0"/>
        <charset val="1"/>
      </rPr>
      <t xml:space="preserve">FY2027 EPS</t>
    </r>
    <r>
      <rPr>
        <sz val="11"/>
        <rFont val="Noto Sans CJK SC"/>
        <family val="2"/>
      </rPr>
      <t xml:space="preserve">；其餘儲存格不變。</t>
    </r>
  </si>
  <si>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(1) PL </t>
    </r>
    <r>
      <rPr>
        <sz val="11"/>
        <color theme="1"/>
        <rFont val="Noto Sans CJK SC"/>
        <family val="2"/>
      </rPr>
      <t xml:space="preserve">頁最下方新增延伸表，三情境延伸到 </t>
    </r>
    <r>
      <rPr>
        <sz val="11"/>
        <color theme="1"/>
        <rFont val="Calibri"/>
        <family val="2"/>
        <charset val="1"/>
      </rPr>
      <t xml:space="preserve">FY2032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起為收斂法，非驅動因子推導（營收年增由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線性收斂到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；淨利率由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收斂到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與十年平均的中點、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＝十年平均；十年平均淨利率未找到，依工作單以 </t>
    </r>
    <r>
      <rPr>
        <sz val="11"/>
        <color theme="1"/>
        <rFont val="Calibri"/>
        <family val="2"/>
        <charset val="1"/>
      </rPr>
      <t xml:space="preserve">FY2029 × 0.8 </t>
    </r>
    <r>
      <rPr>
        <sz val="11"/>
        <color theme="1"/>
        <rFont val="Noto Sans CJK SC"/>
        <family val="2"/>
      </rPr>
      <t xml:space="preserve">替代，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延伸表灰底）。</t>
    </r>
    <r>
      <rPr>
        <sz val="11"/>
        <color theme="1"/>
        <rFont val="Calibri"/>
        <family val="2"/>
        <charset val="1"/>
      </rPr>
      <t xml:space="preserve">(2) 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節目標價＝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加權（</t>
    </r>
    <r>
      <rPr>
        <sz val="11"/>
        <color theme="1"/>
        <rFont val="Calibri"/>
        <family val="2"/>
        <charset val="1"/>
      </rPr>
      <t xml:space="preserve">tp_w_dcf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0.5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v0.1.1 </t>
    </r>
    <r>
      <rPr>
        <sz val="11"/>
        <color theme="1"/>
        <rFont val="Noto Sans CJK SC"/>
        <family val="2"/>
      </rPr>
      <t xml:space="preserve">的「</t>
    </r>
    <r>
      <rPr>
        <sz val="11"/>
        <color theme="1"/>
        <rFont val="Calibri"/>
        <family val="2"/>
        <charset val="1"/>
      </rPr>
      <t xml:space="preserve">0. </t>
    </r>
    <r>
      <rPr>
        <sz val="11"/>
        <color theme="1"/>
        <rFont val="Noto Sans CJK SC"/>
        <family val="2"/>
      </rPr>
      <t xml:space="preserve">目標價與上檔空間」改名「舊法：規則值情境加權（參考）」保留，不再是目標價。</t>
    </r>
    <r>
      <rPr>
        <sz val="11"/>
        <color theme="1"/>
        <rFont val="Calibri"/>
        <family val="2"/>
        <charset val="1"/>
      </rPr>
      <t xml:space="preserve">(3) Sens </t>
    </r>
    <r>
      <rPr>
        <sz val="11"/>
        <color theme="1"/>
        <rFont val="Noto Sans CJK SC"/>
        <family val="2"/>
      </rPr>
      <t xml:space="preserve">新增目標價參數（</t>
    </r>
    <r>
      <rPr>
        <sz val="11"/>
        <color theme="1"/>
        <rFont val="Calibri"/>
        <family val="2"/>
        <charset val="1"/>
      </rPr>
      <t xml:space="preserve">tp_r ±1pt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tp_g ±1pt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tp_w_dcf 0.4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(4) Recon </t>
    </r>
    <r>
      <rPr>
        <sz val="11"/>
        <color theme="1"/>
        <rFont val="Noto Sans CJK SC"/>
        <family val="2"/>
      </rPr>
      <t xml:space="preserve">新增目標價對帳。</t>
    </r>
    <r>
      <rPr>
        <sz val="11"/>
        <color theme="1"/>
        <rFont val="Calibri"/>
        <family val="2"/>
        <charset val="1"/>
      </rPr>
      <t xml:space="preserve">(5) </t>
    </r>
    <r>
      <rPr>
        <sz val="11"/>
        <color theme="1"/>
        <rFont val="Noto Sans CJK SC"/>
        <family val="2"/>
      </rPr>
      <t xml:space="preserve">現價更新為 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¥8,512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markets/invest_map/data/prices.csv</t>
    </r>
    <r>
      <rPr>
        <sz val="11"/>
        <color theme="1"/>
        <rFont val="Noto Sans CJK SC"/>
        <family val="2"/>
      </rPr>
      <t xml:space="preserve">：株探、松井證券兩來源）；前瞻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隱含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改以原取得價格 </t>
    </r>
    <r>
      <rPr>
        <sz val="11"/>
        <color theme="1"/>
        <rFont val="Calibri"/>
        <family val="2"/>
        <charset val="1"/>
      </rPr>
      <t xml:space="preserve">9,764 </t>
    </r>
    <r>
      <rPr>
        <sz val="11"/>
        <color theme="1"/>
        <rFont val="Noto Sans CJK SC"/>
        <family val="2"/>
      </rPr>
      <t xml:space="preserve">計（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cons_feps</t>
    </r>
    <r>
      <rPr>
        <sz val="11"/>
        <color theme="1"/>
        <rFont val="Noto Sans CJK SC"/>
        <family val="2"/>
      </rPr>
      <t xml:space="preserve">），數值不變。 新增內容一律放在各頁既有內容之後，</t>
    </r>
    <r>
      <rPr>
        <sz val="11"/>
        <color theme="1"/>
        <rFont val="Calibri"/>
        <family val="2"/>
        <charset val="1"/>
      </rPr>
      <t xml:space="preserve">FY2025–FY2029 </t>
    </r>
    <r>
      <rPr>
        <sz val="11"/>
        <color theme="1"/>
        <rFont val="Noto Sans CJK SC"/>
        <family val="2"/>
      </rPr>
      <t xml:space="preserve">既有數值不變。</t>
    </r>
  </si>
  <si>
    <r>
      <rPr>
        <sz val="11"/>
        <color theme="1"/>
        <rFont val="Noto Sans CJK SC"/>
        <family val="2"/>
      </rPr>
      <t xml:space="preserve">情境對應：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＝順利（顆數基準）、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＝平平（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×0.85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＝不如預期（</t>
    </r>
    <r>
      <rPr>
        <sz val="11"/>
        <color theme="1"/>
        <rFont val="Calibri"/>
        <family val="2"/>
        <charset val="1"/>
      </rPr>
      <t xml:space="preserve">CY2028–29 ×0.6</t>
    </r>
    <r>
      <rPr>
        <sz val="11"/>
        <color theme="1"/>
        <rFont val="Noto Sans CJK SC"/>
        <family val="2"/>
      </rPr>
      <t xml:space="preserve">），即原本的三個顆數情境。三情境在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前完全相同（只差顆數係數，從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起），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三情境仍照算，差異來自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之後（含 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起的收斂法）。</t>
    </r>
  </si>
  <si>
    <r>
      <rPr>
        <sz val="11"/>
        <color theme="1"/>
        <rFont val="Noto Sans CJK SC"/>
        <family val="2"/>
      </rPr>
      <t xml:space="preserve">先驗：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25x </t>
    </r>
    <r>
      <rPr>
        <sz val="11"/>
        <color theme="1"/>
        <rFont val="Noto Sans CJK SC"/>
        <family val="2"/>
      </rPr>
      <t xml:space="preserve">對照（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節）保留不動，不進目標價；本版未新增先驗。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</si>
  <si>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）。金額：十億日圓（</t>
    </r>
    <r>
      <rPr>
        <sz val="11"/>
        <color theme="1"/>
        <rFont val="Calibri"/>
        <family val="2"/>
        <charset val="1"/>
      </rPr>
      <t xml:space="preserve">¥B</t>
    </r>
    <r>
      <rPr>
        <sz val="11"/>
        <color theme="1"/>
        <rFont val="Noto Sans CJK SC"/>
        <family val="2"/>
      </rPr>
      <t xml:space="preserve">）；顆數：百萬顆；比例：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Noto Sans CJK SC"/>
        <family val="2"/>
      </rPr>
      <t xml:space="preserve">。每個輸入附兩個來源（找不到者寫「未找到」）；公司原文算一個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</si>
  <si>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未使用。公司原文＝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決算短信與補足資料（</t>
    </r>
    <r>
      <rPr>
        <sz val="11"/>
        <color theme="1"/>
        <rFont val="Calibri"/>
        <family val="2"/>
        <charset val="1"/>
      </rPr>
      <t xml:space="preserve">TDnet</t>
    </r>
    <r>
      <rPr>
        <sz val="11"/>
        <color theme="1"/>
        <rFont val="Noto Sans CJK SC"/>
        <family val="2"/>
      </rPr>
      <t xml:space="preserve">）；公司預測為 </t>
    </r>
    <r>
      <rPr>
        <sz val="11"/>
        <color theme="1"/>
        <rFont val="Calibri"/>
        <family val="2"/>
        <charset val="1"/>
      </rPr>
      <t xml:space="preserve">Interested-party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</si>
  <si>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</si>
  <si>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</si>
  <si>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</si>
  <si>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</si>
  <si>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</si>
  <si>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</si>
  <si>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</si>
  <si>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</si>
  <si>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</si>
  <si>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加速器顆數（讀 </t>
    </r>
    <r>
      <rPr>
        <b val="true"/>
        <sz val="11"/>
        <rFont val="Cambria"/>
        <family val="0"/>
        <charset val="1"/>
      </rPr>
      <t xml:space="preserve">markets/network In </t>
    </r>
    <r>
      <rPr>
        <b val="true"/>
        <sz val="11"/>
        <rFont val="Noto Sans CJK SC"/>
        <family val="2"/>
      </rPr>
      <t xml:space="preserve">頁；</t>
    </r>
    <r>
      <rPr>
        <b val="true"/>
        <sz val="11"/>
        <rFont val="Cambria"/>
        <family val="0"/>
        <charset val="1"/>
      </rPr>
      <t xml:space="preserve">CY2026–CY2028 </t>
    </r>
    <r>
      <rPr>
        <b val="true"/>
        <sz val="11"/>
        <rFont val="Noto Sans CJK SC"/>
        <family val="2"/>
      </rPr>
      <t xml:space="preserve">為輸入、</t>
    </r>
    <r>
      <rPr>
        <b val="true"/>
        <sz val="11"/>
        <rFont val="Cambria"/>
        <family val="0"/>
        <charset val="1"/>
      </rPr>
      <t xml:space="preserve">CY2029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CY2028 ×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＋成長率））</t>
    </r>
  </si>
  <si>
    <t xml:space="preserve">u_bw_26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</si>
  <si>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2026</t>
    </r>
  </si>
  <si>
    <t xml:space="preserve">百萬顆</t>
  </si>
  <si>
    <t xml:space="preserve">Derived</t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</si>
  <si>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</t>
    </r>
  </si>
  <si>
    <t xml:space="preserve">唯讀上游；不在本模型另訂</t>
  </si>
  <si>
    <t xml:space="preserve">u_bw_27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</si>
  <si>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</si>
  <si>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</t>
    </r>
  </si>
  <si>
    <t xml:space="preserve">u_bw_28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</si>
  <si>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</si>
  <si>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In!E7</t>
    </r>
  </si>
  <si>
    <t xml:space="preserve">g29_bw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</si>
  <si>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顆數成長</t>
    </r>
  </si>
  <si>
    <t xml:space="preserve">%</t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</si>
  <si>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In!E8</t>
    </r>
  </si>
  <si>
    <t xml:space="preserve">同上</t>
  </si>
  <si>
    <t xml:space="preserve">u_rb_26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</si>
  <si>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</si>
  <si>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In!E9</t>
    </r>
  </si>
  <si>
    <t xml:space="preserve">u_rb_27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</si>
  <si>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</si>
  <si>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In!E10</t>
    </r>
  </si>
  <si>
    <t xml:space="preserve">u_rb_28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</si>
  <si>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</si>
  <si>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In!E11</t>
    </r>
  </si>
  <si>
    <t xml:space="preserve">g29_rb</t>
  </si>
  <si>
    <r>
      <rPr>
        <sz val="11"/>
        <color theme="1"/>
        <rFont val="Calibri"/>
        <family val="2"/>
        <charset val="1"/>
      </rPr>
      <t xml:space="preserve">NVIDIA Rubin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</si>
  <si>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In!E12</t>
    </r>
  </si>
  <si>
    <t xml:space="preserve">u_ru_26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</si>
  <si>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</si>
  <si>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In!E13</t>
    </r>
  </si>
  <si>
    <t xml:space="preserve">u_ru_27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</si>
  <si>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</si>
  <si>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In!E14</t>
    </r>
  </si>
  <si>
    <t xml:space="preserve">u_ru_28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</si>
  <si>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</si>
  <si>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In!E15</t>
    </r>
  </si>
  <si>
    <t xml:space="preserve">g29_ru</t>
  </si>
  <si>
    <r>
      <rPr>
        <sz val="11"/>
        <color theme="1"/>
        <rFont val="Calibri"/>
        <family val="2"/>
        <charset val="1"/>
      </rPr>
      <t xml:space="preserve">NVIDIA Rubin Ultra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</si>
  <si>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In!E16</t>
    </r>
  </si>
  <si>
    <t xml:space="preserve">u_hp_26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</si>
  <si>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</si>
  <si>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In!E17</t>
    </r>
  </si>
  <si>
    <t xml:space="preserve">u_hp_27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</si>
  <si>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</si>
  <si>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In!E18</t>
    </r>
  </si>
  <si>
    <t xml:space="preserve">u_hp_28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</si>
  <si>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</si>
  <si>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In!E19</t>
    </r>
  </si>
  <si>
    <t xml:space="preserve">g29_hp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</si>
  <si>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</si>
  <si>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In!E20</t>
    </r>
  </si>
  <si>
    <t xml:space="preserve">u_amd_26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</si>
  <si>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</si>
  <si>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In!E21</t>
    </r>
  </si>
  <si>
    <t xml:space="preserve">u_amd_27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</si>
  <si>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</si>
  <si>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In!E22</t>
    </r>
  </si>
  <si>
    <t xml:space="preserve">u_amd_28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</si>
  <si>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</si>
  <si>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In!E23</t>
    </r>
  </si>
  <si>
    <t xml:space="preserve">g29_amd</t>
  </si>
  <si>
    <r>
      <rPr>
        <sz val="11"/>
        <color theme="1"/>
        <rFont val="Calibri"/>
        <family val="2"/>
        <charset val="1"/>
      </rPr>
      <t xml:space="preserve">AMD Instinct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</si>
  <si>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In!E24</t>
    </r>
  </si>
  <si>
    <t xml:space="preserve">u_tpu_26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</si>
  <si>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</si>
  <si>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In!E25</t>
    </r>
  </si>
  <si>
    <t xml:space="preserve">u_tpu_27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</si>
  <si>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</si>
  <si>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In!E26</t>
    </r>
  </si>
  <si>
    <t xml:space="preserve">u_tpu_28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</si>
  <si>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</si>
  <si>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In!E27</t>
    </r>
  </si>
  <si>
    <t xml:space="preserve">g29_tpu</t>
  </si>
  <si>
    <r>
      <rPr>
        <sz val="11"/>
        <color theme="1"/>
        <rFont val="Calibri"/>
        <family val="2"/>
        <charset val="1"/>
      </rPr>
      <t xml:space="preserve">Google TPU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</si>
  <si>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In!E28</t>
    </r>
  </si>
  <si>
    <t xml:space="preserve">u_trn_26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</si>
  <si>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</si>
  <si>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In!E29</t>
    </r>
  </si>
  <si>
    <t xml:space="preserve">u_trn_27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</si>
  <si>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</si>
  <si>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In!E30</t>
    </r>
  </si>
  <si>
    <t xml:space="preserve">u_trn_28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</si>
  <si>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</si>
  <si>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In!E31</t>
    </r>
  </si>
  <si>
    <t xml:space="preserve">g29_trn</t>
  </si>
  <si>
    <r>
      <rPr>
        <sz val="11"/>
        <color theme="1"/>
        <rFont val="Calibri"/>
        <family val="2"/>
        <charset val="1"/>
      </rPr>
      <t xml:space="preserve">AWS Trainium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</si>
  <si>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In!E32</t>
    </r>
  </si>
  <si>
    <t xml:space="preserve">u_oth_26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</si>
  <si>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</si>
  <si>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In!E33</t>
    </r>
  </si>
  <si>
    <t xml:space="preserve">u_oth_27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</si>
  <si>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</si>
  <si>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In!E34</t>
    </r>
  </si>
  <si>
    <t xml:space="preserve">u_oth_28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</si>
  <si>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</si>
  <si>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In!E35</t>
    </r>
  </si>
  <si>
    <t xml:space="preserve">g29_oth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</si>
  <si>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</si>
  <si>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In!E36</t>
    </r>
  </si>
  <si>
    <t xml:space="preserve">itc_26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</si>
  <si>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2026</t>
    </r>
  </si>
  <si>
    <t xml:space="preserve">US$B</t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</si>
  <si>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Mkt!C27:F27</t>
    </r>
  </si>
  <si>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用：</t>
    </r>
    <r>
      <rPr>
        <sz val="11"/>
        <color theme="1"/>
        <rFont val="Calibri"/>
        <family val="2"/>
        <charset val="1"/>
      </rPr>
      <t xml:space="preserve">Ibiden 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AI IT </t>
    </r>
    <r>
      <rPr>
        <sz val="11"/>
        <color theme="1"/>
        <rFont val="Noto Sans CJK SC"/>
        <family val="2"/>
      </rPr>
      <t xml:space="preserve">資本支出（每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對照）</t>
    </r>
  </si>
  <si>
    <t xml:space="preserve">itc_27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</si>
  <si>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2027</t>
    </r>
  </si>
  <si>
    <t xml:space="preserve">itc_28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</si>
  <si>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2028</t>
    </r>
  </si>
  <si>
    <t xml:space="preserve">itc_29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</si>
  <si>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2029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</si>
  <si>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</si>
  <si>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</si>
  <si>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x</t>
  </si>
  <si>
    <t xml:space="preserve">Assumed</t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</si>
  <si>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In!E37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</si>
  <si>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＝基準；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＝明顯下修（與台積電、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Arista </t>
    </r>
    <r>
      <rPr>
        <sz val="11"/>
        <color theme="1"/>
        <rFont val="Noto Sans CJK SC"/>
        <family val="2"/>
      </rPr>
      <t xml:space="preserve">模型相同）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</si>
  <si>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</si>
  <si>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</si>
  <si>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In!E38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</si>
  <si>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</si>
  <si>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</si>
  <si>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In!E39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</si>
  <si>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</si>
  <si>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</si>
  <si>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In!E40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</si>
  <si>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</si>
  <si>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</si>
  <si>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In!E41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</si>
  <si>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</si>
  <si>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</si>
  <si>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In!E42</t>
    </r>
  </si>
  <si>
    <r>
      <rPr>
        <b val="true"/>
        <sz val="11"/>
        <rFont val="Cambria"/>
        <family val="0"/>
        <charset val="1"/>
      </rPr>
      <t xml:space="preserve">B. Ibiden </t>
    </r>
    <r>
      <rPr>
        <b val="true"/>
        <sz val="11"/>
        <rFont val="Noto Sans CJK SC"/>
        <family val="2"/>
      </rPr>
      <t xml:space="preserve">份額與每顆載板金額（本專案權威：晶片商載板份額，規則第 </t>
    </r>
    <r>
      <rPr>
        <b val="true"/>
        <sz val="11"/>
        <rFont val="Cambria"/>
        <family val="0"/>
        <charset val="1"/>
      </rPr>
      <t xml:space="preserve">13 </t>
    </r>
    <r>
      <rPr>
        <b val="true"/>
        <sz val="11"/>
        <rFont val="Noto Sans CJK SC"/>
        <family val="2"/>
      </rPr>
      <t xml:space="preserve">條）</t>
    </r>
  </si>
  <si>
    <t xml:space="preserve">w_ot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</si>
  <si>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加速器的權重（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每顆載板金額，相對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</si>
  <si>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公開資料只有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份額：</t>
    </r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thebuildout 2026-03-26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70–80%</t>
    </r>
    <r>
      <rPr>
        <sz val="11"/>
        <color theme="1"/>
        <rFont val="Noto Sans CJK SC"/>
        <family val="2"/>
      </rPr>
      <t xml:space="preserve">；高階 </t>
    </r>
    <r>
      <rPr>
        <sz val="11"/>
        <color theme="1"/>
        <rFont val="Calibri"/>
        <family val="2"/>
        <charset val="1"/>
      </rPr>
      <t xml:space="preserve">FC-BGA </t>
    </r>
    <r>
      <rPr>
        <sz val="11"/>
        <color theme="1"/>
        <rFont val="Noto Sans CJK SC"/>
        <family val="2"/>
      </rPr>
      <t xml:space="preserve">整體約 </t>
    </r>
    <r>
      <rPr>
        <sz val="11"/>
        <color theme="1"/>
        <rFont val="Calibri"/>
        <family val="2"/>
        <charset val="1"/>
      </rPr>
      <t xml:space="preserve">35%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Data Gravity 2026-06-14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</si>
  <si>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多由欣興、</t>
    </r>
    <r>
      <rPr>
        <sz val="11"/>
        <color theme="1"/>
        <rFont val="Calibri"/>
        <family val="2"/>
        <charset val="1"/>
      </rPr>
      <t xml:space="preserve">Shinko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AT&amp;S </t>
    </r>
    <r>
      <rPr>
        <sz val="11"/>
        <color theme="1"/>
        <rFont val="Noto Sans CJK SC"/>
        <family val="2"/>
      </rPr>
      <t xml:space="preserve">等分食（第三方研究，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）；每顆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載板金額相對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：未找到</t>
    </r>
  </si>
  <si>
    <t xml:space="preserve">ai_e</t>
  </si>
  <si>
    <r>
      <rPr>
        <sz val="11"/>
        <color theme="1"/>
        <rFont val="Calibri"/>
        <family val="2"/>
        <charset val="1"/>
      </rPr>
      <t xml:space="preserve">FY2026 AI </t>
    </r>
    <r>
      <rPr>
        <sz val="11"/>
        <color theme="1"/>
        <rFont val="Noto Sans CJK SC"/>
        <family val="2"/>
      </rPr>
      <t xml:space="preserve">伺服器載板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電子事業營收</t>
    </r>
  </si>
  <si>
    <r>
      <rPr>
        <sz val="11"/>
        <color theme="1"/>
        <rFont val="Noto Sans CJK SC"/>
        <family val="2"/>
      </rPr>
      <t xml:space="preserve">公司未揭露：未找到（決算短信只說「生成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伺服器向け・汎用サーバー向け高機能 </t>
    </r>
    <r>
      <rPr>
        <sz val="11"/>
        <color theme="1"/>
        <rFont val="Calibri"/>
        <family val="2"/>
        <charset val="1"/>
      </rPr>
      <t xml:space="preserve">IC </t>
    </r>
    <r>
      <rPr>
        <sz val="11"/>
        <color theme="1"/>
        <rFont val="Noto Sans CJK SC"/>
        <family val="2"/>
      </rPr>
      <t xml:space="preserve">パッケージ基板」帶動）</t>
    </r>
  </si>
  <si>
    <r>
      <rPr>
        <sz val="11"/>
        <color theme="1"/>
        <rFont val="Calibri"/>
        <family val="2"/>
        <charset val="1"/>
      </rPr>
      <t xml:space="preserve">semi-connect 2026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高階載板營收多數為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向（估計，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</si>
  <si>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g_asp</t>
  </si>
  <si>
    <t xml:space="preserve">每顆載板金額年增（面積、層數）</t>
  </si>
  <si>
    <t xml:space="preserve">Analogy</t>
  </si>
  <si>
    <r>
      <rPr>
        <sz val="11"/>
        <color theme="1"/>
        <rFont val="Calibri"/>
        <family val="2"/>
        <charset val="1"/>
      </rPr>
      <t xml:space="preserve">Tom's Hardware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The state of ABF substrates in 2026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路線圖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90×90 mm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110×110 mm</t>
    </r>
    <r>
      <rPr>
        <sz val="11"/>
        <color theme="1"/>
        <rFont val="Noto Sans CJK SC"/>
        <family val="2"/>
      </rPr>
      <t xml:space="preserve">；每片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伺服器載板的 </t>
    </r>
    <r>
      <rPr>
        <sz val="11"/>
        <color theme="1"/>
        <rFont val="Calibri"/>
        <family val="2"/>
        <charset val="1"/>
      </rPr>
      <t xml:space="preserve">SAP </t>
    </r>
    <r>
      <rPr>
        <sz val="11"/>
        <color theme="1"/>
        <rFont val="Noto Sans CJK SC"/>
        <family val="2"/>
      </rPr>
      <t xml:space="preserve">負荷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年為 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1.8 </t>
    </r>
    <r>
      <rPr>
        <sz val="11"/>
        <color theme="1"/>
        <rFont val="Noto Sans CJK SC"/>
        <family val="2"/>
      </rPr>
      <t xml:space="preserve">倍、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2.5 </t>
    </r>
    <r>
      <rPr>
        <sz val="11"/>
        <color theme="1"/>
        <rFont val="Noto Sans CJK SC"/>
        <family val="2"/>
      </rPr>
      <t xml:space="preserve">倍（→ </t>
    </r>
    <r>
      <rPr>
        <sz val="11"/>
        <color theme="1"/>
        <rFont val="Calibri"/>
        <family val="2"/>
        <charset val="1"/>
      </rPr>
      <t xml:space="preserve">2026→2028 </t>
    </r>
    <r>
      <rPr>
        <sz val="11"/>
        <color theme="1"/>
        <rFont val="Noto Sans CJK SC"/>
        <family val="2"/>
      </rPr>
      <t xml:space="preserve">年約 </t>
    </r>
    <r>
      <rPr>
        <sz val="11"/>
        <color theme="1"/>
        <rFont val="Calibri"/>
        <family val="2"/>
        <charset val="1"/>
      </rPr>
      <t xml:space="preserve">+18%</t>
    </r>
    <r>
      <rPr>
        <sz val="11"/>
        <color theme="1"/>
        <rFont val="Noto Sans CJK SC"/>
        <family val="2"/>
      </rPr>
      <t xml:space="preserve">／年）</t>
    </r>
  </si>
  <si>
    <r>
      <rPr>
        <sz val="11"/>
        <color theme="1"/>
        <rFont val="Calibri"/>
        <family val="2"/>
        <charset val="1"/>
      </rPr>
      <t xml:space="preserve">Data Gravity 2026-06-14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載板平均單價 </t>
    </r>
    <r>
      <rPr>
        <sz val="11"/>
        <color theme="1"/>
        <rFont val="Calibri"/>
        <family val="2"/>
        <charset val="1"/>
      </rPr>
      <t xml:space="preserve">2024 $65 → 2025 $82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+26%</t>
    </r>
    <r>
      <rPr>
        <sz val="11"/>
        <color theme="1"/>
        <rFont val="Noto Sans CJK SC"/>
        <family val="2"/>
      </rPr>
      <t xml:space="preserve">，全品項）</t>
    </r>
  </si>
  <si>
    <t xml:space="preserve">rel_27</t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</si>
  <si>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2027 ÷ 2026</t>
    </r>
    <r>
      <rPr>
        <sz val="11"/>
        <color theme="1"/>
        <rFont val="Noto Sans CJK SC"/>
        <family val="2"/>
      </rPr>
      <t xml:space="preserve">（相對值）</t>
    </r>
  </si>
  <si>
    <r>
      <rPr>
        <sz val="11"/>
        <color theme="1"/>
        <rFont val="Noto Sans CJK SC"/>
        <family val="2"/>
      </rPr>
      <t xml:space="preserve">第三方研究：欣興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年拿到 </t>
    </r>
    <r>
      <rPr>
        <sz val="11"/>
        <color theme="1"/>
        <rFont val="Calibri"/>
        <family val="2"/>
        <charset val="1"/>
      </rPr>
      <t xml:space="preserve">NVIDIA AI </t>
    </r>
    <r>
      <rPr>
        <sz val="11"/>
        <color theme="1"/>
        <rFont val="Noto Sans CJK SC"/>
        <family val="2"/>
      </rPr>
      <t xml:space="preserve">載板約 </t>
    </r>
    <r>
      <rPr>
        <sz val="11"/>
        <color theme="1"/>
        <rFont val="Calibri"/>
        <family val="2"/>
        <charset val="1"/>
      </rPr>
      <t xml:space="preserve">30% </t>
    </r>
    <r>
      <rPr>
        <sz val="11"/>
        <color theme="1"/>
        <rFont val="Noto Sans CJK SC"/>
        <family val="2"/>
      </rPr>
      <t xml:space="preserve">顆數（</t>
    </r>
    <r>
      <rPr>
        <sz val="11"/>
        <color theme="1"/>
        <rFont val="Calibri"/>
        <family val="2"/>
        <charset val="1"/>
      </rPr>
      <t xml:space="preserve">Encyclopedia of Stocks 2026-03-04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</si>
  <si>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三星電機獲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載板擴產合作（</t>
    </r>
    <r>
      <rPr>
        <sz val="11"/>
        <color theme="1"/>
        <rFont val="Calibri"/>
        <family val="2"/>
        <charset val="1"/>
      </rPr>
      <t xml:space="preserve">Hardware Busters 2026</t>
    </r>
    <r>
      <rPr>
        <sz val="11"/>
        <color theme="1"/>
        <rFont val="Noto Sans CJK SC"/>
        <family val="2"/>
      </rPr>
      <t xml:space="preserve">）</t>
    </r>
  </si>
  <si>
    <t xml:space="preserve">rel_28</t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</si>
  <si>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2028 ÷ 2026</t>
    </r>
  </si>
  <si>
    <r>
      <rPr>
        <sz val="11"/>
        <color theme="1"/>
        <rFont val="Noto Sans CJK SC"/>
        <family val="2"/>
      </rPr>
      <t xml:space="preserve">同上；競爭者擴產：欣興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NT$340 </t>
    </r>
    <r>
      <rPr>
        <sz val="11"/>
        <color theme="1"/>
        <rFont val="Noto Sans CJK SC"/>
        <family val="2"/>
      </rPr>
      <t xml:space="preserve">億、景碩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NT$235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Tom's Hardware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The state of ABF substrates in 2026</t>
    </r>
    <r>
      <rPr>
        <sz val="11"/>
        <color theme="1"/>
        <rFont val="Noto Sans CJK SC"/>
        <family val="2"/>
      </rPr>
      <t xml:space="preserve">）</t>
    </r>
  </si>
  <si>
    <t xml:space="preserve">—</t>
  </si>
  <si>
    <t xml:space="preserve">rel_29</t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</si>
  <si>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2029 ÷ 2026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</si>
  <si>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短缺溢價（價格指數；</t>
    </r>
    <r>
      <rPr>
        <b val="true"/>
        <sz val="11"/>
        <rFont val="Cambria"/>
        <family val="0"/>
        <charset val="1"/>
      </rPr>
      <t xml:space="preserve">2026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）與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載板利潤率</t>
    </r>
  </si>
  <si>
    <t xml:space="preserve">pp_27</t>
  </si>
  <si>
    <r>
      <rPr>
        <sz val="11"/>
        <color theme="1"/>
        <rFont val="Noto Sans CJK SC"/>
        <family val="2"/>
      </rPr>
      <t xml:space="preserve">價格溢價指數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</si>
  <si>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Tom's Hardware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The state of ABF substrates in 2026</t>
    </r>
    <r>
      <rPr>
        <sz val="11"/>
        <color theme="1"/>
        <rFont val="Noto Sans CJK SC"/>
        <family val="2"/>
      </rPr>
      <t xml:space="preserve">（未具名供應鏈分析）：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供需缺口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下半年約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超過 </t>
    </r>
    <r>
      <rPr>
        <sz val="11"/>
        <color theme="1"/>
        <rFont val="Calibri"/>
        <family val="2"/>
        <charset val="1"/>
      </rPr>
      <t xml:space="preserve">40%</t>
    </r>
  </si>
  <si>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：短缺延續到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thebuildout</t>
    </r>
    <r>
      <rPr>
        <sz val="11"/>
        <color theme="1"/>
        <rFont val="Noto Sans CJK SC"/>
        <family val="2"/>
      </rPr>
      <t xml:space="preserve">）</t>
    </r>
  </si>
  <si>
    <t xml:space="preserve">pp_28</t>
  </si>
  <si>
    <r>
      <rPr>
        <sz val="11"/>
        <color theme="1"/>
        <rFont val="Noto Sans CJK SC"/>
        <family val="2"/>
      </rPr>
      <t xml:space="preserve">價格溢價指數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</si>
  <si>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產能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年為 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2.5–2.8 </t>
    </r>
    <r>
      <rPr>
        <sz val="11"/>
        <color theme="1"/>
        <rFont val="Noto Sans CJK SC"/>
        <family val="2"/>
      </rPr>
      <t xml:space="preserve">倍（公司路線圖，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Data Gravity 2026-06-14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Tom's Hardware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The state of ABF substrates in 2026</t>
    </r>
    <r>
      <rPr>
        <sz val="11"/>
        <color theme="1"/>
        <rFont val="Noto Sans CJK SC"/>
        <family val="2"/>
      </rPr>
      <t xml:space="preserve">）</t>
    </r>
  </si>
  <si>
    <t xml:space="preserve">欣興、景碩、三星電機同時擴產（同上）</t>
  </si>
  <si>
    <t xml:space="preserve">pp_29</t>
  </si>
  <si>
    <r>
      <rPr>
        <sz val="11"/>
        <color theme="1"/>
        <rFont val="Noto Sans CJK SC"/>
        <family val="2"/>
      </rPr>
      <t xml:space="preserve">價格溢價指數 </t>
    </r>
    <r>
      <rPr>
        <sz val="11"/>
        <color theme="1"/>
        <rFont val="Calibri"/>
        <family val="2"/>
        <charset val="1"/>
      </rPr>
      <t xml:space="preserve">2029</t>
    </r>
  </si>
  <si>
    <t xml:space="preserve">同上：新產能到位後溢價回落</t>
  </si>
  <si>
    <t xml:space="preserve">m_ne</t>
  </si>
  <si>
    <r>
      <rPr>
        <sz val="11"/>
        <color theme="1"/>
        <rFont val="Noto Sans CJK SC"/>
        <family val="2"/>
      </rPr>
      <t xml:space="preserve">電子事業非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部分營業利益率</t>
    </r>
  </si>
  <si>
    <r>
      <rPr>
        <sz val="11"/>
        <color theme="1"/>
        <rFont val="Calibri"/>
        <family val="2"/>
        <charset val="1"/>
      </rPr>
      <t xml:space="preserve">FY2024 </t>
    </r>
    <r>
      <rPr>
        <sz val="11"/>
        <color theme="1"/>
        <rFont val="Noto Sans CJK SC"/>
        <family val="2"/>
      </rPr>
      <t xml:space="preserve">電子事業營益率 </t>
    </r>
    <r>
      <rPr>
        <sz val="11"/>
        <color theme="1"/>
        <rFont val="Calibri"/>
        <family val="2"/>
        <charset val="1"/>
      </rPr>
      <t xml:space="preserve">13.6%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26.8 ÷ 197.2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比重較低時；公司：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月期決算短信（</t>
    </r>
    <r>
      <rPr>
        <sz val="11"/>
        <color theme="1"/>
        <rFont val="Calibri"/>
        <family val="2"/>
        <charset val="1"/>
      </rPr>
      <t xml:space="preserve">Sources </t>
    </r>
    <r>
      <rPr>
        <sz val="11"/>
        <color theme="1"/>
        <rFont val="Noto Sans CJK SC"/>
        <family val="2"/>
      </rPr>
      <t xml:space="preserve">頁））</t>
    </r>
  </si>
  <si>
    <r>
      <rPr>
        <sz val="11"/>
        <color theme="1"/>
        <rFont val="Calibri"/>
        <family val="2"/>
        <charset val="1"/>
      </rPr>
      <t xml:space="preserve">FY2025 18.6%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45.2 ÷ 243.3</t>
    </r>
    <r>
      <rPr>
        <sz val="11"/>
        <color theme="1"/>
        <rFont val="Noto Sans CJK SC"/>
        <family val="2"/>
      </rPr>
      <t xml:space="preserve">）</t>
    </r>
  </si>
  <si>
    <t xml:space="preserve">g_ne</t>
  </si>
  <si>
    <r>
      <rPr>
        <sz val="11"/>
        <color theme="1"/>
        <rFont val="Noto Sans CJK SC"/>
        <family val="2"/>
      </rPr>
      <t xml:space="preserve">電子事業非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營收年增（通用伺服器、</t>
    </r>
    <r>
      <rPr>
        <sz val="11"/>
        <color theme="1"/>
        <rFont val="Calibri"/>
        <family val="2"/>
        <charset val="1"/>
      </rPr>
      <t xml:space="preserve">PC </t>
    </r>
    <r>
      <rPr>
        <sz val="11"/>
        <color theme="1"/>
        <rFont val="Noto Sans CJK SC"/>
        <family val="2"/>
      </rPr>
      <t xml:space="preserve">載板等）</t>
    </r>
  </si>
  <si>
    <r>
      <rPr>
        <sz val="11"/>
        <color theme="1"/>
        <rFont val="Calibri"/>
        <family val="2"/>
        <charset val="1"/>
      </rPr>
      <t xml:space="preserve">SEMICON.TODAY 2026-08</t>
    </r>
    <r>
      <rPr>
        <sz val="11"/>
        <color theme="1"/>
        <rFont val="Noto Sans CJK SC"/>
        <family val="2"/>
      </rPr>
      <t xml:space="preserve">：通用伺服器市場緩步成長</t>
    </r>
  </si>
  <si>
    <r>
      <rPr>
        <sz val="11"/>
        <color theme="1"/>
        <rFont val="Calibri"/>
        <family val="2"/>
        <charset val="1"/>
      </rPr>
      <t xml:space="preserve">PC</t>
    </r>
    <r>
      <rPr>
        <sz val="11"/>
        <color theme="1"/>
        <rFont val="Noto Sans CJK SC"/>
        <family val="2"/>
      </rPr>
      <t xml:space="preserve">：未找到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</si>
  <si>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陶瓷、其他事業與全公司</t>
    </r>
  </si>
  <si>
    <t xml:space="preserve">g_cer</t>
  </si>
  <si>
    <r>
      <rPr>
        <sz val="11"/>
        <color theme="1"/>
        <rFont val="Noto Sans CJK SC"/>
        <family val="2"/>
      </rPr>
      <t xml:space="preserve">陶瓷事業營收年增（</t>
    </r>
    <r>
      <rPr>
        <sz val="11"/>
        <color theme="1"/>
        <rFont val="Calibri"/>
        <family val="2"/>
        <charset val="1"/>
      </rPr>
      <t xml:space="preserve">DPF</t>
    </r>
    <r>
      <rPr>
        <sz val="11"/>
        <color theme="1"/>
        <rFont val="Noto Sans CJK SC"/>
        <family val="2"/>
      </rPr>
      <t xml:space="preserve">、汽車排氣）</t>
    </r>
  </si>
  <si>
    <r>
      <rPr>
        <sz val="11"/>
        <color theme="1"/>
        <rFont val="Calibri"/>
        <family val="2"/>
        <charset val="1"/>
      </rPr>
      <t xml:space="preserve">FY2025 −1.8%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84.1 → 82.6</t>
    </r>
    <r>
      <rPr>
        <sz val="11"/>
        <color theme="1"/>
        <rFont val="Noto Sans CJK SC"/>
        <family val="2"/>
      </rPr>
      <t xml:space="preserve">；公司：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月期決算短信（</t>
    </r>
    <r>
      <rPr>
        <sz val="11"/>
        <color theme="1"/>
        <rFont val="Calibri"/>
        <family val="2"/>
        <charset val="1"/>
      </rPr>
      <t xml:space="preserve">Sources </t>
    </r>
    <r>
      <rPr>
        <sz val="11"/>
        <color theme="1"/>
        <rFont val="Noto Sans CJK SC"/>
        <family val="2"/>
      </rPr>
      <t xml:space="preserve">頁））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</si>
  <si>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預測 </t>
    </r>
    <r>
      <rPr>
        <sz val="11"/>
        <color theme="1"/>
        <rFont val="Calibri"/>
        <family val="2"/>
        <charset val="1"/>
      </rPr>
      <t xml:space="preserve">84.0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+1.8%</t>
    </r>
    <r>
      <rPr>
        <sz val="11"/>
        <color theme="1"/>
        <rFont val="Noto Sans CJK SC"/>
        <family val="2"/>
      </rPr>
      <t xml:space="preserve">；公司：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補足資料（分部門預測、設備投資、匯率前提；</t>
    </r>
    <r>
      <rPr>
        <sz val="11"/>
        <color theme="1"/>
        <rFont val="Calibri"/>
        <family val="2"/>
        <charset val="1"/>
      </rPr>
      <t xml:space="preserve">Sources </t>
    </r>
    <r>
      <rPr>
        <sz val="11"/>
        <color theme="1"/>
        <rFont val="Noto Sans CJK SC"/>
        <family val="2"/>
      </rPr>
      <t xml:space="preserve">頁））</t>
    </r>
  </si>
  <si>
    <t xml:space="preserve">m_cer</t>
  </si>
  <si>
    <t xml:space="preserve">陶瓷事業營益率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</si>
  <si>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預測 </t>
    </r>
    <r>
      <rPr>
        <sz val="11"/>
        <color theme="1"/>
        <rFont val="Calibri"/>
        <family val="2"/>
        <charset val="1"/>
      </rPr>
      <t xml:space="preserve">6.5 ÷ 84.0</t>
    </r>
    <r>
      <rPr>
        <sz val="11"/>
        <color theme="1"/>
        <rFont val="Noto Sans CJK SC"/>
        <family val="2"/>
      </rPr>
      <t xml:space="preserve">（公司：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補足資料（分部門預測、設備投資、匯率前提；</t>
    </r>
    <r>
      <rPr>
        <sz val="11"/>
        <color theme="1"/>
        <rFont val="Calibri"/>
        <family val="2"/>
        <charset val="1"/>
      </rPr>
      <t xml:space="preserve">Sources </t>
    </r>
    <r>
      <rPr>
        <sz val="11"/>
        <color theme="1"/>
        <rFont val="Noto Sans CJK SC"/>
        <family val="2"/>
      </rPr>
      <t xml:space="preserve">頁））</t>
    </r>
  </si>
  <si>
    <r>
      <rPr>
        <sz val="11"/>
        <color theme="1"/>
        <rFont val="Calibri"/>
        <family val="2"/>
        <charset val="1"/>
      </rPr>
      <t xml:space="preserve">FY2025 9.3%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7.6 ÷ 82.6</t>
    </r>
    <r>
      <rPr>
        <sz val="11"/>
        <color theme="1"/>
        <rFont val="Noto Sans CJK SC"/>
        <family val="2"/>
      </rPr>
      <t xml:space="preserve">）</t>
    </r>
  </si>
  <si>
    <t xml:space="preserve">g_oth</t>
  </si>
  <si>
    <t xml:space="preserve">其他事業營收年增（建材等）</t>
  </si>
  <si>
    <r>
      <rPr>
        <sz val="11"/>
        <color theme="1"/>
        <rFont val="Calibri"/>
        <family val="2"/>
        <charset val="1"/>
      </rPr>
      <t xml:space="preserve">FY2025 +2.5%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88.1 → 90.3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</si>
  <si>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預測 </t>
    </r>
    <r>
      <rPr>
        <sz val="11"/>
        <color theme="1"/>
        <rFont val="Calibri"/>
        <family val="2"/>
        <charset val="1"/>
      </rPr>
      <t xml:space="preserve">91.0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+0.7%</t>
    </r>
    <r>
      <rPr>
        <sz val="11"/>
        <color theme="1"/>
        <rFont val="Noto Sans CJK SC"/>
        <family val="2"/>
      </rPr>
      <t xml:space="preserve">）</t>
    </r>
  </si>
  <si>
    <t xml:space="preserve">m_oth</t>
  </si>
  <si>
    <t xml:space="preserve">其他事業營益率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</si>
  <si>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預測 </t>
    </r>
    <r>
      <rPr>
        <sz val="11"/>
        <color theme="1"/>
        <rFont val="Calibri"/>
        <family val="2"/>
        <charset val="1"/>
      </rPr>
      <t xml:space="preserve">10.5 ÷ 91.0</t>
    </r>
    <r>
      <rPr>
        <sz val="11"/>
        <color theme="1"/>
        <rFont val="Noto Sans CJK SC"/>
        <family val="2"/>
      </rPr>
      <t xml:space="preserve">（公司：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補足資料（分部門預測、設備投資、匯率前提；</t>
    </r>
    <r>
      <rPr>
        <sz val="11"/>
        <color theme="1"/>
        <rFont val="Calibri"/>
        <family val="2"/>
        <charset val="1"/>
      </rPr>
      <t xml:space="preserve">Sources </t>
    </r>
    <r>
      <rPr>
        <sz val="11"/>
        <color theme="1"/>
        <rFont val="Noto Sans CJK SC"/>
        <family val="2"/>
      </rPr>
      <t xml:space="preserve">頁））</t>
    </r>
  </si>
  <si>
    <r>
      <rPr>
        <sz val="11"/>
        <color theme="1"/>
        <rFont val="Calibri"/>
        <family val="2"/>
        <charset val="1"/>
      </rPr>
      <t xml:space="preserve">FY2025 9.9%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9.0 ÷ 90.3</t>
    </r>
    <r>
      <rPr>
        <sz val="11"/>
        <color theme="1"/>
        <rFont val="Noto Sans CJK SC"/>
        <family val="2"/>
      </rPr>
      <t xml:space="preserve">）</t>
    </r>
  </si>
  <si>
    <t xml:space="preserve">ni_oi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</si>
  <si>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營業利益（稅、非營業、少數股權）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</si>
  <si>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預測 </t>
    </r>
    <r>
      <rPr>
        <sz val="11"/>
        <color theme="1"/>
        <rFont val="Calibri"/>
        <family val="2"/>
        <charset val="1"/>
      </rPr>
      <t xml:space="preserve">84 ÷ 127</t>
    </r>
    <r>
      <rPr>
        <sz val="11"/>
        <color theme="1"/>
        <rFont val="Noto Sans CJK SC"/>
        <family val="2"/>
      </rPr>
      <t xml:space="preserve">（公司：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補足資料（分部門預測、設備投資、匯率前提；</t>
    </r>
    <r>
      <rPr>
        <sz val="11"/>
        <color theme="1"/>
        <rFont val="Calibri"/>
        <family val="2"/>
        <charset val="1"/>
      </rPr>
      <t xml:space="preserve">Sources </t>
    </r>
    <r>
      <rPr>
        <sz val="11"/>
        <color theme="1"/>
        <rFont val="Noto Sans CJK SC"/>
        <family val="2"/>
      </rPr>
      <t xml:space="preserve">頁））</t>
    </r>
  </si>
  <si>
    <r>
      <rPr>
        <sz val="11"/>
        <color theme="1"/>
        <rFont val="Calibri"/>
        <family val="2"/>
        <charset val="1"/>
      </rPr>
      <t xml:space="preserve">FY2025 1.03</t>
    </r>
    <r>
      <rPr>
        <sz val="11"/>
        <color theme="1"/>
        <rFont val="Noto Sans CJK SC"/>
        <family val="2"/>
      </rPr>
      <t xml:space="preserve">（含政策持股出售利益，不具代表性）</t>
    </r>
  </si>
  <si>
    <t xml:space="preserve">sh_g</t>
  </si>
  <si>
    <r>
      <rPr>
        <sz val="11"/>
        <color theme="1"/>
        <rFont val="Noto Sans CJK SC"/>
        <family val="2"/>
      </rPr>
      <t xml:space="preserve">股數年變動（</t>
    </r>
    <r>
      <rPr>
        <sz val="11"/>
        <color theme="1"/>
        <rFont val="Calibri"/>
        <family val="2"/>
        <charset val="1"/>
      </rPr>
      <t xml:space="preserve">2031 </t>
    </r>
    <r>
      <rPr>
        <sz val="11"/>
        <color theme="1"/>
        <rFont val="Noto Sans CJK SC"/>
        <family val="2"/>
      </rPr>
      <t xml:space="preserve">年到期 </t>
    </r>
    <r>
      <rPr>
        <sz val="11"/>
        <color theme="1"/>
        <rFont val="Calibri"/>
        <family val="2"/>
        <charset val="1"/>
      </rPr>
      <t xml:space="preserve">CB </t>
    </r>
    <r>
      <rPr>
        <sz val="11"/>
        <color theme="1"/>
        <rFont val="Noto Sans CJK SC"/>
        <family val="2"/>
      </rPr>
      <t xml:space="preserve">轉換）</t>
    </r>
  </si>
  <si>
    <r>
      <rPr>
        <sz val="11"/>
        <color theme="1"/>
        <rFont val="Calibri"/>
        <family val="2"/>
        <charset val="1"/>
      </rPr>
      <t xml:space="preserve">CB </t>
    </r>
    <r>
      <rPr>
        <sz val="11"/>
        <color theme="1"/>
        <rFont val="Noto Sans CJK SC"/>
        <family val="2"/>
      </rPr>
      <t xml:space="preserve">轉換價 </t>
    </r>
    <r>
      <rPr>
        <sz val="11"/>
        <color theme="1"/>
        <rFont val="Calibri"/>
        <family val="2"/>
        <charset val="1"/>
      </rPr>
      <t xml:space="preserve">¥2,243.1</t>
    </r>
    <r>
      <rPr>
        <sz val="11"/>
        <color theme="1"/>
        <rFont val="Noto Sans CJK SC"/>
        <family val="2"/>
      </rPr>
      <t xml:space="preserve">（分割後；</t>
    </r>
    <r>
      <rPr>
        <sz val="11"/>
        <color theme="1"/>
        <rFont val="Calibri"/>
        <family val="2"/>
        <charset val="1"/>
      </rPr>
      <t xml:space="preserve">SEMICON.TODAY 2026-08</t>
    </r>
    <r>
      <rPr>
        <sz val="11"/>
        <color theme="1"/>
        <rFont val="Noto Sans CJK SC"/>
        <family val="2"/>
      </rPr>
      <t xml:space="preserve">），遠低於現價</t>
    </r>
  </si>
  <si>
    <r>
      <rPr>
        <sz val="11"/>
        <color theme="1"/>
        <rFont val="Calibri"/>
        <family val="2"/>
        <charset val="1"/>
      </rPr>
      <t xml:space="preserve">CB </t>
    </r>
    <r>
      <rPr>
        <sz val="11"/>
        <color theme="1"/>
        <rFont val="Noto Sans CJK SC"/>
        <family val="2"/>
      </rPr>
      <t xml:space="preserve">發行額：未找到；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比基本低 </t>
    </r>
    <r>
      <rPr>
        <sz val="11"/>
        <color theme="1"/>
        <rFont val="Calibri"/>
        <family val="2"/>
        <charset val="1"/>
      </rPr>
      <t xml:space="preserve">5.8%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214.91 ÷ 228.16</t>
    </r>
    <r>
      <rPr>
        <sz val="11"/>
        <color theme="1"/>
        <rFont val="Noto Sans CJK SC"/>
        <family val="2"/>
      </rPr>
      <t xml:space="preserve">）</t>
    </r>
  </si>
  <si>
    <t xml:space="preserve">fx</t>
  </si>
  <si>
    <t xml:space="preserve">匯率（美元換算用）</t>
  </si>
  <si>
    <r>
      <rPr>
        <sz val="11"/>
        <color theme="1"/>
        <rFont val="Calibri"/>
        <family val="2"/>
        <charset val="1"/>
      </rPr>
      <t xml:space="preserve">¥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US$</t>
    </r>
  </si>
  <si>
    <t xml:space="preserve">Interested-party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</si>
  <si>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補足資料（分部門預測、設備投資、匯率前提；</t>
    </r>
    <r>
      <rPr>
        <sz val="11"/>
        <color theme="1"/>
        <rFont val="Calibri"/>
        <family val="2"/>
        <charset val="1"/>
      </rPr>
      <t xml:space="preserve">Sources </t>
    </r>
    <r>
      <rPr>
        <sz val="11"/>
        <color theme="1"/>
        <rFont val="Noto Sans CJK SC"/>
        <family val="2"/>
      </rPr>
      <t xml:space="preserve">頁）：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前提 </t>
    </r>
    <r>
      <rPr>
        <sz val="11"/>
        <color theme="1"/>
        <rFont val="Calibri"/>
        <family val="2"/>
        <charset val="1"/>
      </rPr>
      <t xml:space="preserve">¥152</t>
    </r>
  </si>
  <si>
    <r>
      <rPr>
        <b val="true"/>
        <sz val="11"/>
        <rFont val="Cambria"/>
        <family val="0"/>
        <charset val="1"/>
      </rPr>
      <t xml:space="preserve">E. FY2026 </t>
    </r>
    <r>
      <rPr>
        <b val="true"/>
        <sz val="11"/>
        <rFont val="Noto Sans CJK SC"/>
        <family val="2"/>
      </rPr>
      <t xml:space="preserve">錨點（公司 </t>
    </r>
    <r>
      <rPr>
        <b val="true"/>
        <sz val="11"/>
        <rFont val="Cambria"/>
        <family val="0"/>
        <charset val="1"/>
      </rPr>
      <t xml:space="preserve">2026-08-04 </t>
    </r>
    <r>
      <rPr>
        <b val="true"/>
        <sz val="11"/>
        <rFont val="Noto Sans CJK SC"/>
        <family val="2"/>
      </rPr>
      <t xml:space="preserve">上修後預測；</t>
    </r>
    <r>
      <rPr>
        <b val="true"/>
        <sz val="11"/>
        <rFont val="Cambria"/>
        <family val="0"/>
        <charset val="1"/>
      </rPr>
      <t xml:space="preserve">Q2 </t>
    </r>
    <r>
      <rPr>
        <b val="true"/>
        <sz val="11"/>
        <rFont val="Noto Sans CJK SC"/>
        <family val="2"/>
      </rPr>
      <t xml:space="preserve">決算後更新）</t>
    </r>
  </si>
  <si>
    <t xml:space="preserve">f_rev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</si>
  <si>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營收預測</t>
    </r>
  </si>
  <si>
    <t xml:space="preserve">¥B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</si>
  <si>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補足資料（分部門預測、設備投資、匯率前提；</t>
    </r>
    <r>
      <rPr>
        <sz val="11"/>
        <color theme="1"/>
        <rFont val="Calibri"/>
        <family val="2"/>
        <charset val="1"/>
      </rPr>
      <t xml:space="preserve">Sources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</si>
  <si>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Calibri"/>
        <family val="2"/>
        <charset val="1"/>
      </rPr>
      <t xml:space="preserve">LIMO 2026-08-15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5,500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+32.1%</t>
    </r>
    <r>
      <rPr>
        <sz val="11"/>
        <color theme="1"/>
        <rFont val="Noto Sans CJK SC"/>
        <family val="2"/>
      </rPr>
      <t xml:space="preserve">）</t>
    </r>
  </si>
  <si>
    <t xml:space="preserve">f_e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</si>
  <si>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電子事業營收預測</t>
    </r>
  </si>
  <si>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77.5</t>
    </r>
    <r>
      <rPr>
        <sz val="11"/>
        <color theme="1"/>
        <rFont val="Noto Sans CJK SC"/>
        <family val="2"/>
      </rPr>
      <t xml:space="preserve">（年增 </t>
    </r>
    <r>
      <rPr>
        <sz val="11"/>
        <color theme="1"/>
        <rFont val="Calibri"/>
        <family val="2"/>
        <charset val="1"/>
      </rPr>
      <t xml:space="preserve">37.7%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SEMICON.TODAY 2026-08</t>
    </r>
    <r>
      <rPr>
        <sz val="11"/>
        <color theme="1"/>
        <rFont val="Noto Sans CJK SC"/>
        <family val="2"/>
      </rPr>
      <t xml:space="preserve">）</t>
    </r>
  </si>
  <si>
    <t xml:space="preserve">f_eoi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</si>
  <si>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電子事業營業利益預測</t>
    </r>
  </si>
  <si>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21.4</t>
    </r>
    <r>
      <rPr>
        <sz val="11"/>
        <color theme="1"/>
        <rFont val="Noto Sans CJK SC"/>
        <family val="2"/>
      </rPr>
      <t xml:space="preserve">（營益率 </t>
    </r>
    <r>
      <rPr>
        <sz val="11"/>
        <color theme="1"/>
        <rFont val="Calibri"/>
        <family val="2"/>
        <charset val="1"/>
      </rPr>
      <t xml:space="preserve">27.6%</t>
    </r>
    <r>
      <rPr>
        <sz val="11"/>
        <color theme="1"/>
        <rFont val="Noto Sans CJK SC"/>
        <family val="2"/>
      </rPr>
      <t xml:space="preserve">）</t>
    </r>
  </si>
  <si>
    <t xml:space="preserve">f_cer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</si>
  <si>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陶瓷事業營收預測</t>
    </r>
  </si>
  <si>
    <t xml:space="preserve">f_ceroi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</si>
  <si>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陶瓷事業營業利益預測</t>
    </r>
  </si>
  <si>
    <t xml:space="preserve">f_oth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</si>
  <si>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其他事業營收預測</t>
    </r>
  </si>
  <si>
    <t xml:space="preserve">f_othoi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</si>
  <si>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其他事業營業利益預測</t>
    </r>
  </si>
  <si>
    <t xml:space="preserve">f_oi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</si>
  <si>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營業利益預測</t>
    </r>
  </si>
  <si>
    <r>
      <rPr>
        <sz val="11"/>
        <color theme="1"/>
        <rFont val="Calibri"/>
        <family val="2"/>
        <charset val="1"/>
      </rPr>
      <t xml:space="preserve">SEMICON.TODAY 2026-08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900 → 1,270 </t>
    </r>
    <r>
      <rPr>
        <sz val="11"/>
        <color theme="1"/>
        <rFont val="Noto Sans CJK SC"/>
        <family val="2"/>
      </rPr>
      <t xml:space="preserve">億</t>
    </r>
  </si>
  <si>
    <t xml:space="preserve">f_ni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</si>
  <si>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淨利預測（歸屬母公司）</t>
    </r>
  </si>
  <si>
    <r>
      <rPr>
        <sz val="11"/>
        <color theme="1"/>
        <rFont val="Calibri"/>
        <family val="2"/>
        <charset val="1"/>
      </rPr>
      <t xml:space="preserve">SEMICON.TODAY 2026-08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580 → 840 </t>
    </r>
    <r>
      <rPr>
        <sz val="11"/>
        <color theme="1"/>
        <rFont val="Noto Sans CJK SC"/>
        <family val="2"/>
      </rPr>
      <t xml:space="preserve">億</t>
    </r>
  </si>
  <si>
    <t xml:space="preserve">f_eps</t>
  </si>
  <si>
    <r>
      <rPr>
        <sz val="11"/>
        <color theme="1"/>
        <rFont val="Calibri"/>
        <family val="2"/>
        <charset val="1"/>
      </rPr>
      <t xml:space="preserve">FY2026 EPS </t>
    </r>
    <r>
      <rPr>
        <sz val="11"/>
        <color theme="1"/>
        <rFont val="Noto Sans CJK SC"/>
        <family val="2"/>
      </rPr>
      <t xml:space="preserve">預測（分割後）</t>
    </r>
  </si>
  <si>
    <t xml:space="preserve">¥</t>
  </si>
  <si>
    <r>
      <rPr>
        <sz val="11"/>
        <color theme="1"/>
        <rFont val="Calibri"/>
        <family val="2"/>
        <charset val="1"/>
      </rPr>
      <t xml:space="preserve">SEMICON.TODAY 2026-08</t>
    </r>
    <r>
      <rPr>
        <sz val="11"/>
        <color theme="1"/>
        <rFont val="Noto Sans CJK SC"/>
        <family val="2"/>
      </rPr>
      <t xml:space="preserve">：反映 </t>
    </r>
    <r>
      <rPr>
        <sz val="11"/>
        <color theme="1"/>
        <rFont val="Calibri"/>
        <family val="2"/>
        <charset val="1"/>
      </rPr>
      <t xml:space="preserve">2026-10-01 </t>
    </r>
    <r>
      <rPr>
        <sz val="11"/>
        <color theme="1"/>
        <rFont val="Noto Sans CJK SC"/>
        <family val="2"/>
      </rPr>
      <t xml:space="preserve">一拆二</t>
    </r>
  </si>
  <si>
    <r>
      <rPr>
        <b val="true"/>
        <sz val="11"/>
        <rFont val="Cambria"/>
        <family val="0"/>
        <charset val="1"/>
      </rPr>
      <t xml:space="preserve">F. FY2025 </t>
    </r>
    <r>
      <rPr>
        <b val="true"/>
        <sz val="11"/>
        <rFont val="Noto Sans CJK SC"/>
        <family val="2"/>
      </rPr>
      <t xml:space="preserve">實績（</t>
    </r>
    <r>
      <rPr>
        <b val="true"/>
        <sz val="11"/>
        <rFont val="Cambria"/>
        <family val="0"/>
        <charset val="1"/>
      </rPr>
      <t xml:space="preserve">2026 </t>
    </r>
    <r>
      <rPr>
        <b val="true"/>
        <sz val="11"/>
        <rFont val="Noto Sans CJK SC"/>
        <family val="2"/>
      </rPr>
      <t xml:space="preserve">年 </t>
    </r>
    <r>
      <rPr>
        <b val="true"/>
        <sz val="11"/>
        <rFont val="Cambria"/>
        <family val="0"/>
        <charset val="1"/>
      </rPr>
      <t xml:space="preserve">3 </t>
    </r>
    <r>
      <rPr>
        <b val="true"/>
        <sz val="11"/>
        <rFont val="Noto Sans CJK SC"/>
        <family val="2"/>
      </rPr>
      <t xml:space="preserve">月期）</t>
    </r>
  </si>
  <si>
    <t xml:space="preserve">a_rev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</si>
  <si>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營收</t>
    </r>
  </si>
  <si>
    <t xml:space="preserve">Verified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</si>
  <si>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月期決算短信（</t>
    </r>
    <r>
      <rPr>
        <sz val="11"/>
        <color theme="1"/>
        <rFont val="Calibri"/>
        <family val="2"/>
        <charset val="1"/>
      </rPr>
      <t xml:space="preserve">Sources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</si>
  <si>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Calibri"/>
        <family val="2"/>
        <charset val="1"/>
      </rPr>
      <t xml:space="preserve">SEMICON.TODAY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semi-connect </t>
    </r>
    <r>
      <rPr>
        <sz val="11"/>
        <color theme="1"/>
        <rFont val="Noto Sans CJK SC"/>
        <family val="2"/>
      </rPr>
      <t xml:space="preserve">同值</t>
    </r>
  </si>
  <si>
    <t xml:space="preserve">a_e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</si>
  <si>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電子事業營收</t>
    </r>
  </si>
  <si>
    <t xml:space="preserve">a_eoi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</si>
  <si>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電子事業營業利益</t>
    </r>
  </si>
  <si>
    <t xml:space="preserve">a_cer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</si>
  <si>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陶瓷事業營收</t>
    </r>
  </si>
  <si>
    <t xml:space="preserve">a_ceroi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</si>
  <si>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陶瓷事業營業利益</t>
    </r>
  </si>
  <si>
    <t xml:space="preserve">a_oth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</si>
  <si>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其他事業營收</t>
    </r>
  </si>
  <si>
    <t xml:space="preserve">a_othoi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</si>
  <si>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其他事業營業利益</t>
    </r>
  </si>
  <si>
    <t xml:space="preserve">a_oi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</si>
  <si>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營業利益</t>
    </r>
  </si>
  <si>
    <t xml:space="preserve">a_gp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</si>
  <si>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毛利</t>
    </r>
  </si>
  <si>
    <t xml:space="preserve">a_ni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</si>
  <si>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淨利（歸屬母公司）</t>
    </r>
  </si>
  <si>
    <t xml:space="preserve">a_eps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</si>
  <si>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基本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（分割後換算＝</t>
    </r>
    <r>
      <rPr>
        <sz val="11"/>
        <color theme="1"/>
        <rFont val="Calibri"/>
        <family val="2"/>
        <charset val="1"/>
      </rPr>
      <t xml:space="preserve">228.16 ÷ 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</si>
  <si>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月期決算短信（</t>
    </r>
    <r>
      <rPr>
        <sz val="11"/>
        <color theme="1"/>
        <rFont val="Calibri"/>
        <family val="2"/>
        <charset val="1"/>
      </rPr>
      <t xml:space="preserve">Sources </t>
    </r>
    <r>
      <rPr>
        <sz val="11"/>
        <color theme="1"/>
        <rFont val="Noto Sans CJK SC"/>
        <family val="2"/>
      </rPr>
      <t xml:space="preserve">頁）：</t>
    </r>
    <r>
      <rPr>
        <sz val="11"/>
        <color theme="1"/>
        <rFont val="Calibri"/>
        <family val="2"/>
        <charset val="1"/>
      </rPr>
      <t xml:space="preserve">228.16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2026-01 </t>
    </r>
    <r>
      <rPr>
        <sz val="11"/>
        <color theme="1"/>
        <rFont val="Noto Sans CJK SC"/>
        <family val="2"/>
      </rPr>
      <t xml:space="preserve">一拆二後、</t>
    </r>
    <r>
      <rPr>
        <sz val="11"/>
        <color theme="1"/>
        <rFont val="Calibri"/>
        <family val="2"/>
        <charset val="1"/>
      </rPr>
      <t xml:space="preserve">2026-10 </t>
    </r>
    <r>
      <rPr>
        <sz val="11"/>
        <color theme="1"/>
        <rFont val="Noto Sans CJK SC"/>
        <family val="2"/>
      </rPr>
      <t xml:space="preserve">一拆二前）</t>
    </r>
  </si>
  <si>
    <r>
      <rPr>
        <sz val="11"/>
        <color theme="1"/>
        <rFont val="Calibri"/>
        <family val="2"/>
        <charset val="1"/>
      </rPr>
      <t xml:space="preserve">2026-10-01 </t>
    </r>
    <r>
      <rPr>
        <sz val="11"/>
        <color theme="1"/>
        <rFont val="Noto Sans CJK SC"/>
        <family val="2"/>
      </rPr>
      <t xml:space="preserve">再一拆二</t>
    </r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</si>
  <si>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價格與市場資料（只作 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Recon </t>
    </r>
    <r>
      <rPr>
        <b val="true"/>
        <sz val="11"/>
        <rFont val="Noto Sans CJK SC"/>
        <family val="2"/>
      </rPr>
      <t xml:space="preserve">對照）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</si>
  <si>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</si>
  <si>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收盤，分割後）</t>
    </r>
  </si>
  <si>
    <r>
      <rPr>
        <sz val="11"/>
        <color theme="1"/>
        <rFont val="Calibri"/>
        <family val="2"/>
        <charset val="1"/>
      </rPr>
      <t xml:space="preserve">markets/invest_map/data/prices.csv</t>
    </r>
    <r>
      <rPr>
        <sz val="11"/>
        <color theme="1"/>
        <rFont val="Noto Sans CJK SC"/>
        <family val="2"/>
      </rPr>
      <t xml:space="preserve">：株探、松井證券（兩來源核對；</t>
    </r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更新）</t>
    </r>
  </si>
  <si>
    <r>
      <rPr>
        <sz val="11"/>
        <color theme="1"/>
        <rFont val="Calibri"/>
        <family val="2"/>
        <charset val="1"/>
      </rPr>
      <t xml:space="preserve">v0.1.1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10-16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9,764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）；前瞻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隱含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仍以 </t>
    </r>
    <r>
      <rPr>
        <sz val="11"/>
        <color theme="1"/>
        <rFont val="Calibri"/>
        <family val="2"/>
        <charset val="1"/>
      </rPr>
      <t xml:space="preserve">9,764 </t>
    </r>
    <r>
      <rPr>
        <sz val="11"/>
        <color theme="1"/>
        <rFont val="Noto Sans CJK SC"/>
        <family val="2"/>
      </rPr>
      <t xml:space="preserve">計（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cons_feps</t>
    </r>
    <r>
      <rPr>
        <sz val="11"/>
        <color theme="1"/>
        <rFont val="Noto Sans CJK SC"/>
        <family val="2"/>
      </rPr>
      <t xml:space="preserve">）</t>
    </r>
  </si>
  <si>
    <t xml:space="preserve">pe_fwd_sa</t>
  </si>
  <si>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</si>
  <si>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（口徑：未來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個月共識，頁面未明示）</t>
    </r>
  </si>
  <si>
    <t xml:space="preserve">第二來源：未找到</t>
  </si>
  <si>
    <t xml:space="preserve">pe_ttm</t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</si>
  <si>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</si>
  <si>
    <t xml:space="preserve">stockanalysis</t>
  </si>
  <si>
    <t xml:space="preserve">pe_fair_andy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</si>
  <si>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先驗：合理 </t>
    </r>
    <r>
      <rPr>
        <sz val="11"/>
        <color theme="1"/>
        <rFont val="Calibri"/>
        <family val="2"/>
        <charset val="1"/>
      </rPr>
      <t xml:space="preserve">P/E</t>
    </r>
  </si>
  <si>
    <r>
      <rPr>
        <sz val="11"/>
        <color theme="1"/>
        <rFont val="Noto Sans CJK SC"/>
        <family val="2"/>
      </rPr>
      <t xml:space="preserve">先驗</t>
    </r>
    <r>
      <rPr>
        <sz val="11"/>
        <color theme="1"/>
        <rFont val="Calibri"/>
        <family val="2"/>
        <charset val="1"/>
      </rPr>
      <t xml:space="preserve">_Andy_Ibiden_20261024 I10b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Drive</t>
    </r>
    <r>
      <rPr>
        <sz val="11"/>
        <color theme="1"/>
        <rFont val="Noto Sans CJK SC"/>
        <family val="2"/>
      </rPr>
      <t xml:space="preserve">；不在本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）</t>
    </r>
  </si>
  <si>
    <t xml:space="preserve">只作對照</t>
  </si>
  <si>
    <t xml:space="preserve">tgt30_rev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</si>
  <si>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目標營收</t>
    </r>
  </si>
  <si>
    <r>
      <rPr>
        <sz val="11"/>
        <color theme="1"/>
        <rFont val="Calibri"/>
        <family val="2"/>
        <charset val="1"/>
      </rPr>
      <t xml:space="preserve">Quartr FY2025 </t>
    </r>
    <r>
      <rPr>
        <sz val="11"/>
        <color theme="1"/>
        <rFont val="Noto Sans CJK SC"/>
        <family val="2"/>
      </rPr>
      <t xml:space="preserve">摘要（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摘要；營收數字有誤處未採用）</t>
    </r>
  </si>
  <si>
    <t xml:space="preserve">tgt30_oi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</si>
  <si>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目標營業利益</t>
    </r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</si>
  <si>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目標價情境權重（</t>
    </r>
    <r>
      <rPr>
        <b val="true"/>
        <sz val="11"/>
        <rFont val="Cambria"/>
        <family val="0"/>
        <charset val="1"/>
      </rPr>
      <t xml:space="preserve">v0.1.1 </t>
    </r>
    <r>
      <rPr>
        <b val="true"/>
        <sz val="11"/>
        <rFont val="Noto Sans CJK SC"/>
        <family val="2"/>
      </rPr>
      <t xml:space="preserve">新增；</t>
    </r>
    <r>
      <rPr>
        <b val="true"/>
        <sz val="11"/>
        <rFont val="Cambria"/>
        <family val="0"/>
        <charset val="1"/>
      </rPr>
      <t xml:space="preserve">Val </t>
    </r>
    <r>
      <rPr>
        <b val="true"/>
        <sz val="11"/>
        <rFont val="Noto Sans CJK SC"/>
        <family val="2"/>
      </rPr>
      <t xml:space="preserve">頁第 </t>
    </r>
    <r>
      <rPr>
        <b val="true"/>
        <sz val="11"/>
        <rFont val="Cambria"/>
        <family val="0"/>
        <charset val="1"/>
      </rPr>
      <t xml:space="preserve">0 </t>
    </r>
    <r>
      <rPr>
        <b val="true"/>
        <sz val="11"/>
        <rFont val="Noto Sans CJK SC"/>
        <family val="2"/>
      </rPr>
      <t xml:space="preserve">節用）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</si>
  <si>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</si>
  <si>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（順利）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</si>
  <si>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</si>
  <si>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三者合計應為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起用於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的情境加權（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節）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</si>
  <si>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</si>
  <si>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（平平）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</si>
  <si>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</si>
  <si>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（不如預期）</t>
    </r>
  </si>
  <si>
    <r>
      <rPr>
        <b val="true"/>
        <sz val="11"/>
        <rFont val="Cambria"/>
        <family val="0"/>
        <charset val="1"/>
      </rPr>
      <t xml:space="preserve">J. </t>
    </r>
    <r>
      <rPr>
        <b val="true"/>
        <sz val="11"/>
        <rFont val="Noto Sans CJK SC"/>
        <family val="2"/>
      </rPr>
      <t xml:space="preserve">目標價（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加權）與收斂法參數（</t>
    </r>
    <r>
      <rPr>
        <b val="true"/>
        <sz val="11"/>
        <rFont val="Cambria"/>
        <family val="0"/>
        <charset val="1"/>
      </rPr>
      <t xml:space="preserve">v0.2 </t>
    </r>
    <r>
      <rPr>
        <b val="true"/>
        <sz val="11"/>
        <rFont val="Noto Sans CJK SC"/>
        <family val="2"/>
      </rPr>
      <t xml:space="preserve">新增；黃底＝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</si>
  <si>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tp_r</t>
  </si>
  <si>
    <r>
      <rPr>
        <sz val="11"/>
        <color theme="1"/>
        <rFont val="Noto Sans CJK SC"/>
        <family val="2"/>
      </rPr>
      <t xml:space="preserve">折現率／要求報酬（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</si>
  <si>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；美、台、日、韓同一值）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</si>
  <si>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±1pt</t>
    </r>
  </si>
  <si>
    <t xml:space="preserve">tp_g</t>
  </si>
  <si>
    <r>
      <rPr>
        <sz val="11"/>
        <color theme="1"/>
        <rFont val="Noto Sans CJK SC"/>
        <family val="2"/>
      </rPr>
      <t xml:space="preserve">長期成長率（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永續；情境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</si>
  <si>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</si>
  <si>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±1pt</t>
    </r>
    <r>
      <rPr>
        <sz val="11"/>
        <color theme="1"/>
        <rFont val="Noto Sans CJK SC"/>
        <family val="2"/>
      </rPr>
      <t xml:space="preserve">（只動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收斂目標不隨之變動）</t>
    </r>
  </si>
  <si>
    <t xml:space="preserve">tp_roe</t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</si>
  <si>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（近三年平均）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</si>
  <si>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比率頁（</t>
    </r>
    <r>
      <rPr>
        <sz val="11"/>
        <color theme="1"/>
        <rFont val="Calibri"/>
        <family val="2"/>
        <charset val="1"/>
      </rPr>
      <t xml:space="preserve">Return on Equity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月期 </t>
    </r>
    <r>
      <rPr>
        <sz val="11"/>
        <color theme="1"/>
        <rFont val="Calibri"/>
        <family val="2"/>
        <charset val="1"/>
      </rPr>
      <t xml:space="preserve">12.17%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月期 </t>
    </r>
    <r>
      <rPr>
        <sz val="11"/>
        <color theme="1"/>
        <rFont val="Calibri"/>
        <family val="2"/>
        <charset val="1"/>
      </rPr>
      <t xml:space="preserve">6.82%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月期 </t>
    </r>
    <r>
      <rPr>
        <sz val="11"/>
        <color theme="1"/>
        <rFont val="Calibri"/>
        <family val="2"/>
        <charset val="1"/>
      </rPr>
      <t xml:space="preserve">6.85%</t>
    </r>
    <r>
      <rPr>
        <sz val="11"/>
        <color theme="1"/>
        <rFont val="Noto Sans CJK SC"/>
        <family val="2"/>
      </rPr>
      <t xml:space="preserve">（即本模型 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</si>
  <si>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單一來源；近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12.65%</t>
    </r>
    <r>
      <rPr>
        <sz val="11"/>
        <color theme="1"/>
        <rFont val="Noto Sans CJK SC"/>
        <family val="2"/>
      </rPr>
      <t xml:space="preserve">（同站，</t>
    </r>
    <r>
      <rPr>
        <sz val="11"/>
        <color theme="1"/>
        <rFont val="Calibri"/>
        <family val="2"/>
        <charset val="1"/>
      </rPr>
      <t xml:space="preserve">2026-08-27</t>
    </r>
    <r>
      <rPr>
        <sz val="11"/>
        <color theme="1"/>
        <rFont val="Noto Sans CJK SC"/>
        <family val="2"/>
      </rPr>
      <t xml:space="preserve">）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</si>
  <si>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</si>
  <si>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的權重；其餘為 </t>
    </r>
    <r>
      <rPr>
        <sz val="11"/>
        <color theme="1"/>
        <rFont val="Calibri"/>
        <family val="2"/>
        <charset val="1"/>
      </rPr>
      <t xml:space="preserve">Comparable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</si>
  <si>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2026-10-25 11:53 </t>
    </r>
    <r>
      <rPr>
        <sz val="11"/>
        <color theme="1"/>
        <rFont val="Noto Sans CJK SC"/>
        <family val="2"/>
      </rPr>
      <t xml:space="preserve">改為 </t>
    </r>
    <r>
      <rPr>
        <sz val="11"/>
        <color theme="1"/>
        <rFont val="Calibri"/>
        <family val="2"/>
        <charset val="1"/>
      </rPr>
      <t xml:space="preserve">0.5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各半）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</si>
  <si>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0.4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</t>
    </r>
  </si>
  <si>
    <t xml:space="preserve">fade_gA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</si>
  <si>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（順利）：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</si>
  <si>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2026-10-25 11:20 </t>
    </r>
    <r>
      <rPr>
        <sz val="11"/>
        <color theme="1"/>
        <rFont val="Noto Sans CJK SC"/>
        <family val="2"/>
      </rPr>
      <t xml:space="preserve">收斂法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</si>
  <si>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年增線性收斂，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達到</t>
    </r>
  </si>
  <si>
    <t xml:space="preserve">fade_gB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</si>
  <si>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（平平）：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）</t>
    </r>
  </si>
  <si>
    <t xml:space="preserve">fade_gC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</si>
  <si>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（不如預期）：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</t>
    </r>
  </si>
  <si>
    <t xml:space="preserve">nim10_f</t>
  </si>
  <si>
    <r>
      <rPr>
        <sz val="11"/>
        <color theme="1"/>
        <rFont val="Noto Sans CJK SC"/>
        <family val="2"/>
      </rPr>
      <t xml:space="preserve">十年平均淨利率的替代：最後一年（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）淨利率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（本值）</t>
    </r>
  </si>
  <si>
    <r>
      <rPr>
        <sz val="11"/>
        <color theme="1"/>
        <rFont val="Noto Sans CJK SC"/>
        <family val="2"/>
      </rPr>
      <t xml:space="preserve">十年（</t>
    </r>
    <r>
      <rPr>
        <sz val="11"/>
        <color theme="1"/>
        <rFont val="Calibri"/>
        <family val="2"/>
        <charset val="1"/>
      </rPr>
      <t xml:space="preserve">2016–2025</t>
    </r>
    <r>
      <rPr>
        <sz val="11"/>
        <color theme="1"/>
        <rFont val="Noto Sans CJK SC"/>
        <family val="2"/>
      </rPr>
      <t xml:space="preserve">）平均淨利率：未找到（免費資料商只到近五年）；依工作單以最後一年 </t>
    </r>
    <r>
      <rPr>
        <sz val="11"/>
        <color theme="1"/>
        <rFont val="Calibri"/>
        <family val="2"/>
        <charset val="1"/>
      </rPr>
      <t xml:space="preserve">× 0.8 </t>
    </r>
    <r>
      <rPr>
        <sz val="11"/>
        <color theme="1"/>
        <rFont val="Noto Sans CJK SC"/>
        <family val="2"/>
      </rPr>
      <t xml:space="preserve">替代</t>
    </r>
  </si>
  <si>
    <r>
      <rPr>
        <sz val="11"/>
        <color theme="1"/>
        <rFont val="Noto Sans CJK SC"/>
        <family val="2"/>
      </rPr>
      <t xml:space="preserve">淨利率收斂目標：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與替代值的中點、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＝替代值（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延伸表）</t>
    </r>
  </si>
  <si>
    <t xml:space="preserve">cons_tp</t>
  </si>
  <si>
    <t xml:space="preserve">市場共識目標價（賣方平均）</t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</si>
  <si>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個股頁（</t>
    </r>
    <r>
      <rPr>
        <sz val="11"/>
        <color theme="1"/>
        <rFont val="Calibri"/>
        <family val="2"/>
        <charset val="1"/>
      </rPr>
      <t xml:space="preserve">S&amp;P Global </t>
    </r>
    <r>
      <rPr>
        <sz val="11"/>
        <color theme="1"/>
        <rFont val="Noto Sans CJK SC"/>
        <family val="2"/>
      </rPr>
      <t xml:space="preserve">彙整）</t>
    </r>
    <r>
      <rPr>
        <sz val="11"/>
        <color theme="1"/>
        <rFont val="Calibri"/>
        <family val="2"/>
        <charset val="1"/>
      </rPr>
      <t xml:space="preserve">18 </t>
    </r>
    <r>
      <rPr>
        <sz val="11"/>
        <color theme="1"/>
        <rFont val="Noto Sans CJK SC"/>
        <family val="2"/>
      </rPr>
      <t xml:space="preserve">位分析師平均目標價 </t>
    </r>
    <r>
      <rPr>
        <sz val="11"/>
        <color theme="1"/>
        <rFont val="Calibri"/>
        <family val="2"/>
        <charset val="1"/>
      </rPr>
      <t xml:space="preserve">12,432</t>
    </r>
    <r>
      <rPr>
        <sz val="11"/>
        <color theme="1"/>
        <rFont val="Noto Sans CJK SC"/>
        <family val="2"/>
      </rPr>
      <t xml:space="preserve">（頁面價格日期 </t>
    </r>
    <r>
      <rPr>
        <sz val="11"/>
        <color theme="1"/>
        <rFont val="Calibri"/>
        <family val="2"/>
        <charset val="1"/>
      </rPr>
      <t xml:space="preserve">2026-10-16</t>
    </r>
    <r>
      <rPr>
        <sz val="11"/>
        <color theme="1"/>
        <rFont val="Noto Sans CJK SC"/>
        <family val="2"/>
      </rPr>
      <t xml:space="preserve">；分割後）</t>
    </r>
  </si>
  <si>
    <t xml:space="preserve">cons_feps</t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</si>
  <si>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（＝價格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</si>
  <si>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個股頁 </t>
    </r>
    <r>
      <rPr>
        <sz val="11"/>
        <color theme="1"/>
        <rFont val="Calibri"/>
        <family val="2"/>
        <charset val="1"/>
      </rPr>
      <t xml:space="preserve">2026-10-16</t>
    </r>
    <r>
      <rPr>
        <sz val="11"/>
        <color theme="1"/>
        <rFont val="Noto Sans CJK SC"/>
        <family val="2"/>
      </rPr>
      <t xml:space="preserve">：價格 </t>
    </r>
    <r>
      <rPr>
        <sz val="11"/>
        <color theme="1"/>
        <rFont val="Calibri"/>
        <family val="2"/>
        <charset val="1"/>
      </rPr>
      <t xml:space="preserve">9,764 ÷ Forward PE 53.97</t>
    </r>
    <r>
      <rPr>
        <sz val="11"/>
        <color theme="1"/>
        <rFont val="Noto Sans CJK SC"/>
        <family val="2"/>
      </rPr>
      <t xml:space="preserve">（即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pe_fwd_sa</t>
    </r>
    <r>
      <rPr>
        <sz val="11"/>
        <color theme="1"/>
        <rFont val="Noto Sans CJK SC"/>
        <family val="2"/>
      </rPr>
      <t xml:space="preserve">）</t>
    </r>
  </si>
  <si>
    <t xml:space="preserve">賣方共識，只作對帳與差距拆解，不作校準</t>
  </si>
  <si>
    <r>
      <rPr>
        <sz val="11"/>
        <color theme="1"/>
        <rFont val="Calibri"/>
        <family val="2"/>
        <charset val="1"/>
      </rPr>
      <t xml:space="preserve">Q — FY2025 </t>
    </r>
    <r>
      <rPr>
        <sz val="11"/>
        <color theme="1"/>
        <rFont val="Noto Sans CJK SC"/>
        <family val="2"/>
      </rPr>
      <t xml:space="preserve">實績與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</t>
    </r>
    <r>
      <rPr>
        <sz val="11"/>
        <color theme="1"/>
        <rFont val="Calibri"/>
        <family val="2"/>
        <charset val="1"/>
      </rPr>
      <t xml:space="preserve">¥B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錨點＝公司 </t>
    </r>
    <r>
      <rPr>
        <sz val="11"/>
        <color theme="1"/>
        <rFont val="Calibri"/>
        <family val="2"/>
        <charset val="1"/>
      </rPr>
      <t xml:space="preserve">2026-08-04 </t>
    </r>
    <r>
      <rPr>
        <sz val="11"/>
        <color theme="1"/>
        <rFont val="Noto Sans CJK SC"/>
        <family val="2"/>
      </rPr>
      <t xml:space="preserve">上修後的全年預測（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公布時；分部門預測取自 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補足資料）。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決算（預計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月底或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月初）後更新</t>
    </r>
  </si>
  <si>
    <r>
      <rPr>
        <sz val="11"/>
        <color theme="1"/>
        <rFont val="Noto Sans CJK SC"/>
        <family val="2"/>
      </rPr>
      <t xml:space="preserve">公司未揭露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伺服器載板營收；本模型以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ai_e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）切分電子事業，並據此校準每顆有效金額與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載板營業利益率（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</si>
  <si>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t xml:space="preserve">FY2025A</t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</si>
  <si>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</t>
    </r>
  </si>
  <si>
    <t xml:space="preserve">年增</t>
  </si>
  <si>
    <t xml:space="preserve">說明</t>
  </si>
  <si>
    <t xml:space="preserve">營收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</si>
  <si>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</si>
  <si>
    <t xml:space="preserve">  電子事業</t>
  </si>
  <si>
    <t xml:space="preserve">  陶瓷事業</t>
  </si>
  <si>
    <t xml:space="preserve">  其他事業</t>
  </si>
  <si>
    <t xml:space="preserve">營業利益</t>
  </si>
  <si>
    <t xml:space="preserve">  調整（全公司 − 三事業）</t>
  </si>
  <si>
    <t xml:space="preserve">淨利（歸屬母公司）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</si>
  <si>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含政策持股出售利益（稅後約 </t>
    </r>
    <r>
      <rPr>
        <sz val="11"/>
        <color theme="1"/>
        <rFont val="Calibri"/>
        <family val="2"/>
        <charset val="1"/>
      </rPr>
      <t xml:space="preserve">345 </t>
    </r>
    <r>
      <rPr>
        <sz val="11"/>
        <color theme="1"/>
        <rFont val="Noto Sans CJK SC"/>
        <family val="2"/>
      </rPr>
      <t xml:space="preserve">億，</t>
    </r>
    <r>
      <rPr>
        <sz val="11"/>
        <color theme="1"/>
        <rFont val="Calibri"/>
        <family val="2"/>
        <charset val="1"/>
      </rPr>
      <t xml:space="preserve">Quartr </t>
    </r>
    <r>
      <rPr>
        <sz val="11"/>
        <color theme="1"/>
        <rFont val="Noto Sans CJK SC"/>
        <family val="2"/>
      </rPr>
      <t xml:space="preserve">摘要），淨利高於營業利益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</si>
  <si>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（分割後，日圓）</t>
    </r>
  </si>
  <si>
    <t xml:space="preserve">比率</t>
  </si>
  <si>
    <t xml:space="preserve">電子事業營益率</t>
  </si>
  <si>
    <t xml:space="preserve">營業利益率</t>
  </si>
  <si>
    <r>
      <rPr>
        <sz val="11"/>
        <color theme="1"/>
        <rFont val="Noto Sans CJK SC"/>
        <family val="2"/>
      </rPr>
      <t xml:space="preserve">電子事業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</si>
  <si>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毛利率（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預測未揭露）</t>
    </r>
  </si>
  <si>
    <r>
      <rPr>
        <sz val="11"/>
        <color theme="1"/>
        <rFont val="Noto Sans CJK SC"/>
        <family val="2"/>
      </rPr>
      <t xml:space="preserve">股數（十億股＝淨利 </t>
    </r>
    <r>
      <rPr>
        <sz val="11"/>
        <color theme="1"/>
        <rFont val="Calibri"/>
        <family val="2"/>
        <charset val="1"/>
      </rPr>
      <t xml:space="preserve">÷ EPS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</si>
  <si>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股數含政策持股出售前後變動，只作參考；預測期用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錨點股數</t>
    </r>
  </si>
  <si>
    <r>
      <rPr>
        <sz val="11"/>
        <color theme="1"/>
        <rFont val="Calibri"/>
        <family val="2"/>
        <charset val="1"/>
      </rPr>
      <t xml:space="preserve">Units — Ibiden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加速器載板的有效金額與份額（本專案權威，規則第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條）。顆數取自 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</si>
  <si>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CY2026</t>
    </r>
    <r>
      <rPr>
        <b val="true"/>
        <sz val="11"/>
        <rFont val="Noto Sans CJK SC"/>
        <family val="2"/>
      </rPr>
      <t xml:space="preserve">）</t>
    </r>
  </si>
  <si>
    <t xml:space="preserve">FY2027</t>
  </si>
  <si>
    <t xml:space="preserve">FY2028</t>
  </si>
  <si>
    <t xml:space="preserve">FY2029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</si>
  <si>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加速器顆數</t>
    </r>
  </si>
  <si>
    <t xml:space="preserve">markets/network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</si>
  <si>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加速器顆數</t>
    </r>
  </si>
  <si>
    <t xml:space="preserve">有效顆數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</si>
  <si>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×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w_ot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</si>
  <si>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加速器的 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營收（美元）</t>
    </r>
  </si>
  <si>
    <t xml:space="preserve">US$</t>
  </si>
  <si>
    <r>
      <rPr>
        <sz val="11"/>
        <color theme="1"/>
        <rFont val="Noto Sans CJK SC"/>
        <family val="2"/>
      </rPr>
      <t xml:space="preserve">＝份額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每顆載板金額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</si>
  <si>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載板金額（美元；假設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</si>
  <si>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70–80%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）；先驗比對推導 </t>
    </r>
    <r>
      <rPr>
        <sz val="11"/>
        <color theme="1"/>
        <rFont val="Calibri"/>
        <family val="2"/>
        <charset val="1"/>
      </rPr>
      <t xml:space="preserve">$150–300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</si>
  <si>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伺服器載板營收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</si>
  <si>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伺服器載板營收（美元）</t>
    </r>
  </si>
  <si>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匯率 </t>
    </r>
    <r>
      <rPr>
        <sz val="11"/>
        <color theme="1"/>
        <rFont val="Calibri"/>
        <family val="2"/>
        <charset val="1"/>
      </rPr>
      <t xml:space="preserve">152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</si>
  <si>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載板營收 </t>
    </r>
    <r>
      <rPr>
        <sz val="11"/>
        <color theme="1"/>
        <rFont val="Calibri"/>
        <family val="2"/>
        <charset val="1"/>
      </rPr>
      <t xml:space="preserve">÷ AI IT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</si>
  <si>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capex </t>
    </r>
    <r>
      <rPr>
        <sz val="11"/>
        <color theme="1"/>
        <rFont val="Noto Sans CJK SC"/>
        <family val="2"/>
      </rPr>
      <t xml:space="preserve">即每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</si>
  <si>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Ibiden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capex 37.59B</t>
    </r>
    <r>
      <rPr>
        <sz val="11"/>
        <color theme="1"/>
        <rFont val="Noto Sans CJK SC"/>
        <family val="2"/>
      </rPr>
      <t xml:space="preserve">）</t>
    </r>
  </si>
  <si>
    <t xml:space="preserve">US$M</t>
  </si>
  <si>
    <r>
      <rPr>
        <sz val="11"/>
        <color theme="1"/>
        <rFont val="Calibri"/>
        <family val="2"/>
        <charset val="1"/>
      </rPr>
      <t xml:space="preserve">Tokenomics IF_CapexIT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基準，經橋接表）</t>
    </r>
  </si>
  <si>
    <r>
      <rPr>
        <b val="true"/>
        <sz val="11"/>
        <rFont val="Noto Sans CJK SC"/>
        <family val="2"/>
      </rPr>
      <t xml:space="preserve">讀法：每顆 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加速器 </t>
    </r>
    <r>
      <rPr>
        <b val="true"/>
        <sz val="11"/>
        <rFont val="Cambria"/>
        <family val="0"/>
        <charset val="1"/>
      </rPr>
      <t xml:space="preserve">Ibiden </t>
    </r>
    <r>
      <rPr>
        <b val="true"/>
        <sz val="11"/>
        <rFont val="Noto Sans CJK SC"/>
        <family val="2"/>
      </rPr>
      <t xml:space="preserve">只分到約 </t>
    </r>
    <r>
      <rPr>
        <b val="true"/>
        <sz val="11"/>
        <rFont val="Cambria"/>
        <family val="0"/>
        <charset val="1"/>
      </rPr>
      <t xml:space="preserve">1–2 </t>
    </r>
    <r>
      <rPr>
        <b val="true"/>
        <sz val="11"/>
        <rFont val="Noto Sans CJK SC"/>
        <family val="2"/>
      </rPr>
      <t xml:space="preserve">百美元，每 </t>
    </r>
    <r>
      <rPr>
        <b val="true"/>
        <sz val="11"/>
        <rFont val="Cambria"/>
        <family val="0"/>
        <charset val="1"/>
      </rPr>
      <t xml:space="preserve">GW </t>
    </r>
    <r>
      <rPr>
        <b val="true"/>
        <sz val="11"/>
        <rFont val="Noto Sans CJK SC"/>
        <family val="2"/>
      </rPr>
      <t xml:space="preserve">約數千萬美元；瓶頸反映在利潤率（電子事業營益率）與倍數，不在營收規模。</t>
    </r>
  </si>
  <si>
    <r>
      <rPr>
        <sz val="11"/>
        <color theme="1"/>
        <rFont val="Calibri"/>
        <family val="2"/>
        <charset val="1"/>
      </rPr>
      <t xml:space="preserve">PL — Ibiden </t>
    </r>
    <r>
      <rPr>
        <sz val="11"/>
        <color theme="1"/>
        <rFont val="Noto Sans CJK SC"/>
        <family val="2"/>
      </rPr>
      <t xml:space="preserve">損益（</t>
    </r>
    <r>
      <rPr>
        <sz val="11"/>
        <color theme="1"/>
        <rFont val="Calibri"/>
        <family val="2"/>
        <charset val="1"/>
      </rPr>
      <t xml:space="preserve">¥B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日圓）。</t>
    </r>
    <r>
      <rPr>
        <sz val="11"/>
        <color theme="1"/>
        <rFont val="Calibri"/>
        <family val="2"/>
        <charset val="1"/>
      </rPr>
      <t xml:space="preserve">FY2025A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錨點（公司上修後預測），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起為模型。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t/4–(t+1)/3</t>
    </r>
    <r>
      <rPr>
        <sz val="11"/>
        <color theme="1"/>
        <rFont val="Noto Sans CJK SC"/>
        <family val="2"/>
      </rPr>
      <t xml:space="preserve">，對照 </t>
    </r>
    <r>
      <rPr>
        <sz val="11"/>
        <color theme="1"/>
        <rFont val="Calibri"/>
        <family val="2"/>
        <charset val="1"/>
      </rPr>
      <t xml:space="preserve">CY(t) </t>
    </r>
    <r>
      <rPr>
        <sz val="11"/>
        <color theme="1"/>
        <rFont val="Noto Sans CJK SC"/>
        <family val="2"/>
      </rPr>
      <t xml:space="preserve">顆數。三情境各一個完整推導區塊（本頁下方），頂端為摘要。</t>
    </r>
    <r>
      <rPr>
        <sz val="11"/>
        <color theme="1"/>
        <rFont val="Calibri"/>
        <family val="2"/>
        <charset val="1"/>
      </rPr>
      <t xml:space="preserve">FY2026–FY2027 </t>
    </r>
    <r>
      <rPr>
        <sz val="11"/>
        <color theme="1"/>
        <rFont val="Noto Sans CJK SC"/>
        <family val="2"/>
      </rPr>
      <t xml:space="preserve">三情境相同（顆數係數從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開始）</t>
    </r>
  </si>
  <si>
    <t xml:space="preserve">情境／項目</t>
  </si>
  <si>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（錨點）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</si>
  <si>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</si>
  <si>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t xml:space="preserve">  營收年增</t>
  </si>
  <si>
    <r>
      <rPr>
        <sz val="11"/>
        <color theme="1"/>
        <rFont val="Calibri"/>
        <family val="2"/>
        <charset val="1"/>
      </rPr>
      <t xml:space="preserve">  AI </t>
    </r>
    <r>
      <rPr>
        <sz val="11"/>
        <color theme="1"/>
        <rFont val="Noto Sans CJK SC"/>
        <family val="2"/>
      </rPr>
      <t xml:space="preserve">伺服器載板</t>
    </r>
  </si>
  <si>
    <t xml:space="preserve">淨利</t>
  </si>
  <si>
    <t xml:space="preserve">EPS</t>
  </si>
  <si>
    <r>
      <rPr>
        <sz val="11"/>
        <color theme="1"/>
        <rFont val="Calibri"/>
        <family val="2"/>
        <charset val="1"/>
      </rPr>
      <t xml:space="preserve">  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</si>
  <si>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</si>
  <si>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</si>
  <si>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核對（應為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模型 − 錨點（校準恆等式）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</si>
  <si>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：營收差（</t>
    </r>
    <r>
      <rPr>
        <sz val="11"/>
        <color theme="1"/>
        <rFont val="Calibri"/>
        <family val="2"/>
        <charset val="1"/>
      </rPr>
      <t xml:space="preserve">¥B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</si>
  <si>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：營業利益差（</t>
    </r>
    <r>
      <rPr>
        <sz val="11"/>
        <color theme="1"/>
        <rFont val="Calibri"/>
        <family val="2"/>
        <charset val="1"/>
      </rPr>
      <t xml:space="preserve">¥B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</si>
  <si>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差（日圓）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</si>
  <si>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：基準（顆數係數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</si>
  <si>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伺服器載板（</t>
    </r>
    <r>
      <rPr>
        <b val="true"/>
        <sz val="11"/>
        <rFont val="Cambria"/>
        <family val="0"/>
        <charset val="1"/>
      </rPr>
      <t xml:space="preserve">D </t>
    </r>
    <r>
      <rPr>
        <b val="true"/>
        <sz val="11"/>
        <rFont val="Noto Sans CJK SC"/>
        <family val="2"/>
      </rPr>
      <t xml:space="preserve">欄＝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校準年；</t>
    </r>
    <r>
      <rPr>
        <b val="true"/>
        <sz val="11"/>
        <rFont val="Cambria"/>
        <family val="0"/>
        <charset val="1"/>
      </rPr>
      <t xml:space="preserve">FY(t) </t>
    </r>
    <r>
      <rPr>
        <b val="true"/>
        <sz val="11"/>
        <rFont val="Noto Sans CJK SC"/>
        <family val="2"/>
      </rPr>
      <t xml:space="preserve">對照 </t>
    </r>
    <r>
      <rPr>
        <b val="true"/>
        <sz val="11"/>
        <rFont val="Cambria"/>
        <family val="0"/>
        <charset val="1"/>
      </rPr>
      <t xml:space="preserve">CY(t) </t>
    </r>
    <r>
      <rPr>
        <b val="true"/>
        <sz val="11"/>
        <rFont val="Noto Sans CJK SC"/>
        <family val="2"/>
      </rPr>
      <t xml:space="preserve">顆數）</t>
    </r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</si>
  <si>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情境係數</t>
    </r>
  </si>
  <si>
    <r>
      <rPr>
        <sz val="11"/>
        <color theme="1"/>
        <rFont val="Calibri"/>
        <family val="2"/>
        <charset val="1"/>
      </rPr>
      <t xml:space="preserve">markets/network In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Hopper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</si>
  <si>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情境係數</t>
    </r>
  </si>
  <si>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、其他 </t>
    </r>
    <r>
      <rPr>
        <sz val="11"/>
        <color theme="1"/>
        <rFont val="Calibri"/>
        <family val="2"/>
        <charset val="1"/>
      </rPr>
      <t xml:space="preserve">ASIC</t>
    </r>
  </si>
  <si>
    <r>
      <rPr>
        <sz val="11"/>
        <color theme="1"/>
        <rFont val="Noto Sans CJK SC"/>
        <family val="2"/>
      </rPr>
      <t xml:space="preserve">有效顆數 ＝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＋ 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</t>
    </r>
  </si>
  <si>
    <r>
      <rPr>
        <sz val="11"/>
        <color theme="1"/>
        <rFont val="Calibri"/>
        <family val="2"/>
        <charset val="1"/>
      </rPr>
      <t xml:space="preserve">FY2026 AI </t>
    </r>
    <r>
      <rPr>
        <sz val="11"/>
        <color theme="1"/>
        <rFont val="Noto Sans CJK SC"/>
        <family val="2"/>
      </rPr>
      <t xml:space="preserve">載板營收（錨點電子事業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占比）</t>
    </r>
  </si>
  <si>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切分；公司未揭露</t>
    </r>
  </si>
  <si>
    <r>
      <rPr>
        <sz val="11"/>
        <color theme="1"/>
        <rFont val="Noto Sans CJK SC"/>
        <family val="2"/>
      </rPr>
      <t xml:space="preserve">每顆有效金額（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載板金額；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</t>
    </r>
  </si>
  <si>
    <t xml:space="preserve">千日圓／顆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</si>
  <si>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¥B ÷ </t>
    </r>
    <r>
      <rPr>
        <sz val="11"/>
        <color theme="1"/>
        <rFont val="Noto Sans CJK SC"/>
        <family val="2"/>
      </rPr>
      <t xml:space="preserve">百萬顆＝千日圓／顆。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匯率即美元／顆（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</si>
  <si>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Noto Sans CJK SC"/>
        <family val="2"/>
      </rPr>
      <t xml:space="preserve">每顆載板金額指數（面積、層數；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</si>
  <si>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份額相對值（</t>
    </r>
    <r>
      <rPr>
        <sz val="11"/>
        <color theme="1"/>
        <rFont val="Calibri"/>
        <family val="2"/>
        <charset val="1"/>
      </rPr>
      <t xml:space="preserve">÷ FY2026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</si>
  <si>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短缺溢價指數（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</si>
  <si>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電子事業</t>
    </r>
  </si>
  <si>
    <r>
      <rPr>
        <sz val="11"/>
        <color theme="1"/>
        <rFont val="Noto Sans CJK SC"/>
        <family val="2"/>
      </rPr>
      <t xml:space="preserve">電子事業非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營收（通用伺服器、</t>
    </r>
    <r>
      <rPr>
        <sz val="11"/>
        <color theme="1"/>
        <rFont val="Calibri"/>
        <family val="2"/>
        <charset val="1"/>
      </rPr>
      <t xml:space="preserve">PC </t>
    </r>
    <r>
      <rPr>
        <sz val="11"/>
        <color theme="1"/>
        <rFont val="Noto Sans CJK SC"/>
        <family val="2"/>
      </rPr>
      <t xml:space="preserve">等）</t>
    </r>
  </si>
  <si>
    <t xml:space="preserve">電子事業營收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</si>
  <si>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載板營業利益率（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</si>
  <si>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：使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電子事業營業利益＝錨點；非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營益率為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m_ne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</si>
  <si>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載板營業利益率 ＝ </t>
    </r>
    <r>
      <rPr>
        <sz val="11"/>
        <color theme="1"/>
        <rFont val="Calibri"/>
        <family val="2"/>
        <charset val="1"/>
      </rPr>
      <t xml:space="preserve">1 −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校準值）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溢價指數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</si>
  <si>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：每單位成本不變，價格隨溢價指數升降，差額全部落在利潤</t>
    </r>
  </si>
  <si>
    <t xml:space="preserve">電子事業營業利益</t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</si>
  <si>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陶瓷、其他事業與全公司</t>
    </r>
  </si>
  <si>
    <t xml:space="preserve">陶瓷事業營收</t>
  </si>
  <si>
    <t xml:space="preserve">其他事業營收</t>
  </si>
  <si>
    <t xml:space="preserve">營收年增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</si>
  <si>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伺服器載板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</si>
  <si>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t xml:space="preserve">陶瓷＋其他事業營業利益＋調整</t>
  </si>
  <si>
    <t xml:space="preserve">股數（分割後）</t>
  </si>
  <si>
    <t xml:space="preserve">十億股</t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</si>
  <si>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（日圓）</t>
    </r>
  </si>
  <si>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</si>
  <si>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CY2029 ×0.85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</si>
  <si>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</si>
  <si>
    <r>
      <rPr>
        <b val="true"/>
        <sz val="11"/>
        <rFont val="Noto Sans CJK SC"/>
        <family val="2"/>
      </rPr>
      <t xml:space="preserve">延伸：三情境到 </t>
    </r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v0.2 </t>
    </r>
    <r>
      <rPr>
        <b val="true"/>
        <sz val="11"/>
        <rFont val="Noto Sans CJK SC"/>
        <family val="2"/>
      </rPr>
      <t xml:space="preserve">新增）。</t>
    </r>
    <r>
      <rPr>
        <b val="true"/>
        <sz val="11"/>
        <rFont val="Cambria"/>
        <family val="0"/>
        <charset val="1"/>
      </rPr>
      <t xml:space="preserve">FY2025–FY2029 </t>
    </r>
    <r>
      <rPr>
        <b val="true"/>
        <sz val="11"/>
        <rFont val="Noto Sans CJK SC"/>
        <family val="2"/>
      </rPr>
      <t xml:space="preserve">引用上方推導區塊；</t>
    </r>
    <r>
      <rPr>
        <b val="true"/>
        <sz val="11"/>
        <rFont val="Cambria"/>
        <family val="0"/>
        <charset val="1"/>
      </rPr>
      <t xml:space="preserve">FY2030 </t>
    </r>
    <r>
      <rPr>
        <b val="true"/>
        <sz val="11"/>
        <rFont val="Noto Sans CJK SC"/>
        <family val="2"/>
      </rPr>
      <t xml:space="preserve">起為收斂法（灰底），非驅動因子推導：營收年增由 </t>
    </r>
    <r>
      <rPr>
        <b val="true"/>
        <sz val="11"/>
        <rFont val="Cambria"/>
        <family val="0"/>
        <charset val="1"/>
      </rPr>
      <t xml:space="preserve">FY2029 </t>
    </r>
    <r>
      <rPr>
        <b val="true"/>
        <sz val="11"/>
        <rFont val="Noto Sans CJK SC"/>
        <family val="2"/>
      </rPr>
      <t xml:space="preserve">線性收斂到 </t>
    </r>
    <r>
      <rPr>
        <b val="true"/>
        <sz val="11"/>
        <rFont val="Cambria"/>
        <family val="0"/>
        <charset val="1"/>
      </rPr>
      <t xml:space="preserve">fade_g</t>
    </r>
    <r>
      <rPr>
        <b val="true"/>
        <sz val="11"/>
        <rFont val="Noto Sans CJK SC"/>
        <family val="2"/>
      </rPr>
      <t xml:space="preserve">、淨利率由 </t>
    </r>
    <r>
      <rPr>
        <b val="true"/>
        <sz val="11"/>
        <rFont val="Cambria"/>
        <family val="0"/>
        <charset val="1"/>
      </rPr>
      <t xml:space="preserve">FY2029 </t>
    </r>
    <r>
      <rPr>
        <b val="true"/>
        <sz val="11"/>
        <rFont val="Noto Sans CJK SC"/>
        <family val="2"/>
      </rPr>
      <t xml:space="preserve">線性收斂到收斂目標，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達到</t>
    </r>
  </si>
  <si>
    <r>
      <rPr>
        <b val="true"/>
        <sz val="11"/>
        <rFont val="Noto Sans CJK SC"/>
        <family val="2"/>
      </rPr>
      <t xml:space="preserve">延伸｜情境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：基準（顆數係數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</si>
  <si>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FY2030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</si>
  <si>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FY2031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</si>
  <si>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（收斂）</t>
    </r>
  </si>
  <si>
    <t xml:space="preserve">營收（延伸）</t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</si>
  <si>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起為收斂法，非驅動因子推導（上游市場層只到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）</t>
    </r>
  </si>
  <si>
    <t xml:space="preserve">淨利（延伸）</t>
  </si>
  <si>
    <t xml:space="preserve">  淨利率</t>
  </si>
  <si>
    <t xml:space="preserve">股數（延伸）</t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</si>
  <si>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起股數年變動＝</t>
    </r>
    <r>
      <rPr>
        <sz val="11"/>
        <color theme="1"/>
        <rFont val="Calibri"/>
        <family val="2"/>
        <charset val="1"/>
      </rPr>
      <t xml:space="preserve">sh_g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</si>
  <si>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（延伸）</t>
    </r>
  </si>
  <si>
    <r>
      <rPr>
        <sz val="11"/>
        <color theme="1"/>
        <rFont val="Noto Sans CJK SC"/>
        <family val="2"/>
      </rPr>
      <t xml:space="preserve">收斂目標：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</si>
  <si>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fade_gA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</si>
  <si>
    <r>
      <rPr>
        <sz val="11"/>
        <color theme="1"/>
        <rFont val="Noto Sans CJK SC"/>
        <family val="2"/>
      </rPr>
      <t xml:space="preserve">收斂目標：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</t>
    </r>
  </si>
  <si>
    <r>
      <rPr>
        <sz val="11"/>
        <color theme="1"/>
        <rFont val="Noto Sans CJK SC"/>
        <family val="2"/>
      </rPr>
      <t xml:space="preserve">＝本情境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淨利率</t>
    </r>
  </si>
  <si>
    <r>
      <rPr>
        <b val="true"/>
        <sz val="11"/>
        <rFont val="Noto Sans CJK SC"/>
        <family val="2"/>
      </rPr>
      <t xml:space="preserve">延伸｜情境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CY2029 ×0.85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</si>
  <si>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fade_gB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</si>
  <si>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淨利率與十年平均替代值（</t>
    </r>
    <r>
      <rPr>
        <sz val="11"/>
        <color theme="1"/>
        <rFont val="Calibri"/>
        <family val="2"/>
        <charset val="1"/>
      </rPr>
      <t xml:space="preserve">FY2029 × nim10_f</t>
    </r>
    <r>
      <rPr>
        <sz val="11"/>
        <color theme="1"/>
        <rFont val="Noto Sans CJK SC"/>
        <family val="2"/>
      </rPr>
      <t xml:space="preserve">）的中點</t>
    </r>
  </si>
  <si>
    <r>
      <rPr>
        <b val="true"/>
        <sz val="11"/>
        <rFont val="Noto Sans CJK SC"/>
        <family val="2"/>
      </rPr>
      <t xml:space="preserve">延伸｜情境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</si>
  <si>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fade_gC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tp_g−2pt</t>
    </r>
  </si>
  <si>
    <r>
      <rPr>
        <sz val="11"/>
        <color theme="1"/>
        <rFont val="Noto Sans CJK SC"/>
        <family val="2"/>
      </rPr>
      <t xml:space="preserve">＝十年平均替代值（</t>
    </r>
    <r>
      <rPr>
        <sz val="11"/>
        <color theme="1"/>
        <rFont val="Calibri"/>
        <family val="2"/>
        <charset val="1"/>
      </rPr>
      <t xml:space="preserve">FY2029 × nim10_f</t>
    </r>
    <r>
      <rPr>
        <sz val="11"/>
        <color theme="1"/>
        <rFont val="Noto Sans CJK SC"/>
        <family val="2"/>
      </rPr>
      <t xml:space="preserve">；十年平均未找到）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</si>
  <si>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估值（日圓）。結論用「現價 </t>
    </r>
    <r>
      <rPr>
        <sz val="11"/>
        <color theme="1"/>
        <rFont val="Calibri"/>
        <family val="2"/>
        <charset val="1"/>
      </rPr>
      <t xml:space="preserve">÷ FY2026–FY2028 EPS</t>
    </r>
    <r>
      <rPr>
        <sz val="11"/>
        <color theme="1"/>
        <rFont val="Noto Sans CJK SC"/>
        <family val="2"/>
      </rPr>
      <t xml:space="preserve">（模型）」與 </t>
    </r>
    <r>
      <rPr>
        <sz val="11"/>
        <color theme="1"/>
        <rFont val="Calibri"/>
        <family val="2"/>
        <charset val="1"/>
      </rPr>
      <t xml:space="preserve">what must be true</t>
    </r>
    <r>
      <rPr>
        <sz val="11"/>
        <color theme="1"/>
        <rFont val="Noto Sans CJK SC"/>
        <family val="2"/>
      </rPr>
      <t xml:space="preserve">。十年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規則值待 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10-27 </t>
    </r>
    <r>
      <rPr>
        <sz val="11"/>
        <color theme="1"/>
        <rFont val="Noto Sans CJK SC"/>
        <family val="2"/>
      </rPr>
      <t xml:space="preserve">抓取單加 </t>
    </r>
    <r>
      <rPr>
        <sz val="11"/>
        <color theme="1"/>
        <rFont val="Calibri"/>
        <family val="2"/>
        <charset val="1"/>
      </rPr>
      <t xml:space="preserve">4062</t>
    </r>
    <r>
      <rPr>
        <sz val="11"/>
        <color theme="1"/>
        <rFont val="Noto Sans CJK SC"/>
        <family val="2"/>
      </rPr>
      <t xml:space="preserve">）：公開資料商的 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本版未取得，規則值本版不計</t>
    </r>
  </si>
  <si>
    <r>
      <rPr>
        <sz val="11"/>
        <color theme="1"/>
        <rFont val="Noto Sans CJK SC"/>
        <family val="2"/>
      </rPr>
      <t xml:space="preserve">循環位置：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不套設備股見頂年；以本模型營收最高的會計年度為見頂年（比照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Arista</t>
    </r>
    <r>
      <rPr>
        <sz val="11"/>
        <color theme="1"/>
        <rFont val="Noto Sans CJK SC"/>
        <family val="2"/>
      </rPr>
      <t xml:space="preserve">）。營收到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仍在增加時，見頂年未知，判為中段</t>
    </r>
  </si>
  <si>
    <r>
      <rPr>
        <sz val="11"/>
        <color theme="1"/>
        <rFont val="Noto Sans CJK SC"/>
        <family val="2"/>
      </rPr>
      <t xml:space="preserve">目標價：見第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節（本頁第 </t>
    </r>
    <r>
      <rPr>
        <sz val="11"/>
        <color theme="1"/>
        <rFont val="Calibri"/>
        <family val="2"/>
        <charset val="1"/>
      </rPr>
      <t xml:space="preserve">61 </t>
    </r>
    <r>
      <rPr>
        <sz val="11"/>
        <color theme="1"/>
        <rFont val="Noto Sans CJK SC"/>
        <family val="2"/>
      </rPr>
      <t xml:space="preserve">列；</t>
    </r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新增，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加權）。第 </t>
    </r>
    <r>
      <rPr>
        <sz val="11"/>
        <color theme="1"/>
        <rFont val="Calibri"/>
        <family val="2"/>
        <charset val="1"/>
      </rPr>
      <t xml:space="preserve">36 </t>
    </r>
    <r>
      <rPr>
        <sz val="11"/>
        <color theme="1"/>
        <rFont val="Noto Sans CJK SC"/>
        <family val="2"/>
      </rPr>
      <t xml:space="preserve">列「舊法：規則值情境加權（參考）」不再是目標價，只作參考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</si>
  <si>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價格與市場隱含倍數</t>
    </r>
  </si>
  <si>
    <t xml:space="preserve">A</t>
  </si>
  <si>
    <t xml:space="preserve">B</t>
  </si>
  <si>
    <t xml:space="preserve">C</t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</si>
  <si>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收盤，分割後）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</si>
  <si>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FY2026 EPS</t>
    </r>
    <r>
      <rPr>
        <sz val="11"/>
        <color theme="1"/>
        <rFont val="Noto Sans CJK SC"/>
        <family val="2"/>
      </rPr>
      <t xml:space="preserve">（錨點）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</si>
  <si>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</si>
  <si>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三情境相同（顆數係數從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</si>
  <si>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</si>
  <si>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FY2029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</si>
  <si>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口徑：未來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</t>
    </r>
  </si>
  <si>
    <r>
      <rPr>
        <sz val="11"/>
        <color theme="1"/>
        <rFont val="Noto Sans CJK SC"/>
        <family val="2"/>
      </rPr>
      <t xml:space="preserve">  隱含未來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＝ 取得時價格（</t>
    </r>
    <r>
      <rPr>
        <sz val="11"/>
        <color theme="1"/>
        <rFont val="Calibri"/>
        <family val="2"/>
        <charset val="1"/>
      </rPr>
      <t xml:space="preserve">10-16 9,764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</si>
  <si>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</si>
  <si>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循環位置（本模型營收最高年）</t>
    </r>
  </si>
  <si>
    <t xml:space="preserve">情境</t>
  </si>
  <si>
    <r>
      <rPr>
        <b val="true"/>
        <sz val="11"/>
        <rFont val="Noto Sans CJK SC"/>
        <family val="2"/>
      </rPr>
      <t xml:space="preserve">營收最高年（</t>
    </r>
    <r>
      <rPr>
        <b val="true"/>
        <sz val="11"/>
        <rFont val="Cambria"/>
        <family val="0"/>
        <charset val="1"/>
      </rPr>
      <t xml:space="preserve">FY2026–FY2029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</si>
  <si>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判定</t>
    </r>
  </si>
  <si>
    <t xml:space="preserve">見頂年是否未知</t>
  </si>
  <si>
    <r>
      <rPr>
        <sz val="11"/>
        <color theme="1"/>
        <rFont val="Calibri"/>
        <family val="2"/>
        <charset val="1"/>
      </rPr>
      <t xml:space="preserve">tools/cycle_position.py excel_rule</t>
    </r>
    <r>
      <rPr>
        <sz val="11"/>
        <color theme="1"/>
        <rFont val="Noto Sans CJK SC"/>
        <family val="2"/>
      </rPr>
      <t xml:space="preserve">；營收最高年取代設備市場見頂年；對應倍數待十年 </t>
    </r>
    <r>
      <rPr>
        <sz val="11"/>
        <color theme="1"/>
        <rFont val="Calibri"/>
        <family val="2"/>
        <charset val="1"/>
      </rPr>
      <t xml:space="preserve">P/E</t>
    </r>
  </si>
  <si>
    <r>
      <rPr>
        <b val="true"/>
        <sz val="11"/>
        <rFont val="Cambria"/>
        <family val="0"/>
        <charset val="1"/>
      </rPr>
      <t xml:space="preserve">3. What must be true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＝ 現價 </t>
    </r>
    <r>
      <rPr>
        <b val="true"/>
        <sz val="11"/>
        <rFont val="Cambria"/>
        <family val="0"/>
        <charset val="1"/>
      </rPr>
      <t xml:space="preserve">×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＋報酬）所需的倍數（看 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</si>
  <si>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現價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</si>
  <si>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</si>
  <si>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</si>
  <si>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</si>
  <si>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對照：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合理 </t>
    </r>
    <r>
      <rPr>
        <b val="true"/>
        <sz val="11"/>
        <rFont val="Cambria"/>
        <family val="0"/>
        <charset val="1"/>
      </rPr>
      <t xml:space="preserve">P/E</t>
    </r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</si>
  <si>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1.00</t>
    </r>
    <r>
      <rPr>
        <sz val="11"/>
        <color theme="1"/>
        <rFont val="Noto Sans CJK SC"/>
        <family val="2"/>
      </rPr>
      <t xml:space="preserve">＝價格不變、</t>
    </r>
    <r>
      <rPr>
        <sz val="11"/>
        <color theme="1"/>
        <rFont val="Calibri"/>
        <family val="2"/>
        <charset val="1"/>
      </rPr>
      <t xml:space="preserve">1.21</t>
    </r>
    <r>
      <rPr>
        <sz val="11"/>
        <color theme="1"/>
        <rFont val="Noto Sans CJK SC"/>
        <family val="2"/>
      </rPr>
      <t xml:space="preserve">＝一年約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。所需倍數愈高，現價愈依賴「短缺溢價延續到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年以後」。</t>
    </r>
  </si>
  <si>
    <r>
      <rPr>
        <b val="true"/>
        <sz val="11"/>
        <rFont val="Cambria"/>
        <family val="0"/>
        <charset val="1"/>
      </rPr>
      <t xml:space="preserve">4. </t>
    </r>
    <r>
      <rPr>
        <b val="true"/>
        <sz val="11"/>
        <rFont val="Noto Sans CJK SC"/>
        <family val="2"/>
      </rPr>
      <t xml:space="preserve">對照：以 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合理 </t>
    </r>
    <r>
      <rPr>
        <b val="true"/>
        <sz val="11"/>
        <rFont val="Cambria"/>
        <family val="0"/>
        <charset val="1"/>
      </rPr>
      <t xml:space="preserve">P/E 25x </t>
    </r>
    <r>
      <rPr>
        <b val="true"/>
        <sz val="11"/>
        <rFont val="Noto Sans CJK SC"/>
        <family val="2"/>
      </rPr>
      <t xml:space="preserve">計算的隱含價（只作對照，非規則值）</t>
    </r>
  </si>
  <si>
    <t xml:space="preserve">FY2027 EPS</t>
  </si>
  <si>
    <t xml:space="preserve">× 25x</t>
  </si>
  <si>
    <t xml:space="preserve">相對現價</t>
  </si>
  <si>
    <t xml:space="preserve">FY2028 EPS</t>
  </si>
  <si>
    <r>
      <rPr>
        <b val="true"/>
        <sz val="11"/>
        <rFont val="Noto Sans CJK SC"/>
        <family val="2"/>
      </rPr>
      <t xml:space="preserve">舊法：規則值情境加權（參考；</t>
    </r>
    <r>
      <rPr>
        <b val="true"/>
        <sz val="11"/>
        <rFont val="Cambria"/>
        <family val="0"/>
        <charset val="1"/>
      </rPr>
      <t xml:space="preserve">v0.1.1 </t>
    </r>
    <r>
      <rPr>
        <b val="true"/>
        <sz val="11"/>
        <rFont val="Noto Sans CJK SC"/>
        <family val="2"/>
      </rPr>
      <t xml:space="preserve">的「</t>
    </r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目標價與上檔空間」改名，不再是目標價）</t>
    </r>
  </si>
  <si>
    <t xml:space="preserve">數值</t>
  </si>
  <si>
    <t xml:space="preserve">舊法隱含價（情境加權，參考）</t>
  </si>
  <si>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各情境隱含價</t>
    </r>
  </si>
  <si>
    <r>
      <rPr>
        <sz val="11"/>
        <color theme="1"/>
        <rFont val="Noto Sans CJK SC"/>
        <family val="2"/>
      </rPr>
      <t xml:space="preserve">舊法隱含價相對現價（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現價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</si>
  <si>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收盤，分割後）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</si>
  <si>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隱含價（樂觀）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</si>
  <si>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中位數（第 </t>
    </r>
    <r>
      <rPr>
        <sz val="11"/>
        <color theme="1"/>
        <rFont val="Calibri"/>
        <family val="2"/>
        <charset val="1"/>
      </rPr>
      <t xml:space="preserve">0a </t>
    </r>
    <r>
      <rPr>
        <sz val="11"/>
        <color theme="1"/>
        <rFont val="Noto Sans CJK SC"/>
        <family val="2"/>
      </rPr>
      <t xml:space="preserve">節）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</si>
  <si>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隱含價（基準）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</si>
  <si>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中位數（第 </t>
    </r>
    <r>
      <rPr>
        <sz val="11"/>
        <color theme="1"/>
        <rFont val="Calibri"/>
        <family val="2"/>
        <charset val="1"/>
      </rPr>
      <t xml:space="preserve">0a </t>
    </r>
    <r>
      <rPr>
        <sz val="11"/>
        <color theme="1"/>
        <rFont val="Noto Sans CJK SC"/>
        <family val="2"/>
      </rPr>
      <t xml:space="preserve">節）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</si>
  <si>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隱含價（下檔）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</si>
  <si>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中位數（第 </t>
    </r>
    <r>
      <rPr>
        <sz val="11"/>
        <color theme="1"/>
        <rFont val="Calibri"/>
        <family val="2"/>
        <charset val="1"/>
      </rPr>
      <t xml:space="preserve">0a </t>
    </r>
    <r>
      <rPr>
        <sz val="11"/>
        <color theme="1"/>
        <rFont val="Noto Sans CJK SC"/>
        <family val="2"/>
      </rPr>
      <t xml:space="preserve">節）</t>
    </r>
  </si>
  <si>
    <r>
      <rPr>
        <sz val="11"/>
        <color theme="1"/>
        <rFont val="Noto Sans CJK SC"/>
        <family val="2"/>
      </rPr>
      <t xml:space="preserve">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</si>
  <si>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t xml:space="preserve">舊法說明</t>
  </si>
  <si>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：十年（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日曆年年底）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中位數（</t>
    </r>
    <r>
      <rPr>
        <sz val="11"/>
        <color theme="1"/>
        <rFont val="Calibri"/>
        <family val="2"/>
        <charset val="1"/>
      </rPr>
      <t xml:space="preserve">companiesmarketcap </t>
    </r>
    <r>
      <rPr>
        <sz val="11"/>
        <color theme="1"/>
        <rFont val="Noto Sans CJK SC"/>
        <family val="2"/>
      </rPr>
      <t xml:space="preserve">單一來源，第 </t>
    </r>
    <r>
      <rPr>
        <sz val="11"/>
        <color theme="1"/>
        <rFont val="Calibri"/>
        <family val="2"/>
        <charset val="1"/>
      </rPr>
      <t xml:space="preserve">0a </t>
    </r>
    <r>
      <rPr>
        <sz val="11"/>
        <color theme="1"/>
        <rFont val="Noto Sans CJK SC"/>
        <family val="2"/>
      </rPr>
      <t xml:space="preserve">節；</t>
    </r>
    <r>
      <rPr>
        <sz val="11"/>
        <color theme="1"/>
        <rFont val="Calibri"/>
        <family val="2"/>
        <charset val="1"/>
      </rPr>
      <t xml:space="preserve">2017 </t>
    </r>
    <r>
      <rPr>
        <sz val="11"/>
        <color theme="1"/>
        <rFont val="Noto Sans CJK SC"/>
        <family val="2"/>
      </rPr>
      <t xml:space="preserve">年虧損不計，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年）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2027-04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2028-03</t>
    </r>
    <r>
      <rPr>
        <sz val="11"/>
        <color theme="1"/>
        <rFont val="Noto Sans CJK SC"/>
        <family val="2"/>
      </rPr>
      <t xml:space="preserve">）。本模型無規則值（十年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待 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），依工作單改用此備案；倍數為日曆年年底口徑，與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月制會計年度不完全對齊。十年倍數多為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載板需求前的時期（</t>
    </r>
    <r>
      <rPr>
        <sz val="11"/>
        <color theme="1"/>
        <rFont val="Calibri"/>
        <family val="2"/>
        <charset val="1"/>
      </rPr>
      <t xml:space="preserve">2019 </t>
    </r>
    <r>
      <rPr>
        <sz val="11"/>
        <color theme="1"/>
        <rFont val="Noto Sans CJK SC"/>
        <family val="2"/>
      </rPr>
      <t xml:space="preserve">年獲利低谷約 </t>
    </r>
    <r>
      <rPr>
        <sz val="11"/>
        <color theme="1"/>
        <rFont val="Calibri"/>
        <family val="2"/>
        <charset val="1"/>
      </rPr>
      <t xml:space="preserve">137x </t>
    </r>
    <r>
      <rPr>
        <sz val="11"/>
        <color theme="1"/>
        <rFont val="Noto Sans CJK SC"/>
        <family val="2"/>
      </rPr>
      <t xml:space="preserve">為極值，中位數受影響小），偏誤方向不明確；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相同（情境差從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起），故三情境隱含價相同；隱含價約為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年底（</t>
    </r>
    <r>
      <rPr>
        <sz val="11"/>
        <color theme="1"/>
        <rFont val="Calibri"/>
        <family val="2"/>
        <charset val="1"/>
      </rPr>
      <t xml:space="preserve">2028-03</t>
    </r>
    <r>
      <rPr>
        <sz val="11"/>
        <color theme="1"/>
        <rFont val="Noto Sans CJK SC"/>
        <family val="2"/>
      </rPr>
      <t xml:space="preserve">）的價格、未折現，當作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個月目標價時偏高。</t>
    </r>
  </si>
  <si>
    <r>
      <rPr>
        <b val="true"/>
        <sz val="11"/>
        <rFont val="Cambria"/>
        <family val="0"/>
        <charset val="1"/>
      </rPr>
      <t xml:space="preserve">0a. </t>
    </r>
    <r>
      <rPr>
        <b val="true"/>
        <sz val="11"/>
        <rFont val="Noto Sans CJK SC"/>
        <family val="2"/>
      </rPr>
      <t xml:space="preserve">十年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（舊法用；</t>
    </r>
    <r>
      <rPr>
        <b val="true"/>
        <sz val="11"/>
        <rFont val="Cambria"/>
        <family val="0"/>
        <charset val="1"/>
      </rPr>
      <t xml:space="preserve">companiesmarketcap </t>
    </r>
    <r>
      <rPr>
        <b val="true"/>
        <sz val="11"/>
        <rFont val="Noto Sans CJK SC"/>
        <family val="2"/>
      </rPr>
      <t xml:space="preserve">日曆年年底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Interested-party</t>
    </r>
    <r>
      <rPr>
        <b val="true"/>
        <sz val="11"/>
        <rFont val="Noto Sans CJK SC"/>
        <family val="2"/>
      </rPr>
      <t xml:space="preserve">，資料商；第二來源：未找到）</t>
    </r>
  </si>
  <si>
    <t xml:space="preserve">年底</t>
  </si>
  <si>
    <t xml:space="preserve">P/E</t>
  </si>
  <si>
    <t xml:space="preserve">計入中位數</t>
  </si>
  <si>
    <t xml:space="preserve">2016</t>
  </si>
  <si>
    <t xml:space="preserve">是</t>
  </si>
  <si>
    <r>
      <rPr>
        <sz val="11"/>
        <color theme="1"/>
        <rFont val="Calibri"/>
        <family val="2"/>
        <charset val="1"/>
      </rPr>
      <t xml:space="preserve">https://companiesmarketcap.com/ibiden/pe-ratio/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讀取）</t>
    </r>
  </si>
  <si>
    <t xml:space="preserve">2017</t>
  </si>
  <si>
    <t xml:space="preserve">否</t>
  </si>
  <si>
    <r>
      <rPr>
        <sz val="11"/>
        <color theme="1"/>
        <rFont val="Noto Sans CJK SC"/>
        <family val="2"/>
      </rPr>
      <t xml:space="preserve">虧損年，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為負，不計</t>
    </r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</si>
  <si>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</si>
  <si>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</si>
  <si>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</si>
  <si>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</si>
  <si>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</si>
  <si>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</si>
  <si>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</si>
  <si>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</si>
  <si>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中位數（計入者）</t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</si>
  <si>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目標價（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加權；</t>
    </r>
    <r>
      <rPr>
        <b val="true"/>
        <sz val="11"/>
        <rFont val="Cambria"/>
        <family val="0"/>
        <charset val="1"/>
      </rPr>
      <t xml:space="preserve">v0.2 </t>
    </r>
    <r>
      <rPr>
        <b val="true"/>
        <sz val="11"/>
        <rFont val="Noto Sans CJK SC"/>
        <family val="2"/>
      </rPr>
      <t xml:space="preserve">新增，放在本頁既有內容之後以免位移既有儲存格；三情境欄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D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順利／</t>
    </r>
    <r>
      <rPr>
        <b val="true"/>
        <sz val="11"/>
        <rFont val="Cambria"/>
        <family val="0"/>
        <charset val="1"/>
      </rPr>
      <t xml:space="preserve">B </t>
    </r>
    <r>
      <rPr>
        <b val="true"/>
        <sz val="11"/>
        <rFont val="Noto Sans CJK SC"/>
        <family val="2"/>
      </rPr>
      <t xml:space="preserve">平平／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不如預期）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</si>
  <si>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</si>
  <si>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</si>
  <si>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</si>
  <si>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</si>
  <si>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</si>
  <si>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頁延伸表；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</si>
  <si>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</si>
  <si>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</si>
  <si>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</si>
  <si>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</si>
  <si>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</si>
  <si>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</si>
  <si>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</si>
  <si>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再投資率（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</si>
  <si>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</si>
  <si>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</si>
  <si>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明確期現金流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r)^t </t>
    </r>
    <r>
      <rPr>
        <sz val="11"/>
        <color theme="1"/>
        <rFont val="Noto Sans CJK SC"/>
        <family val="2"/>
      </rPr>
      <t xml:space="preserve">＋ 永續價值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r)^6</t>
    </r>
    <r>
      <rPr>
        <sz val="11"/>
        <color theme="1"/>
        <rFont val="Noto Sans CJK SC"/>
        <family val="2"/>
      </rPr>
      <t xml:space="preserve">；永續價值＝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g)÷(r−g)</t>
    </r>
    <r>
      <rPr>
        <sz val="11"/>
        <color theme="1"/>
        <rFont val="Noto Sans CJK SC"/>
        <family val="2"/>
      </rPr>
      <t xml:space="preserve">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年底，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</si>
  <si>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Calibri"/>
        <family val="2"/>
        <charset val="1"/>
      </rPr>
      <t xml:space="preserve">  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</si>
  <si>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</si>
  <si>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tp_wA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wB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wC 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；權重見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</si>
  <si>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</si>
  <si>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</si>
  <si>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</si>
  <si>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P/E</t>
    </r>
  </si>
  <si>
    <t xml:space="preserve">日期</t>
  </si>
  <si>
    <t xml:space="preserve">來源</t>
  </si>
  <si>
    <r>
      <rPr>
        <sz val="11"/>
        <color theme="1"/>
        <rFont val="Noto Sans CJK SC"/>
        <family val="2"/>
      </rPr>
      <t xml:space="preserve">欣興（</t>
    </r>
    <r>
      <rPr>
        <sz val="11"/>
        <color theme="1"/>
        <rFont val="Calibri"/>
        <family val="2"/>
        <charset val="1"/>
      </rPr>
      <t xml:space="preserve">Unimicron</t>
    </r>
    <r>
      <rPr>
        <sz val="11"/>
        <color theme="1"/>
        <rFont val="Noto Sans CJK SC"/>
        <family val="2"/>
      </rPr>
      <t xml:space="preserve">）</t>
    </r>
  </si>
  <si>
    <t xml:space="preserve">3037.TW</t>
  </si>
  <si>
    <t xml:space="preserve">2026-10-22</t>
  </si>
  <si>
    <r>
      <rPr>
        <sz val="11"/>
        <color theme="1"/>
        <rFont val="Calibri"/>
        <family val="2"/>
        <charset val="1"/>
      </rPr>
      <t xml:space="preserve">stockanalysis.com </t>
    </r>
    <r>
      <rPr>
        <sz val="11"/>
        <color theme="1"/>
        <rFont val="Noto Sans CJK SC"/>
        <family val="2"/>
      </rPr>
      <t xml:space="preserve">個股頁 </t>
    </r>
    <r>
      <rPr>
        <sz val="11"/>
        <color theme="1"/>
        <rFont val="Calibri"/>
        <family val="2"/>
        <charset val="1"/>
      </rPr>
      <t xml:space="preserve">Forward PE</t>
    </r>
    <r>
      <rPr>
        <sz val="11"/>
        <color theme="1"/>
        <rFont val="Noto Sans CJK SC"/>
        <family val="2"/>
      </rPr>
      <t xml:space="preserve">（分析師共識；價格日期如左）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</si>
  <si>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（賣方共識）</t>
    </r>
  </si>
  <si>
    <r>
      <rPr>
        <sz val="11"/>
        <color theme="1"/>
        <rFont val="Noto Sans CJK SC"/>
        <family val="2"/>
      </rPr>
      <t xml:space="preserve">南電（</t>
    </r>
    <r>
      <rPr>
        <sz val="11"/>
        <color theme="1"/>
        <rFont val="Calibri"/>
        <family val="2"/>
        <charset val="1"/>
      </rPr>
      <t xml:space="preserve">Nan Ya PCB</t>
    </r>
    <r>
      <rPr>
        <sz val="11"/>
        <color theme="1"/>
        <rFont val="Noto Sans CJK SC"/>
        <family val="2"/>
      </rPr>
      <t xml:space="preserve">）</t>
    </r>
  </si>
  <si>
    <t xml:space="preserve">8046.TW</t>
  </si>
  <si>
    <t xml:space="preserve">2026-09-07</t>
  </si>
  <si>
    <r>
      <rPr>
        <sz val="11"/>
        <color theme="1"/>
        <rFont val="Noto Sans CJK SC"/>
        <family val="2"/>
      </rPr>
      <t xml:space="preserve">景碩（</t>
    </r>
    <r>
      <rPr>
        <sz val="11"/>
        <color theme="1"/>
        <rFont val="Calibri"/>
        <family val="2"/>
        <charset val="1"/>
      </rPr>
      <t xml:space="preserve">Kinsus</t>
    </r>
    <r>
      <rPr>
        <sz val="11"/>
        <color theme="1"/>
        <rFont val="Noto Sans CJK SC"/>
        <family val="2"/>
      </rPr>
      <t xml:space="preserve">）</t>
    </r>
  </si>
  <si>
    <t xml:space="preserve">3189.TW</t>
  </si>
  <si>
    <r>
      <rPr>
        <sz val="11"/>
        <color theme="1"/>
        <rFont val="Noto Sans CJK SC"/>
        <family val="2"/>
      </rPr>
      <t xml:space="preserve">三星電機（</t>
    </r>
    <r>
      <rPr>
        <sz val="11"/>
        <color theme="1"/>
        <rFont val="Calibri"/>
        <family val="2"/>
        <charset val="1"/>
      </rPr>
      <t xml:space="preserve">Samsung Electro-Mechanics</t>
    </r>
    <r>
      <rPr>
        <sz val="11"/>
        <color theme="1"/>
        <rFont val="Noto Sans CJK SC"/>
        <family val="2"/>
      </rPr>
      <t xml:space="preserve">）</t>
    </r>
  </si>
  <si>
    <t xml:space="preserve">009150.KS</t>
  </si>
  <si>
    <t xml:space="preserve">2026-08-28</t>
  </si>
  <si>
    <t xml:space="preserve">AT&amp;S</t>
  </si>
  <si>
    <t xml:space="preserve">ATS.VI</t>
  </si>
  <si>
    <t xml:space="preserve">2026-10-23</t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</si>
  <si>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</si>
  <si>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Calibri"/>
        <family val="2"/>
        <charset val="1"/>
      </rPr>
      <t xml:space="preserve">ABF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FC-BGA </t>
    </r>
    <r>
      <rPr>
        <sz val="11"/>
        <color theme="1"/>
        <rFont val="Noto Sans CJK SC"/>
        <family val="2"/>
      </rPr>
      <t xml:space="preserve">載板同業：欣興、南電、景碩、三星電機、</t>
    </r>
    <r>
      <rPr>
        <sz val="11"/>
        <color theme="1"/>
        <rFont val="Calibri"/>
        <family val="2"/>
        <charset val="1"/>
      </rPr>
      <t xml:space="preserve">AT&amp;S</t>
    </r>
    <r>
      <rPr>
        <sz val="11"/>
        <color theme="1"/>
        <rFont val="Noto Sans CJK SC"/>
        <family val="2"/>
      </rPr>
      <t xml:space="preserve">（券商常用的載板比較組；新光電氣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年下市未列）。非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股公司的同業名單不放中國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股有結構性溢價；</t>
    </r>
    <r>
      <rPr>
        <sz val="11"/>
        <color theme="1"/>
        <rFont val="Calibri"/>
        <family val="2"/>
        <charset val="1"/>
      </rPr>
      <t xml:space="preserve">Andy 2026-10-25 11:53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</si>
  <si>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</si>
  <si>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Noto Sans CJK SC"/>
        <family val="2"/>
      </rPr>
      <t xml:space="preserve">會計年度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月至隔年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月：約 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時的未來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月（</t>
    </r>
    <r>
      <rPr>
        <sz val="11"/>
        <color theme="1"/>
        <rFont val="Calibri"/>
        <family val="2"/>
        <charset val="1"/>
      </rPr>
      <t xml:space="preserve">2027-10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2028-09</t>
    </r>
    <r>
      <rPr>
        <sz val="11"/>
        <color theme="1"/>
        <rFont val="Noto Sans CJK SC"/>
        <family val="2"/>
      </rPr>
      <t xml:space="preserve">）≈ 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</si>
  <si>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</si>
  <si>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上列 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</si>
  <si>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</si>
  <si>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r>
      <rPr>
        <b val="true"/>
        <sz val="11"/>
        <rFont val="Noto Sans CJK SC"/>
        <family val="2"/>
      </rPr>
      <t xml:space="preserve">目標價（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</si>
  <si>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tp_w_dcf × DCF </t>
    </r>
    <r>
      <rPr>
        <sz val="11"/>
        <color theme="1"/>
        <rFont val="Noto Sans CJK SC"/>
        <family val="2"/>
      </rPr>
      <t xml:space="preserve">目標價＋（</t>
    </r>
    <r>
      <rPr>
        <sz val="11"/>
        <color theme="1"/>
        <rFont val="Calibri"/>
        <family val="2"/>
        <charset val="1"/>
      </rPr>
      <t xml:space="preserve">1 − tp_w_dcf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Comparable </t>
    </r>
    <r>
      <rPr>
        <sz val="11"/>
        <color theme="1"/>
        <rFont val="Noto Sans CJK SC"/>
        <family val="2"/>
      </rPr>
      <t xml:space="preserve">目標價；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</si>
  <si>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</si>
  <si>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0.2</t>
    </r>
  </si>
  <si>
    <t xml:space="preserve">市場共識目標價</t>
  </si>
  <si>
    <t xml:space="preserve">上檔空間：加權目標價</t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</si>
  <si>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8,512</t>
    </r>
    <r>
      <rPr>
        <sz val="11"/>
        <color theme="1"/>
        <rFont val="Noto Sans CJK SC"/>
        <family val="2"/>
      </rPr>
      <t xml:space="preserve">，分割後）</t>
    </r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</si>
  <si>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</si>
  <si>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</t>
    </r>
  </si>
  <si>
    <r>
      <rPr>
        <sz val="11"/>
        <color theme="1"/>
        <rFont val="Noto Sans CJK SC"/>
        <family val="2"/>
      </rPr>
      <t xml:space="preserve">本模型前瞻 </t>
    </r>
    <r>
      <rPr>
        <sz val="11"/>
        <color theme="1"/>
        <rFont val="Calibri"/>
        <family val="2"/>
        <charset val="1"/>
      </rPr>
      <t xml:space="preserve">EPS 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  <r>
      <rPr>
        <sz val="11"/>
        <color theme="1"/>
        <rFont val="Noto Sans CJK SC"/>
        <family val="2"/>
      </rPr>
      <t xml:space="preserve">；共識前瞻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cons_feps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Recon</t>
    </r>
  </si>
  <si>
    <t xml:space="preserve">與市場共識目標價的差距：倍數因素</t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</si>
  <si>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</si>
  <si>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情境價值～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</si>
  <si>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</si>
  <si>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分布（下方列）的分位；低於最小值記 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Noto Sans CJK SC"/>
        <family val="2"/>
      </rPr>
      <t xml:space="preserve">、高於最大值記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；只作檢查，不進目標價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</si>
  <si>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</si>
  <si>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＝近三年平均約 </t>
    </r>
    <r>
      <rPr>
        <sz val="11"/>
        <color theme="1"/>
        <rFont val="Calibri"/>
        <family val="2"/>
        <charset val="1"/>
      </rPr>
      <t xml:space="preserve">8.6%</t>
    </r>
    <r>
      <rPr>
        <sz val="11"/>
        <color theme="1"/>
        <rFont val="Noto Sans CJK SC"/>
        <family val="2"/>
      </rPr>
      <t xml:space="preserve">（再投資率約 </t>
    </r>
    <r>
      <rPr>
        <sz val="11"/>
        <color theme="1"/>
        <rFont val="Calibri"/>
        <family val="2"/>
        <charset val="1"/>
      </rPr>
      <t xml:space="preserve">46%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FY2027–29 </t>
    </r>
    <r>
      <rPr>
        <sz val="11"/>
        <color theme="1"/>
        <rFont val="Noto Sans CJK SC"/>
        <family val="2"/>
      </rPr>
      <t xml:space="preserve">驅動因子、</t>
    </r>
    <r>
      <rPr>
        <sz val="11"/>
        <color theme="1"/>
        <rFont val="Calibri"/>
        <family val="2"/>
        <charset val="1"/>
      </rPr>
      <t xml:space="preserve">FY2030–32 </t>
    </r>
    <r>
      <rPr>
        <sz val="11"/>
        <color theme="1"/>
        <rFont val="Noto Sans CJK SC"/>
        <family val="2"/>
      </rPr>
      <t xml:space="preserve">收斂法＋永續；基準日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實際於 </t>
    </r>
    <r>
      <rPr>
        <sz val="11"/>
        <color theme="1"/>
        <rFont val="Calibri"/>
        <family val="2"/>
        <charset val="1"/>
      </rPr>
      <t xml:space="preserve">2028-03 </t>
    </r>
    <r>
      <rPr>
        <sz val="11"/>
        <color theme="1"/>
        <rFont val="Noto Sans CJK SC"/>
        <family val="2"/>
      </rPr>
      <t xml:space="preserve">結束，未做半年調整）。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資本密集（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設備投資 </t>
    </r>
    <r>
      <rPr>
        <sz val="11"/>
        <color theme="1"/>
        <rFont val="Calibri"/>
        <family val="2"/>
        <charset val="1"/>
      </rPr>
      <t xml:space="preserve">2,100 </t>
    </r>
    <r>
      <rPr>
        <sz val="11"/>
        <color theme="1"/>
        <rFont val="Noto Sans CJK SC"/>
        <family val="2"/>
      </rPr>
      <t xml:space="preserve">億），但模型無折舊與資本支出明細，未改用淨利＋折舊－資本支出，現金流偏高估。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：欣興、南電、景碩、三星電機、</t>
    </r>
    <r>
      <rPr>
        <sz val="11"/>
        <color theme="1"/>
        <rFont val="Calibri"/>
        <family val="2"/>
        <charset val="1"/>
      </rPr>
      <t xml:space="preserve">AT&amp;S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中位數；台系載板股含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題材溢價（約 </t>
    </r>
    <r>
      <rPr>
        <sz val="11"/>
        <color theme="1"/>
        <rFont val="Calibri"/>
        <family val="2"/>
        <charset val="1"/>
      </rPr>
      <t xml:space="preserve">34–45x</t>
    </r>
    <r>
      <rPr>
        <sz val="11"/>
        <color theme="1"/>
        <rFont val="Noto Sans CJK SC"/>
        <family val="2"/>
      </rPr>
      <t xml:space="preserve">），部分價格為 </t>
    </r>
    <r>
      <rPr>
        <sz val="11"/>
        <color theme="1"/>
        <rFont val="Calibri"/>
        <family val="2"/>
        <charset val="1"/>
      </rPr>
      <t xml:space="preserve">8–9 </t>
    </r>
    <r>
      <rPr>
        <sz val="11"/>
        <color theme="1"/>
        <rFont val="Noto Sans CJK SC"/>
        <family val="2"/>
      </rPr>
      <t xml:space="preserve">月，偏高估。情境對應：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＝不如預期（原顆數情境）。</t>
    </r>
  </si>
  <si>
    <r>
      <rPr>
        <b val="true"/>
        <sz val="11"/>
        <rFont val="Noto Sans CJK SC"/>
        <family val="2"/>
      </rPr>
      <t xml:space="preserve">十年年底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（歷史分位檢查用；</t>
    </r>
    <r>
      <rPr>
        <b val="true"/>
        <sz val="11"/>
        <rFont val="Cambria"/>
        <family val="0"/>
        <charset val="1"/>
      </rPr>
      <t xml:space="preserve">companiesmarketcap </t>
    </r>
    <r>
      <rPr>
        <b val="true"/>
        <sz val="11"/>
        <rFont val="Noto Sans CJK SC"/>
        <family val="2"/>
      </rPr>
      <t xml:space="preserve">日曆年年底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Interested-party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2017 </t>
    </r>
    <r>
      <rPr>
        <b val="true"/>
        <sz val="11"/>
        <rFont val="Noto Sans CJK SC"/>
        <family val="2"/>
      </rPr>
      <t xml:space="preserve">年虧損不計）</t>
    </r>
  </si>
  <si>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</si>
  <si>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公司目標、研調份額、先驗。只作事後對照，不為對上數字而調參數。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以後的共識：未找到（付費）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</si>
  <si>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</si>
  <si>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</si>
  <si>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</si>
  <si>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</si>
  <si>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</si>
  <si>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</si>
  <si>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</si>
  <si>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</si>
  <si>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公司目標與市場（校準未使用）</t>
    </r>
  </si>
  <si>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目標 </t>
    </r>
    <r>
      <rPr>
        <sz val="11"/>
        <color theme="1"/>
        <rFont val="Calibri"/>
        <family val="2"/>
        <charset val="1"/>
      </rPr>
      <t xml:space="preserve">¥1 </t>
    </r>
    <r>
      <rPr>
        <sz val="11"/>
        <color theme="1"/>
        <rFont val="Noto Sans CJK SC"/>
        <family val="2"/>
      </rPr>
      <t xml:space="preserve">兆</t>
    </r>
  </si>
  <si>
    <r>
      <rPr>
        <sz val="11"/>
        <color theme="1"/>
        <rFont val="Calibri"/>
        <family val="2"/>
        <charset val="1"/>
      </rPr>
      <t xml:space="preserve">Quartr </t>
    </r>
    <r>
      <rPr>
        <sz val="11"/>
        <color theme="1"/>
        <rFont val="Noto Sans CJK SC"/>
        <family val="2"/>
      </rPr>
      <t xml:space="preserve">摘要（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</si>
  <si>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模型到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；目標年晚一年</t>
    </r>
  </si>
  <si>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目標 </t>
    </r>
    <r>
      <rPr>
        <sz val="11"/>
        <color theme="1"/>
        <rFont val="Calibri"/>
        <family val="2"/>
        <charset val="1"/>
      </rPr>
      <t xml:space="preserve">¥3,000 </t>
    </r>
    <r>
      <rPr>
        <sz val="11"/>
        <color theme="1"/>
        <rFont val="Noto Sans CJK SC"/>
        <family val="2"/>
      </rPr>
      <t xml:space="preserve">億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</si>
  <si>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隱含未來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</si>
  <si>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（推導）</t>
    </r>
  </si>
  <si>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≈ </t>
    </r>
    <r>
      <rPr>
        <sz val="11"/>
        <color theme="1"/>
        <rFont val="Calibri"/>
        <family val="2"/>
        <charset val="1"/>
      </rPr>
      <t xml:space="preserve">½ FY2026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½ FY2027</t>
    </r>
    <r>
      <rPr>
        <sz val="11"/>
        <color theme="1"/>
        <rFont val="Noto Sans CJK SC"/>
        <family val="2"/>
      </rPr>
      <t xml:space="preserve">，口徑不同，只作量級比較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</si>
  <si>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份額與每顆金額（先驗比對的機制檢查）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</si>
  <si>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載板金額（美元）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先驗比對推導中點 </t>
    </r>
    <r>
      <rPr>
        <sz val="11"/>
        <color theme="1"/>
        <rFont val="Calibri"/>
        <family val="2"/>
        <charset val="1"/>
      </rPr>
      <t xml:space="preserve">$225</t>
    </r>
  </si>
  <si>
    <r>
      <rPr>
        <sz val="11"/>
        <color theme="1"/>
        <rFont val="Noto Sans CJK SC"/>
        <family val="2"/>
      </rPr>
      <t xml:space="preserve">先驗比對</t>
    </r>
    <r>
      <rPr>
        <sz val="11"/>
        <color theme="1"/>
        <rFont val="Calibri"/>
        <family val="2"/>
        <charset val="1"/>
      </rPr>
      <t xml:space="preserve">_Ibiden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Drive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</si>
  <si>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推導區間 </t>
    </r>
    <r>
      <rPr>
        <sz val="11"/>
        <color theme="1"/>
        <rFont val="Calibri"/>
        <family val="2"/>
        <charset val="1"/>
      </rPr>
      <t xml:space="preserve">$150–300</t>
    </r>
    <r>
      <rPr>
        <sz val="11"/>
        <color theme="1"/>
        <rFont val="Noto Sans CJK SC"/>
        <family val="2"/>
      </rPr>
      <t xml:space="preserve">；封裝全部（中介層＋載板＋組裝）</t>
    </r>
    <r>
      <rPr>
        <sz val="11"/>
        <color theme="1"/>
        <rFont val="Calibri"/>
        <family val="2"/>
        <charset val="1"/>
      </rPr>
      <t xml:space="preserve">B200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$1,100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Silicon Analysts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</si>
  <si>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Ibiden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先驗比對推導中點 </t>
    </r>
    <r>
      <rPr>
        <sz val="11"/>
        <color theme="1"/>
        <rFont val="Calibri"/>
        <family val="2"/>
        <charset val="1"/>
      </rPr>
      <t xml:space="preserve">75</t>
    </r>
  </si>
  <si>
    <r>
      <rPr>
        <sz val="11"/>
        <color theme="1"/>
        <rFont val="Calibri"/>
        <family val="2"/>
        <charset val="1"/>
      </rPr>
      <t xml:space="preserve">FY2027 AI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</si>
  <si>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電子事業營益率 </t>
    </r>
    <r>
      <rPr>
        <sz val="11"/>
        <color theme="1"/>
        <rFont val="Calibri"/>
        <family val="2"/>
        <charset val="1"/>
      </rPr>
      <t xml:space="preserve">vs FY2026 </t>
    </r>
    <r>
      <rPr>
        <sz val="11"/>
        <color theme="1"/>
        <rFont val="Noto Sans CJK SC"/>
        <family val="2"/>
      </rPr>
      <t xml:space="preserve">錨點（百分點）</t>
    </r>
  </si>
  <si>
    <t xml:space="preserve">錨點</t>
  </si>
  <si>
    <t xml:space="preserve">短缺溢價回落使營益率下滑</t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</si>
  <si>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預留</t>
    </r>
  </si>
  <si>
    <r>
      <rPr>
        <sz val="11"/>
        <color theme="1"/>
        <rFont val="Noto Sans CJK SC"/>
        <family val="2"/>
      </rPr>
      <t xml:space="preserve">產能上限（</t>
    </r>
    <r>
      <rPr>
        <sz val="11"/>
        <color theme="1"/>
        <rFont val="Calibri"/>
        <family val="2"/>
        <charset val="1"/>
      </rPr>
      <t xml:space="preserve">Ibiden 2028 </t>
    </r>
    <r>
      <rPr>
        <sz val="11"/>
        <color theme="1"/>
        <rFont val="Noto Sans CJK SC"/>
        <family val="2"/>
      </rPr>
      <t xml:space="preserve">年為 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2.5–2.8 </t>
    </r>
    <r>
      <rPr>
        <sz val="11"/>
        <color theme="1"/>
        <rFont val="Noto Sans CJK SC"/>
        <family val="2"/>
      </rPr>
      <t xml:space="preserve">倍）與需求面積的對照：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年基準面積未找到，本版不計</t>
    </r>
  </si>
  <si>
    <t xml:space="preserve">預留列：本版無數值</t>
  </si>
  <si>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產業部署路徑（</t>
    </r>
    <r>
      <rPr>
        <sz val="11"/>
        <color theme="1"/>
        <rFont val="Calibri"/>
        <family val="2"/>
        <charset val="1"/>
      </rPr>
      <t xml:space="preserve">markets/deploy_path/</t>
    </r>
    <r>
      <rPr>
        <sz val="11"/>
        <color theme="1"/>
        <rFont val="Noto Sans CJK SC"/>
        <family val="2"/>
      </rPr>
      <t xml:space="preserve">，尚未建立）：上線後以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取代 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頁的每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換算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</si>
  <si>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目標價對帳（</t>
    </r>
    <r>
      <rPr>
        <b val="true"/>
        <sz val="11"/>
        <rFont val="Cambria"/>
        <family val="0"/>
        <charset val="1"/>
      </rPr>
      <t xml:space="preserve">v0.2</t>
    </r>
    <r>
      <rPr>
        <b val="true"/>
        <sz val="11"/>
        <rFont val="Noto Sans CJK SC"/>
        <family val="2"/>
      </rPr>
      <t xml:space="preserve">；模型欄為情境加權值，非情境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</si>
  <si>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</t>
    </r>
  </si>
  <si>
    <t xml:space="preserve">共識只作對帳，不作校準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</si>
  <si>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市場共識目標價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</si>
  <si>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市場共識目標價</t>
    </r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</si>
  <si>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；每顆有效金額與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載板營益率在每個案例內依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錨點重算，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恆等於錨點）：對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的營收、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載板營收、電子事業營益率與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的影響。每個案例是一個完整推導區塊（本頁下方）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</si>
  <si>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</si>
  <si>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</si>
  <si>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</si>
  <si>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FY2027 AI </t>
    </r>
    <r>
      <rPr>
        <b val="true"/>
        <sz val="11"/>
        <rFont val="Noto Sans CJK SC"/>
        <family val="2"/>
      </rPr>
      <t xml:space="preserve">載板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</si>
  <si>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電子營益率</t>
    </r>
  </si>
  <si>
    <r>
      <rPr>
        <b val="true"/>
        <sz val="11"/>
        <rFont val="Cambria"/>
        <family val="0"/>
        <charset val="1"/>
      </rPr>
      <t xml:space="preserve">FY2027 EPS </t>
    </r>
    <r>
      <rPr>
        <b val="true"/>
        <sz val="11"/>
        <rFont val="Noto Sans CJK SC"/>
        <family val="2"/>
      </rPr>
      <t xml:space="preserve">相對基準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</si>
  <si>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</si>
  <si>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FY2028 AI </t>
    </r>
    <r>
      <rPr>
        <b val="true"/>
        <sz val="11"/>
        <rFont val="Noto Sans CJK SC"/>
        <family val="2"/>
      </rPr>
      <t xml:space="preserve">載板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</si>
  <si>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電子營益率</t>
    </r>
  </si>
  <si>
    <r>
      <rPr>
        <b val="true"/>
        <sz val="11"/>
        <rFont val="Cambria"/>
        <family val="0"/>
        <charset val="1"/>
      </rPr>
      <t xml:space="preserve">FY2028 EPS </t>
    </r>
    <r>
      <rPr>
        <b val="true"/>
        <sz val="11"/>
        <rFont val="Noto Sans CJK SC"/>
        <family val="2"/>
      </rPr>
      <t xml:space="preserve">相對基準</t>
    </r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</si>
  <si>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</si>
  <si>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</si>
  <si>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t xml:space="preserve">溢價快速回落</t>
  </si>
  <si>
    <r>
      <rPr>
        <sz val="11"/>
        <color theme="1"/>
        <rFont val="Noto Sans CJK SC"/>
        <family val="2"/>
      </rPr>
      <t xml:space="preserve">價格溢價 </t>
    </r>
    <r>
      <rPr>
        <sz val="11"/>
        <color theme="1"/>
        <rFont val="Calibri"/>
        <family val="2"/>
        <charset val="1"/>
      </rPr>
      <t xml:space="preserve">2027 0.95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2028 0.85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2029 0.75</t>
    </r>
    <r>
      <rPr>
        <sz val="11"/>
        <color theme="1"/>
        <rFont val="Noto Sans CJK SC"/>
        <family val="2"/>
      </rPr>
      <t xml:space="preserve">（新產能提早到位）</t>
    </r>
  </si>
  <si>
    <t xml:space="preserve">溢價延續</t>
  </si>
  <si>
    <r>
      <rPr>
        <sz val="11"/>
        <color theme="1"/>
        <rFont val="Noto Sans CJK SC"/>
        <family val="2"/>
      </rPr>
      <t xml:space="preserve">價格溢價 </t>
    </r>
    <r>
      <rPr>
        <sz val="11"/>
        <color theme="1"/>
        <rFont val="Calibri"/>
        <family val="2"/>
        <charset val="1"/>
      </rPr>
      <t xml:space="preserve">2027 1.05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2028 1.05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2029 1.00</t>
    </r>
  </si>
  <si>
    <t xml:space="preserve">份額流失（低）</t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</si>
  <si>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2027 0.85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2028 0.75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2029 0.70</t>
    </r>
    <r>
      <rPr>
        <sz val="11"/>
        <color theme="1"/>
        <rFont val="Noto Sans CJK SC"/>
        <family val="2"/>
      </rPr>
      <t xml:space="preserve">（欣興、三星電機加速）</t>
    </r>
  </si>
  <si>
    <t xml:space="preserve">份額持平（高）</t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</si>
  <si>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1.00</t>
    </r>
  </si>
  <si>
    <r>
      <rPr>
        <sz val="11"/>
        <color theme="1"/>
        <rFont val="Noto Sans CJK SC"/>
        <family val="2"/>
      </rPr>
      <t xml:space="preserve">每顆金額年增 </t>
    </r>
    <r>
      <rPr>
        <sz val="11"/>
        <color theme="1"/>
        <rFont val="Calibri"/>
        <family val="2"/>
        <charset val="1"/>
      </rPr>
      <t xml:space="preserve">10%</t>
    </r>
  </si>
  <si>
    <t xml:space="preserve">面積、層數成長較慢</t>
  </si>
  <si>
    <r>
      <rPr>
        <sz val="11"/>
        <color theme="1"/>
        <rFont val="Noto Sans CJK SC"/>
        <family val="2"/>
      </rPr>
      <t xml:space="preserve">每顆金額年增 </t>
    </r>
    <r>
      <rPr>
        <sz val="11"/>
        <color theme="1"/>
        <rFont val="Calibri"/>
        <family val="2"/>
        <charset val="1"/>
      </rPr>
      <t xml:space="preserve">22%</t>
    </r>
  </si>
  <si>
    <t xml:space="preserve">較快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</si>
  <si>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0.2</t>
    </r>
  </si>
  <si>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多由其他載板廠供應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</si>
  <si>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0.6</t>
    </r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</si>
  <si>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份額較高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</si>
  <si>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占電子事業 </t>
    </r>
    <r>
      <rPr>
        <sz val="11"/>
        <color theme="1"/>
        <rFont val="Calibri"/>
        <family val="2"/>
        <charset val="1"/>
      </rPr>
      <t xml:space="preserve">55%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</si>
  <si>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切分較低（校準跟著變）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</si>
  <si>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占電子事業 </t>
    </r>
    <r>
      <rPr>
        <sz val="11"/>
        <color theme="1"/>
        <rFont val="Calibri"/>
        <family val="2"/>
        <charset val="1"/>
      </rPr>
      <t xml:space="preserve">75%</t>
    </r>
  </si>
  <si>
    <t xml:space="preserve">較高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</si>
  <si>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營益率 </t>
    </r>
    <r>
      <rPr>
        <sz val="11"/>
        <color theme="1"/>
        <rFont val="Calibri"/>
        <family val="2"/>
        <charset val="1"/>
      </rPr>
      <t xml:space="preserve">10%</t>
    </r>
  </si>
  <si>
    <r>
      <rPr>
        <sz val="11"/>
        <color theme="1"/>
        <rFont val="Noto Sans CJK SC"/>
        <family val="2"/>
      </rPr>
      <t xml:space="preserve">校準後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載板營益率較高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</si>
  <si>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營益率 </t>
    </r>
    <r>
      <rPr>
        <sz val="11"/>
        <color theme="1"/>
        <rFont val="Calibri"/>
        <family val="2"/>
        <charset val="1"/>
      </rPr>
      <t xml:space="preserve">20%</t>
    </r>
  </si>
  <si>
    <t xml:space="preserve">較低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</si>
  <si>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0.62</t>
    </r>
  </si>
  <si>
    <t xml:space="preserve">稅與非營業較不利</t>
  </si>
  <si>
    <r>
      <rPr>
        <sz val="11"/>
        <color theme="1"/>
        <rFont val="Calibri"/>
        <family val="2"/>
        <charset val="1"/>
      </rPr>
      <t xml:space="preserve">CB </t>
    </r>
    <r>
      <rPr>
        <sz val="11"/>
        <color theme="1"/>
        <rFont val="Noto Sans CJK SC"/>
        <family val="2"/>
      </rPr>
      <t xml:space="preserve">轉換：股數 </t>
    </r>
    <r>
      <rPr>
        <sz val="11"/>
        <color theme="1"/>
        <rFont val="Calibri"/>
        <family val="2"/>
        <charset val="1"/>
      </rPr>
      <t xml:space="preserve">+3%</t>
    </r>
    <r>
      <rPr>
        <sz val="11"/>
        <color theme="1"/>
        <rFont val="Noto Sans CJK SC"/>
        <family val="2"/>
      </rPr>
      <t xml:space="preserve">／年</t>
    </r>
  </si>
  <si>
    <r>
      <rPr>
        <sz val="11"/>
        <color theme="1"/>
        <rFont val="Calibri"/>
        <family val="2"/>
        <charset val="1"/>
      </rPr>
      <t xml:space="preserve">2031 </t>
    </r>
    <r>
      <rPr>
        <sz val="11"/>
        <color theme="1"/>
        <rFont val="Noto Sans CJK SC"/>
        <family val="2"/>
      </rPr>
      <t xml:space="preserve">年到期 </t>
    </r>
    <r>
      <rPr>
        <sz val="11"/>
        <color theme="1"/>
        <rFont val="Calibri"/>
        <family val="2"/>
        <charset val="1"/>
      </rPr>
      <t xml:space="preserve">CB </t>
    </r>
    <r>
      <rPr>
        <sz val="11"/>
        <color theme="1"/>
        <rFont val="Noto Sans CJK SC"/>
        <family val="2"/>
      </rPr>
      <t xml:space="preserve">轉換稀釋</t>
    </r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</si>
  <si>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</si>
  <si>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Calibri"/>
        <family val="2"/>
        <charset val="1"/>
      </rPr>
      <t xml:space="preserve">CY2028 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×0.85</t>
    </r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</si>
  <si>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C</t>
    </r>
  </si>
  <si>
    <t xml:space="preserve">CY2028–29 ×0.6</t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</si>
  <si>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三個顆數情境相同；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的差異從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起。溢價指數同時改變營收與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載板營益率（成本不變），所以對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的影響大於對營收的影響。</t>
    </r>
  </si>
  <si>
    <r>
      <rPr>
        <b val="true"/>
        <sz val="11"/>
        <rFont val="Noto Sans CJK SC"/>
        <family val="2"/>
      </rPr>
      <t xml:space="preserve">案例區塊：溢價快速回落（情境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</si>
  <si>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案例區塊：溢價延續（情境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</si>
  <si>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案例區塊：份額流失（低）（情境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</si>
  <si>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案例區塊：份額持平（高）（情境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</si>
  <si>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案例區塊：每顆金額年增 </t>
    </r>
    <r>
      <rPr>
        <b val="true"/>
        <sz val="11"/>
        <rFont val="Cambria"/>
        <family val="0"/>
        <charset val="1"/>
      </rPr>
      <t xml:space="preserve">10%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</si>
  <si>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案例區塊：每顆金額年增 </t>
    </r>
    <r>
      <rPr>
        <b val="true"/>
        <sz val="11"/>
        <rFont val="Cambria"/>
        <family val="0"/>
        <charset val="1"/>
      </rPr>
      <t xml:space="preserve">22%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</si>
  <si>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權重 </t>
    </r>
    <r>
      <rPr>
        <b val="true"/>
        <sz val="11"/>
        <rFont val="Cambria"/>
        <family val="0"/>
        <charset val="1"/>
      </rPr>
      <t xml:space="preserve">0.2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</si>
  <si>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權重 </t>
    </r>
    <r>
      <rPr>
        <b val="true"/>
        <sz val="11"/>
        <rFont val="Cambria"/>
        <family val="0"/>
        <charset val="1"/>
      </rPr>
      <t xml:space="preserve">0.6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</si>
  <si>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占電子事業 </t>
    </r>
    <r>
      <rPr>
        <b val="true"/>
        <sz val="11"/>
        <rFont val="Cambria"/>
        <family val="0"/>
        <charset val="1"/>
      </rPr>
      <t xml:space="preserve">55%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</si>
  <si>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占電子事業 </t>
    </r>
    <r>
      <rPr>
        <b val="true"/>
        <sz val="11"/>
        <rFont val="Cambria"/>
        <family val="0"/>
        <charset val="1"/>
      </rPr>
      <t xml:space="preserve">75%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</si>
  <si>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營益率 </t>
    </r>
    <r>
      <rPr>
        <b val="true"/>
        <sz val="11"/>
        <rFont val="Cambria"/>
        <family val="0"/>
        <charset val="1"/>
      </rPr>
      <t xml:space="preserve">10%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</si>
  <si>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營益率 </t>
    </r>
    <r>
      <rPr>
        <b val="true"/>
        <sz val="11"/>
        <rFont val="Cambria"/>
        <family val="0"/>
        <charset val="1"/>
      </rPr>
      <t xml:space="preserve">20%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</si>
  <si>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案例區塊：淨利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營業利益 </t>
    </r>
    <r>
      <rPr>
        <b val="true"/>
        <sz val="11"/>
        <rFont val="Cambria"/>
        <family val="0"/>
        <charset val="1"/>
      </rPr>
      <t xml:space="preserve">0.62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</si>
  <si>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CB </t>
    </r>
    <r>
      <rPr>
        <b val="true"/>
        <sz val="11"/>
        <rFont val="Noto Sans CJK SC"/>
        <family val="2"/>
      </rPr>
      <t xml:space="preserve">轉換：股數 </t>
    </r>
    <r>
      <rPr>
        <b val="true"/>
        <sz val="11"/>
        <rFont val="Cambria"/>
        <family val="0"/>
        <charset val="1"/>
      </rPr>
      <t xml:space="preserve">+3%</t>
    </r>
    <r>
      <rPr>
        <b val="true"/>
        <sz val="11"/>
        <rFont val="Noto Sans CJK SC"/>
        <family val="2"/>
      </rPr>
      <t xml:space="preserve">／年（情境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</si>
  <si>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目標價參數（</t>
    </r>
    <r>
      <rPr>
        <b val="true"/>
        <sz val="11"/>
        <rFont val="Cambria"/>
        <family val="0"/>
        <charset val="1"/>
      </rPr>
      <t xml:space="preserve">v0.2</t>
    </r>
    <r>
      <rPr>
        <b val="true"/>
        <sz val="11"/>
        <rFont val="Noto Sans CJK SC"/>
        <family val="2"/>
      </rPr>
      <t xml:space="preserve">）：一次動一個，對加權目標價的影響（只改 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參數；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收斂目標 </t>
    </r>
    <r>
      <rPr>
        <b val="true"/>
        <sz val="11"/>
        <rFont val="Cambria"/>
        <family val="0"/>
        <charset val="1"/>
      </rPr>
      <t xml:space="preserve">fade_g </t>
    </r>
    <r>
      <rPr>
        <b val="true"/>
        <sz val="11"/>
        <rFont val="Noto Sans CJK SC"/>
        <family val="2"/>
      </rPr>
      <t xml:space="preserve">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變動）</t>
    </r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</si>
  <si>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</si>
  <si>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</t>
    </r>
  </si>
  <si>
    <t xml:space="preserve">加權目標價</t>
  </si>
  <si>
    <t xml:space="preserve">相對基準</t>
  </si>
  <si>
    <r>
      <rPr>
        <sz val="11"/>
        <color theme="1"/>
        <rFont val="Calibri"/>
        <family val="2"/>
        <charset val="1"/>
      </rPr>
      <t xml:space="preserve">tp_r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tp_g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</si>
  <si>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折現率 </t>
    </r>
    <r>
      <rPr>
        <sz val="11"/>
        <color theme="1"/>
        <rFont val="Calibri"/>
        <family val="2"/>
        <charset val="1"/>
      </rPr>
      <t xml:space="preserve">+1pt</t>
    </r>
  </si>
  <si>
    <t xml:space="preserve">tp_r 11%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</si>
  <si>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</si>
  <si>
    <t xml:space="preserve">tp_r 9%</t>
  </si>
  <si>
    <r>
      <rPr>
        <sz val="11"/>
        <color theme="1"/>
        <rFont val="Noto Sans CJK SC"/>
        <family val="2"/>
      </rPr>
      <t xml:space="preserve">長期成長 </t>
    </r>
    <r>
      <rPr>
        <sz val="11"/>
        <color theme="1"/>
        <rFont val="Calibri"/>
        <family val="2"/>
        <charset val="1"/>
      </rPr>
      <t xml:space="preserve">+1pt</t>
    </r>
  </si>
  <si>
    <t xml:space="preserve">tp_g 5%</t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</si>
  <si>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</si>
  <si>
    <t xml:space="preserve">tp_g 3%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</si>
  <si>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0.4</t>
    </r>
  </si>
  <si>
    <t xml:space="preserve">tp_w_dcf 0.4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</si>
  <si>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0.8</t>
    </r>
  </si>
  <si>
    <t xml:space="preserve">tp_w_dcf 0.8</t>
  </si>
  <si>
    <r>
      <rPr>
        <b val="true"/>
        <sz val="11"/>
        <rFont val="Noto Sans CJK SC"/>
        <family val="2"/>
      </rPr>
      <t xml:space="preserve">來源（公司原文＝決算短信與補足資料；分部門預測取自 </t>
    </r>
    <r>
      <rPr>
        <b val="true"/>
        <sz val="11"/>
        <rFont val="Cambria"/>
        <family val="0"/>
        <charset val="1"/>
      </rPr>
      <t xml:space="preserve">Q1 </t>
    </r>
    <r>
      <rPr>
        <b val="true"/>
        <sz val="11"/>
        <rFont val="Noto Sans CJK SC"/>
        <family val="2"/>
      </rPr>
      <t xml:space="preserve">補足資料的轉載）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</si>
  <si>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月期決算短信（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實績、分部門）</t>
    </r>
  </si>
  <si>
    <t xml:space="preserve">https://www.ibiden.com/ir/items/ConsolidatedFinancialResultsFY2025.pdf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</si>
  <si>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月期 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決算短信（上修後全年預測）</t>
    </r>
  </si>
  <si>
    <t xml:space="preserve">https://finance.biggo.jp/news/jpx_tdnet_140120260731504718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</si>
  <si>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補足資料（分部門全年預測、設備投資 </t>
    </r>
    <r>
      <rPr>
        <sz val="11"/>
        <color theme="1"/>
        <rFont val="Calibri"/>
        <family val="2"/>
        <charset val="1"/>
      </rPr>
      <t xml:space="preserve">2,100 </t>
    </r>
    <r>
      <rPr>
        <sz val="11"/>
        <color theme="1"/>
        <rFont val="Noto Sans CJK SC"/>
        <family val="2"/>
      </rPr>
      <t xml:space="preserve">億、匯率 </t>
    </r>
    <r>
      <rPr>
        <sz val="11"/>
        <color theme="1"/>
        <rFont val="Calibri"/>
        <family val="2"/>
        <charset val="1"/>
      </rPr>
      <t xml:space="preserve">¥152</t>
    </r>
    <r>
      <rPr>
        <sz val="11"/>
        <color theme="1"/>
        <rFont val="Noto Sans CJK SC"/>
        <family val="2"/>
      </rPr>
      <t xml:space="preserve">）</t>
    </r>
  </si>
  <si>
    <t xml:space="preserve">https://finance.biggo.jp/news/jpx_tdnet_140120260803507041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</si>
  <si>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SEMICON.TODAY Q1 </t>
    </r>
    <r>
      <rPr>
        <sz val="11"/>
        <color theme="1"/>
        <rFont val="Noto Sans CJK SC"/>
        <family val="2"/>
      </rPr>
      <t xml:space="preserve">深掘（分部門 </t>
    </r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分割後 </t>
    </r>
    <r>
      <rPr>
        <sz val="11"/>
        <color theme="1"/>
        <rFont val="Calibri"/>
        <family val="2"/>
        <charset val="1"/>
      </rPr>
      <t xml:space="preserve">149.68</t>
    </r>
    <r>
      <rPr>
        <sz val="11"/>
        <color theme="1"/>
        <rFont val="Noto Sans CJK SC"/>
        <family val="2"/>
      </rPr>
      <t xml:space="preserve">）</t>
    </r>
  </si>
  <si>
    <t xml:space="preserve">https://semicon.today/archives/12352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</si>
  <si>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LIMO Q1</t>
    </r>
    <r>
      <rPr>
        <sz val="11"/>
        <color theme="1"/>
        <rFont val="Noto Sans CJK SC"/>
        <family val="2"/>
      </rPr>
      <t xml:space="preserve">（預收款、股價）</t>
    </r>
  </si>
  <si>
    <t xml:space="preserve">https://finance.limo.media/articles/detail/683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</si>
  <si>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Quartr FY2025 </t>
    </r>
    <r>
      <rPr>
        <sz val="11"/>
        <color theme="1"/>
        <rFont val="Noto Sans CJK SC"/>
        <family val="2"/>
      </rPr>
      <t xml:space="preserve">摘要（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目標；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摘要，營收數字有誤處未採用）</t>
    </r>
  </si>
  <si>
    <t xml:space="preserve">https://quartr.com/events/ibiden-co-ltd-4062-q4-2026_F9Xvd7IW</t>
  </si>
  <si>
    <r>
      <rPr>
        <sz val="11"/>
        <color theme="1"/>
        <rFont val="Noto Sans CJK SC"/>
        <family val="2"/>
      </rPr>
      <t xml:space="preserve">研調：</t>
    </r>
    <r>
      <rPr>
        <sz val="11"/>
        <color theme="1"/>
        <rFont val="Calibri"/>
        <family val="2"/>
        <charset val="1"/>
      </rPr>
      <t xml:space="preserve">Tom's Hardware ABF 2026</t>
    </r>
    <r>
      <rPr>
        <sz val="11"/>
        <color theme="1"/>
        <rFont val="Noto Sans CJK SC"/>
        <family val="2"/>
      </rPr>
      <t xml:space="preserve">（供需缺口、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路線圖、競爭者擴產、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膜漲價）</t>
    </r>
  </si>
  <si>
    <t xml:space="preserve">https://www.tomshardware.com/tech-industry/semiconductors/the-state-of-abf-substrates-in-data-center-silicon-in-2026-solving-the-supply-crunch-and-material-wall-beneath-every-ai-accelerator</t>
  </si>
  <si>
    <r>
      <rPr>
        <sz val="11"/>
        <color theme="1"/>
        <rFont val="Noto Sans CJK SC"/>
        <family val="2"/>
      </rPr>
      <t xml:space="preserve">研調：</t>
    </r>
    <r>
      <rPr>
        <sz val="11"/>
        <color theme="1"/>
        <rFont val="Calibri"/>
        <family val="2"/>
        <charset val="1"/>
      </rPr>
      <t xml:space="preserve">Data Gravity</t>
    </r>
    <r>
      <rPr>
        <sz val="11"/>
        <color theme="1"/>
        <rFont val="Noto Sans CJK SC"/>
        <family val="2"/>
      </rPr>
      <t xml:space="preserve">（高階 </t>
    </r>
    <r>
      <rPr>
        <sz val="11"/>
        <color theme="1"/>
        <rFont val="Calibri"/>
        <family val="2"/>
        <charset val="1"/>
      </rPr>
      <t xml:space="preserve">FC-BGA </t>
    </r>
    <r>
      <rPr>
        <sz val="11"/>
        <color theme="1"/>
        <rFont val="Noto Sans CJK SC"/>
        <family val="2"/>
      </rPr>
      <t xml:space="preserve">份額、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載板平均單價）</t>
    </r>
  </si>
  <si>
    <t xml:space="preserve">https://www.datagravity.dev/p/the-abf-substrate-bottleneck</t>
  </si>
  <si>
    <r>
      <rPr>
        <sz val="11"/>
        <color theme="1"/>
        <rFont val="Noto Sans CJK SC"/>
        <family val="2"/>
      </rPr>
      <t xml:space="preserve">研調：</t>
    </r>
    <r>
      <rPr>
        <sz val="11"/>
        <color theme="1"/>
        <rFont val="Calibri"/>
        <family val="2"/>
        <charset val="1"/>
      </rPr>
      <t xml:space="preserve">thebuildout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70–80%</t>
    </r>
    <r>
      <rPr>
        <sz val="11"/>
        <color theme="1"/>
        <rFont val="Noto Sans CJK SC"/>
        <family val="2"/>
      </rPr>
      <t xml:space="preserve">、短缺到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）</t>
    </r>
  </si>
  <si>
    <t xml:space="preserve">https://thebuildout.ai/intel/229c44f2-da57-4f46-b5fa-e5d03702236c</t>
  </si>
  <si>
    <r>
      <rPr>
        <sz val="11"/>
        <color theme="1"/>
        <rFont val="Noto Sans CJK SC"/>
        <family val="2"/>
      </rPr>
      <t xml:space="preserve">研調：</t>
    </r>
    <r>
      <rPr>
        <sz val="11"/>
        <color theme="1"/>
        <rFont val="Calibri"/>
        <family val="2"/>
        <charset val="1"/>
      </rPr>
      <t xml:space="preserve">Encyclopedia of Stocks</t>
    </r>
    <r>
      <rPr>
        <sz val="11"/>
        <color theme="1"/>
        <rFont val="Noto Sans CJK SC"/>
        <family val="2"/>
      </rPr>
      <t xml:space="preserve">（欣興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）</t>
    </r>
  </si>
  <si>
    <t xml:space="preserve">https://encyclopediaofstocks.substack.com/p/abf-substrate-market-ai-driven-super</t>
  </si>
  <si>
    <r>
      <rPr>
        <sz val="11"/>
        <color theme="1"/>
        <rFont val="Noto Sans CJK SC"/>
        <family val="2"/>
      </rPr>
      <t xml:space="preserve">研調：</t>
    </r>
    <r>
      <rPr>
        <sz val="11"/>
        <color theme="1"/>
        <rFont val="Calibri"/>
        <family val="2"/>
        <charset val="1"/>
      </rPr>
      <t xml:space="preserve">Silicon Analysts</t>
    </r>
    <r>
      <rPr>
        <sz val="11"/>
        <color theme="1"/>
        <rFont val="Noto Sans CJK SC"/>
        <family val="2"/>
      </rPr>
      <t xml:space="preserve">（封裝成本，含載板）</t>
    </r>
  </si>
  <si>
    <t xml:space="preserve">https://siliconanalysts.com/data/ai-chip-costs</t>
  </si>
  <si>
    <r>
      <rPr>
        <sz val="11"/>
        <color theme="1"/>
        <rFont val="Noto Sans CJK SC"/>
        <family val="2"/>
      </rPr>
      <t xml:space="preserve">市場：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10-16 </t>
    </r>
    <r>
      <rPr>
        <sz val="11"/>
        <color theme="1"/>
        <rFont val="Noto Sans CJK SC"/>
        <family val="2"/>
      </rPr>
      <t xml:space="preserve">股價、前瞻與近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、共識目標價；同業前瞻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</t>
    </r>
  </si>
  <si>
    <t xml:space="preserve">https://stockanalysis.com/quote/tyo/4062/</t>
  </si>
  <si>
    <r>
      <rPr>
        <sz val="11"/>
        <color theme="1"/>
        <rFont val="Noto Sans CJK SC"/>
        <family val="2"/>
      </rPr>
      <t xml:space="preserve">市場：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收盤（</t>
    </r>
    <r>
      <rPr>
        <sz val="11"/>
        <color theme="1"/>
        <rFont val="Calibri"/>
        <family val="2"/>
        <charset val="1"/>
      </rPr>
      <t xml:space="preserve">markets/invest_map/data/prices.csv</t>
    </r>
    <r>
      <rPr>
        <sz val="11"/>
        <color theme="1"/>
        <rFont val="Noto Sans CJK SC"/>
        <family val="2"/>
      </rPr>
      <t xml:space="preserve">：株探、松井證券）</t>
    </r>
  </si>
  <si>
    <t xml:space="preserve">https://kabutan.jp/stock/?code=4062</t>
  </si>
  <si>
    <r>
      <rPr>
        <sz val="11"/>
        <color theme="1"/>
        <rFont val="Noto Sans CJK SC"/>
        <family val="2"/>
      </rPr>
      <t xml:space="preserve">市場層：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Noto Sans CJK SC"/>
        <family val="2"/>
      </rPr>
      <t xml:space="preserve">成品（本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，唯讀）</t>
    </r>
  </si>
  <si>
    <r>
      <rPr>
        <sz val="11"/>
        <color theme="1"/>
        <rFont val="Noto Sans CJK SC"/>
        <family val="2"/>
      </rPr>
      <t xml:space="preserve">待補（人工）：十年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伺服器載板營收（公司未揭露）；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以後共識（付費）；</t>
    </r>
    <r>
      <rPr>
        <sz val="11"/>
        <color theme="1"/>
        <rFont val="Calibri"/>
        <family val="2"/>
        <charset val="1"/>
      </rPr>
      <t xml:space="preserve">CB </t>
    </r>
    <r>
      <rPr>
        <sz val="11"/>
        <color theme="1"/>
        <rFont val="Noto Sans CJK SC"/>
        <family val="2"/>
      </rPr>
      <t xml:space="preserve">發行額；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載板份額</t>
    </r>
  </si>
  <si>
    <t xml:space="preserve">未找到</t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</si>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</sst>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General"/>
    <numFmt numFmtId="166" formatCode="#,##0.0"/>
    <numFmt numFmtId="167" formatCode="0.0%"/>
    <numFmt numFmtId="168" formatCode="#,##0.00"/>
    <numFmt numFmtId="169" formatCode="0.0000"/>
    <numFmt numFmtId="170" formatCode="#,##0"/>
    <numFmt numFmtId="171" formatCode="0.000%"/>
    <numFmt numFmtId="172" formatCode="0.000"/>
    <numFmt numFmtId="173" formatCode="0.00"/>
    <numFmt numFmtId="174" formatCode="0.0"/>
    <numFmt numFmtId="175" formatCode="0%"/>
    <numFmt numFmtId="176" formatCode="@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name val="Noto Sans CJK SC"/>
      <family val="2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2" t="s">
        <v>2</v>
      </c>
    </row>
    <row r="4" customFormat="false" ht="17.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/>
    </row>
    <row r="6" customFormat="false" ht="17.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3" t="s">
        <v>5</v>
      </c>
    </row>
    <row r="9" customFormat="false" ht="17.15" hidden="false" customHeight="false" outlineLevel="0" collapsed="false">
      <c r="A9" s="4" t="s">
        <v>6</v>
      </c>
    </row>
    <row r="10" customFormat="false" ht="17.15" hidden="false" customHeight="false" outlineLevel="0" collapsed="false">
      <c r="A10" s="2" t="s">
        <v>7</v>
      </c>
    </row>
    <row r="11" customFormat="false" ht="17.15" hidden="false" customHeight="false" outlineLevel="0" collapsed="false">
      <c r="A11" s="2" t="s">
        <v>8</v>
      </c>
    </row>
    <row r="12" customFormat="false" ht="17.15" hidden="false" customHeight="false" outlineLevel="0" collapsed="false">
      <c r="A12" s="2" t="s">
        <v>9</v>
      </c>
    </row>
    <row r="13" customFormat="false" ht="17.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/>
    </row>
    <row r="15" customFormat="false" ht="17.15" hidden="false" customHeight="false" outlineLevel="0" collapsed="false">
      <c r="A15" s="2" t="s">
        <v>11</v>
      </c>
    </row>
    <row r="16" customFormat="false" ht="17.15" hidden="false" customHeight="false" outlineLevel="0" collapsed="false">
      <c r="A16" s="4" t="s">
        <v>12</v>
      </c>
    </row>
    <row r="17" customFormat="false" ht="17.15" hidden="false" customHeight="false" outlineLevel="0" collapsed="false">
      <c r="A17" s="0" t="s">
        <v>13</v>
      </c>
    </row>
    <row r="18" customFormat="false" ht="17.15" hidden="false" customHeight="false" outlineLevel="0" collapsed="false">
      <c r="A18" s="5" t="s">
        <v>14</v>
      </c>
    </row>
    <row r="19" customFormat="false" ht="17.15" hidden="false" customHeight="false" outlineLevel="0" collapsed="false">
      <c r="A19" s="5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8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8" min="8" style="0" width="80"/>
    <col collapsed="false" customWidth="true" hidden="false" outlineLevel="0" max="9" min="9" style="0" width="70"/>
  </cols>
  <sheetData>
    <row r="1" customFormat="false" ht="17.15" hidden="false" customHeight="false" outlineLevel="0" collapsed="false">
      <c r="A1" s="0" t="s">
        <v>16</v>
      </c>
    </row>
    <row r="2" customFormat="false" ht="17.15" hidden="false" customHeight="false" outlineLevel="0" collapsed="false">
      <c r="A2" s="5" t="s">
        <v>17</v>
      </c>
    </row>
    <row r="3" customFormat="false" ht="17.15" hidden="false" customHeight="false" outlineLevel="0" collapsed="false">
      <c r="A3" s="6" t="s">
        <v>18</v>
      </c>
      <c r="B3" s="6" t="s">
        <v>19</v>
      </c>
      <c r="C3" s="6" t="s">
        <v>20</v>
      </c>
      <c r="D3" s="6" t="s">
        <v>21</v>
      </c>
      <c r="E3" s="6" t="s">
        <v>22</v>
      </c>
      <c r="F3" s="6" t="s">
        <v>23</v>
      </c>
      <c r="G3" s="6" t="s">
        <v>24</v>
      </c>
      <c r="H3" s="6" t="s">
        <v>25</v>
      </c>
      <c r="I3" s="6" t="s">
        <v>26</v>
      </c>
    </row>
    <row r="4" customFormat="false" ht="17.15" hidden="false" customHeight="false" outlineLevel="0" collapsed="false">
      <c r="A4" s="1" t="s">
        <v>27</v>
      </c>
    </row>
    <row r="5" customFormat="false" ht="17.15" hidden="false" customHeight="false" outlineLevel="0" collapsed="false">
      <c r="A5" s="0" t="s">
        <v>28</v>
      </c>
      <c r="B5" s="0" t="s">
        <v>29</v>
      </c>
      <c r="C5" s="5" t="s">
        <v>30</v>
      </c>
      <c r="E5" s="7" t="n">
        <v>5.4</v>
      </c>
      <c r="G5" s="8" t="s">
        <v>31</v>
      </c>
      <c r="H5" s="8" t="s">
        <v>32</v>
      </c>
      <c r="I5" s="5" t="s">
        <v>33</v>
      </c>
    </row>
    <row r="6" customFormat="false" ht="17.15" hidden="false" customHeight="false" outlineLevel="0" collapsed="false">
      <c r="A6" s="0" t="s">
        <v>34</v>
      </c>
      <c r="B6" s="0" t="s">
        <v>35</v>
      </c>
      <c r="C6" s="5" t="s">
        <v>30</v>
      </c>
      <c r="E6" s="7" t="n">
        <v>2.4</v>
      </c>
      <c r="G6" s="8" t="s">
        <v>31</v>
      </c>
      <c r="H6" s="8" t="s">
        <v>36</v>
      </c>
      <c r="I6" s="5" t="s">
        <v>33</v>
      </c>
    </row>
    <row r="7" customFormat="false" ht="17.15" hidden="false" customHeight="false" outlineLevel="0" collapsed="false">
      <c r="A7" s="0" t="s">
        <v>37</v>
      </c>
      <c r="B7" s="0" t="s">
        <v>38</v>
      </c>
      <c r="C7" s="5" t="s">
        <v>30</v>
      </c>
      <c r="E7" s="7" t="n">
        <v>0.5</v>
      </c>
      <c r="G7" s="8" t="s">
        <v>31</v>
      </c>
      <c r="H7" s="8" t="s">
        <v>39</v>
      </c>
      <c r="I7" s="5" t="s">
        <v>33</v>
      </c>
    </row>
    <row r="8" customFormat="false" ht="17.15" hidden="false" customHeight="false" outlineLevel="0" collapsed="false">
      <c r="A8" s="0" t="s">
        <v>40</v>
      </c>
      <c r="B8" s="0" t="s">
        <v>41</v>
      </c>
      <c r="C8" s="0" t="s">
        <v>42</v>
      </c>
      <c r="E8" s="7" t="n">
        <v>-0.5</v>
      </c>
      <c r="G8" s="8" t="s">
        <v>31</v>
      </c>
      <c r="H8" s="8" t="s">
        <v>43</v>
      </c>
      <c r="I8" s="5" t="s">
        <v>44</v>
      </c>
    </row>
    <row r="9" customFormat="false" ht="17.15" hidden="false" customHeight="false" outlineLevel="0" collapsed="false">
      <c r="A9" s="0" t="s">
        <v>45</v>
      </c>
      <c r="B9" s="0" t="s">
        <v>46</v>
      </c>
      <c r="C9" s="5" t="s">
        <v>30</v>
      </c>
      <c r="E9" s="7" t="n">
        <v>1.7</v>
      </c>
      <c r="G9" s="8" t="s">
        <v>31</v>
      </c>
      <c r="H9" s="8" t="s">
        <v>47</v>
      </c>
      <c r="I9" s="5" t="s">
        <v>33</v>
      </c>
    </row>
    <row r="10" customFormat="false" ht="17.15" hidden="false" customHeight="false" outlineLevel="0" collapsed="false">
      <c r="A10" s="0" t="s">
        <v>48</v>
      </c>
      <c r="B10" s="0" t="s">
        <v>49</v>
      </c>
      <c r="C10" s="5" t="s">
        <v>30</v>
      </c>
      <c r="E10" s="7" t="n">
        <v>7</v>
      </c>
      <c r="G10" s="8" t="s">
        <v>31</v>
      </c>
      <c r="H10" s="8" t="s">
        <v>50</v>
      </c>
      <c r="I10" s="5" t="s">
        <v>33</v>
      </c>
    </row>
    <row r="11" customFormat="false" ht="17.15" hidden="false" customHeight="false" outlineLevel="0" collapsed="false">
      <c r="A11" s="0" t="s">
        <v>51</v>
      </c>
      <c r="B11" s="0" t="s">
        <v>52</v>
      </c>
      <c r="C11" s="5" t="s">
        <v>30</v>
      </c>
      <c r="E11" s="7" t="n">
        <v>7</v>
      </c>
      <c r="G11" s="8" t="s">
        <v>31</v>
      </c>
      <c r="H11" s="8" t="s">
        <v>53</v>
      </c>
      <c r="I11" s="5" t="s">
        <v>33</v>
      </c>
    </row>
    <row r="12" customFormat="false" ht="17.15" hidden="false" customHeight="false" outlineLevel="0" collapsed="false">
      <c r="A12" s="0" t="s">
        <v>54</v>
      </c>
      <c r="B12" s="0" t="s">
        <v>55</v>
      </c>
      <c r="C12" s="0" t="s">
        <v>42</v>
      </c>
      <c r="E12" s="7" t="n">
        <v>0.15</v>
      </c>
      <c r="G12" s="8" t="s">
        <v>31</v>
      </c>
      <c r="H12" s="8" t="s">
        <v>56</v>
      </c>
      <c r="I12" s="5" t="s">
        <v>44</v>
      </c>
    </row>
    <row r="13" customFormat="false" ht="17.15" hidden="false" customHeight="false" outlineLevel="0" collapsed="false">
      <c r="A13" s="0" t="s">
        <v>57</v>
      </c>
      <c r="B13" s="0" t="s">
        <v>58</v>
      </c>
      <c r="C13" s="5" t="s">
        <v>30</v>
      </c>
      <c r="E13" s="7" t="n">
        <v>0</v>
      </c>
      <c r="G13" s="8" t="s">
        <v>31</v>
      </c>
      <c r="H13" s="8" t="s">
        <v>59</v>
      </c>
      <c r="I13" s="5" t="s">
        <v>33</v>
      </c>
    </row>
    <row r="14" customFormat="false" ht="17.15" hidden="false" customHeight="false" outlineLevel="0" collapsed="false">
      <c r="A14" s="0" t="s">
        <v>60</v>
      </c>
      <c r="B14" s="0" t="s">
        <v>61</v>
      </c>
      <c r="C14" s="5" t="s">
        <v>30</v>
      </c>
      <c r="E14" s="7" t="n">
        <v>0.3</v>
      </c>
      <c r="G14" s="8" t="s">
        <v>31</v>
      </c>
      <c r="H14" s="8" t="s">
        <v>62</v>
      </c>
      <c r="I14" s="5" t="s">
        <v>33</v>
      </c>
    </row>
    <row r="15" customFormat="false" ht="17.15" hidden="false" customHeight="false" outlineLevel="0" collapsed="false">
      <c r="A15" s="0" t="s">
        <v>63</v>
      </c>
      <c r="B15" s="0" t="s">
        <v>64</v>
      </c>
      <c r="C15" s="5" t="s">
        <v>30</v>
      </c>
      <c r="E15" s="7" t="n">
        <v>2</v>
      </c>
      <c r="G15" s="8" t="s">
        <v>31</v>
      </c>
      <c r="H15" s="8" t="s">
        <v>65</v>
      </c>
      <c r="I15" s="5" t="s">
        <v>33</v>
      </c>
    </row>
    <row r="16" customFormat="false" ht="17.15" hidden="false" customHeight="false" outlineLevel="0" collapsed="false">
      <c r="A16" s="0" t="s">
        <v>66</v>
      </c>
      <c r="B16" s="0" t="s">
        <v>67</v>
      </c>
      <c r="C16" s="0" t="s">
        <v>42</v>
      </c>
      <c r="E16" s="7" t="n">
        <v>0.15</v>
      </c>
      <c r="G16" s="8" t="s">
        <v>31</v>
      </c>
      <c r="H16" s="8" t="s">
        <v>68</v>
      </c>
      <c r="I16" s="5" t="s">
        <v>44</v>
      </c>
    </row>
    <row r="17" customFormat="false" ht="17.15" hidden="false" customHeight="false" outlineLevel="0" collapsed="false">
      <c r="A17" s="0" t="s">
        <v>69</v>
      </c>
      <c r="B17" s="0" t="s">
        <v>70</v>
      </c>
      <c r="C17" s="5" t="s">
        <v>30</v>
      </c>
      <c r="E17" s="7" t="n">
        <v>0.5</v>
      </c>
      <c r="G17" s="8" t="s">
        <v>31</v>
      </c>
      <c r="H17" s="8" t="s">
        <v>71</v>
      </c>
      <c r="I17" s="5" t="s">
        <v>33</v>
      </c>
    </row>
    <row r="18" customFormat="false" ht="17.15" hidden="false" customHeight="false" outlineLevel="0" collapsed="false">
      <c r="A18" s="0" t="s">
        <v>72</v>
      </c>
      <c r="B18" s="0" t="s">
        <v>73</v>
      </c>
      <c r="C18" s="5" t="s">
        <v>30</v>
      </c>
      <c r="E18" s="7" t="n">
        <v>0</v>
      </c>
      <c r="G18" s="8" t="s">
        <v>31</v>
      </c>
      <c r="H18" s="8" t="s">
        <v>74</v>
      </c>
      <c r="I18" s="5" t="s">
        <v>33</v>
      </c>
    </row>
    <row r="19" customFormat="false" ht="17.15" hidden="false" customHeight="false" outlineLevel="0" collapsed="false">
      <c r="A19" s="0" t="s">
        <v>75</v>
      </c>
      <c r="B19" s="0" t="s">
        <v>76</v>
      </c>
      <c r="C19" s="5" t="s">
        <v>30</v>
      </c>
      <c r="E19" s="7" t="n">
        <v>0</v>
      </c>
      <c r="G19" s="8" t="s">
        <v>31</v>
      </c>
      <c r="H19" s="8" t="s">
        <v>77</v>
      </c>
      <c r="I19" s="5" t="s">
        <v>33</v>
      </c>
    </row>
    <row r="20" customFormat="false" ht="17.15" hidden="false" customHeight="false" outlineLevel="0" collapsed="false">
      <c r="A20" s="0" t="s">
        <v>78</v>
      </c>
      <c r="B20" s="0" t="s">
        <v>79</v>
      </c>
      <c r="C20" s="0" t="s">
        <v>42</v>
      </c>
      <c r="E20" s="7" t="n">
        <v>0</v>
      </c>
      <c r="G20" s="8" t="s">
        <v>31</v>
      </c>
      <c r="H20" s="8" t="s">
        <v>80</v>
      </c>
      <c r="I20" s="5" t="s">
        <v>44</v>
      </c>
    </row>
    <row r="21" customFormat="false" ht="17.15" hidden="false" customHeight="false" outlineLevel="0" collapsed="false">
      <c r="A21" s="0" t="s">
        <v>81</v>
      </c>
      <c r="B21" s="0" t="s">
        <v>82</v>
      </c>
      <c r="C21" s="5" t="s">
        <v>30</v>
      </c>
      <c r="E21" s="7" t="n">
        <v>0.75</v>
      </c>
      <c r="G21" s="8" t="s">
        <v>31</v>
      </c>
      <c r="H21" s="8" t="s">
        <v>83</v>
      </c>
      <c r="I21" s="5" t="s">
        <v>33</v>
      </c>
    </row>
    <row r="22" customFormat="false" ht="17.15" hidden="false" customHeight="false" outlineLevel="0" collapsed="false">
      <c r="A22" s="0" t="s">
        <v>84</v>
      </c>
      <c r="B22" s="0" t="s">
        <v>85</v>
      </c>
      <c r="C22" s="5" t="s">
        <v>30</v>
      </c>
      <c r="E22" s="7" t="n">
        <v>1.5</v>
      </c>
      <c r="G22" s="8" t="s">
        <v>31</v>
      </c>
      <c r="H22" s="8" t="s">
        <v>86</v>
      </c>
      <c r="I22" s="5" t="s">
        <v>33</v>
      </c>
    </row>
    <row r="23" customFormat="false" ht="17.15" hidden="false" customHeight="false" outlineLevel="0" collapsed="false">
      <c r="A23" s="0" t="s">
        <v>87</v>
      </c>
      <c r="B23" s="0" t="s">
        <v>88</v>
      </c>
      <c r="C23" s="5" t="s">
        <v>30</v>
      </c>
      <c r="E23" s="7" t="n">
        <v>2</v>
      </c>
      <c r="G23" s="8" t="s">
        <v>31</v>
      </c>
      <c r="H23" s="8" t="s">
        <v>89</v>
      </c>
      <c r="I23" s="5" t="s">
        <v>33</v>
      </c>
    </row>
    <row r="24" customFormat="false" ht="17.15" hidden="false" customHeight="false" outlineLevel="0" collapsed="false">
      <c r="A24" s="0" t="s">
        <v>90</v>
      </c>
      <c r="B24" s="0" t="s">
        <v>91</v>
      </c>
      <c r="C24" s="0" t="s">
        <v>42</v>
      </c>
      <c r="E24" s="7" t="n">
        <v>0.15</v>
      </c>
      <c r="G24" s="8" t="s">
        <v>31</v>
      </c>
      <c r="H24" s="8" t="s">
        <v>92</v>
      </c>
      <c r="I24" s="5" t="s">
        <v>44</v>
      </c>
    </row>
    <row r="25" customFormat="false" ht="17.15" hidden="false" customHeight="false" outlineLevel="0" collapsed="false">
      <c r="A25" s="0" t="s">
        <v>93</v>
      </c>
      <c r="B25" s="0" t="s">
        <v>94</v>
      </c>
      <c r="C25" s="5" t="s">
        <v>30</v>
      </c>
      <c r="E25" s="7" t="n">
        <v>3.85</v>
      </c>
      <c r="G25" s="8" t="s">
        <v>31</v>
      </c>
      <c r="H25" s="8" t="s">
        <v>95</v>
      </c>
      <c r="I25" s="5" t="s">
        <v>33</v>
      </c>
    </row>
    <row r="26" customFormat="false" ht="17.15" hidden="false" customHeight="false" outlineLevel="0" collapsed="false">
      <c r="A26" s="0" t="s">
        <v>96</v>
      </c>
      <c r="B26" s="0" t="s">
        <v>97</v>
      </c>
      <c r="C26" s="5" t="s">
        <v>30</v>
      </c>
      <c r="E26" s="7" t="n">
        <v>5.5</v>
      </c>
      <c r="G26" s="8" t="s">
        <v>31</v>
      </c>
      <c r="H26" s="8" t="s">
        <v>98</v>
      </c>
      <c r="I26" s="5" t="s">
        <v>33</v>
      </c>
    </row>
    <row r="27" customFormat="false" ht="17.15" hidden="false" customHeight="false" outlineLevel="0" collapsed="false">
      <c r="A27" s="0" t="s">
        <v>99</v>
      </c>
      <c r="B27" s="0" t="s">
        <v>100</v>
      </c>
      <c r="C27" s="5" t="s">
        <v>30</v>
      </c>
      <c r="E27" s="7" t="n">
        <v>7</v>
      </c>
      <c r="G27" s="8" t="s">
        <v>31</v>
      </c>
      <c r="H27" s="8" t="s">
        <v>101</v>
      </c>
      <c r="I27" s="5" t="s">
        <v>33</v>
      </c>
    </row>
    <row r="28" customFormat="false" ht="17.15" hidden="false" customHeight="false" outlineLevel="0" collapsed="false">
      <c r="A28" s="0" t="s">
        <v>102</v>
      </c>
      <c r="B28" s="0" t="s">
        <v>103</v>
      </c>
      <c r="C28" s="0" t="s">
        <v>42</v>
      </c>
      <c r="E28" s="7" t="n">
        <v>0.15</v>
      </c>
      <c r="G28" s="8" t="s">
        <v>31</v>
      </c>
      <c r="H28" s="8" t="s">
        <v>104</v>
      </c>
      <c r="I28" s="5" t="s">
        <v>44</v>
      </c>
    </row>
    <row r="29" customFormat="false" ht="17.15" hidden="false" customHeight="false" outlineLevel="0" collapsed="false">
      <c r="A29" s="0" t="s">
        <v>105</v>
      </c>
      <c r="B29" s="0" t="s">
        <v>106</v>
      </c>
      <c r="C29" s="5" t="s">
        <v>30</v>
      </c>
      <c r="E29" s="7" t="n">
        <v>2</v>
      </c>
      <c r="G29" s="8" t="s">
        <v>31</v>
      </c>
      <c r="H29" s="8" t="s">
        <v>107</v>
      </c>
      <c r="I29" s="5" t="s">
        <v>33</v>
      </c>
    </row>
    <row r="30" customFormat="false" ht="17.15" hidden="false" customHeight="false" outlineLevel="0" collapsed="false">
      <c r="A30" s="0" t="s">
        <v>108</v>
      </c>
      <c r="B30" s="0" t="s">
        <v>109</v>
      </c>
      <c r="C30" s="5" t="s">
        <v>30</v>
      </c>
      <c r="E30" s="7" t="n">
        <v>2.5</v>
      </c>
      <c r="G30" s="8" t="s">
        <v>31</v>
      </c>
      <c r="H30" s="8" t="s">
        <v>110</v>
      </c>
      <c r="I30" s="5" t="s">
        <v>33</v>
      </c>
    </row>
    <row r="31" customFormat="false" ht="17.15" hidden="false" customHeight="false" outlineLevel="0" collapsed="false">
      <c r="A31" s="0" t="s">
        <v>111</v>
      </c>
      <c r="B31" s="0" t="s">
        <v>112</v>
      </c>
      <c r="C31" s="5" t="s">
        <v>30</v>
      </c>
      <c r="E31" s="7" t="n">
        <v>3</v>
      </c>
      <c r="G31" s="8" t="s">
        <v>31</v>
      </c>
      <c r="H31" s="8" t="s">
        <v>113</v>
      </c>
      <c r="I31" s="5" t="s">
        <v>33</v>
      </c>
    </row>
    <row r="32" customFormat="false" ht="17.15" hidden="false" customHeight="false" outlineLevel="0" collapsed="false">
      <c r="A32" s="0" t="s">
        <v>114</v>
      </c>
      <c r="B32" s="0" t="s">
        <v>115</v>
      </c>
      <c r="C32" s="0" t="s">
        <v>42</v>
      </c>
      <c r="E32" s="7" t="n">
        <v>0.15</v>
      </c>
      <c r="G32" s="8" t="s">
        <v>31</v>
      </c>
      <c r="H32" s="8" t="s">
        <v>116</v>
      </c>
      <c r="I32" s="5" t="s">
        <v>44</v>
      </c>
    </row>
    <row r="33" customFormat="false" ht="17.15" hidden="false" customHeight="false" outlineLevel="0" collapsed="false">
      <c r="A33" s="0" t="s">
        <v>117</v>
      </c>
      <c r="B33" s="5" t="s">
        <v>118</v>
      </c>
      <c r="C33" s="5" t="s">
        <v>30</v>
      </c>
      <c r="E33" s="7" t="n">
        <v>1</v>
      </c>
      <c r="G33" s="8" t="s">
        <v>31</v>
      </c>
      <c r="H33" s="8" t="s">
        <v>119</v>
      </c>
      <c r="I33" s="5" t="s">
        <v>33</v>
      </c>
    </row>
    <row r="34" customFormat="false" ht="17.15" hidden="false" customHeight="false" outlineLevel="0" collapsed="false">
      <c r="A34" s="0" t="s">
        <v>120</v>
      </c>
      <c r="B34" s="5" t="s">
        <v>121</v>
      </c>
      <c r="C34" s="5" t="s">
        <v>30</v>
      </c>
      <c r="E34" s="7" t="n">
        <v>4.5</v>
      </c>
      <c r="G34" s="8" t="s">
        <v>31</v>
      </c>
      <c r="H34" s="8" t="s">
        <v>122</v>
      </c>
      <c r="I34" s="5" t="s">
        <v>33</v>
      </c>
    </row>
    <row r="35" customFormat="false" ht="17.15" hidden="false" customHeight="false" outlineLevel="0" collapsed="false">
      <c r="A35" s="0" t="s">
        <v>123</v>
      </c>
      <c r="B35" s="5" t="s">
        <v>124</v>
      </c>
      <c r="C35" s="5" t="s">
        <v>30</v>
      </c>
      <c r="E35" s="7" t="n">
        <v>5</v>
      </c>
      <c r="G35" s="8" t="s">
        <v>31</v>
      </c>
      <c r="H35" s="8" t="s">
        <v>125</v>
      </c>
      <c r="I35" s="5" t="s">
        <v>33</v>
      </c>
    </row>
    <row r="36" customFormat="false" ht="17.15" hidden="false" customHeight="false" outlineLevel="0" collapsed="false">
      <c r="A36" s="0" t="s">
        <v>126</v>
      </c>
      <c r="B36" s="5" t="s">
        <v>127</v>
      </c>
      <c r="C36" s="0" t="s">
        <v>42</v>
      </c>
      <c r="E36" s="7" t="n">
        <v>0.15</v>
      </c>
      <c r="G36" s="8" t="s">
        <v>31</v>
      </c>
      <c r="H36" s="8" t="s">
        <v>128</v>
      </c>
      <c r="I36" s="5" t="s">
        <v>44</v>
      </c>
    </row>
    <row r="37" customFormat="false" ht="17.15" hidden="false" customHeight="false" outlineLevel="0" collapsed="false">
      <c r="A37" s="0" t="s">
        <v>129</v>
      </c>
      <c r="B37" s="0" t="s">
        <v>130</v>
      </c>
      <c r="C37" s="0" t="s">
        <v>131</v>
      </c>
      <c r="E37" s="7" t="n">
        <v>781.872916666667</v>
      </c>
      <c r="G37" s="8" t="s">
        <v>31</v>
      </c>
      <c r="H37" s="8" t="s">
        <v>132</v>
      </c>
      <c r="I37" s="8" t="s">
        <v>133</v>
      </c>
    </row>
    <row r="38" customFormat="false" ht="17.15" hidden="false" customHeight="false" outlineLevel="0" collapsed="false">
      <c r="A38" s="0" t="s">
        <v>134</v>
      </c>
      <c r="B38" s="0" t="s">
        <v>135</v>
      </c>
      <c r="C38" s="0" t="s">
        <v>131</v>
      </c>
      <c r="E38" s="7" t="n">
        <v>1565.35</v>
      </c>
      <c r="G38" s="8" t="s">
        <v>31</v>
      </c>
      <c r="H38" s="8" t="s">
        <v>132</v>
      </c>
      <c r="I38" s="5" t="s">
        <v>44</v>
      </c>
    </row>
    <row r="39" customFormat="false" ht="17.15" hidden="false" customHeight="false" outlineLevel="0" collapsed="false">
      <c r="A39" s="0" t="s">
        <v>136</v>
      </c>
      <c r="B39" s="0" t="s">
        <v>137</v>
      </c>
      <c r="C39" s="0" t="s">
        <v>131</v>
      </c>
      <c r="E39" s="7" t="n">
        <v>1984.26388888889</v>
      </c>
      <c r="G39" s="8" t="s">
        <v>31</v>
      </c>
      <c r="H39" s="8" t="s">
        <v>132</v>
      </c>
      <c r="I39" s="5" t="s">
        <v>44</v>
      </c>
    </row>
    <row r="40" customFormat="false" ht="17.15" hidden="false" customHeight="false" outlineLevel="0" collapsed="false">
      <c r="A40" s="0" t="s">
        <v>138</v>
      </c>
      <c r="B40" s="0" t="s">
        <v>139</v>
      </c>
      <c r="C40" s="0" t="s">
        <v>131</v>
      </c>
      <c r="E40" s="7" t="n">
        <v>2260.39027777778</v>
      </c>
      <c r="G40" s="8" t="s">
        <v>31</v>
      </c>
      <c r="H40" s="8" t="s">
        <v>132</v>
      </c>
      <c r="I40" s="5" t="s">
        <v>44</v>
      </c>
    </row>
    <row r="41" customFormat="false" ht="17.15" hidden="false" customHeight="false" outlineLevel="0" collapsed="false">
      <c r="A41" s="0" t="s">
        <v>140</v>
      </c>
      <c r="B41" s="5" t="s">
        <v>141</v>
      </c>
      <c r="C41" s="0" t="s">
        <v>142</v>
      </c>
      <c r="E41" s="7" t="n">
        <v>1</v>
      </c>
      <c r="G41" s="8" t="s">
        <v>143</v>
      </c>
      <c r="H41" s="8" t="s">
        <v>144</v>
      </c>
      <c r="I41" s="8" t="s">
        <v>145</v>
      </c>
    </row>
    <row r="42" customFormat="false" ht="17.15" hidden="false" customHeight="false" outlineLevel="0" collapsed="false">
      <c r="A42" s="0" t="s">
        <v>146</v>
      </c>
      <c r="B42" s="5" t="s">
        <v>147</v>
      </c>
      <c r="C42" s="0" t="s">
        <v>142</v>
      </c>
      <c r="E42" s="7" t="n">
        <v>1</v>
      </c>
      <c r="G42" s="8" t="s">
        <v>143</v>
      </c>
      <c r="H42" s="8" t="s">
        <v>148</v>
      </c>
      <c r="I42" s="5" t="s">
        <v>44</v>
      </c>
    </row>
    <row r="43" customFormat="false" ht="17.15" hidden="false" customHeight="false" outlineLevel="0" collapsed="false">
      <c r="A43" s="0" t="s">
        <v>149</v>
      </c>
      <c r="B43" s="5" t="s">
        <v>150</v>
      </c>
      <c r="C43" s="0" t="s">
        <v>142</v>
      </c>
      <c r="E43" s="7" t="n">
        <v>0.8</v>
      </c>
      <c r="G43" s="8" t="s">
        <v>143</v>
      </c>
      <c r="H43" s="8" t="s">
        <v>151</v>
      </c>
      <c r="I43" s="8" t="s">
        <v>145</v>
      </c>
    </row>
    <row r="44" customFormat="false" ht="17.15" hidden="false" customHeight="false" outlineLevel="0" collapsed="false">
      <c r="A44" s="0" t="s">
        <v>152</v>
      </c>
      <c r="B44" s="5" t="s">
        <v>153</v>
      </c>
      <c r="C44" s="0" t="s">
        <v>142</v>
      </c>
      <c r="E44" s="7" t="n">
        <v>0.85</v>
      </c>
      <c r="G44" s="8" t="s">
        <v>143</v>
      </c>
      <c r="H44" s="8" t="s">
        <v>154</v>
      </c>
      <c r="I44" s="5" t="s">
        <v>44</v>
      </c>
    </row>
    <row r="45" customFormat="false" ht="17.15" hidden="false" customHeight="false" outlineLevel="0" collapsed="false">
      <c r="A45" s="0" t="s">
        <v>155</v>
      </c>
      <c r="B45" s="5" t="s">
        <v>156</v>
      </c>
      <c r="C45" s="0" t="s">
        <v>142</v>
      </c>
      <c r="E45" s="7" t="n">
        <v>0.6</v>
      </c>
      <c r="G45" s="8" t="s">
        <v>143</v>
      </c>
      <c r="H45" s="8" t="s">
        <v>157</v>
      </c>
      <c r="I45" s="8" t="s">
        <v>145</v>
      </c>
    </row>
    <row r="46" customFormat="false" ht="17.15" hidden="false" customHeight="false" outlineLevel="0" collapsed="false">
      <c r="A46" s="0" t="s">
        <v>158</v>
      </c>
      <c r="B46" s="5" t="s">
        <v>159</v>
      </c>
      <c r="C46" s="0" t="s">
        <v>142</v>
      </c>
      <c r="E46" s="7" t="n">
        <v>0.6</v>
      </c>
      <c r="G46" s="8" t="s">
        <v>143</v>
      </c>
      <c r="H46" s="8" t="s">
        <v>160</v>
      </c>
      <c r="I46" s="5" t="s">
        <v>44</v>
      </c>
    </row>
    <row r="47" customFormat="false" ht="17.15" hidden="false" customHeight="false" outlineLevel="0" collapsed="false">
      <c r="A47" s="1" t="s">
        <v>161</v>
      </c>
    </row>
    <row r="48" customFormat="false" ht="17.15" hidden="false" customHeight="false" outlineLevel="0" collapsed="false">
      <c r="A48" s="0" t="s">
        <v>162</v>
      </c>
      <c r="B48" s="5" t="s">
        <v>163</v>
      </c>
      <c r="C48" s="0" t="s">
        <v>142</v>
      </c>
      <c r="D48" s="7" t="n">
        <v>0.2</v>
      </c>
      <c r="E48" s="7" t="n">
        <v>0.4</v>
      </c>
      <c r="F48" s="7" t="n">
        <v>0.6</v>
      </c>
      <c r="G48" s="8" t="s">
        <v>143</v>
      </c>
      <c r="H48" s="5" t="s">
        <v>164</v>
      </c>
      <c r="I48" s="8" t="s">
        <v>165</v>
      </c>
    </row>
    <row r="49" customFormat="false" ht="17.15" hidden="false" customHeight="false" outlineLevel="0" collapsed="false">
      <c r="A49" s="0" t="s">
        <v>166</v>
      </c>
      <c r="B49" s="0" t="s">
        <v>167</v>
      </c>
      <c r="C49" s="0" t="s">
        <v>42</v>
      </c>
      <c r="D49" s="7" t="n">
        <v>0.55</v>
      </c>
      <c r="E49" s="7" t="n">
        <v>0.65</v>
      </c>
      <c r="F49" s="7" t="n">
        <v>0.75</v>
      </c>
      <c r="G49" s="8" t="s">
        <v>143</v>
      </c>
      <c r="H49" s="5" t="s">
        <v>168</v>
      </c>
      <c r="I49" s="8" t="s">
        <v>169</v>
      </c>
    </row>
    <row r="50" customFormat="false" ht="17.15" hidden="false" customHeight="false" outlineLevel="0" collapsed="false">
      <c r="A50" s="0" t="s">
        <v>170</v>
      </c>
      <c r="B50" s="5" t="s">
        <v>171</v>
      </c>
      <c r="C50" s="0" t="s">
        <v>42</v>
      </c>
      <c r="D50" s="7" t="n">
        <v>0.1</v>
      </c>
      <c r="E50" s="7" t="n">
        <v>0.18</v>
      </c>
      <c r="F50" s="7" t="n">
        <v>0.22</v>
      </c>
      <c r="G50" s="8" t="s">
        <v>172</v>
      </c>
      <c r="H50" s="8" t="s">
        <v>173</v>
      </c>
      <c r="I50" s="8" t="s">
        <v>174</v>
      </c>
    </row>
    <row r="51" customFormat="false" ht="17.15" hidden="false" customHeight="false" outlineLevel="0" collapsed="false">
      <c r="A51" s="0" t="s">
        <v>175</v>
      </c>
      <c r="B51" s="0" t="s">
        <v>176</v>
      </c>
      <c r="C51" s="0" t="s">
        <v>142</v>
      </c>
      <c r="D51" s="7" t="n">
        <v>0.85</v>
      </c>
      <c r="E51" s="7" t="n">
        <v>0.95</v>
      </c>
      <c r="F51" s="7" t="n">
        <v>1</v>
      </c>
      <c r="G51" s="8" t="s">
        <v>143</v>
      </c>
      <c r="H51" s="5" t="s">
        <v>177</v>
      </c>
      <c r="I51" s="5" t="s">
        <v>178</v>
      </c>
    </row>
    <row r="52" customFormat="false" ht="17.15" hidden="false" customHeight="false" outlineLevel="0" collapsed="false">
      <c r="A52" s="0" t="s">
        <v>179</v>
      </c>
      <c r="B52" s="0" t="s">
        <v>180</v>
      </c>
      <c r="C52" s="0" t="s">
        <v>142</v>
      </c>
      <c r="D52" s="7" t="n">
        <v>0.75</v>
      </c>
      <c r="E52" s="7" t="n">
        <v>0.88</v>
      </c>
      <c r="F52" s="7" t="n">
        <v>1</v>
      </c>
      <c r="G52" s="8" t="s">
        <v>143</v>
      </c>
      <c r="H52" s="5" t="s">
        <v>181</v>
      </c>
      <c r="I52" s="8" t="s">
        <v>182</v>
      </c>
    </row>
    <row r="53" customFormat="false" ht="17.15" hidden="false" customHeight="false" outlineLevel="0" collapsed="false">
      <c r="A53" s="0" t="s">
        <v>183</v>
      </c>
      <c r="B53" s="0" t="s">
        <v>184</v>
      </c>
      <c r="C53" s="0" t="s">
        <v>142</v>
      </c>
      <c r="D53" s="7" t="n">
        <v>0.7</v>
      </c>
      <c r="E53" s="7" t="n">
        <v>0.85</v>
      </c>
      <c r="F53" s="7" t="n">
        <v>1</v>
      </c>
      <c r="G53" s="8" t="s">
        <v>143</v>
      </c>
      <c r="H53" s="5" t="s">
        <v>44</v>
      </c>
      <c r="I53" s="8" t="s">
        <v>182</v>
      </c>
    </row>
    <row r="54" customFormat="false" ht="17.15" hidden="false" customHeight="false" outlineLevel="0" collapsed="false">
      <c r="A54" s="1" t="s">
        <v>185</v>
      </c>
    </row>
    <row r="55" customFormat="false" ht="17.15" hidden="false" customHeight="false" outlineLevel="0" collapsed="false">
      <c r="A55" s="0" t="s">
        <v>186</v>
      </c>
      <c r="B55" s="5" t="s">
        <v>187</v>
      </c>
      <c r="C55" s="0" t="s">
        <v>142</v>
      </c>
      <c r="D55" s="7" t="n">
        <v>0.95</v>
      </c>
      <c r="E55" s="7" t="n">
        <v>1</v>
      </c>
      <c r="F55" s="7" t="n">
        <v>1.05</v>
      </c>
      <c r="G55" s="8" t="s">
        <v>143</v>
      </c>
      <c r="H55" s="8" t="s">
        <v>188</v>
      </c>
      <c r="I55" s="8" t="s">
        <v>189</v>
      </c>
    </row>
    <row r="56" customFormat="false" ht="17.15" hidden="false" customHeight="false" outlineLevel="0" collapsed="false">
      <c r="A56" s="0" t="s">
        <v>190</v>
      </c>
      <c r="B56" s="5" t="s">
        <v>191</v>
      </c>
      <c r="C56" s="0" t="s">
        <v>142</v>
      </c>
      <c r="D56" s="7" t="n">
        <v>0.85</v>
      </c>
      <c r="E56" s="7" t="n">
        <v>0.95</v>
      </c>
      <c r="F56" s="7" t="n">
        <v>1.05</v>
      </c>
      <c r="G56" s="8" t="s">
        <v>143</v>
      </c>
      <c r="H56" s="8" t="s">
        <v>192</v>
      </c>
      <c r="I56" s="5" t="s">
        <v>193</v>
      </c>
    </row>
    <row r="57" customFormat="false" ht="17.15" hidden="false" customHeight="false" outlineLevel="0" collapsed="false">
      <c r="A57" s="0" t="s">
        <v>194</v>
      </c>
      <c r="B57" s="5" t="s">
        <v>195</v>
      </c>
      <c r="C57" s="0" t="s">
        <v>142</v>
      </c>
      <c r="D57" s="7" t="n">
        <v>0.75</v>
      </c>
      <c r="E57" s="7" t="n">
        <v>0.9</v>
      </c>
      <c r="F57" s="7" t="n">
        <v>1</v>
      </c>
      <c r="G57" s="8" t="s">
        <v>143</v>
      </c>
      <c r="H57" s="5" t="s">
        <v>196</v>
      </c>
      <c r="I57" s="8" t="s">
        <v>182</v>
      </c>
    </row>
    <row r="58" customFormat="false" ht="17.15" hidden="false" customHeight="false" outlineLevel="0" collapsed="false">
      <c r="A58" s="0" t="s">
        <v>197</v>
      </c>
      <c r="B58" s="5" t="s">
        <v>198</v>
      </c>
      <c r="C58" s="0" t="s">
        <v>42</v>
      </c>
      <c r="D58" s="7" t="n">
        <v>0.1</v>
      </c>
      <c r="E58" s="7" t="n">
        <v>0.15</v>
      </c>
      <c r="F58" s="7" t="n">
        <v>0.2</v>
      </c>
      <c r="G58" s="8" t="s">
        <v>143</v>
      </c>
      <c r="H58" s="8" t="s">
        <v>199</v>
      </c>
      <c r="I58" s="8" t="s">
        <v>200</v>
      </c>
    </row>
    <row r="59" customFormat="false" ht="17.15" hidden="false" customHeight="false" outlineLevel="0" collapsed="false">
      <c r="A59" s="0" t="s">
        <v>201</v>
      </c>
      <c r="B59" s="5" t="s">
        <v>202</v>
      </c>
      <c r="C59" s="0" t="s">
        <v>42</v>
      </c>
      <c r="D59" s="7" t="n">
        <v>0</v>
      </c>
      <c r="E59" s="7" t="n">
        <v>0.05</v>
      </c>
      <c r="F59" s="7" t="n">
        <v>0.1</v>
      </c>
      <c r="G59" s="8" t="s">
        <v>143</v>
      </c>
      <c r="H59" s="8" t="s">
        <v>203</v>
      </c>
      <c r="I59" s="8" t="s">
        <v>204</v>
      </c>
    </row>
    <row r="60" customFormat="false" ht="17.15" hidden="false" customHeight="false" outlineLevel="0" collapsed="false">
      <c r="A60" s="1" t="s">
        <v>205</v>
      </c>
    </row>
    <row r="61" customFormat="false" ht="17.15" hidden="false" customHeight="false" outlineLevel="0" collapsed="false">
      <c r="A61" s="0" t="s">
        <v>206</v>
      </c>
      <c r="B61" s="5" t="s">
        <v>207</v>
      </c>
      <c r="C61" s="0" t="s">
        <v>42</v>
      </c>
      <c r="D61" s="7" t="n">
        <v>-0.05</v>
      </c>
      <c r="E61" s="7" t="n">
        <v>0</v>
      </c>
      <c r="F61" s="7" t="n">
        <v>0.03</v>
      </c>
      <c r="G61" s="8" t="s">
        <v>143</v>
      </c>
      <c r="H61" s="8" t="s">
        <v>208</v>
      </c>
      <c r="I61" s="8" t="s">
        <v>209</v>
      </c>
    </row>
    <row r="62" customFormat="false" ht="17.15" hidden="false" customHeight="false" outlineLevel="0" collapsed="false">
      <c r="A62" s="0" t="s">
        <v>210</v>
      </c>
      <c r="B62" s="5" t="s">
        <v>211</v>
      </c>
      <c r="C62" s="0" t="s">
        <v>42</v>
      </c>
      <c r="D62" s="7" t="n">
        <v>0.05</v>
      </c>
      <c r="E62" s="7" t="n">
        <v>0.077</v>
      </c>
      <c r="F62" s="7" t="n">
        <v>0.1</v>
      </c>
      <c r="G62" s="8" t="s">
        <v>31</v>
      </c>
      <c r="H62" s="8" t="s">
        <v>212</v>
      </c>
      <c r="I62" s="8" t="s">
        <v>213</v>
      </c>
    </row>
    <row r="63" customFormat="false" ht="17.15" hidden="false" customHeight="false" outlineLevel="0" collapsed="false">
      <c r="A63" s="0" t="s">
        <v>214</v>
      </c>
      <c r="B63" s="5" t="s">
        <v>215</v>
      </c>
      <c r="C63" s="0" t="s">
        <v>42</v>
      </c>
      <c r="D63" s="7" t="n">
        <v>0</v>
      </c>
      <c r="E63" s="7" t="n">
        <v>0.03</v>
      </c>
      <c r="F63" s="7" t="n">
        <v>0.05</v>
      </c>
      <c r="G63" s="8" t="s">
        <v>143</v>
      </c>
      <c r="H63" s="8" t="s">
        <v>216</v>
      </c>
      <c r="I63" s="8" t="s">
        <v>217</v>
      </c>
    </row>
    <row r="64" customFormat="false" ht="17.15" hidden="false" customHeight="false" outlineLevel="0" collapsed="false">
      <c r="A64" s="0" t="s">
        <v>218</v>
      </c>
      <c r="B64" s="5" t="s">
        <v>219</v>
      </c>
      <c r="C64" s="0" t="s">
        <v>42</v>
      </c>
      <c r="D64" s="7" t="n">
        <v>0.09</v>
      </c>
      <c r="E64" s="7" t="n">
        <v>0.115</v>
      </c>
      <c r="F64" s="7" t="n">
        <v>0.13</v>
      </c>
      <c r="G64" s="8" t="s">
        <v>31</v>
      </c>
      <c r="H64" s="8" t="s">
        <v>220</v>
      </c>
      <c r="I64" s="8" t="s">
        <v>221</v>
      </c>
    </row>
    <row r="65" customFormat="false" ht="17.15" hidden="false" customHeight="false" outlineLevel="0" collapsed="false">
      <c r="A65" s="0" t="s">
        <v>222</v>
      </c>
      <c r="B65" s="5" t="s">
        <v>223</v>
      </c>
      <c r="C65" s="0" t="s">
        <v>142</v>
      </c>
      <c r="D65" s="7" t="n">
        <v>0.62</v>
      </c>
      <c r="E65" s="7" t="n">
        <v>0.661</v>
      </c>
      <c r="F65" s="7" t="n">
        <v>0.7</v>
      </c>
      <c r="G65" s="8" t="s">
        <v>31</v>
      </c>
      <c r="H65" s="8" t="s">
        <v>224</v>
      </c>
      <c r="I65" s="8" t="s">
        <v>225</v>
      </c>
    </row>
    <row r="66" customFormat="false" ht="17.15" hidden="false" customHeight="false" outlineLevel="0" collapsed="false">
      <c r="A66" s="0" t="s">
        <v>226</v>
      </c>
      <c r="B66" s="5" t="s">
        <v>227</v>
      </c>
      <c r="C66" s="0" t="s">
        <v>42</v>
      </c>
      <c r="D66" s="7" t="n">
        <v>0</v>
      </c>
      <c r="E66" s="7" t="n">
        <v>0</v>
      </c>
      <c r="F66" s="7" t="n">
        <v>0.03</v>
      </c>
      <c r="G66" s="8" t="s">
        <v>143</v>
      </c>
      <c r="H66" s="8" t="s">
        <v>228</v>
      </c>
      <c r="I66" s="8" t="s">
        <v>229</v>
      </c>
    </row>
    <row r="67" customFormat="false" ht="17.15" hidden="false" customHeight="false" outlineLevel="0" collapsed="false">
      <c r="A67" s="0" t="s">
        <v>230</v>
      </c>
      <c r="B67" s="5" t="s">
        <v>231</v>
      </c>
      <c r="C67" s="0" t="s">
        <v>232</v>
      </c>
      <c r="E67" s="7" t="n">
        <v>152</v>
      </c>
      <c r="G67" s="8" t="s">
        <v>233</v>
      </c>
      <c r="H67" s="5" t="s">
        <v>234</v>
      </c>
      <c r="I67" s="8" t="s">
        <v>182</v>
      </c>
    </row>
    <row r="68" customFormat="false" ht="17.15" hidden="false" customHeight="false" outlineLevel="0" collapsed="false">
      <c r="A68" s="1" t="s">
        <v>235</v>
      </c>
    </row>
    <row r="69" customFormat="false" ht="17.15" hidden="false" customHeight="false" outlineLevel="0" collapsed="false">
      <c r="A69" s="0" t="s">
        <v>236</v>
      </c>
      <c r="B69" s="0" t="s">
        <v>237</v>
      </c>
      <c r="C69" s="0" t="s">
        <v>238</v>
      </c>
      <c r="E69" s="7" t="n">
        <v>550</v>
      </c>
      <c r="G69" s="8" t="s">
        <v>233</v>
      </c>
      <c r="H69" s="5" t="s">
        <v>239</v>
      </c>
      <c r="I69" s="8" t="s">
        <v>240</v>
      </c>
    </row>
    <row r="70" customFormat="false" ht="17.15" hidden="false" customHeight="false" outlineLevel="0" collapsed="false">
      <c r="A70" s="0" t="s">
        <v>241</v>
      </c>
      <c r="B70" s="0" t="s">
        <v>242</v>
      </c>
      <c r="C70" s="0" t="s">
        <v>238</v>
      </c>
      <c r="E70" s="7" t="n">
        <v>375</v>
      </c>
      <c r="G70" s="8" t="s">
        <v>233</v>
      </c>
      <c r="H70" s="5" t="s">
        <v>239</v>
      </c>
      <c r="I70" s="8" t="s">
        <v>243</v>
      </c>
    </row>
    <row r="71" customFormat="false" ht="17.15" hidden="false" customHeight="false" outlineLevel="0" collapsed="false">
      <c r="A71" s="0" t="s">
        <v>244</v>
      </c>
      <c r="B71" s="0" t="s">
        <v>245</v>
      </c>
      <c r="C71" s="0" t="s">
        <v>238</v>
      </c>
      <c r="E71" s="7" t="n">
        <v>110</v>
      </c>
      <c r="G71" s="8" t="s">
        <v>233</v>
      </c>
      <c r="H71" s="5" t="s">
        <v>239</v>
      </c>
      <c r="I71" s="8" t="s">
        <v>246</v>
      </c>
    </row>
    <row r="72" customFormat="false" ht="17.15" hidden="false" customHeight="false" outlineLevel="0" collapsed="false">
      <c r="A72" s="0" t="s">
        <v>247</v>
      </c>
      <c r="B72" s="0" t="s">
        <v>248</v>
      </c>
      <c r="C72" s="0" t="s">
        <v>238</v>
      </c>
      <c r="E72" s="7" t="n">
        <v>84</v>
      </c>
      <c r="G72" s="8" t="s">
        <v>233</v>
      </c>
      <c r="H72" s="5" t="s">
        <v>239</v>
      </c>
      <c r="I72" s="8" t="s">
        <v>182</v>
      </c>
    </row>
    <row r="73" customFormat="false" ht="17.15" hidden="false" customHeight="false" outlineLevel="0" collapsed="false">
      <c r="A73" s="0" t="s">
        <v>249</v>
      </c>
      <c r="B73" s="0" t="s">
        <v>250</v>
      </c>
      <c r="C73" s="0" t="s">
        <v>238</v>
      </c>
      <c r="E73" s="7" t="n">
        <v>6.5</v>
      </c>
      <c r="G73" s="8" t="s">
        <v>233</v>
      </c>
      <c r="H73" s="5" t="s">
        <v>239</v>
      </c>
      <c r="I73" s="8" t="s">
        <v>182</v>
      </c>
    </row>
    <row r="74" customFormat="false" ht="17.15" hidden="false" customHeight="false" outlineLevel="0" collapsed="false">
      <c r="A74" s="0" t="s">
        <v>251</v>
      </c>
      <c r="B74" s="0" t="s">
        <v>252</v>
      </c>
      <c r="C74" s="0" t="s">
        <v>238</v>
      </c>
      <c r="E74" s="7" t="n">
        <v>91</v>
      </c>
      <c r="G74" s="8" t="s">
        <v>233</v>
      </c>
      <c r="H74" s="5" t="s">
        <v>239</v>
      </c>
      <c r="I74" s="8" t="s">
        <v>182</v>
      </c>
    </row>
    <row r="75" customFormat="false" ht="17.15" hidden="false" customHeight="false" outlineLevel="0" collapsed="false">
      <c r="A75" s="0" t="s">
        <v>253</v>
      </c>
      <c r="B75" s="0" t="s">
        <v>254</v>
      </c>
      <c r="C75" s="0" t="s">
        <v>238</v>
      </c>
      <c r="E75" s="7" t="n">
        <v>10.5</v>
      </c>
      <c r="G75" s="8" t="s">
        <v>233</v>
      </c>
      <c r="H75" s="5" t="s">
        <v>239</v>
      </c>
      <c r="I75" s="8" t="s">
        <v>182</v>
      </c>
    </row>
    <row r="76" customFormat="false" ht="17.15" hidden="false" customHeight="false" outlineLevel="0" collapsed="false">
      <c r="A76" s="0" t="s">
        <v>255</v>
      </c>
      <c r="B76" s="0" t="s">
        <v>256</v>
      </c>
      <c r="C76" s="0" t="s">
        <v>238</v>
      </c>
      <c r="E76" s="7" t="n">
        <v>127</v>
      </c>
      <c r="G76" s="8" t="s">
        <v>233</v>
      </c>
      <c r="H76" s="5" t="s">
        <v>239</v>
      </c>
      <c r="I76" s="8" t="s">
        <v>257</v>
      </c>
    </row>
    <row r="77" customFormat="false" ht="17.15" hidden="false" customHeight="false" outlineLevel="0" collapsed="false">
      <c r="A77" s="0" t="s">
        <v>258</v>
      </c>
      <c r="B77" s="0" t="s">
        <v>259</v>
      </c>
      <c r="C77" s="0" t="s">
        <v>238</v>
      </c>
      <c r="E77" s="7" t="n">
        <v>84</v>
      </c>
      <c r="G77" s="8" t="s">
        <v>233</v>
      </c>
      <c r="H77" s="5" t="s">
        <v>239</v>
      </c>
      <c r="I77" s="8" t="s">
        <v>260</v>
      </c>
    </row>
    <row r="78" customFormat="false" ht="17.15" hidden="false" customHeight="false" outlineLevel="0" collapsed="false">
      <c r="A78" s="0" t="s">
        <v>261</v>
      </c>
      <c r="B78" s="0" t="s">
        <v>262</v>
      </c>
      <c r="C78" s="0" t="s">
        <v>263</v>
      </c>
      <c r="E78" s="7" t="n">
        <v>149.68</v>
      </c>
      <c r="G78" s="8" t="s">
        <v>233</v>
      </c>
      <c r="H78" s="8" t="s">
        <v>264</v>
      </c>
      <c r="I78" s="8" t="s">
        <v>182</v>
      </c>
    </row>
    <row r="79" customFormat="false" ht="17.15" hidden="false" customHeight="false" outlineLevel="0" collapsed="false">
      <c r="A79" s="1" t="s">
        <v>265</v>
      </c>
    </row>
    <row r="80" customFormat="false" ht="17.15" hidden="false" customHeight="false" outlineLevel="0" collapsed="false">
      <c r="A80" s="0" t="s">
        <v>266</v>
      </c>
      <c r="B80" s="0" t="s">
        <v>267</v>
      </c>
      <c r="C80" s="0" t="s">
        <v>238</v>
      </c>
      <c r="E80" s="7" t="n">
        <v>416.201</v>
      </c>
      <c r="G80" s="8" t="s">
        <v>268</v>
      </c>
      <c r="H80" s="5" t="s">
        <v>269</v>
      </c>
      <c r="I80" s="8" t="s">
        <v>270</v>
      </c>
    </row>
    <row r="81" customFormat="false" ht="17.15" hidden="false" customHeight="false" outlineLevel="0" collapsed="false">
      <c r="A81" s="0" t="s">
        <v>271</v>
      </c>
      <c r="B81" s="0" t="s">
        <v>272</v>
      </c>
      <c r="C81" s="0" t="s">
        <v>238</v>
      </c>
      <c r="E81" s="7" t="n">
        <v>243.316</v>
      </c>
      <c r="G81" s="8" t="s">
        <v>268</v>
      </c>
      <c r="H81" s="5" t="s">
        <v>269</v>
      </c>
      <c r="I81" s="8" t="s">
        <v>270</v>
      </c>
    </row>
    <row r="82" customFormat="false" ht="17.15" hidden="false" customHeight="false" outlineLevel="0" collapsed="false">
      <c r="A82" s="0" t="s">
        <v>273</v>
      </c>
      <c r="B82" s="0" t="s">
        <v>274</v>
      </c>
      <c r="C82" s="0" t="s">
        <v>238</v>
      </c>
      <c r="E82" s="7" t="n">
        <v>45.248</v>
      </c>
      <c r="G82" s="8" t="s">
        <v>268</v>
      </c>
      <c r="H82" s="5" t="s">
        <v>269</v>
      </c>
      <c r="I82" s="8" t="s">
        <v>182</v>
      </c>
    </row>
    <row r="83" customFormat="false" ht="17.15" hidden="false" customHeight="false" outlineLevel="0" collapsed="false">
      <c r="A83" s="0" t="s">
        <v>275</v>
      </c>
      <c r="B83" s="0" t="s">
        <v>276</v>
      </c>
      <c r="C83" s="0" t="s">
        <v>238</v>
      </c>
      <c r="E83" s="7" t="n">
        <v>82.554</v>
      </c>
      <c r="G83" s="8" t="s">
        <v>268</v>
      </c>
      <c r="H83" s="5" t="s">
        <v>269</v>
      </c>
      <c r="I83" s="8" t="s">
        <v>182</v>
      </c>
    </row>
    <row r="84" customFormat="false" ht="17.15" hidden="false" customHeight="false" outlineLevel="0" collapsed="false">
      <c r="A84" s="0" t="s">
        <v>277</v>
      </c>
      <c r="B84" s="0" t="s">
        <v>278</v>
      </c>
      <c r="C84" s="0" t="s">
        <v>238</v>
      </c>
      <c r="E84" s="7" t="n">
        <v>7.646</v>
      </c>
      <c r="G84" s="8" t="s">
        <v>268</v>
      </c>
      <c r="H84" s="5" t="s">
        <v>269</v>
      </c>
      <c r="I84" s="8" t="s">
        <v>182</v>
      </c>
    </row>
    <row r="85" customFormat="false" ht="17.15" hidden="false" customHeight="false" outlineLevel="0" collapsed="false">
      <c r="A85" s="0" t="s">
        <v>279</v>
      </c>
      <c r="B85" s="0" t="s">
        <v>280</v>
      </c>
      <c r="C85" s="0" t="s">
        <v>238</v>
      </c>
      <c r="E85" s="7" t="n">
        <v>90.33</v>
      </c>
      <c r="G85" s="8" t="s">
        <v>268</v>
      </c>
      <c r="H85" s="5" t="s">
        <v>269</v>
      </c>
      <c r="I85" s="8" t="s">
        <v>182</v>
      </c>
    </row>
    <row r="86" customFormat="false" ht="17.15" hidden="false" customHeight="false" outlineLevel="0" collapsed="false">
      <c r="A86" s="0" t="s">
        <v>281</v>
      </c>
      <c r="B86" s="0" t="s">
        <v>282</v>
      </c>
      <c r="C86" s="0" t="s">
        <v>238</v>
      </c>
      <c r="E86" s="7" t="n">
        <v>8.964</v>
      </c>
      <c r="G86" s="8" t="s">
        <v>268</v>
      </c>
      <c r="H86" s="5" t="s">
        <v>269</v>
      </c>
      <c r="I86" s="8" t="s">
        <v>182</v>
      </c>
    </row>
    <row r="87" customFormat="false" ht="17.15" hidden="false" customHeight="false" outlineLevel="0" collapsed="false">
      <c r="A87" s="0" t="s">
        <v>283</v>
      </c>
      <c r="B87" s="0" t="s">
        <v>284</v>
      </c>
      <c r="C87" s="0" t="s">
        <v>238</v>
      </c>
      <c r="E87" s="7" t="n">
        <v>62.027</v>
      </c>
      <c r="G87" s="8" t="s">
        <v>268</v>
      </c>
      <c r="H87" s="5" t="s">
        <v>269</v>
      </c>
      <c r="I87" s="8" t="s">
        <v>270</v>
      </c>
    </row>
    <row r="88" customFormat="false" ht="17.15" hidden="false" customHeight="false" outlineLevel="0" collapsed="false">
      <c r="A88" s="0" t="s">
        <v>285</v>
      </c>
      <c r="B88" s="0" t="s">
        <v>286</v>
      </c>
      <c r="C88" s="0" t="s">
        <v>238</v>
      </c>
      <c r="E88" s="7" t="n">
        <v>131.668</v>
      </c>
      <c r="G88" s="8" t="s">
        <v>268</v>
      </c>
      <c r="H88" s="5" t="s">
        <v>269</v>
      </c>
      <c r="I88" s="8" t="s">
        <v>182</v>
      </c>
    </row>
    <row r="89" customFormat="false" ht="17.15" hidden="false" customHeight="false" outlineLevel="0" collapsed="false">
      <c r="A89" s="0" t="s">
        <v>287</v>
      </c>
      <c r="B89" s="0" t="s">
        <v>288</v>
      </c>
      <c r="C89" s="0" t="s">
        <v>238</v>
      </c>
      <c r="E89" s="7" t="n">
        <v>63.713</v>
      </c>
      <c r="G89" s="8" t="s">
        <v>268</v>
      </c>
      <c r="H89" s="5" t="s">
        <v>269</v>
      </c>
      <c r="I89" s="8" t="s">
        <v>182</v>
      </c>
    </row>
    <row r="90" customFormat="false" ht="17.15" hidden="false" customHeight="false" outlineLevel="0" collapsed="false">
      <c r="A90" s="0" t="s">
        <v>289</v>
      </c>
      <c r="B90" s="0" t="s">
        <v>290</v>
      </c>
      <c r="C90" s="0" t="s">
        <v>263</v>
      </c>
      <c r="E90" s="0" t="n">
        <f aca="false">228.16/2</f>
        <v>114.08</v>
      </c>
      <c r="G90" s="0" t="s">
        <v>31</v>
      </c>
      <c r="H90" s="5" t="s">
        <v>291</v>
      </c>
      <c r="I90" s="0" t="s">
        <v>292</v>
      </c>
    </row>
    <row r="91" customFormat="false" ht="17.15" hidden="false" customHeight="false" outlineLevel="0" collapsed="false">
      <c r="A91" s="1" t="s">
        <v>293</v>
      </c>
    </row>
    <row r="92" customFormat="false" ht="17.15" hidden="false" customHeight="false" outlineLevel="0" collapsed="false">
      <c r="A92" s="0" t="s">
        <v>294</v>
      </c>
      <c r="B92" s="5" t="s">
        <v>295</v>
      </c>
      <c r="C92" s="0" t="s">
        <v>263</v>
      </c>
      <c r="E92" s="7" t="n">
        <v>8512</v>
      </c>
      <c r="G92" s="8" t="s">
        <v>233</v>
      </c>
      <c r="H92" s="8" t="s">
        <v>296</v>
      </c>
      <c r="I92" s="8" t="s">
        <v>297</v>
      </c>
    </row>
    <row r="93" customFormat="false" ht="17.15" hidden="false" customHeight="false" outlineLevel="0" collapsed="false">
      <c r="A93" s="0" t="s">
        <v>298</v>
      </c>
      <c r="B93" s="5" t="s">
        <v>299</v>
      </c>
      <c r="C93" s="0" t="s">
        <v>142</v>
      </c>
      <c r="E93" s="7" t="n">
        <v>53.97</v>
      </c>
      <c r="G93" s="8" t="s">
        <v>233</v>
      </c>
      <c r="H93" s="8" t="s">
        <v>300</v>
      </c>
      <c r="I93" s="5" t="s">
        <v>301</v>
      </c>
    </row>
    <row r="94" customFormat="false" ht="17.15" hidden="false" customHeight="false" outlineLevel="0" collapsed="false">
      <c r="A94" s="0" t="s">
        <v>302</v>
      </c>
      <c r="B94" s="5" t="s">
        <v>303</v>
      </c>
      <c r="C94" s="0" t="s">
        <v>142</v>
      </c>
      <c r="E94" s="7" t="n">
        <v>83.85</v>
      </c>
      <c r="G94" s="8" t="s">
        <v>233</v>
      </c>
      <c r="H94" s="8" t="s">
        <v>304</v>
      </c>
      <c r="I94" s="8" t="s">
        <v>182</v>
      </c>
    </row>
    <row r="95" customFormat="false" ht="17.15" hidden="false" customHeight="false" outlineLevel="0" collapsed="false">
      <c r="A95" s="0" t="s">
        <v>305</v>
      </c>
      <c r="B95" s="0" t="s">
        <v>306</v>
      </c>
      <c r="C95" s="0" t="s">
        <v>142</v>
      </c>
      <c r="E95" s="7" t="n">
        <v>25</v>
      </c>
      <c r="G95" s="8" t="s">
        <v>143</v>
      </c>
      <c r="H95" s="5" t="s">
        <v>307</v>
      </c>
      <c r="I95" s="5" t="s">
        <v>308</v>
      </c>
    </row>
    <row r="96" customFormat="false" ht="17.15" hidden="false" customHeight="false" outlineLevel="0" collapsed="false">
      <c r="A96" s="0" t="s">
        <v>309</v>
      </c>
      <c r="B96" s="5" t="s">
        <v>310</v>
      </c>
      <c r="C96" s="0" t="s">
        <v>238</v>
      </c>
      <c r="E96" s="7" t="n">
        <v>1000</v>
      </c>
      <c r="G96" s="8" t="s">
        <v>233</v>
      </c>
      <c r="H96" s="8" t="s">
        <v>311</v>
      </c>
      <c r="I96" s="5" t="s">
        <v>301</v>
      </c>
    </row>
    <row r="97" customFormat="false" ht="17.15" hidden="false" customHeight="false" outlineLevel="0" collapsed="false">
      <c r="A97" s="0" t="s">
        <v>312</v>
      </c>
      <c r="B97" s="5" t="s">
        <v>313</v>
      </c>
      <c r="C97" s="0" t="s">
        <v>238</v>
      </c>
      <c r="E97" s="7" t="n">
        <v>300</v>
      </c>
      <c r="G97" s="8" t="s">
        <v>233</v>
      </c>
      <c r="H97" s="5" t="s">
        <v>44</v>
      </c>
      <c r="I97" s="5" t="s">
        <v>301</v>
      </c>
    </row>
    <row r="98" customFormat="false" ht="17.15" hidden="false" customHeight="false" outlineLevel="0" collapsed="false">
      <c r="A98" s="1" t="s">
        <v>314</v>
      </c>
    </row>
    <row r="99" customFormat="false" ht="17.15" hidden="false" customHeight="false" outlineLevel="0" collapsed="false">
      <c r="A99" s="0" t="s">
        <v>315</v>
      </c>
      <c r="B99" s="5" t="s">
        <v>316</v>
      </c>
      <c r="C99" s="0" t="s">
        <v>42</v>
      </c>
      <c r="E99" s="9" t="n">
        <v>0.3</v>
      </c>
      <c r="G99" s="8" t="s">
        <v>143</v>
      </c>
      <c r="H99" s="8" t="s">
        <v>317</v>
      </c>
      <c r="I99" s="5" t="s">
        <v>318</v>
      </c>
    </row>
    <row r="100" customFormat="false" ht="17.15" hidden="false" customHeight="false" outlineLevel="0" collapsed="false">
      <c r="A100" s="0" t="s">
        <v>319</v>
      </c>
      <c r="B100" s="5" t="s">
        <v>320</v>
      </c>
      <c r="C100" s="0" t="s">
        <v>42</v>
      </c>
      <c r="E100" s="9" t="n">
        <v>0.5</v>
      </c>
      <c r="G100" s="8" t="s">
        <v>143</v>
      </c>
      <c r="H100" s="8" t="s">
        <v>317</v>
      </c>
      <c r="I100" s="5" t="s">
        <v>318</v>
      </c>
    </row>
    <row r="101" customFormat="false" ht="17.15" hidden="false" customHeight="false" outlineLevel="0" collapsed="false">
      <c r="A101" s="0" t="s">
        <v>321</v>
      </c>
      <c r="B101" s="5" t="s">
        <v>322</v>
      </c>
      <c r="C101" s="0" t="s">
        <v>42</v>
      </c>
      <c r="E101" s="9" t="n">
        <v>0.2</v>
      </c>
      <c r="G101" s="8" t="s">
        <v>143</v>
      </c>
      <c r="H101" s="8" t="s">
        <v>317</v>
      </c>
      <c r="I101" s="5" t="s">
        <v>318</v>
      </c>
    </row>
    <row r="102" customFormat="false" ht="17.15" hidden="false" customHeight="false" outlineLevel="0" collapsed="false">
      <c r="A102" s="1" t="s">
        <v>323</v>
      </c>
    </row>
    <row r="103" customFormat="false" ht="17.15" hidden="false" customHeight="false" outlineLevel="0" collapsed="false">
      <c r="A103" s="0" t="s">
        <v>324</v>
      </c>
      <c r="B103" s="5" t="s">
        <v>325</v>
      </c>
      <c r="C103" s="0" t="s">
        <v>42</v>
      </c>
      <c r="E103" s="9" t="n">
        <v>0.1</v>
      </c>
      <c r="G103" s="8" t="s">
        <v>143</v>
      </c>
      <c r="H103" s="8" t="s">
        <v>326</v>
      </c>
      <c r="I103" s="8" t="s">
        <v>327</v>
      </c>
    </row>
    <row r="104" customFormat="false" ht="17.15" hidden="false" customHeight="false" outlineLevel="0" collapsed="false">
      <c r="A104" s="0" t="s">
        <v>328</v>
      </c>
      <c r="B104" s="5" t="s">
        <v>329</v>
      </c>
      <c r="C104" s="0" t="s">
        <v>42</v>
      </c>
      <c r="E104" s="9" t="n">
        <v>0.04</v>
      </c>
      <c r="G104" s="8" t="s">
        <v>143</v>
      </c>
      <c r="H104" s="8" t="s">
        <v>330</v>
      </c>
      <c r="I104" s="8" t="s">
        <v>331</v>
      </c>
    </row>
    <row r="105" customFormat="false" ht="17.15" hidden="false" customHeight="false" outlineLevel="0" collapsed="false">
      <c r="A105" s="0" t="s">
        <v>332</v>
      </c>
      <c r="B105" s="0" t="s">
        <v>333</v>
      </c>
      <c r="C105" s="0" t="s">
        <v>42</v>
      </c>
      <c r="E105" s="10" t="n">
        <f aca="false">AVERAGE(0.1217,0.0682,0.0685)</f>
        <v>0.0861333333333333</v>
      </c>
      <c r="G105" s="8" t="s">
        <v>31</v>
      </c>
      <c r="H105" s="8" t="s">
        <v>334</v>
      </c>
      <c r="I105" s="5" t="s">
        <v>335</v>
      </c>
    </row>
    <row r="106" customFormat="false" ht="17.15" hidden="false" customHeight="false" outlineLevel="0" collapsed="false">
      <c r="A106" s="0" t="s">
        <v>336</v>
      </c>
      <c r="B106" s="5" t="s">
        <v>337</v>
      </c>
      <c r="C106" s="0" t="s">
        <v>42</v>
      </c>
      <c r="E106" s="9" t="n">
        <v>0.5</v>
      </c>
      <c r="G106" s="8" t="s">
        <v>143</v>
      </c>
      <c r="H106" s="8" t="s">
        <v>338</v>
      </c>
      <c r="I106" s="8" t="s">
        <v>339</v>
      </c>
    </row>
    <row r="107" customFormat="false" ht="17.15" hidden="false" customHeight="false" outlineLevel="0" collapsed="false">
      <c r="A107" s="0" t="s">
        <v>340</v>
      </c>
      <c r="B107" s="5" t="s">
        <v>341</v>
      </c>
      <c r="C107" s="0" t="s">
        <v>42</v>
      </c>
      <c r="E107" s="10" t="n">
        <f aca="false">tp_g+0.02</f>
        <v>0.06</v>
      </c>
      <c r="G107" s="8" t="s">
        <v>143</v>
      </c>
      <c r="H107" s="5" t="s">
        <v>342</v>
      </c>
      <c r="I107" s="8" t="s">
        <v>343</v>
      </c>
    </row>
    <row r="108" customFormat="false" ht="17.15" hidden="false" customHeight="false" outlineLevel="0" collapsed="false">
      <c r="A108" s="0" t="s">
        <v>344</v>
      </c>
      <c r="B108" s="5" t="s">
        <v>345</v>
      </c>
      <c r="C108" s="0" t="s">
        <v>42</v>
      </c>
      <c r="E108" s="10" t="n">
        <f aca="false">tp_g</f>
        <v>0.04</v>
      </c>
      <c r="G108" s="8" t="s">
        <v>143</v>
      </c>
      <c r="H108" s="5" t="s">
        <v>44</v>
      </c>
      <c r="I108" s="8" t="s">
        <v>182</v>
      </c>
    </row>
    <row r="109" customFormat="false" ht="17.15" hidden="false" customHeight="false" outlineLevel="0" collapsed="false">
      <c r="A109" s="0" t="s">
        <v>346</v>
      </c>
      <c r="B109" s="5" t="s">
        <v>347</v>
      </c>
      <c r="C109" s="0" t="s">
        <v>42</v>
      </c>
      <c r="E109" s="10" t="n">
        <f aca="false">tp_g-0.02</f>
        <v>0.02</v>
      </c>
      <c r="G109" s="8" t="s">
        <v>143</v>
      </c>
      <c r="H109" s="5" t="s">
        <v>44</v>
      </c>
      <c r="I109" s="8" t="s">
        <v>182</v>
      </c>
    </row>
    <row r="110" customFormat="false" ht="17.15" hidden="false" customHeight="false" outlineLevel="0" collapsed="false">
      <c r="A110" s="0" t="s">
        <v>348</v>
      </c>
      <c r="B110" s="5" t="s">
        <v>349</v>
      </c>
      <c r="C110" s="0" t="s">
        <v>142</v>
      </c>
      <c r="E110" s="9" t="n">
        <v>0.8</v>
      </c>
      <c r="G110" s="8" t="s">
        <v>143</v>
      </c>
      <c r="H110" s="5" t="s">
        <v>350</v>
      </c>
      <c r="I110" s="5" t="s">
        <v>351</v>
      </c>
    </row>
    <row r="111" customFormat="false" ht="17.15" hidden="false" customHeight="false" outlineLevel="0" collapsed="false">
      <c r="A111" s="0" t="s">
        <v>352</v>
      </c>
      <c r="B111" s="5" t="s">
        <v>353</v>
      </c>
      <c r="C111" s="0" t="s">
        <v>263</v>
      </c>
      <c r="E111" s="7" t="n">
        <v>12432.35</v>
      </c>
      <c r="G111" s="8" t="s">
        <v>233</v>
      </c>
      <c r="H111" s="8" t="s">
        <v>354</v>
      </c>
      <c r="I111" s="5" t="s">
        <v>301</v>
      </c>
    </row>
    <row r="112" customFormat="false" ht="17.15" hidden="false" customHeight="false" outlineLevel="0" collapsed="false">
      <c r="A112" s="0" t="s">
        <v>355</v>
      </c>
      <c r="B112" s="5" t="s">
        <v>356</v>
      </c>
      <c r="C112" s="0" t="s">
        <v>263</v>
      </c>
      <c r="E112" s="0" t="n">
        <f aca="false">9764/53.97</f>
        <v>180.915323327775</v>
      </c>
      <c r="G112" s="0" t="s">
        <v>233</v>
      </c>
      <c r="H112" s="0" t="s">
        <v>357</v>
      </c>
      <c r="I112" s="5" t="s">
        <v>358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4" min="2" style="0" width="14"/>
    <col collapsed="false" customWidth="true" hidden="false" outlineLevel="0" max="5" min="5" style="0" width="26"/>
    <col collapsed="false" customWidth="true" hidden="false" outlineLevel="0" max="6" min="6" style="0" width="80"/>
  </cols>
  <sheetData>
    <row r="1" customFormat="false" ht="17.15" hidden="false" customHeight="false" outlineLevel="0" collapsed="false">
      <c r="A1" s="0" t="s">
        <v>359</v>
      </c>
    </row>
    <row r="2" customFormat="false" ht="17.15" hidden="false" customHeight="false" outlineLevel="0" collapsed="false">
      <c r="A2" s="5" t="s">
        <v>360</v>
      </c>
    </row>
    <row r="3" customFormat="false" ht="17.15" hidden="false" customHeight="false" outlineLevel="0" collapsed="false">
      <c r="A3" s="6" t="s">
        <v>19</v>
      </c>
      <c r="B3" s="11" t="s">
        <v>361</v>
      </c>
      <c r="C3" s="11" t="s">
        <v>362</v>
      </c>
      <c r="D3" s="6" t="s">
        <v>363</v>
      </c>
      <c r="E3" s="6" t="s">
        <v>24</v>
      </c>
      <c r="F3" s="6" t="s">
        <v>364</v>
      </c>
    </row>
    <row r="4" customFormat="false" ht="17.15" hidden="false" customHeight="false" outlineLevel="0" collapsed="false">
      <c r="A4" s="5" t="s">
        <v>365</v>
      </c>
      <c r="B4" s="12" t="n">
        <f aca="false">a_rev</f>
        <v>416.201</v>
      </c>
      <c r="C4" s="12" t="n">
        <f aca="false">f_rev</f>
        <v>550</v>
      </c>
      <c r="D4" s="13" t="n">
        <f aca="false">C4/B4-1</f>
        <v>0.321476882563953</v>
      </c>
      <c r="E4" s="8" t="s">
        <v>366</v>
      </c>
    </row>
    <row r="5" customFormat="false" ht="17.15" hidden="false" customHeight="false" outlineLevel="0" collapsed="false">
      <c r="A5" s="5" t="s">
        <v>367</v>
      </c>
      <c r="B5" s="12" t="n">
        <f aca="false">a_e</f>
        <v>243.316</v>
      </c>
      <c r="C5" s="12" t="n">
        <f aca="false">f_e</f>
        <v>375</v>
      </c>
      <c r="D5" s="13" t="n">
        <f aca="false">C5/B5-1</f>
        <v>0.541205674924789</v>
      </c>
      <c r="E5" s="8" t="s">
        <v>366</v>
      </c>
    </row>
    <row r="6" customFormat="false" ht="17.15" hidden="false" customHeight="false" outlineLevel="0" collapsed="false">
      <c r="A6" s="5" t="s">
        <v>368</v>
      </c>
      <c r="B6" s="12" t="n">
        <f aca="false">a_cer</f>
        <v>82.554</v>
      </c>
      <c r="C6" s="12" t="n">
        <f aca="false">f_cer</f>
        <v>84</v>
      </c>
      <c r="D6" s="13" t="n">
        <f aca="false">C6/B6-1</f>
        <v>0.0175158078348716</v>
      </c>
      <c r="E6" s="8" t="s">
        <v>366</v>
      </c>
    </row>
    <row r="7" customFormat="false" ht="17.15" hidden="false" customHeight="false" outlineLevel="0" collapsed="false">
      <c r="A7" s="5" t="s">
        <v>369</v>
      </c>
      <c r="B7" s="12" t="n">
        <f aca="false">a_oth</f>
        <v>90.33</v>
      </c>
      <c r="C7" s="12" t="n">
        <f aca="false">f_oth</f>
        <v>91</v>
      </c>
      <c r="D7" s="13" t="n">
        <f aca="false">C7/B7-1</f>
        <v>0.00741724786892517</v>
      </c>
      <c r="E7" s="8" t="s">
        <v>366</v>
      </c>
    </row>
    <row r="8" customFormat="false" ht="17.15" hidden="false" customHeight="false" outlineLevel="0" collapsed="false">
      <c r="A8" s="5" t="s">
        <v>370</v>
      </c>
      <c r="B8" s="12" t="n">
        <f aca="false">a_oi</f>
        <v>62.027</v>
      </c>
      <c r="C8" s="12" t="n">
        <f aca="false">f_oi</f>
        <v>127</v>
      </c>
      <c r="D8" s="13" t="n">
        <f aca="false">C8/B8-1</f>
        <v>1.04749544553178</v>
      </c>
      <c r="E8" s="8" t="s">
        <v>366</v>
      </c>
    </row>
    <row r="9" customFormat="false" ht="17.15" hidden="false" customHeight="false" outlineLevel="0" collapsed="false">
      <c r="A9" s="5" t="s">
        <v>367</v>
      </c>
      <c r="B9" s="12" t="n">
        <f aca="false">a_eoi</f>
        <v>45.248</v>
      </c>
      <c r="C9" s="12" t="n">
        <f aca="false">f_eoi</f>
        <v>110</v>
      </c>
      <c r="D9" s="13" t="n">
        <f aca="false">C9/B9-1</f>
        <v>1.43104667609618</v>
      </c>
      <c r="E9" s="8" t="s">
        <v>366</v>
      </c>
    </row>
    <row r="10" customFormat="false" ht="17.15" hidden="false" customHeight="false" outlineLevel="0" collapsed="false">
      <c r="A10" s="5" t="s">
        <v>368</v>
      </c>
      <c r="B10" s="12" t="n">
        <f aca="false">a_ceroi</f>
        <v>7.646</v>
      </c>
      <c r="C10" s="12" t="n">
        <f aca="false">f_ceroi</f>
        <v>6.5</v>
      </c>
      <c r="D10" s="13" t="n">
        <f aca="false">C10/B10-1</f>
        <v>-0.149882291394193</v>
      </c>
      <c r="E10" s="8" t="s">
        <v>366</v>
      </c>
    </row>
    <row r="11" customFormat="false" ht="17.15" hidden="false" customHeight="false" outlineLevel="0" collapsed="false">
      <c r="A11" s="5" t="s">
        <v>369</v>
      </c>
      <c r="B11" s="12" t="n">
        <f aca="false">a_othoi</f>
        <v>8.964</v>
      </c>
      <c r="C11" s="12" t="n">
        <f aca="false">f_othoi</f>
        <v>10.5</v>
      </c>
      <c r="D11" s="13" t="n">
        <f aca="false">C11/B11-1</f>
        <v>0.171352074966533</v>
      </c>
      <c r="E11" s="8" t="s">
        <v>366</v>
      </c>
    </row>
    <row r="12" customFormat="false" ht="17.15" hidden="false" customHeight="false" outlineLevel="0" collapsed="false">
      <c r="A12" s="5" t="s">
        <v>371</v>
      </c>
      <c r="B12" s="14" t="n">
        <f aca="false">a_oi-a_eoi-a_ceroi-a_othoi</f>
        <v>0.169000000000002</v>
      </c>
      <c r="C12" s="14" t="n">
        <f aca="false">f_oi-f_eoi-f_ceroi-f_othoi</f>
        <v>0</v>
      </c>
      <c r="D12" s="13" t="n">
        <f aca="false">C12/B12-1</f>
        <v>-1</v>
      </c>
      <c r="E12" s="8" t="s">
        <v>366</v>
      </c>
    </row>
    <row r="13" customFormat="false" ht="17.15" hidden="false" customHeight="false" outlineLevel="0" collapsed="false">
      <c r="A13" s="5" t="s">
        <v>372</v>
      </c>
      <c r="B13" s="12" t="n">
        <f aca="false">a_ni</f>
        <v>63.713</v>
      </c>
      <c r="C13" s="12" t="n">
        <f aca="false">f_ni</f>
        <v>84</v>
      </c>
      <c r="D13" s="13" t="n">
        <f aca="false">C13/B13-1</f>
        <v>0.318412254955818</v>
      </c>
      <c r="E13" s="8" t="s">
        <v>366</v>
      </c>
      <c r="F13" s="8" t="s">
        <v>373</v>
      </c>
    </row>
    <row r="14" customFormat="false" ht="17.15" hidden="false" customHeight="false" outlineLevel="0" collapsed="false">
      <c r="A14" s="0" t="s">
        <v>374</v>
      </c>
      <c r="B14" s="14" t="n">
        <f aca="false">a_eps</f>
        <v>114.08</v>
      </c>
      <c r="C14" s="14" t="n">
        <f aca="false">f_eps</f>
        <v>149.68</v>
      </c>
      <c r="D14" s="13" t="n">
        <f aca="false">C14/B14-1</f>
        <v>0.312061711079944</v>
      </c>
      <c r="E14" s="8" t="s">
        <v>366</v>
      </c>
    </row>
    <row r="16" customFormat="false" ht="15" hidden="false" customHeight="false" outlineLevel="0" collapsed="false">
      <c r="A16" s="3" t="s">
        <v>375</v>
      </c>
    </row>
    <row r="17" customFormat="false" ht="15" hidden="false" customHeight="false" outlineLevel="0" collapsed="false">
      <c r="A17" s="5" t="s">
        <v>376</v>
      </c>
      <c r="B17" s="13" t="n">
        <f aca="false">B9/B5</f>
        <v>0.185963931677325</v>
      </c>
      <c r="C17" s="13" t="n">
        <f aca="false">C9/C5</f>
        <v>0.293333333333333</v>
      </c>
      <c r="E17" s="8" t="s">
        <v>31</v>
      </c>
    </row>
    <row r="18" customFormat="false" ht="15" hidden="false" customHeight="false" outlineLevel="0" collapsed="false">
      <c r="A18" s="5" t="s">
        <v>377</v>
      </c>
      <c r="B18" s="13" t="n">
        <f aca="false">B8/B4</f>
        <v>0.149031357445081</v>
      </c>
      <c r="C18" s="13" t="n">
        <f aca="false">C8/C4</f>
        <v>0.230909090909091</v>
      </c>
      <c r="E18" s="8" t="s">
        <v>31</v>
      </c>
    </row>
    <row r="19" customFormat="false" ht="17.15" hidden="false" customHeight="false" outlineLevel="0" collapsed="false">
      <c r="A19" s="5" t="s">
        <v>378</v>
      </c>
      <c r="B19" s="13" t="n">
        <f aca="false">B5/B4</f>
        <v>0.584611762105329</v>
      </c>
      <c r="C19" s="13" t="n">
        <f aca="false">C5/C4</f>
        <v>0.681818181818182</v>
      </c>
      <c r="E19" s="8" t="s">
        <v>31</v>
      </c>
    </row>
    <row r="20" customFormat="false" ht="17.15" hidden="false" customHeight="false" outlineLevel="0" collapsed="false">
      <c r="A20" s="5" t="s">
        <v>379</v>
      </c>
      <c r="B20" s="13" t="n">
        <f aca="false">a_gp/a_rev</f>
        <v>0.316356760315328</v>
      </c>
      <c r="C20" s="13"/>
      <c r="E20" s="8" t="s">
        <v>31</v>
      </c>
    </row>
    <row r="21" customFormat="false" ht="17.15" hidden="false" customHeight="false" outlineLevel="0" collapsed="false">
      <c r="A21" s="5" t="s">
        <v>380</v>
      </c>
      <c r="B21" s="15" t="n">
        <f aca="false">B13/B14</f>
        <v>0.558494039270687</v>
      </c>
      <c r="C21" s="15" t="n">
        <f aca="false">C13/C14</f>
        <v>0.561197220737574</v>
      </c>
      <c r="E21" s="8" t="s">
        <v>31</v>
      </c>
      <c r="F21" s="8" t="s">
        <v>381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0"/>
    <col collapsed="false" customWidth="true" hidden="false" outlineLevel="0" max="6" min="3" style="0" width="16"/>
    <col collapsed="false" customWidth="true" hidden="false" outlineLevel="0" max="7" min="7" style="0" width="70"/>
  </cols>
  <sheetData>
    <row r="1" customFormat="false" ht="17.15" hidden="false" customHeight="false" outlineLevel="0" collapsed="false">
      <c r="A1" s="0" t="s">
        <v>382</v>
      </c>
    </row>
    <row r="3" customFormat="false" ht="17.15" hidden="false" customHeight="false" outlineLevel="0" collapsed="false">
      <c r="A3" s="6" t="s">
        <v>19</v>
      </c>
      <c r="B3" s="6" t="s">
        <v>20</v>
      </c>
      <c r="C3" s="11" t="s">
        <v>383</v>
      </c>
      <c r="D3" s="11" t="s">
        <v>384</v>
      </c>
      <c r="E3" s="11" t="s">
        <v>385</v>
      </c>
      <c r="F3" s="11" t="s">
        <v>386</v>
      </c>
      <c r="G3" s="6" t="s">
        <v>364</v>
      </c>
    </row>
    <row r="4" customFormat="false" ht="17.15" hidden="false" customHeight="false" outlineLevel="0" collapsed="false">
      <c r="A4" s="0" t="s">
        <v>387</v>
      </c>
      <c r="B4" s="5" t="s">
        <v>30</v>
      </c>
      <c r="C4" s="14" t="n">
        <f aca="false">PL!D63</f>
        <v>7.6</v>
      </c>
      <c r="D4" s="14" t="n">
        <f aca="false">PL!E63</f>
        <v>9.7</v>
      </c>
      <c r="E4" s="14" t="n">
        <f aca="false">PL!F63</f>
        <v>9.5</v>
      </c>
      <c r="F4" s="14" t="n">
        <f aca="false">PL!G63</f>
        <v>10.6</v>
      </c>
      <c r="G4" s="8" t="s">
        <v>388</v>
      </c>
    </row>
    <row r="5" customFormat="false" ht="17.15" hidden="false" customHeight="false" outlineLevel="0" collapsed="false">
      <c r="A5" s="5" t="s">
        <v>389</v>
      </c>
      <c r="B5" s="5" t="s">
        <v>30</v>
      </c>
      <c r="C5" s="14" t="n">
        <f aca="false">PL!D64</f>
        <v>7.6</v>
      </c>
      <c r="D5" s="14" t="n">
        <f aca="false">PL!E64</f>
        <v>14</v>
      </c>
      <c r="E5" s="14" t="n">
        <f aca="false">PL!F64</f>
        <v>17</v>
      </c>
      <c r="F5" s="14" t="n">
        <f aca="false">PL!G64</f>
        <v>19.55</v>
      </c>
    </row>
    <row r="6" customFormat="false" ht="17.15" hidden="false" customHeight="false" outlineLevel="0" collapsed="false">
      <c r="A6" s="5" t="s">
        <v>390</v>
      </c>
      <c r="B6" s="5" t="s">
        <v>30</v>
      </c>
      <c r="C6" s="14" t="n">
        <f aca="false">PL!D65</f>
        <v>10.64</v>
      </c>
      <c r="D6" s="14" t="n">
        <f aca="false">PL!E65</f>
        <v>15.3</v>
      </c>
      <c r="E6" s="14" t="n">
        <f aca="false">PL!F65</f>
        <v>16.3</v>
      </c>
      <c r="F6" s="14" t="n">
        <f aca="false">PL!G65</f>
        <v>18.42</v>
      </c>
      <c r="G6" s="5" t="s">
        <v>391</v>
      </c>
    </row>
    <row r="7" customFormat="false" ht="17.15" hidden="false" customHeight="false" outlineLevel="0" collapsed="false">
      <c r="A7" s="5" t="s">
        <v>392</v>
      </c>
      <c r="B7" s="0" t="s">
        <v>393</v>
      </c>
      <c r="C7" s="16" t="n">
        <f aca="false">PL!$D$67*PL!D68*PL!D69*PL!D70*1000/fx</f>
        <v>150.716017016225</v>
      </c>
      <c r="D7" s="16" t="n">
        <f aca="false">PL!$D$67*PL!E68*PL!E69*PL!E70*1000/fx</f>
        <v>168.952655075188</v>
      </c>
      <c r="E7" s="16" t="n">
        <f aca="false">PL!$D$67*PL!F68*PL!F69*PL!F70*1000/fx</f>
        <v>175.440437030075</v>
      </c>
      <c r="F7" s="16" t="n">
        <f aca="false">PL!$D$67*PL!G68*PL!G69*PL!G70*1000/fx</f>
        <v>189.437897735704</v>
      </c>
      <c r="G7" s="5" t="s">
        <v>394</v>
      </c>
    </row>
    <row r="8" customFormat="false" ht="17.15" hidden="false" customHeight="false" outlineLevel="0" collapsed="false">
      <c r="A8" s="5" t="s">
        <v>395</v>
      </c>
      <c r="B8" s="0" t="s">
        <v>393</v>
      </c>
      <c r="C8" s="16" t="n">
        <f aca="false">PL!$D$67*PL!D68*PL!D70*1000/fx/0.7</f>
        <v>215.308595737464</v>
      </c>
      <c r="D8" s="16" t="n">
        <f aca="false">PL!$D$67*PL!E68*PL!E70*1000/fx/0.7</f>
        <v>254.064142970207</v>
      </c>
      <c r="E8" s="16" t="n">
        <f aca="false">PL!$D$67*PL!F68*PL!F70*1000/fx/0.7</f>
        <v>284.805904269603</v>
      </c>
      <c r="F8" s="16" t="n">
        <f aca="false">PL!$D$67*PL!G68*PL!G70*1000/fx/0.7</f>
        <v>318.383021404545</v>
      </c>
      <c r="G8" s="8" t="s">
        <v>396</v>
      </c>
    </row>
    <row r="9" customFormat="false" ht="17.15" hidden="false" customHeight="false" outlineLevel="0" collapsed="false">
      <c r="A9" s="0" t="s">
        <v>397</v>
      </c>
      <c r="B9" s="0" t="s">
        <v>238</v>
      </c>
      <c r="C9" s="12" t="n">
        <f aca="false">PL!D71</f>
        <v>243.75</v>
      </c>
      <c r="D9" s="12" t="n">
        <f aca="false">PL!E71</f>
        <v>392.916294642857</v>
      </c>
      <c r="E9" s="12" t="n">
        <f aca="false">PL!F71</f>
        <v>434.671226785714</v>
      </c>
      <c r="F9" s="12" t="n">
        <f aca="false">PL!G71</f>
        <v>530.395803596334</v>
      </c>
    </row>
    <row r="10" customFormat="false" ht="17.15" hidden="false" customHeight="false" outlineLevel="0" collapsed="false">
      <c r="A10" s="0" t="s">
        <v>398</v>
      </c>
      <c r="B10" s="0" t="s">
        <v>131</v>
      </c>
      <c r="C10" s="14" t="n">
        <f aca="false">PL!D71/fx</f>
        <v>1.60361842105263</v>
      </c>
      <c r="D10" s="14" t="n">
        <f aca="false">PL!E71/fx</f>
        <v>2.58497562265038</v>
      </c>
      <c r="E10" s="14" t="n">
        <f aca="false">PL!F71/fx</f>
        <v>2.85967912359023</v>
      </c>
      <c r="F10" s="14" t="n">
        <f aca="false">PL!G71/fx</f>
        <v>3.48944607629167</v>
      </c>
      <c r="G10" s="8" t="s">
        <v>399</v>
      </c>
    </row>
    <row r="11" customFormat="false" ht="17.15" hidden="false" customHeight="false" outlineLevel="0" collapsed="false">
      <c r="A11" s="0" t="s">
        <v>400</v>
      </c>
      <c r="B11" s="0" t="s">
        <v>42</v>
      </c>
      <c r="C11" s="17" t="n">
        <f aca="false">PL!D71/fx/itc_26</f>
        <v>0.00205099625126969</v>
      </c>
      <c r="D11" s="17" t="n">
        <f aca="false">PL!E71/fx/itc_27</f>
        <v>0.00165137229542938</v>
      </c>
      <c r="E11" s="17" t="n">
        <f aca="false">PL!F71/fx/itc_28</f>
        <v>0.00144117883694972</v>
      </c>
      <c r="F11" s="17" t="n">
        <f aca="false">PL!G71/fx/itc_29</f>
        <v>0.00154373610194528</v>
      </c>
      <c r="G11" s="8" t="s">
        <v>401</v>
      </c>
    </row>
    <row r="12" customFormat="false" ht="17.15" hidden="false" customHeight="false" outlineLevel="0" collapsed="false">
      <c r="A12" s="5" t="s">
        <v>402</v>
      </c>
      <c r="B12" s="0" t="s">
        <v>403</v>
      </c>
      <c r="C12" s="16" t="n">
        <f aca="false">PL!D71/fx/itc_26*37.59*1000</f>
        <v>77.0969490852276</v>
      </c>
      <c r="D12" s="16" t="n">
        <f aca="false">PL!E71/fx/itc_27*37.59*1000</f>
        <v>62.0750845851903</v>
      </c>
      <c r="E12" s="16" t="n">
        <f aca="false">PL!F71/fx/itc_28*37.59*1000</f>
        <v>54.1739124809401</v>
      </c>
      <c r="F12" s="16" t="n">
        <f aca="false">PL!G71/fx/itc_29*37.59*1000</f>
        <v>58.029040072123</v>
      </c>
      <c r="G12" s="8" t="s">
        <v>404</v>
      </c>
    </row>
    <row r="14" customFormat="false" ht="17.15" hidden="false" customHeight="false" outlineLevel="0" collapsed="false">
      <c r="A14" s="3" t="s">
        <v>405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2"/>
    <col collapsed="false" customWidth="true" hidden="false" outlineLevel="0" max="7" min="3" style="0" width="14"/>
    <col collapsed="false" customWidth="true" hidden="false" outlineLevel="0" max="8" min="8" style="0" width="70"/>
    <col collapsed="false" customWidth="true" hidden="false" outlineLevel="0" max="10" min="9" style="0" width="14"/>
    <col collapsed="false" customWidth="true" hidden="false" outlineLevel="0" max="11" min="11" style="0" width="60"/>
  </cols>
  <sheetData>
    <row r="1" customFormat="false" ht="17.15" hidden="false" customHeight="false" outlineLevel="0" collapsed="false">
      <c r="A1" s="0" t="s">
        <v>406</v>
      </c>
    </row>
    <row r="3" customFormat="false" ht="17.15" hidden="false" customHeight="false" outlineLevel="0" collapsed="false">
      <c r="A3" s="6" t="s">
        <v>407</v>
      </c>
      <c r="B3" s="6" t="s">
        <v>20</v>
      </c>
      <c r="C3" s="11" t="s">
        <v>361</v>
      </c>
      <c r="D3" s="11" t="s">
        <v>408</v>
      </c>
      <c r="E3" s="11" t="s">
        <v>384</v>
      </c>
      <c r="F3" s="11" t="s">
        <v>385</v>
      </c>
      <c r="G3" s="11" t="s">
        <v>386</v>
      </c>
      <c r="H3" s="6" t="s">
        <v>364</v>
      </c>
    </row>
    <row r="4" customFormat="false" ht="17.15" hidden="false" customHeight="false" outlineLevel="0" collapsed="false">
      <c r="A4" s="3" t="s">
        <v>409</v>
      </c>
    </row>
    <row r="5" customFormat="false" ht="15" hidden="false" customHeight="false" outlineLevel="0" collapsed="false">
      <c r="A5" s="5" t="s">
        <v>365</v>
      </c>
      <c r="B5" s="0" t="s">
        <v>238</v>
      </c>
      <c r="C5" s="12" t="n">
        <f aca="false">C82</f>
        <v>416.2</v>
      </c>
      <c r="D5" s="12" t="n">
        <f aca="false">D82</f>
        <v>550</v>
      </c>
      <c r="E5" s="12" t="n">
        <f aca="false">E82</f>
        <v>708.458794642857</v>
      </c>
      <c r="F5" s="12" t="n">
        <f aca="false">F82</f>
        <v>759.916251785714</v>
      </c>
      <c r="G5" s="12" t="n">
        <f aca="false">G82</f>
        <v>865.772241846335</v>
      </c>
    </row>
    <row r="6" customFormat="false" ht="15" hidden="false" customHeight="false" outlineLevel="0" collapsed="false">
      <c r="A6" s="5" t="s">
        <v>410</v>
      </c>
      <c r="B6" s="0" t="s">
        <v>42</v>
      </c>
      <c r="D6" s="13" t="n">
        <f aca="false">D83</f>
        <v>0.321480057664584</v>
      </c>
      <c r="E6" s="13" t="n">
        <f aca="false">E83</f>
        <v>0.288106899350649</v>
      </c>
      <c r="F6" s="13" t="n">
        <f aca="false">F83</f>
        <v>0.0726329569651225</v>
      </c>
      <c r="G6" s="13" t="n">
        <f aca="false">G83</f>
        <v>0.139299547564447</v>
      </c>
    </row>
    <row r="7" customFormat="false" ht="17.15" hidden="false" customHeight="false" outlineLevel="0" collapsed="false">
      <c r="A7" s="0" t="s">
        <v>411</v>
      </c>
      <c r="B7" s="0" t="s">
        <v>238</v>
      </c>
      <c r="D7" s="12" t="n">
        <f aca="false">D71</f>
        <v>243.75</v>
      </c>
      <c r="E7" s="12" t="n">
        <f aca="false">E71</f>
        <v>392.916294642857</v>
      </c>
      <c r="F7" s="12" t="n">
        <f aca="false">F71</f>
        <v>434.671226785714</v>
      </c>
      <c r="G7" s="12" t="n">
        <f aca="false">G71</f>
        <v>530.395803596334</v>
      </c>
    </row>
    <row r="8" customFormat="false" ht="15" hidden="false" customHeight="false" outlineLevel="0" collapsed="false">
      <c r="A8" s="5" t="s">
        <v>367</v>
      </c>
      <c r="B8" s="0" t="s">
        <v>238</v>
      </c>
      <c r="C8" s="12" t="n">
        <f aca="false">C74</f>
        <v>243.316</v>
      </c>
      <c r="D8" s="12" t="n">
        <f aca="false">D74</f>
        <v>375</v>
      </c>
      <c r="E8" s="12" t="n">
        <f aca="false">E74</f>
        <v>530.728794642857</v>
      </c>
      <c r="F8" s="12" t="n">
        <f aca="false">F74</f>
        <v>579.374351785714</v>
      </c>
      <c r="G8" s="12" t="n">
        <f aca="false">G74</f>
        <v>682.334084846335</v>
      </c>
    </row>
    <row r="9" customFormat="false" ht="15" hidden="false" customHeight="false" outlineLevel="0" collapsed="false">
      <c r="A9" s="5" t="s">
        <v>376</v>
      </c>
      <c r="B9" s="0" t="s">
        <v>42</v>
      </c>
      <c r="C9" s="13" t="n">
        <f aca="false">C78</f>
        <v>0.185963931677325</v>
      </c>
      <c r="D9" s="13" t="n">
        <f aca="false">D78</f>
        <v>0.293333333333333</v>
      </c>
      <c r="E9" s="13" t="n">
        <f aca="false">E78</f>
        <v>0.313253023449477</v>
      </c>
      <c r="F9" s="13" t="n">
        <f aca="false">F78</f>
        <v>0.29058186593395</v>
      </c>
      <c r="G9" s="13" t="n">
        <f aca="false">G78</f>
        <v>0.267041771976765</v>
      </c>
    </row>
    <row r="10" customFormat="false" ht="15" hidden="false" customHeight="false" outlineLevel="0" collapsed="false">
      <c r="A10" s="5" t="s">
        <v>377</v>
      </c>
      <c r="B10" s="0" t="s">
        <v>42</v>
      </c>
      <c r="C10" s="13" t="n">
        <f aca="false">C87</f>
        <v>0.149031715521384</v>
      </c>
      <c r="D10" s="13" t="n">
        <f aca="false">D87</f>
        <v>0.230909090909091</v>
      </c>
      <c r="E10" s="13" t="n">
        <f aca="false">E87</f>
        <v>0.259012028562756</v>
      </c>
      <c r="F10" s="13" t="n">
        <f aca="false">F87</f>
        <v>0.24466643301714</v>
      </c>
      <c r="G10" s="13" t="n">
        <f aca="false">G87</f>
        <v>0.231140571942739</v>
      </c>
    </row>
    <row r="11" customFormat="false" ht="15" hidden="false" customHeight="false" outlineLevel="0" collapsed="false">
      <c r="A11" s="5" t="s">
        <v>412</v>
      </c>
      <c r="B11" s="0" t="s">
        <v>238</v>
      </c>
      <c r="C11" s="12" t="n">
        <f aca="false">C88</f>
        <v>63.713</v>
      </c>
      <c r="D11" s="12" t="n">
        <f aca="false">D88</f>
        <v>84</v>
      </c>
      <c r="E11" s="12" t="n">
        <f aca="false">E88</f>
        <v>121.293070054911</v>
      </c>
      <c r="F11" s="12" t="n">
        <f aca="false">F88</f>
        <v>122.897085151385</v>
      </c>
      <c r="G11" s="12" t="n">
        <f aca="false">G88</f>
        <v>132.276075251809</v>
      </c>
    </row>
    <row r="12" customFormat="false" ht="15" hidden="false" customHeight="false" outlineLevel="0" collapsed="false">
      <c r="A12" s="0" t="s">
        <v>413</v>
      </c>
      <c r="B12" s="0" t="s">
        <v>263</v>
      </c>
      <c r="C12" s="12" t="n">
        <f aca="false">C90</f>
        <v>114.08</v>
      </c>
      <c r="D12" s="12" t="n">
        <f aca="false">D90</f>
        <v>149.68</v>
      </c>
      <c r="E12" s="12" t="n">
        <f aca="false">E90</f>
        <v>216.132699116893</v>
      </c>
      <c r="F12" s="12" t="n">
        <f aca="false">F90</f>
        <v>218.990901255469</v>
      </c>
      <c r="G12" s="12" t="n">
        <f aca="false">G90</f>
        <v>235.703368377271</v>
      </c>
    </row>
    <row r="13" customFormat="false" ht="17.15" hidden="false" customHeight="false" outlineLevel="0" collapsed="false">
      <c r="A13" s="0" t="s">
        <v>414</v>
      </c>
      <c r="B13" s="0" t="s">
        <v>42</v>
      </c>
      <c r="D13" s="13" t="n">
        <f aca="false">D91</f>
        <v>0.312061711079944</v>
      </c>
      <c r="E13" s="13" t="n">
        <f aca="false">E91</f>
        <v>0.443965119701318</v>
      </c>
      <c r="F13" s="13" t="n">
        <f aca="false">F91</f>
        <v>0.0132242929933957</v>
      </c>
      <c r="G13" s="13" t="n">
        <f aca="false">G91</f>
        <v>0.0763158059352693</v>
      </c>
    </row>
    <row r="15" customFormat="false" ht="17.15" hidden="false" customHeight="false" outlineLevel="0" collapsed="false">
      <c r="A15" s="3" t="s">
        <v>415</v>
      </c>
    </row>
    <row r="16" customFormat="false" ht="15" hidden="false" customHeight="false" outlineLevel="0" collapsed="false">
      <c r="A16" s="5" t="s">
        <v>365</v>
      </c>
      <c r="B16" s="0" t="s">
        <v>238</v>
      </c>
      <c r="C16" s="12" t="n">
        <f aca="false">C116</f>
        <v>416.2</v>
      </c>
      <c r="D16" s="12" t="n">
        <f aca="false">D116</f>
        <v>550</v>
      </c>
      <c r="E16" s="12" t="n">
        <f aca="false">E116</f>
        <v>708.458794642857</v>
      </c>
      <c r="F16" s="12" t="n">
        <f aca="false">F116</f>
        <v>672.982006428572</v>
      </c>
      <c r="G16" s="12" t="n">
        <f aca="false">G116</f>
        <v>786.212871306884</v>
      </c>
    </row>
    <row r="17" customFormat="false" ht="15" hidden="false" customHeight="false" outlineLevel="0" collapsed="false">
      <c r="A17" s="5" t="s">
        <v>410</v>
      </c>
      <c r="B17" s="0" t="s">
        <v>42</v>
      </c>
      <c r="D17" s="13" t="n">
        <f aca="false">D117</f>
        <v>0.321480057664584</v>
      </c>
      <c r="E17" s="13" t="n">
        <f aca="false">E117</f>
        <v>0.288106899350649</v>
      </c>
      <c r="F17" s="13" t="n">
        <f aca="false">F117</f>
        <v>-0.0500760079238906</v>
      </c>
      <c r="G17" s="13" t="n">
        <f aca="false">G117</f>
        <v>0.16825244032781</v>
      </c>
    </row>
    <row r="18" customFormat="false" ht="17.15" hidden="false" customHeight="false" outlineLevel="0" collapsed="false">
      <c r="A18" s="0" t="s">
        <v>411</v>
      </c>
      <c r="B18" s="0" t="s">
        <v>238</v>
      </c>
      <c r="D18" s="12" t="n">
        <f aca="false">D105</f>
        <v>243.75</v>
      </c>
      <c r="E18" s="12" t="n">
        <f aca="false">E105</f>
        <v>392.916294642857</v>
      </c>
      <c r="F18" s="12" t="n">
        <f aca="false">F105</f>
        <v>347.736981428572</v>
      </c>
      <c r="G18" s="12" t="n">
        <f aca="false">G105</f>
        <v>450.836433056884</v>
      </c>
    </row>
    <row r="19" customFormat="false" ht="15" hidden="false" customHeight="false" outlineLevel="0" collapsed="false">
      <c r="A19" s="5" t="s">
        <v>367</v>
      </c>
      <c r="B19" s="0" t="s">
        <v>238</v>
      </c>
      <c r="C19" s="12" t="n">
        <f aca="false">C108</f>
        <v>243.316</v>
      </c>
      <c r="D19" s="12" t="n">
        <f aca="false">D108</f>
        <v>375</v>
      </c>
      <c r="E19" s="12" t="n">
        <f aca="false">E108</f>
        <v>530.728794642857</v>
      </c>
      <c r="F19" s="12" t="n">
        <f aca="false">F108</f>
        <v>492.440106428572</v>
      </c>
      <c r="G19" s="12" t="n">
        <f aca="false">G108</f>
        <v>602.774714306884</v>
      </c>
    </row>
    <row r="20" customFormat="false" ht="15" hidden="false" customHeight="false" outlineLevel="0" collapsed="false">
      <c r="A20" s="5" t="s">
        <v>376</v>
      </c>
      <c r="B20" s="0" t="s">
        <v>42</v>
      </c>
      <c r="C20" s="13" t="n">
        <f aca="false">C112</f>
        <v>0.185963931677325</v>
      </c>
      <c r="D20" s="13" t="n">
        <f aca="false">D112</f>
        <v>0.293333333333333</v>
      </c>
      <c r="E20" s="13" t="n">
        <f aca="false">E112</f>
        <v>0.313253023449477</v>
      </c>
      <c r="F20" s="13" t="n">
        <f aca="false">F112</f>
        <v>0.282319892527068</v>
      </c>
      <c r="G20" s="13" t="n">
        <f aca="false">G112</f>
        <v>0.262616455540992</v>
      </c>
    </row>
    <row r="21" customFormat="false" ht="15" hidden="false" customHeight="false" outlineLevel="0" collapsed="false">
      <c r="A21" s="5" t="s">
        <v>377</v>
      </c>
      <c r="B21" s="0" t="s">
        <v>42</v>
      </c>
      <c r="C21" s="13" t="n">
        <f aca="false">C121</f>
        <v>0.149031715521384</v>
      </c>
      <c r="D21" s="13" t="n">
        <f aca="false">D121</f>
        <v>0.230909090909091</v>
      </c>
      <c r="E21" s="13" t="n">
        <f aca="false">E121</f>
        <v>0.259012028562756</v>
      </c>
      <c r="F21" s="13" t="n">
        <f aca="false">F121</f>
        <v>0.232689663211007</v>
      </c>
      <c r="G21" s="13" t="n">
        <f aca="false">G121</f>
        <v>0.224114808401846</v>
      </c>
    </row>
    <row r="22" customFormat="false" ht="15" hidden="false" customHeight="false" outlineLevel="0" collapsed="false">
      <c r="A22" s="5" t="s">
        <v>412</v>
      </c>
      <c r="B22" s="0" t="s">
        <v>238</v>
      </c>
      <c r="C22" s="12" t="n">
        <f aca="false">C122</f>
        <v>63.713</v>
      </c>
      <c r="D22" s="12" t="n">
        <f aca="false">D122</f>
        <v>84</v>
      </c>
      <c r="E22" s="12" t="n">
        <f aca="false">E122</f>
        <v>121.293070054911</v>
      </c>
      <c r="F22" s="12" t="n">
        <f aca="false">F122</f>
        <v>103.509927195558</v>
      </c>
      <c r="G22" s="12" t="n">
        <f aca="false">G122</f>
        <v>116.469486977581</v>
      </c>
    </row>
    <row r="23" customFormat="false" ht="15" hidden="false" customHeight="false" outlineLevel="0" collapsed="false">
      <c r="A23" s="0" t="s">
        <v>413</v>
      </c>
      <c r="B23" s="0" t="s">
        <v>263</v>
      </c>
      <c r="C23" s="12" t="n">
        <f aca="false">C124</f>
        <v>114.08</v>
      </c>
      <c r="D23" s="12" t="n">
        <f aca="false">D124</f>
        <v>149.68</v>
      </c>
      <c r="E23" s="12" t="n">
        <f aca="false">E124</f>
        <v>216.132699116893</v>
      </c>
      <c r="F23" s="12" t="n">
        <f aca="false">F124</f>
        <v>184.444832174181</v>
      </c>
      <c r="G23" s="12" t="n">
        <f aca="false">G124</f>
        <v>207.537533461957</v>
      </c>
    </row>
    <row r="24" customFormat="false" ht="17.15" hidden="false" customHeight="false" outlineLevel="0" collapsed="false">
      <c r="A24" s="0" t="s">
        <v>414</v>
      </c>
      <c r="B24" s="0" t="s">
        <v>42</v>
      </c>
      <c r="D24" s="13" t="n">
        <f aca="false">D125</f>
        <v>0.312061711079944</v>
      </c>
      <c r="E24" s="13" t="n">
        <f aca="false">E125</f>
        <v>0.443965119701318</v>
      </c>
      <c r="F24" s="13" t="n">
        <f aca="false">F125</f>
        <v>-0.146613016319084</v>
      </c>
      <c r="G24" s="13" t="n">
        <f aca="false">G125</f>
        <v>0.125201129332637</v>
      </c>
    </row>
    <row r="26" customFormat="false" ht="17.15" hidden="false" customHeight="false" outlineLevel="0" collapsed="false">
      <c r="A26" s="3" t="s">
        <v>416</v>
      </c>
    </row>
    <row r="27" customFormat="false" ht="15" hidden="false" customHeight="false" outlineLevel="0" collapsed="false">
      <c r="A27" s="5" t="s">
        <v>365</v>
      </c>
      <c r="B27" s="0" t="s">
        <v>238</v>
      </c>
      <c r="C27" s="12" t="n">
        <f aca="false">C150</f>
        <v>416.2</v>
      </c>
      <c r="D27" s="12" t="n">
        <f aca="false">D150</f>
        <v>550</v>
      </c>
      <c r="E27" s="12" t="n">
        <f aca="false">E150</f>
        <v>708.458794642857</v>
      </c>
      <c r="F27" s="12" t="n">
        <f aca="false">F150</f>
        <v>586.047761071429</v>
      </c>
      <c r="G27" s="12" t="n">
        <f aca="false">G150</f>
        <v>653.613920407801</v>
      </c>
    </row>
    <row r="28" customFormat="false" ht="15" hidden="false" customHeight="false" outlineLevel="0" collapsed="false">
      <c r="A28" s="5" t="s">
        <v>410</v>
      </c>
      <c r="B28" s="0" t="s">
        <v>42</v>
      </c>
      <c r="D28" s="13" t="n">
        <f aca="false">D151</f>
        <v>0.321480057664584</v>
      </c>
      <c r="E28" s="13" t="n">
        <f aca="false">E151</f>
        <v>0.288106899350649</v>
      </c>
      <c r="F28" s="13" t="n">
        <f aca="false">F151</f>
        <v>-0.172784972812904</v>
      </c>
      <c r="G28" s="13" t="n">
        <f aca="false">G151</f>
        <v>0.115291216560312</v>
      </c>
    </row>
    <row r="29" customFormat="false" ht="17.15" hidden="false" customHeight="false" outlineLevel="0" collapsed="false">
      <c r="A29" s="0" t="s">
        <v>411</v>
      </c>
      <c r="B29" s="0" t="s">
        <v>238</v>
      </c>
      <c r="D29" s="12" t="n">
        <f aca="false">D139</f>
        <v>243.75</v>
      </c>
      <c r="E29" s="12" t="n">
        <f aca="false">E139</f>
        <v>392.916294642857</v>
      </c>
      <c r="F29" s="12" t="n">
        <f aca="false">F139</f>
        <v>260.802736071429</v>
      </c>
      <c r="G29" s="12" t="n">
        <f aca="false">G139</f>
        <v>318.237482157801</v>
      </c>
    </row>
    <row r="30" customFormat="false" ht="15" hidden="false" customHeight="false" outlineLevel="0" collapsed="false">
      <c r="A30" s="5" t="s">
        <v>367</v>
      </c>
      <c r="B30" s="0" t="s">
        <v>238</v>
      </c>
      <c r="C30" s="12" t="n">
        <f aca="false">C142</f>
        <v>243.316</v>
      </c>
      <c r="D30" s="12" t="n">
        <f aca="false">D142</f>
        <v>375</v>
      </c>
      <c r="E30" s="12" t="n">
        <f aca="false">E142</f>
        <v>530.728794642857</v>
      </c>
      <c r="F30" s="12" t="n">
        <f aca="false">F142</f>
        <v>405.505861071429</v>
      </c>
      <c r="G30" s="12" t="n">
        <f aca="false">G142</f>
        <v>470.175763407801</v>
      </c>
    </row>
    <row r="31" customFormat="false" ht="15" hidden="false" customHeight="false" outlineLevel="0" collapsed="false">
      <c r="A31" s="5" t="s">
        <v>376</v>
      </c>
      <c r="B31" s="0" t="s">
        <v>42</v>
      </c>
      <c r="C31" s="13" t="n">
        <f aca="false">C146</f>
        <v>0.185963931677325</v>
      </c>
      <c r="D31" s="13" t="n">
        <f aca="false">D146</f>
        <v>0.293333333333333</v>
      </c>
      <c r="E31" s="13" t="n">
        <f aca="false">E146</f>
        <v>0.313253023449477</v>
      </c>
      <c r="F31" s="13" t="n">
        <f aca="false">F146</f>
        <v>0.270515438025634</v>
      </c>
      <c r="G31" s="13" t="n">
        <f aca="false">G146</f>
        <v>0.251912854620657</v>
      </c>
    </row>
    <row r="32" customFormat="false" ht="15" hidden="false" customHeight="false" outlineLevel="0" collapsed="false">
      <c r="A32" s="5" t="s">
        <v>377</v>
      </c>
      <c r="B32" s="0" t="s">
        <v>42</v>
      </c>
      <c r="C32" s="13" t="n">
        <f aca="false">C155</f>
        <v>0.149031715521384</v>
      </c>
      <c r="D32" s="13" t="n">
        <f aca="false">D155</f>
        <v>0.230909090909091</v>
      </c>
      <c r="E32" s="13" t="n">
        <f aca="false">E155</f>
        <v>0.259012028562756</v>
      </c>
      <c r="F32" s="13" t="n">
        <f aca="false">F155</f>
        <v>0.217159628589022</v>
      </c>
      <c r="G32" s="13" t="n">
        <f aca="false">G155</f>
        <v>0.208604349649464</v>
      </c>
    </row>
    <row r="33" customFormat="false" ht="15" hidden="false" customHeight="false" outlineLevel="0" collapsed="false">
      <c r="A33" s="5" t="s">
        <v>412</v>
      </c>
      <c r="B33" s="0" t="s">
        <v>238</v>
      </c>
      <c r="C33" s="12" t="n">
        <f aca="false">C156</f>
        <v>63.713</v>
      </c>
      <c r="D33" s="12" t="n">
        <f aca="false">D156</f>
        <v>84</v>
      </c>
      <c r="E33" s="12" t="n">
        <f aca="false">E156</f>
        <v>121.293070054911</v>
      </c>
      <c r="F33" s="12" t="n">
        <f aca="false">F156</f>
        <v>84.1227692397312</v>
      </c>
      <c r="G33" s="12" t="n">
        <f aca="false">G156</f>
        <v>90.1251731872022</v>
      </c>
    </row>
    <row r="34" customFormat="false" ht="15" hidden="false" customHeight="false" outlineLevel="0" collapsed="false">
      <c r="A34" s="0" t="s">
        <v>413</v>
      </c>
      <c r="B34" s="0" t="s">
        <v>263</v>
      </c>
      <c r="C34" s="12" t="n">
        <f aca="false">C158</f>
        <v>114.08</v>
      </c>
      <c r="D34" s="12" t="n">
        <f aca="false">D158</f>
        <v>149.68</v>
      </c>
      <c r="E34" s="12" t="n">
        <f aca="false">E158</f>
        <v>216.132699116893</v>
      </c>
      <c r="F34" s="12" t="n">
        <f aca="false">F158</f>
        <v>149.898763092892</v>
      </c>
      <c r="G34" s="12" t="n">
        <f aca="false">G158</f>
        <v>160.594475269767</v>
      </c>
    </row>
    <row r="35" customFormat="false" ht="17.15" hidden="false" customHeight="false" outlineLevel="0" collapsed="false">
      <c r="A35" s="0" t="s">
        <v>414</v>
      </c>
      <c r="B35" s="0" t="s">
        <v>42</v>
      </c>
      <c r="D35" s="13" t="n">
        <f aca="false">D159</f>
        <v>0.312061711079944</v>
      </c>
      <c r="E35" s="13" t="n">
        <f aca="false">E159</f>
        <v>0.443965119701318</v>
      </c>
      <c r="F35" s="13" t="n">
        <f aca="false">F159</f>
        <v>-0.306450325631564</v>
      </c>
      <c r="G35" s="13" t="n">
        <f aca="false">G159</f>
        <v>0.0713529048284838</v>
      </c>
    </row>
    <row r="37" customFormat="false" ht="17.15" hidden="false" customHeight="false" outlineLevel="0" collapsed="false">
      <c r="A37" s="3" t="s">
        <v>417</v>
      </c>
    </row>
    <row r="38" customFormat="false" ht="17.15" hidden="false" customHeight="false" outlineLevel="0" collapsed="false">
      <c r="A38" s="5" t="s">
        <v>418</v>
      </c>
      <c r="D38" s="15" t="n">
        <f aca="false">D82-q26_rev</f>
        <v>0</v>
      </c>
    </row>
    <row r="39" customFormat="false" ht="17.15" hidden="false" customHeight="false" outlineLevel="0" collapsed="false">
      <c r="A39" s="5" t="s">
        <v>419</v>
      </c>
      <c r="D39" s="15" t="n">
        <f aca="false">D86-q26_oi</f>
        <v>0</v>
      </c>
    </row>
    <row r="40" customFormat="false" ht="17.15" hidden="false" customHeight="false" outlineLevel="0" collapsed="false">
      <c r="A40" s="5" t="s">
        <v>420</v>
      </c>
      <c r="D40" s="15" t="n">
        <f aca="false">D90-q26_eps</f>
        <v>0</v>
      </c>
    </row>
    <row r="60" customFormat="false" ht="17.15" hidden="false" customHeight="false" outlineLevel="0" collapsed="false">
      <c r="A60" s="3" t="s">
        <v>421</v>
      </c>
    </row>
    <row r="61" customFormat="false" ht="17.15" hidden="false" customHeight="false" outlineLevel="0" collapsed="false">
      <c r="A61" s="6" t="s">
        <v>19</v>
      </c>
      <c r="B61" s="6" t="s">
        <v>20</v>
      </c>
      <c r="C61" s="11" t="s">
        <v>361</v>
      </c>
      <c r="D61" s="11" t="s">
        <v>408</v>
      </c>
      <c r="E61" s="11" t="s">
        <v>384</v>
      </c>
      <c r="F61" s="11" t="s">
        <v>385</v>
      </c>
      <c r="G61" s="11" t="s">
        <v>386</v>
      </c>
      <c r="H61" s="6" t="s">
        <v>364</v>
      </c>
    </row>
    <row r="62" customFormat="false" ht="17.15" hidden="false" customHeight="false" outlineLevel="0" collapsed="false">
      <c r="A62" s="1" t="s">
        <v>422</v>
      </c>
    </row>
    <row r="63" customFormat="false" ht="17.15" hidden="false" customHeight="false" outlineLevel="0" collapsed="false">
      <c r="A63" s="0" t="s">
        <v>423</v>
      </c>
      <c r="B63" s="5" t="s">
        <v>30</v>
      </c>
      <c r="D63" s="14" t="n">
        <f aca="false">(u_bw_26+u_rb_26+u_ru_26+u_hp_26)*1</f>
        <v>7.6</v>
      </c>
      <c r="E63" s="14" t="n">
        <f aca="false">(u_bw_27+u_rb_27+u_ru_27+u_hp_27)*1</f>
        <v>9.7</v>
      </c>
      <c r="F63" s="14" t="n">
        <f aca="false">(u_bw_28+u_rb_28+u_ru_28+u_hp_28)*um28_A</f>
        <v>9.5</v>
      </c>
      <c r="G63" s="14" t="n">
        <f aca="false">(u_bw_28*(1+g29_bw)+u_rb_28*(1+g29_rb)+u_ru_28*(1+g29_ru)+u_hp_28*(1+g29_hp))*um29_A</f>
        <v>10.6</v>
      </c>
      <c r="H63" s="8" t="s">
        <v>424</v>
      </c>
    </row>
    <row r="64" customFormat="false" ht="17.15" hidden="false" customHeight="false" outlineLevel="0" collapsed="false">
      <c r="A64" s="5" t="s">
        <v>425</v>
      </c>
      <c r="B64" s="5" t="s">
        <v>30</v>
      </c>
      <c r="D64" s="14" t="n">
        <f aca="false">(u_amd_26+u_tpu_26+u_trn_26+u_oth_26)*1</f>
        <v>7.6</v>
      </c>
      <c r="E64" s="14" t="n">
        <f aca="false">(u_amd_27+u_tpu_27+u_trn_27+u_oth_27)*1</f>
        <v>14</v>
      </c>
      <c r="F64" s="14" t="n">
        <f aca="false">(u_amd_28+u_tpu_28+u_trn_28+u_oth_28)*um28_A</f>
        <v>17</v>
      </c>
      <c r="G64" s="14" t="n">
        <f aca="false">(u_amd_28*(1+g29_amd)+u_tpu_28*(1+g29_tpu)+u_trn_28*(1+g29_trn)+u_oth_28*(1+g29_oth))*um29_A</f>
        <v>19.55</v>
      </c>
      <c r="H64" s="8" t="s">
        <v>426</v>
      </c>
    </row>
    <row r="65" customFormat="false" ht="17.15" hidden="false" customHeight="false" outlineLevel="0" collapsed="false">
      <c r="A65" s="5" t="s">
        <v>427</v>
      </c>
      <c r="B65" s="5" t="s">
        <v>30</v>
      </c>
      <c r="D65" s="14" t="n">
        <f aca="false">D63+w_ot*D64</f>
        <v>10.64</v>
      </c>
      <c r="E65" s="14" t="n">
        <f aca="false">E63+w_ot*E64</f>
        <v>15.3</v>
      </c>
      <c r="F65" s="14" t="n">
        <f aca="false">F63+w_ot*F64</f>
        <v>16.3</v>
      </c>
      <c r="G65" s="14" t="n">
        <f aca="false">G63+w_ot*G64</f>
        <v>18.42</v>
      </c>
    </row>
    <row r="66" customFormat="false" ht="17.15" hidden="false" customHeight="false" outlineLevel="0" collapsed="false">
      <c r="A66" s="0" t="s">
        <v>428</v>
      </c>
      <c r="B66" s="0" t="s">
        <v>238</v>
      </c>
      <c r="D66" s="14" t="n">
        <f aca="false">q26_e*ai_e</f>
        <v>243.75</v>
      </c>
      <c r="H66" s="8" t="s">
        <v>429</v>
      </c>
    </row>
    <row r="67" customFormat="false" ht="17.15" hidden="false" customHeight="false" outlineLevel="0" collapsed="false">
      <c r="A67" s="5" t="s">
        <v>430</v>
      </c>
      <c r="B67" s="5" t="s">
        <v>431</v>
      </c>
      <c r="D67" s="12" t="n">
        <f aca="false">D66/D65</f>
        <v>22.9088345864662</v>
      </c>
      <c r="H67" s="8" t="s">
        <v>432</v>
      </c>
    </row>
    <row r="68" customFormat="false" ht="17.15" hidden="false" customHeight="false" outlineLevel="0" collapsed="false">
      <c r="A68" s="5" t="s">
        <v>433</v>
      </c>
      <c r="B68" s="0" t="s">
        <v>142</v>
      </c>
      <c r="D68" s="18" t="n">
        <f aca="false">1</f>
        <v>1</v>
      </c>
      <c r="E68" s="18" t="n">
        <f aca="false">D68*(1+g_asp)</f>
        <v>1.18</v>
      </c>
      <c r="F68" s="18" t="n">
        <f aca="false">E68*(1+g_asp)</f>
        <v>1.3924</v>
      </c>
      <c r="G68" s="18" t="n">
        <f aca="false">F68*(1+g_asp)</f>
        <v>1.643032</v>
      </c>
    </row>
    <row r="69" customFormat="false" ht="17.15" hidden="false" customHeight="false" outlineLevel="0" collapsed="false">
      <c r="A69" s="0" t="s">
        <v>434</v>
      </c>
      <c r="B69" s="0" t="s">
        <v>142</v>
      </c>
      <c r="D69" s="19" t="n">
        <f aca="false">1</f>
        <v>1</v>
      </c>
      <c r="E69" s="19" t="n">
        <f aca="false">rel_27</f>
        <v>0.95</v>
      </c>
      <c r="F69" s="19" t="n">
        <f aca="false">rel_28</f>
        <v>0.88</v>
      </c>
      <c r="G69" s="19" t="n">
        <f aca="false">rel_29</f>
        <v>0.85</v>
      </c>
    </row>
    <row r="70" customFormat="false" ht="17.15" hidden="false" customHeight="false" outlineLevel="0" collapsed="false">
      <c r="A70" s="5" t="s">
        <v>435</v>
      </c>
      <c r="B70" s="0" t="s">
        <v>142</v>
      </c>
      <c r="D70" s="19" t="n">
        <f aca="false">1</f>
        <v>1</v>
      </c>
      <c r="E70" s="19" t="n">
        <f aca="false">pp_27</f>
        <v>1</v>
      </c>
      <c r="F70" s="19" t="n">
        <f aca="false">pp_28</f>
        <v>0.95</v>
      </c>
      <c r="G70" s="19" t="n">
        <f aca="false">pp_29</f>
        <v>0.9</v>
      </c>
    </row>
    <row r="71" customFormat="false" ht="17.15" hidden="false" customHeight="false" outlineLevel="0" collapsed="false">
      <c r="A71" s="0" t="s">
        <v>397</v>
      </c>
      <c r="B71" s="0" t="s">
        <v>238</v>
      </c>
      <c r="D71" s="14" t="n">
        <f aca="false">D66</f>
        <v>243.75</v>
      </c>
      <c r="E71" s="14" t="n">
        <f aca="false">E65*$D$67*E68*E69*E70</f>
        <v>392.916294642857</v>
      </c>
      <c r="F71" s="14" t="n">
        <f aca="false">F65*$D$67*F68*F69*F70</f>
        <v>434.671226785714</v>
      </c>
      <c r="G71" s="14" t="n">
        <f aca="false">G65*$D$67*G68*G69*G70</f>
        <v>530.395803596334</v>
      </c>
    </row>
    <row r="72" customFormat="false" ht="17.15" hidden="false" customHeight="false" outlineLevel="0" collapsed="false">
      <c r="A72" s="1" t="s">
        <v>436</v>
      </c>
    </row>
    <row r="73" customFormat="false" ht="17.15" hidden="false" customHeight="false" outlineLevel="0" collapsed="false">
      <c r="A73" s="5" t="s">
        <v>437</v>
      </c>
      <c r="B73" s="0" t="s">
        <v>238</v>
      </c>
      <c r="D73" s="14" t="n">
        <f aca="false">q26_e-D71</f>
        <v>131.25</v>
      </c>
      <c r="E73" s="14" t="n">
        <f aca="false">D73*(1+g_ne)</f>
        <v>137.8125</v>
      </c>
      <c r="F73" s="14" t="n">
        <f aca="false">E73*(1+g_ne)</f>
        <v>144.703125</v>
      </c>
      <c r="G73" s="14" t="n">
        <f aca="false">F73*(1+g_ne)</f>
        <v>151.93828125</v>
      </c>
    </row>
    <row r="74" customFormat="false" ht="15" hidden="false" customHeight="false" outlineLevel="0" collapsed="false">
      <c r="A74" s="5" t="s">
        <v>438</v>
      </c>
      <c r="B74" s="0" t="s">
        <v>238</v>
      </c>
      <c r="C74" s="14" t="n">
        <f aca="false">q25_e</f>
        <v>243.316</v>
      </c>
      <c r="D74" s="14" t="n">
        <f aca="false">D71+D73</f>
        <v>375</v>
      </c>
      <c r="E74" s="14" t="n">
        <f aca="false">E71+E73</f>
        <v>530.728794642857</v>
      </c>
      <c r="F74" s="14" t="n">
        <f aca="false">F71+F73</f>
        <v>579.374351785714</v>
      </c>
      <c r="G74" s="14" t="n">
        <f aca="false">G71+G73</f>
        <v>682.334084846335</v>
      </c>
    </row>
    <row r="75" customFormat="false" ht="17.15" hidden="false" customHeight="false" outlineLevel="0" collapsed="false">
      <c r="A75" s="0" t="s">
        <v>439</v>
      </c>
      <c r="B75" s="0" t="s">
        <v>42</v>
      </c>
      <c r="D75" s="13" t="n">
        <f aca="false">(q26_eoi-m_ne*D73)/D71</f>
        <v>0.370512820512821</v>
      </c>
      <c r="H75" s="8" t="s">
        <v>440</v>
      </c>
    </row>
    <row r="76" customFormat="false" ht="17.15" hidden="false" customHeight="false" outlineLevel="0" collapsed="false">
      <c r="A76" s="0" t="s">
        <v>441</v>
      </c>
      <c r="B76" s="0" t="s">
        <v>42</v>
      </c>
      <c r="D76" s="13" t="n">
        <f aca="false">D75</f>
        <v>0.370512820512821</v>
      </c>
      <c r="E76" s="13" t="n">
        <f aca="false">1-(1-$D$75)/E70</f>
        <v>0.370512820512821</v>
      </c>
      <c r="F76" s="13" t="n">
        <f aca="false">1-(1-$D$75)/F70</f>
        <v>0.337381916329285</v>
      </c>
      <c r="G76" s="13" t="n">
        <f aca="false">1-(1-$D$75)/G70</f>
        <v>0.300569800569801</v>
      </c>
      <c r="H76" s="8" t="s">
        <v>442</v>
      </c>
    </row>
    <row r="77" customFormat="false" ht="15" hidden="false" customHeight="false" outlineLevel="0" collapsed="false">
      <c r="A77" s="5" t="s">
        <v>443</v>
      </c>
      <c r="B77" s="0" t="s">
        <v>238</v>
      </c>
      <c r="C77" s="14" t="n">
        <f aca="false">q25_eoi</f>
        <v>45.248</v>
      </c>
      <c r="D77" s="14" t="n">
        <f aca="false">D71*D76+D73*m_ne</f>
        <v>110</v>
      </c>
      <c r="E77" s="14" t="n">
        <f aca="false">E71*E76+E73*m_ne</f>
        <v>166.252399553571</v>
      </c>
      <c r="F77" s="14" t="n">
        <f aca="false">F71*F76+F73*m_ne</f>
        <v>168.355680216165</v>
      </c>
      <c r="G77" s="14" t="n">
        <f aca="false">G71*G76+G73*m_ne</f>
        <v>182.211703097509</v>
      </c>
    </row>
    <row r="78" customFormat="false" ht="15" hidden="false" customHeight="false" outlineLevel="0" collapsed="false">
      <c r="A78" s="5" t="s">
        <v>376</v>
      </c>
      <c r="B78" s="0" t="s">
        <v>42</v>
      </c>
      <c r="C78" s="13" t="n">
        <f aca="false">C77/C74</f>
        <v>0.185963931677325</v>
      </c>
      <c r="D78" s="13" t="n">
        <f aca="false">D77/D74</f>
        <v>0.293333333333333</v>
      </c>
      <c r="E78" s="13" t="n">
        <f aca="false">E77/E74</f>
        <v>0.313253023449477</v>
      </c>
      <c r="F78" s="13" t="n">
        <f aca="false">F77/F74</f>
        <v>0.29058186593395</v>
      </c>
      <c r="G78" s="13" t="n">
        <f aca="false">G77/G74</f>
        <v>0.267041771976765</v>
      </c>
    </row>
    <row r="79" customFormat="false" ht="17.15" hidden="false" customHeight="false" outlineLevel="0" collapsed="false">
      <c r="A79" s="1" t="s">
        <v>444</v>
      </c>
    </row>
    <row r="80" customFormat="false" ht="15" hidden="false" customHeight="false" outlineLevel="0" collapsed="false">
      <c r="A80" s="5" t="s">
        <v>445</v>
      </c>
      <c r="B80" s="0" t="s">
        <v>238</v>
      </c>
      <c r="C80" s="14" t="n">
        <f aca="false">q25_cer</f>
        <v>82.554</v>
      </c>
      <c r="D80" s="14" t="n">
        <f aca="false">q26_cer</f>
        <v>84</v>
      </c>
      <c r="E80" s="14" t="n">
        <f aca="false">D80*(1+g_cer)</f>
        <v>84</v>
      </c>
      <c r="F80" s="14" t="n">
        <f aca="false">E80*(1+g_cer)</f>
        <v>84</v>
      </c>
      <c r="G80" s="14" t="n">
        <f aca="false">F80*(1+g_cer)</f>
        <v>84</v>
      </c>
    </row>
    <row r="81" customFormat="false" ht="15" hidden="false" customHeight="false" outlineLevel="0" collapsed="false">
      <c r="A81" s="5" t="s">
        <v>446</v>
      </c>
      <c r="B81" s="0" t="s">
        <v>238</v>
      </c>
      <c r="C81" s="14" t="n">
        <f aca="false">q25_oth</f>
        <v>90.33</v>
      </c>
      <c r="D81" s="14" t="n">
        <f aca="false">q26_oth</f>
        <v>91</v>
      </c>
      <c r="E81" s="14" t="n">
        <f aca="false">D81*(1+g_oth)</f>
        <v>93.73</v>
      </c>
      <c r="F81" s="14" t="n">
        <f aca="false">E81*(1+g_oth)</f>
        <v>96.5419</v>
      </c>
      <c r="G81" s="14" t="n">
        <f aca="false">F81*(1+g_oth)</f>
        <v>99.438157</v>
      </c>
    </row>
    <row r="82" customFormat="false" ht="15" hidden="false" customHeight="false" outlineLevel="0" collapsed="false">
      <c r="A82" s="5" t="s">
        <v>365</v>
      </c>
      <c r="B82" s="0" t="s">
        <v>238</v>
      </c>
      <c r="C82" s="14" t="n">
        <f aca="false">C74+C80+C81</f>
        <v>416.2</v>
      </c>
      <c r="D82" s="14" t="n">
        <f aca="false">D74+D80+D81</f>
        <v>550</v>
      </c>
      <c r="E82" s="14" t="n">
        <f aca="false">E74+E80+E81</f>
        <v>708.458794642857</v>
      </c>
      <c r="F82" s="14" t="n">
        <f aca="false">F74+F80+F81</f>
        <v>759.916251785714</v>
      </c>
      <c r="G82" s="14" t="n">
        <f aca="false">G74+G80+G81</f>
        <v>865.772241846335</v>
      </c>
    </row>
    <row r="83" customFormat="false" ht="15" hidden="false" customHeight="false" outlineLevel="0" collapsed="false">
      <c r="A83" s="5" t="s">
        <v>447</v>
      </c>
      <c r="B83" s="0" t="s">
        <v>42</v>
      </c>
      <c r="D83" s="13" t="n">
        <f aca="false">D82/C82-1</f>
        <v>0.321480057664584</v>
      </c>
      <c r="E83" s="13" t="n">
        <f aca="false">E82/D82-1</f>
        <v>0.288106899350649</v>
      </c>
      <c r="F83" s="13" t="n">
        <f aca="false">F82/E82-1</f>
        <v>0.0726329569651225</v>
      </c>
      <c r="G83" s="13" t="n">
        <f aca="false">G82/F82-1</f>
        <v>0.139299547564447</v>
      </c>
    </row>
    <row r="84" customFormat="false" ht="17.15" hidden="false" customHeight="false" outlineLevel="0" collapsed="false">
      <c r="A84" s="0" t="s">
        <v>448</v>
      </c>
      <c r="B84" s="0" t="s">
        <v>42</v>
      </c>
      <c r="D84" s="13" t="n">
        <f aca="false">D71/D82</f>
        <v>0.443181818181818</v>
      </c>
      <c r="E84" s="13" t="n">
        <f aca="false">E71/E82</f>
        <v>0.554607124103712</v>
      </c>
      <c r="F84" s="13" t="n">
        <f aca="false">F71/F82</f>
        <v>0.57199885614275</v>
      </c>
      <c r="G84" s="13" t="n">
        <f aca="false">G71/G82</f>
        <v>0.612627407024761</v>
      </c>
    </row>
    <row r="85" customFormat="false" ht="15" hidden="false" customHeight="false" outlineLevel="0" collapsed="false">
      <c r="A85" s="5" t="s">
        <v>449</v>
      </c>
      <c r="B85" s="0" t="s">
        <v>238</v>
      </c>
      <c r="C85" s="14" t="n">
        <f aca="false">q25_oi-q25_eoi</f>
        <v>16.779</v>
      </c>
      <c r="D85" s="14" t="n">
        <f aca="false">q26_oi-q26_eoi</f>
        <v>17</v>
      </c>
      <c r="E85" s="14" t="n">
        <f aca="false">E80*m_cer+E81*m_oth+q26_adj</f>
        <v>17.24695</v>
      </c>
      <c r="F85" s="14" t="n">
        <f aca="false">F80*m_cer+F81*m_oth+q26_adj</f>
        <v>17.5703185</v>
      </c>
      <c r="G85" s="14" t="n">
        <f aca="false">G80*m_cer+G81*m_oth+q26_adj</f>
        <v>17.903388055</v>
      </c>
    </row>
    <row r="86" customFormat="false" ht="15" hidden="false" customHeight="false" outlineLevel="0" collapsed="false">
      <c r="A86" s="5" t="s">
        <v>370</v>
      </c>
      <c r="B86" s="0" t="s">
        <v>238</v>
      </c>
      <c r="C86" s="14" t="n">
        <f aca="false">C77+C85</f>
        <v>62.027</v>
      </c>
      <c r="D86" s="14" t="n">
        <f aca="false">D77+D85</f>
        <v>127</v>
      </c>
      <c r="E86" s="14" t="n">
        <f aca="false">E77+E85</f>
        <v>183.499349553571</v>
      </c>
      <c r="F86" s="14" t="n">
        <f aca="false">F77+F85</f>
        <v>185.925998716165</v>
      </c>
      <c r="G86" s="14" t="n">
        <f aca="false">G77+G85</f>
        <v>200.115091152509</v>
      </c>
    </row>
    <row r="87" customFormat="false" ht="15" hidden="false" customHeight="false" outlineLevel="0" collapsed="false">
      <c r="A87" s="5" t="s">
        <v>377</v>
      </c>
      <c r="B87" s="0" t="s">
        <v>42</v>
      </c>
      <c r="C87" s="13" t="n">
        <f aca="false">C86/C82</f>
        <v>0.149031715521384</v>
      </c>
      <c r="D87" s="13" t="n">
        <f aca="false">D86/D82</f>
        <v>0.230909090909091</v>
      </c>
      <c r="E87" s="13" t="n">
        <f aca="false">E86/E82</f>
        <v>0.259012028562756</v>
      </c>
      <c r="F87" s="13" t="n">
        <f aca="false">F86/F82</f>
        <v>0.24466643301714</v>
      </c>
      <c r="G87" s="13" t="n">
        <f aca="false">G86/G82</f>
        <v>0.231140571942739</v>
      </c>
    </row>
    <row r="88" customFormat="false" ht="15" hidden="false" customHeight="false" outlineLevel="0" collapsed="false">
      <c r="A88" s="5" t="s">
        <v>372</v>
      </c>
      <c r="B88" s="0" t="s">
        <v>238</v>
      </c>
      <c r="C88" s="14" t="n">
        <f aca="false">q25_ni</f>
        <v>63.713</v>
      </c>
      <c r="D88" s="14" t="n">
        <f aca="false">q26_ni</f>
        <v>84</v>
      </c>
      <c r="E88" s="14" t="n">
        <f aca="false">E86*ni_oi</f>
        <v>121.293070054911</v>
      </c>
      <c r="F88" s="14" t="n">
        <f aca="false">F86*ni_oi</f>
        <v>122.897085151385</v>
      </c>
      <c r="G88" s="14" t="n">
        <f aca="false">G86*ni_oi</f>
        <v>132.276075251809</v>
      </c>
    </row>
    <row r="89" customFormat="false" ht="15" hidden="false" customHeight="false" outlineLevel="0" collapsed="false">
      <c r="A89" s="5" t="s">
        <v>450</v>
      </c>
      <c r="B89" s="5" t="s">
        <v>451</v>
      </c>
      <c r="D89" s="15" t="n">
        <f aca="false">q26_sh</f>
        <v>0.561197220737574</v>
      </c>
      <c r="E89" s="15" t="n">
        <f aca="false">D89*(1+sh_g)</f>
        <v>0.561197220737574</v>
      </c>
      <c r="F89" s="15" t="n">
        <f aca="false">E89*(1+sh_g)</f>
        <v>0.561197220737574</v>
      </c>
      <c r="G89" s="15" t="n">
        <f aca="false">F89*(1+sh_g)</f>
        <v>0.561197220737574</v>
      </c>
    </row>
    <row r="90" customFormat="false" ht="17.15" hidden="false" customHeight="false" outlineLevel="0" collapsed="false">
      <c r="A90" s="0" t="s">
        <v>452</v>
      </c>
      <c r="B90" s="0" t="s">
        <v>263</v>
      </c>
      <c r="C90" s="14" t="n">
        <f aca="false">q25_eps</f>
        <v>114.08</v>
      </c>
      <c r="D90" s="14" t="n">
        <f aca="false">D88/D89</f>
        <v>149.68</v>
      </c>
      <c r="E90" s="14" t="n">
        <f aca="false">E88/E89</f>
        <v>216.132699116893</v>
      </c>
      <c r="F90" s="14" t="n">
        <f aca="false">F88/F89</f>
        <v>218.990901255469</v>
      </c>
      <c r="G90" s="14" t="n">
        <f aca="false">G88/G89</f>
        <v>235.703368377271</v>
      </c>
    </row>
    <row r="91" customFormat="false" ht="17.15" hidden="false" customHeight="false" outlineLevel="0" collapsed="false">
      <c r="A91" s="0" t="s">
        <v>453</v>
      </c>
      <c r="B91" s="0" t="s">
        <v>42</v>
      </c>
      <c r="D91" s="13" t="n">
        <f aca="false">D90/C90-1</f>
        <v>0.312061711079944</v>
      </c>
      <c r="E91" s="13" t="n">
        <f aca="false">E90/D90-1</f>
        <v>0.443965119701318</v>
      </c>
      <c r="F91" s="13" t="n">
        <f aca="false">F90/E90-1</f>
        <v>0.0132242929933957</v>
      </c>
      <c r="G91" s="13" t="n">
        <f aca="false">G90/F90-1</f>
        <v>0.0763158059352693</v>
      </c>
    </row>
    <row r="94" customFormat="false" ht="17.15" hidden="false" customHeight="false" outlineLevel="0" collapsed="false">
      <c r="A94" s="3" t="s">
        <v>454</v>
      </c>
    </row>
    <row r="95" customFormat="false" ht="17.15" hidden="false" customHeight="false" outlineLevel="0" collapsed="false">
      <c r="A95" s="6" t="s">
        <v>19</v>
      </c>
      <c r="B95" s="6" t="s">
        <v>20</v>
      </c>
      <c r="C95" s="11" t="s">
        <v>361</v>
      </c>
      <c r="D95" s="11" t="s">
        <v>408</v>
      </c>
      <c r="E95" s="11" t="s">
        <v>384</v>
      </c>
      <c r="F95" s="11" t="s">
        <v>385</v>
      </c>
      <c r="G95" s="11" t="s">
        <v>386</v>
      </c>
      <c r="H95" s="6" t="s">
        <v>364</v>
      </c>
    </row>
    <row r="96" customFormat="false" ht="17.15" hidden="false" customHeight="false" outlineLevel="0" collapsed="false">
      <c r="A96" s="1" t="s">
        <v>422</v>
      </c>
    </row>
    <row r="97" customFormat="false" ht="17.15" hidden="false" customHeight="false" outlineLevel="0" collapsed="false">
      <c r="A97" s="0" t="s">
        <v>423</v>
      </c>
      <c r="B97" s="5" t="s">
        <v>30</v>
      </c>
      <c r="D97" s="14" t="n">
        <f aca="false">(u_bw_26+u_rb_26+u_ru_26+u_hp_26)*1</f>
        <v>7.6</v>
      </c>
      <c r="E97" s="14" t="n">
        <f aca="false">(u_bw_27+u_rb_27+u_ru_27+u_hp_27)*1</f>
        <v>9.7</v>
      </c>
      <c r="F97" s="14" t="n">
        <f aca="false">(u_bw_28+u_rb_28+u_ru_28+u_hp_28)*um28_B</f>
        <v>7.6</v>
      </c>
      <c r="G97" s="14" t="n">
        <f aca="false">(u_bw_28*(1+g29_bw)+u_rb_28*(1+g29_rb)+u_ru_28*(1+g29_ru)+u_hp_28*(1+g29_hp))*um29_B</f>
        <v>9.01</v>
      </c>
      <c r="H97" s="8" t="s">
        <v>424</v>
      </c>
    </row>
    <row r="98" customFormat="false" ht="17.15" hidden="false" customHeight="false" outlineLevel="0" collapsed="false">
      <c r="A98" s="5" t="s">
        <v>425</v>
      </c>
      <c r="B98" s="5" t="s">
        <v>30</v>
      </c>
      <c r="D98" s="14" t="n">
        <f aca="false">(u_amd_26+u_tpu_26+u_trn_26+u_oth_26)*1</f>
        <v>7.6</v>
      </c>
      <c r="E98" s="14" t="n">
        <f aca="false">(u_amd_27+u_tpu_27+u_trn_27+u_oth_27)*1</f>
        <v>14</v>
      </c>
      <c r="F98" s="14" t="n">
        <f aca="false">(u_amd_28+u_tpu_28+u_trn_28+u_oth_28)*um28_B</f>
        <v>13.6</v>
      </c>
      <c r="G98" s="14" t="n">
        <f aca="false">(u_amd_28*(1+g29_amd)+u_tpu_28*(1+g29_tpu)+u_trn_28*(1+g29_trn)+u_oth_28*(1+g29_oth))*um29_B</f>
        <v>16.6175</v>
      </c>
      <c r="H98" s="8" t="s">
        <v>426</v>
      </c>
    </row>
    <row r="99" customFormat="false" ht="17.15" hidden="false" customHeight="false" outlineLevel="0" collapsed="false">
      <c r="A99" s="5" t="s">
        <v>427</v>
      </c>
      <c r="B99" s="5" t="s">
        <v>30</v>
      </c>
      <c r="D99" s="14" t="n">
        <f aca="false">D97+w_ot*D98</f>
        <v>10.64</v>
      </c>
      <c r="E99" s="14" t="n">
        <f aca="false">E97+w_ot*E98</f>
        <v>15.3</v>
      </c>
      <c r="F99" s="14" t="n">
        <f aca="false">F97+w_ot*F98</f>
        <v>13.04</v>
      </c>
      <c r="G99" s="14" t="n">
        <f aca="false">G97+w_ot*G98</f>
        <v>15.657</v>
      </c>
    </row>
    <row r="100" customFormat="false" ht="17.15" hidden="false" customHeight="false" outlineLevel="0" collapsed="false">
      <c r="A100" s="0" t="s">
        <v>428</v>
      </c>
      <c r="B100" s="0" t="s">
        <v>238</v>
      </c>
      <c r="D100" s="14" t="n">
        <f aca="false">q26_e*ai_e</f>
        <v>243.75</v>
      </c>
      <c r="H100" s="8" t="s">
        <v>429</v>
      </c>
    </row>
    <row r="101" customFormat="false" ht="17.15" hidden="false" customHeight="false" outlineLevel="0" collapsed="false">
      <c r="A101" s="5" t="s">
        <v>430</v>
      </c>
      <c r="B101" s="5" t="s">
        <v>431</v>
      </c>
      <c r="D101" s="12" t="n">
        <f aca="false">D100/D99</f>
        <v>22.9088345864662</v>
      </c>
      <c r="H101" s="8" t="s">
        <v>432</v>
      </c>
    </row>
    <row r="102" customFormat="false" ht="17.15" hidden="false" customHeight="false" outlineLevel="0" collapsed="false">
      <c r="A102" s="5" t="s">
        <v>433</v>
      </c>
      <c r="B102" s="0" t="s">
        <v>142</v>
      </c>
      <c r="D102" s="18" t="n">
        <f aca="false">1</f>
        <v>1</v>
      </c>
      <c r="E102" s="18" t="n">
        <f aca="false">D102*(1+g_asp)</f>
        <v>1.18</v>
      </c>
      <c r="F102" s="18" t="n">
        <f aca="false">E102*(1+g_asp)</f>
        <v>1.3924</v>
      </c>
      <c r="G102" s="18" t="n">
        <f aca="false">F102*(1+g_asp)</f>
        <v>1.643032</v>
      </c>
    </row>
    <row r="103" customFormat="false" ht="17.15" hidden="false" customHeight="false" outlineLevel="0" collapsed="false">
      <c r="A103" s="0" t="s">
        <v>434</v>
      </c>
      <c r="B103" s="0" t="s">
        <v>142</v>
      </c>
      <c r="D103" s="19" t="n">
        <f aca="false">1</f>
        <v>1</v>
      </c>
      <c r="E103" s="19" t="n">
        <f aca="false">rel_27</f>
        <v>0.95</v>
      </c>
      <c r="F103" s="19" t="n">
        <f aca="false">rel_28</f>
        <v>0.88</v>
      </c>
      <c r="G103" s="19" t="n">
        <f aca="false">rel_29</f>
        <v>0.85</v>
      </c>
    </row>
    <row r="104" customFormat="false" ht="17.15" hidden="false" customHeight="false" outlineLevel="0" collapsed="false">
      <c r="A104" s="5" t="s">
        <v>435</v>
      </c>
      <c r="B104" s="0" t="s">
        <v>142</v>
      </c>
      <c r="D104" s="19" t="n">
        <f aca="false">1</f>
        <v>1</v>
      </c>
      <c r="E104" s="19" t="n">
        <f aca="false">pp_27</f>
        <v>1</v>
      </c>
      <c r="F104" s="19" t="n">
        <f aca="false">pp_28</f>
        <v>0.95</v>
      </c>
      <c r="G104" s="19" t="n">
        <f aca="false">pp_29</f>
        <v>0.9</v>
      </c>
    </row>
    <row r="105" customFormat="false" ht="17.15" hidden="false" customHeight="false" outlineLevel="0" collapsed="false">
      <c r="A105" s="0" t="s">
        <v>397</v>
      </c>
      <c r="B105" s="0" t="s">
        <v>238</v>
      </c>
      <c r="D105" s="14" t="n">
        <f aca="false">D100</f>
        <v>243.75</v>
      </c>
      <c r="E105" s="14" t="n">
        <f aca="false">E99*$D$101*E102*E103*E104</f>
        <v>392.916294642857</v>
      </c>
      <c r="F105" s="14" t="n">
        <f aca="false">F99*$D$101*F102*F103*F104</f>
        <v>347.736981428572</v>
      </c>
      <c r="G105" s="14" t="n">
        <f aca="false">G99*$D$101*G102*G103*G104</f>
        <v>450.836433056884</v>
      </c>
    </row>
    <row r="106" customFormat="false" ht="17.15" hidden="false" customHeight="false" outlineLevel="0" collapsed="false">
      <c r="A106" s="1" t="s">
        <v>436</v>
      </c>
    </row>
    <row r="107" customFormat="false" ht="17.15" hidden="false" customHeight="false" outlineLevel="0" collapsed="false">
      <c r="A107" s="5" t="s">
        <v>437</v>
      </c>
      <c r="B107" s="0" t="s">
        <v>238</v>
      </c>
      <c r="D107" s="14" t="n">
        <f aca="false">q26_e-D105</f>
        <v>131.25</v>
      </c>
      <c r="E107" s="14" t="n">
        <f aca="false">D107*(1+g_ne)</f>
        <v>137.8125</v>
      </c>
      <c r="F107" s="14" t="n">
        <f aca="false">E107*(1+g_ne)</f>
        <v>144.703125</v>
      </c>
      <c r="G107" s="14" t="n">
        <f aca="false">F107*(1+g_ne)</f>
        <v>151.93828125</v>
      </c>
    </row>
    <row r="108" customFormat="false" ht="15" hidden="false" customHeight="false" outlineLevel="0" collapsed="false">
      <c r="A108" s="5" t="s">
        <v>438</v>
      </c>
      <c r="B108" s="0" t="s">
        <v>238</v>
      </c>
      <c r="C108" s="14" t="n">
        <f aca="false">q25_e</f>
        <v>243.316</v>
      </c>
      <c r="D108" s="14" t="n">
        <f aca="false">D105+D107</f>
        <v>375</v>
      </c>
      <c r="E108" s="14" t="n">
        <f aca="false">E105+E107</f>
        <v>530.728794642857</v>
      </c>
      <c r="F108" s="14" t="n">
        <f aca="false">F105+F107</f>
        <v>492.440106428572</v>
      </c>
      <c r="G108" s="14" t="n">
        <f aca="false">G105+G107</f>
        <v>602.774714306884</v>
      </c>
    </row>
    <row r="109" customFormat="false" ht="17.15" hidden="false" customHeight="false" outlineLevel="0" collapsed="false">
      <c r="A109" s="0" t="s">
        <v>439</v>
      </c>
      <c r="B109" s="0" t="s">
        <v>42</v>
      </c>
      <c r="D109" s="13" t="n">
        <f aca="false">(q26_eoi-m_ne*D107)/D105</f>
        <v>0.370512820512821</v>
      </c>
      <c r="H109" s="8" t="s">
        <v>440</v>
      </c>
    </row>
    <row r="110" customFormat="false" ht="17.15" hidden="false" customHeight="false" outlineLevel="0" collapsed="false">
      <c r="A110" s="0" t="s">
        <v>441</v>
      </c>
      <c r="B110" s="0" t="s">
        <v>42</v>
      </c>
      <c r="D110" s="13" t="n">
        <f aca="false">D109</f>
        <v>0.370512820512821</v>
      </c>
      <c r="E110" s="13" t="n">
        <f aca="false">1-(1-$D$109)/E104</f>
        <v>0.370512820512821</v>
      </c>
      <c r="F110" s="13" t="n">
        <f aca="false">1-(1-$D$109)/F104</f>
        <v>0.337381916329285</v>
      </c>
      <c r="G110" s="13" t="n">
        <f aca="false">1-(1-$D$109)/G104</f>
        <v>0.300569800569801</v>
      </c>
      <c r="H110" s="8" t="s">
        <v>442</v>
      </c>
    </row>
    <row r="111" customFormat="false" ht="15" hidden="false" customHeight="false" outlineLevel="0" collapsed="false">
      <c r="A111" s="5" t="s">
        <v>443</v>
      </c>
      <c r="B111" s="0" t="s">
        <v>238</v>
      </c>
      <c r="C111" s="14" t="n">
        <f aca="false">q25_eoi</f>
        <v>45.248</v>
      </c>
      <c r="D111" s="14" t="n">
        <f aca="false">D105*D110+D107*m_ne</f>
        <v>110</v>
      </c>
      <c r="E111" s="14" t="n">
        <f aca="false">E105*E110+E107*m_ne</f>
        <v>166.252399553571</v>
      </c>
      <c r="F111" s="14" t="n">
        <f aca="false">F105*F110+F107*m_ne</f>
        <v>139.025637922932</v>
      </c>
      <c r="G111" s="14" t="n">
        <f aca="false">G105*G110+G107*m_ne</f>
        <v>158.298558961008</v>
      </c>
    </row>
    <row r="112" customFormat="false" ht="15" hidden="false" customHeight="false" outlineLevel="0" collapsed="false">
      <c r="A112" s="5" t="s">
        <v>376</v>
      </c>
      <c r="B112" s="0" t="s">
        <v>42</v>
      </c>
      <c r="C112" s="13" t="n">
        <f aca="false">C111/C108</f>
        <v>0.185963931677325</v>
      </c>
      <c r="D112" s="13" t="n">
        <f aca="false">D111/D108</f>
        <v>0.293333333333333</v>
      </c>
      <c r="E112" s="13" t="n">
        <f aca="false">E111/E108</f>
        <v>0.313253023449477</v>
      </c>
      <c r="F112" s="13" t="n">
        <f aca="false">F111/F108</f>
        <v>0.282319892527068</v>
      </c>
      <c r="G112" s="13" t="n">
        <f aca="false">G111/G108</f>
        <v>0.262616455540992</v>
      </c>
    </row>
    <row r="113" customFormat="false" ht="17.15" hidden="false" customHeight="false" outlineLevel="0" collapsed="false">
      <c r="A113" s="1" t="s">
        <v>444</v>
      </c>
    </row>
    <row r="114" customFormat="false" ht="15" hidden="false" customHeight="false" outlineLevel="0" collapsed="false">
      <c r="A114" s="5" t="s">
        <v>445</v>
      </c>
      <c r="B114" s="0" t="s">
        <v>238</v>
      </c>
      <c r="C114" s="14" t="n">
        <f aca="false">q25_cer</f>
        <v>82.554</v>
      </c>
      <c r="D114" s="14" t="n">
        <f aca="false">q26_cer</f>
        <v>84</v>
      </c>
      <c r="E114" s="14" t="n">
        <f aca="false">D114*(1+g_cer)</f>
        <v>84</v>
      </c>
      <c r="F114" s="14" t="n">
        <f aca="false">E114*(1+g_cer)</f>
        <v>84</v>
      </c>
      <c r="G114" s="14" t="n">
        <f aca="false">F114*(1+g_cer)</f>
        <v>84</v>
      </c>
    </row>
    <row r="115" customFormat="false" ht="15" hidden="false" customHeight="false" outlineLevel="0" collapsed="false">
      <c r="A115" s="5" t="s">
        <v>446</v>
      </c>
      <c r="B115" s="0" t="s">
        <v>238</v>
      </c>
      <c r="C115" s="14" t="n">
        <f aca="false">q25_oth</f>
        <v>90.33</v>
      </c>
      <c r="D115" s="14" t="n">
        <f aca="false">q26_oth</f>
        <v>91</v>
      </c>
      <c r="E115" s="14" t="n">
        <f aca="false">D115*(1+g_oth)</f>
        <v>93.73</v>
      </c>
      <c r="F115" s="14" t="n">
        <f aca="false">E115*(1+g_oth)</f>
        <v>96.5419</v>
      </c>
      <c r="G115" s="14" t="n">
        <f aca="false">F115*(1+g_oth)</f>
        <v>99.438157</v>
      </c>
    </row>
    <row r="116" customFormat="false" ht="15" hidden="false" customHeight="false" outlineLevel="0" collapsed="false">
      <c r="A116" s="5" t="s">
        <v>365</v>
      </c>
      <c r="B116" s="0" t="s">
        <v>238</v>
      </c>
      <c r="C116" s="14" t="n">
        <f aca="false">C108+C114+C115</f>
        <v>416.2</v>
      </c>
      <c r="D116" s="14" t="n">
        <f aca="false">D108+D114+D115</f>
        <v>550</v>
      </c>
      <c r="E116" s="14" t="n">
        <f aca="false">E108+E114+E115</f>
        <v>708.458794642857</v>
      </c>
      <c r="F116" s="14" t="n">
        <f aca="false">F108+F114+F115</f>
        <v>672.982006428572</v>
      </c>
      <c r="G116" s="14" t="n">
        <f aca="false">G108+G114+G115</f>
        <v>786.212871306884</v>
      </c>
    </row>
    <row r="117" customFormat="false" ht="15" hidden="false" customHeight="false" outlineLevel="0" collapsed="false">
      <c r="A117" s="5" t="s">
        <v>447</v>
      </c>
      <c r="B117" s="0" t="s">
        <v>42</v>
      </c>
      <c r="D117" s="13" t="n">
        <f aca="false">D116/C116-1</f>
        <v>0.321480057664584</v>
      </c>
      <c r="E117" s="13" t="n">
        <f aca="false">E116/D116-1</f>
        <v>0.288106899350649</v>
      </c>
      <c r="F117" s="13" t="n">
        <f aca="false">F116/E116-1</f>
        <v>-0.0500760079238906</v>
      </c>
      <c r="G117" s="13" t="n">
        <f aca="false">G116/F116-1</f>
        <v>0.16825244032781</v>
      </c>
    </row>
    <row r="118" customFormat="false" ht="17.15" hidden="false" customHeight="false" outlineLevel="0" collapsed="false">
      <c r="A118" s="0" t="s">
        <v>448</v>
      </c>
      <c r="B118" s="0" t="s">
        <v>42</v>
      </c>
      <c r="D118" s="13" t="n">
        <f aca="false">D105/D116</f>
        <v>0.443181818181818</v>
      </c>
      <c r="E118" s="13" t="n">
        <f aca="false">E105/E116</f>
        <v>0.554607124103712</v>
      </c>
      <c r="F118" s="13" t="n">
        <f aca="false">F105/F116</f>
        <v>0.516710667011688</v>
      </c>
      <c r="G118" s="13" t="n">
        <f aca="false">G105/G116</f>
        <v>0.573427947455859</v>
      </c>
    </row>
    <row r="119" customFormat="false" ht="15" hidden="false" customHeight="false" outlineLevel="0" collapsed="false">
      <c r="A119" s="5" t="s">
        <v>449</v>
      </c>
      <c r="B119" s="0" t="s">
        <v>238</v>
      </c>
      <c r="C119" s="14" t="n">
        <f aca="false">q25_oi-q25_eoi</f>
        <v>16.779</v>
      </c>
      <c r="D119" s="14" t="n">
        <f aca="false">q26_oi-q26_eoi</f>
        <v>17</v>
      </c>
      <c r="E119" s="14" t="n">
        <f aca="false">E114*m_cer+E115*m_oth+q26_adj</f>
        <v>17.24695</v>
      </c>
      <c r="F119" s="14" t="n">
        <f aca="false">F114*m_cer+F115*m_oth+q26_adj</f>
        <v>17.5703185</v>
      </c>
      <c r="G119" s="14" t="n">
        <f aca="false">G114*m_cer+G115*m_oth+q26_adj</f>
        <v>17.903388055</v>
      </c>
    </row>
    <row r="120" customFormat="false" ht="15" hidden="false" customHeight="false" outlineLevel="0" collapsed="false">
      <c r="A120" s="5" t="s">
        <v>370</v>
      </c>
      <c r="B120" s="0" t="s">
        <v>238</v>
      </c>
      <c r="C120" s="14" t="n">
        <f aca="false">C111+C119</f>
        <v>62.027</v>
      </c>
      <c r="D120" s="14" t="n">
        <f aca="false">D111+D119</f>
        <v>127</v>
      </c>
      <c r="E120" s="14" t="n">
        <f aca="false">E111+E119</f>
        <v>183.499349553571</v>
      </c>
      <c r="F120" s="14" t="n">
        <f aca="false">F111+F119</f>
        <v>156.595956422932</v>
      </c>
      <c r="G120" s="14" t="n">
        <f aca="false">G111+G119</f>
        <v>176.201947016008</v>
      </c>
    </row>
    <row r="121" customFormat="false" ht="15" hidden="false" customHeight="false" outlineLevel="0" collapsed="false">
      <c r="A121" s="5" t="s">
        <v>377</v>
      </c>
      <c r="B121" s="0" t="s">
        <v>42</v>
      </c>
      <c r="C121" s="13" t="n">
        <f aca="false">C120/C116</f>
        <v>0.149031715521384</v>
      </c>
      <c r="D121" s="13" t="n">
        <f aca="false">D120/D116</f>
        <v>0.230909090909091</v>
      </c>
      <c r="E121" s="13" t="n">
        <f aca="false">E120/E116</f>
        <v>0.259012028562756</v>
      </c>
      <c r="F121" s="13" t="n">
        <f aca="false">F120/F116</f>
        <v>0.232689663211007</v>
      </c>
      <c r="G121" s="13" t="n">
        <f aca="false">G120/G116</f>
        <v>0.224114808401846</v>
      </c>
    </row>
    <row r="122" customFormat="false" ht="15" hidden="false" customHeight="false" outlineLevel="0" collapsed="false">
      <c r="A122" s="5" t="s">
        <v>372</v>
      </c>
      <c r="B122" s="0" t="s">
        <v>238</v>
      </c>
      <c r="C122" s="14" t="n">
        <f aca="false">q25_ni</f>
        <v>63.713</v>
      </c>
      <c r="D122" s="14" t="n">
        <f aca="false">q26_ni</f>
        <v>84</v>
      </c>
      <c r="E122" s="14" t="n">
        <f aca="false">E120*ni_oi</f>
        <v>121.293070054911</v>
      </c>
      <c r="F122" s="14" t="n">
        <f aca="false">F120*ni_oi</f>
        <v>103.509927195558</v>
      </c>
      <c r="G122" s="14" t="n">
        <f aca="false">G120*ni_oi</f>
        <v>116.469486977581</v>
      </c>
    </row>
    <row r="123" customFormat="false" ht="15" hidden="false" customHeight="false" outlineLevel="0" collapsed="false">
      <c r="A123" s="5" t="s">
        <v>450</v>
      </c>
      <c r="B123" s="5" t="s">
        <v>451</v>
      </c>
      <c r="D123" s="15" t="n">
        <f aca="false">q26_sh</f>
        <v>0.561197220737574</v>
      </c>
      <c r="E123" s="15" t="n">
        <f aca="false">D123*(1+sh_g)</f>
        <v>0.561197220737574</v>
      </c>
      <c r="F123" s="15" t="n">
        <f aca="false">E123*(1+sh_g)</f>
        <v>0.561197220737574</v>
      </c>
      <c r="G123" s="15" t="n">
        <f aca="false">F123*(1+sh_g)</f>
        <v>0.561197220737574</v>
      </c>
    </row>
    <row r="124" customFormat="false" ht="17.15" hidden="false" customHeight="false" outlineLevel="0" collapsed="false">
      <c r="A124" s="0" t="s">
        <v>452</v>
      </c>
      <c r="B124" s="0" t="s">
        <v>263</v>
      </c>
      <c r="C124" s="14" t="n">
        <f aca="false">q25_eps</f>
        <v>114.08</v>
      </c>
      <c r="D124" s="14" t="n">
        <f aca="false">D122/D123</f>
        <v>149.68</v>
      </c>
      <c r="E124" s="14" t="n">
        <f aca="false">E122/E123</f>
        <v>216.132699116893</v>
      </c>
      <c r="F124" s="14" t="n">
        <f aca="false">F122/F123</f>
        <v>184.444832174181</v>
      </c>
      <c r="G124" s="14" t="n">
        <f aca="false">G122/G123</f>
        <v>207.537533461957</v>
      </c>
    </row>
    <row r="125" customFormat="false" ht="17.15" hidden="false" customHeight="false" outlineLevel="0" collapsed="false">
      <c r="A125" s="0" t="s">
        <v>453</v>
      </c>
      <c r="B125" s="0" t="s">
        <v>42</v>
      </c>
      <c r="D125" s="13" t="n">
        <f aca="false">D124/C124-1</f>
        <v>0.312061711079944</v>
      </c>
      <c r="E125" s="13" t="n">
        <f aca="false">E124/D124-1</f>
        <v>0.443965119701318</v>
      </c>
      <c r="F125" s="13" t="n">
        <f aca="false">F124/E124-1</f>
        <v>-0.146613016319084</v>
      </c>
      <c r="G125" s="13" t="n">
        <f aca="false">G124/F124-1</f>
        <v>0.125201129332637</v>
      </c>
    </row>
    <row r="128" customFormat="false" ht="17.15" hidden="false" customHeight="false" outlineLevel="0" collapsed="false">
      <c r="A128" s="3" t="s">
        <v>455</v>
      </c>
    </row>
    <row r="129" customFormat="false" ht="17.15" hidden="false" customHeight="false" outlineLevel="0" collapsed="false">
      <c r="A129" s="6" t="s">
        <v>19</v>
      </c>
      <c r="B129" s="6" t="s">
        <v>20</v>
      </c>
      <c r="C129" s="11" t="s">
        <v>361</v>
      </c>
      <c r="D129" s="11" t="s">
        <v>408</v>
      </c>
      <c r="E129" s="11" t="s">
        <v>384</v>
      </c>
      <c r="F129" s="11" t="s">
        <v>385</v>
      </c>
      <c r="G129" s="11" t="s">
        <v>386</v>
      </c>
      <c r="H129" s="6" t="s">
        <v>364</v>
      </c>
    </row>
    <row r="130" customFormat="false" ht="17.15" hidden="false" customHeight="false" outlineLevel="0" collapsed="false">
      <c r="A130" s="1" t="s">
        <v>422</v>
      </c>
    </row>
    <row r="131" customFormat="false" ht="17.15" hidden="false" customHeight="false" outlineLevel="0" collapsed="false">
      <c r="A131" s="0" t="s">
        <v>423</v>
      </c>
      <c r="B131" s="5" t="s">
        <v>30</v>
      </c>
      <c r="D131" s="14" t="n">
        <f aca="false">(u_bw_26+u_rb_26+u_ru_26+u_hp_26)*1</f>
        <v>7.6</v>
      </c>
      <c r="E131" s="14" t="n">
        <f aca="false">(u_bw_27+u_rb_27+u_ru_27+u_hp_27)*1</f>
        <v>9.7</v>
      </c>
      <c r="F131" s="14" t="n">
        <f aca="false">(u_bw_28+u_rb_28+u_ru_28+u_hp_28)*um28_C</f>
        <v>5.7</v>
      </c>
      <c r="G131" s="14" t="n">
        <f aca="false">(u_bw_28*(1+g29_bw)+u_rb_28*(1+g29_rb)+u_ru_28*(1+g29_ru)+u_hp_28*(1+g29_hp))*um29_C</f>
        <v>6.36</v>
      </c>
      <c r="H131" s="8" t="s">
        <v>424</v>
      </c>
    </row>
    <row r="132" customFormat="false" ht="17.15" hidden="false" customHeight="false" outlineLevel="0" collapsed="false">
      <c r="A132" s="5" t="s">
        <v>425</v>
      </c>
      <c r="B132" s="5" t="s">
        <v>30</v>
      </c>
      <c r="D132" s="14" t="n">
        <f aca="false">(u_amd_26+u_tpu_26+u_trn_26+u_oth_26)*1</f>
        <v>7.6</v>
      </c>
      <c r="E132" s="14" t="n">
        <f aca="false">(u_amd_27+u_tpu_27+u_trn_27+u_oth_27)*1</f>
        <v>14</v>
      </c>
      <c r="F132" s="14" t="n">
        <f aca="false">(u_amd_28+u_tpu_28+u_trn_28+u_oth_28)*um28_C</f>
        <v>10.2</v>
      </c>
      <c r="G132" s="14" t="n">
        <f aca="false">(u_amd_28*(1+g29_amd)+u_tpu_28*(1+g29_tpu)+u_trn_28*(1+g29_trn)+u_oth_28*(1+g29_oth))*um29_C</f>
        <v>11.73</v>
      </c>
      <c r="H132" s="8" t="s">
        <v>426</v>
      </c>
    </row>
    <row r="133" customFormat="false" ht="17.15" hidden="false" customHeight="false" outlineLevel="0" collapsed="false">
      <c r="A133" s="5" t="s">
        <v>427</v>
      </c>
      <c r="B133" s="5" t="s">
        <v>30</v>
      </c>
      <c r="D133" s="14" t="n">
        <f aca="false">D131+w_ot*D132</f>
        <v>10.64</v>
      </c>
      <c r="E133" s="14" t="n">
        <f aca="false">E131+w_ot*E132</f>
        <v>15.3</v>
      </c>
      <c r="F133" s="14" t="n">
        <f aca="false">F131+w_ot*F132</f>
        <v>9.78</v>
      </c>
      <c r="G133" s="14" t="n">
        <f aca="false">G131+w_ot*G132</f>
        <v>11.052</v>
      </c>
    </row>
    <row r="134" customFormat="false" ht="17.15" hidden="false" customHeight="false" outlineLevel="0" collapsed="false">
      <c r="A134" s="0" t="s">
        <v>428</v>
      </c>
      <c r="B134" s="0" t="s">
        <v>238</v>
      </c>
      <c r="D134" s="14" t="n">
        <f aca="false">q26_e*ai_e</f>
        <v>243.75</v>
      </c>
      <c r="H134" s="8" t="s">
        <v>429</v>
      </c>
    </row>
    <row r="135" customFormat="false" ht="17.15" hidden="false" customHeight="false" outlineLevel="0" collapsed="false">
      <c r="A135" s="5" t="s">
        <v>430</v>
      </c>
      <c r="B135" s="5" t="s">
        <v>431</v>
      </c>
      <c r="D135" s="12" t="n">
        <f aca="false">D134/D133</f>
        <v>22.9088345864662</v>
      </c>
      <c r="H135" s="8" t="s">
        <v>432</v>
      </c>
    </row>
    <row r="136" customFormat="false" ht="17.15" hidden="false" customHeight="false" outlineLevel="0" collapsed="false">
      <c r="A136" s="5" t="s">
        <v>433</v>
      </c>
      <c r="B136" s="0" t="s">
        <v>142</v>
      </c>
      <c r="D136" s="18" t="n">
        <f aca="false">1</f>
        <v>1</v>
      </c>
      <c r="E136" s="18" t="n">
        <f aca="false">D136*(1+g_asp)</f>
        <v>1.18</v>
      </c>
      <c r="F136" s="18" t="n">
        <f aca="false">E136*(1+g_asp)</f>
        <v>1.3924</v>
      </c>
      <c r="G136" s="18" t="n">
        <f aca="false">F136*(1+g_asp)</f>
        <v>1.643032</v>
      </c>
    </row>
    <row r="137" customFormat="false" ht="17.15" hidden="false" customHeight="false" outlineLevel="0" collapsed="false">
      <c r="A137" s="0" t="s">
        <v>434</v>
      </c>
      <c r="B137" s="0" t="s">
        <v>142</v>
      </c>
      <c r="D137" s="19" t="n">
        <f aca="false">1</f>
        <v>1</v>
      </c>
      <c r="E137" s="19" t="n">
        <f aca="false">rel_27</f>
        <v>0.95</v>
      </c>
      <c r="F137" s="19" t="n">
        <f aca="false">rel_28</f>
        <v>0.88</v>
      </c>
      <c r="G137" s="19" t="n">
        <f aca="false">rel_29</f>
        <v>0.85</v>
      </c>
    </row>
    <row r="138" customFormat="false" ht="17.15" hidden="false" customHeight="false" outlineLevel="0" collapsed="false">
      <c r="A138" s="5" t="s">
        <v>435</v>
      </c>
      <c r="B138" s="0" t="s">
        <v>142</v>
      </c>
      <c r="D138" s="19" t="n">
        <f aca="false">1</f>
        <v>1</v>
      </c>
      <c r="E138" s="19" t="n">
        <f aca="false">pp_27</f>
        <v>1</v>
      </c>
      <c r="F138" s="19" t="n">
        <f aca="false">pp_28</f>
        <v>0.95</v>
      </c>
      <c r="G138" s="19" t="n">
        <f aca="false">pp_29</f>
        <v>0.9</v>
      </c>
    </row>
    <row r="139" customFormat="false" ht="17.15" hidden="false" customHeight="false" outlineLevel="0" collapsed="false">
      <c r="A139" s="0" t="s">
        <v>397</v>
      </c>
      <c r="B139" s="0" t="s">
        <v>238</v>
      </c>
      <c r="D139" s="14" t="n">
        <f aca="false">D134</f>
        <v>243.75</v>
      </c>
      <c r="E139" s="14" t="n">
        <f aca="false">E133*$D$135*E136*E137*E138</f>
        <v>392.916294642857</v>
      </c>
      <c r="F139" s="14" t="n">
        <f aca="false">F133*$D$135*F136*F137*F138</f>
        <v>260.802736071429</v>
      </c>
      <c r="G139" s="14" t="n">
        <f aca="false">G133*$D$135*G136*G137*G138</f>
        <v>318.237482157801</v>
      </c>
    </row>
    <row r="140" customFormat="false" ht="17.15" hidden="false" customHeight="false" outlineLevel="0" collapsed="false">
      <c r="A140" s="1" t="s">
        <v>436</v>
      </c>
    </row>
    <row r="141" customFormat="false" ht="17.15" hidden="false" customHeight="false" outlineLevel="0" collapsed="false">
      <c r="A141" s="5" t="s">
        <v>437</v>
      </c>
      <c r="B141" s="0" t="s">
        <v>238</v>
      </c>
      <c r="D141" s="14" t="n">
        <f aca="false">q26_e-D139</f>
        <v>131.25</v>
      </c>
      <c r="E141" s="14" t="n">
        <f aca="false">D141*(1+g_ne)</f>
        <v>137.8125</v>
      </c>
      <c r="F141" s="14" t="n">
        <f aca="false">E141*(1+g_ne)</f>
        <v>144.703125</v>
      </c>
      <c r="G141" s="14" t="n">
        <f aca="false">F141*(1+g_ne)</f>
        <v>151.93828125</v>
      </c>
    </row>
    <row r="142" customFormat="false" ht="15" hidden="false" customHeight="false" outlineLevel="0" collapsed="false">
      <c r="A142" s="5" t="s">
        <v>438</v>
      </c>
      <c r="B142" s="0" t="s">
        <v>238</v>
      </c>
      <c r="C142" s="14" t="n">
        <f aca="false">q25_e</f>
        <v>243.316</v>
      </c>
      <c r="D142" s="14" t="n">
        <f aca="false">D139+D141</f>
        <v>375</v>
      </c>
      <c r="E142" s="14" t="n">
        <f aca="false">E139+E141</f>
        <v>530.728794642857</v>
      </c>
      <c r="F142" s="14" t="n">
        <f aca="false">F139+F141</f>
        <v>405.505861071429</v>
      </c>
      <c r="G142" s="14" t="n">
        <f aca="false">G139+G141</f>
        <v>470.175763407801</v>
      </c>
    </row>
    <row r="143" customFormat="false" ht="17.15" hidden="false" customHeight="false" outlineLevel="0" collapsed="false">
      <c r="A143" s="0" t="s">
        <v>439</v>
      </c>
      <c r="B143" s="0" t="s">
        <v>42</v>
      </c>
      <c r="D143" s="13" t="n">
        <f aca="false">(q26_eoi-m_ne*D141)/D139</f>
        <v>0.370512820512821</v>
      </c>
      <c r="H143" s="8" t="s">
        <v>440</v>
      </c>
    </row>
    <row r="144" customFormat="false" ht="17.15" hidden="false" customHeight="false" outlineLevel="0" collapsed="false">
      <c r="A144" s="0" t="s">
        <v>441</v>
      </c>
      <c r="B144" s="0" t="s">
        <v>42</v>
      </c>
      <c r="D144" s="13" t="n">
        <f aca="false">D143</f>
        <v>0.370512820512821</v>
      </c>
      <c r="E144" s="13" t="n">
        <f aca="false">1-(1-$D$143)/E138</f>
        <v>0.370512820512821</v>
      </c>
      <c r="F144" s="13" t="n">
        <f aca="false">1-(1-$D$143)/F138</f>
        <v>0.337381916329285</v>
      </c>
      <c r="G144" s="13" t="n">
        <f aca="false">1-(1-$D$143)/G138</f>
        <v>0.300569800569801</v>
      </c>
      <c r="H144" s="8" t="s">
        <v>442</v>
      </c>
    </row>
    <row r="145" customFormat="false" ht="15" hidden="false" customHeight="false" outlineLevel="0" collapsed="false">
      <c r="A145" s="5" t="s">
        <v>443</v>
      </c>
      <c r="B145" s="0" t="s">
        <v>238</v>
      </c>
      <c r="C145" s="14" t="n">
        <f aca="false">q25_eoi</f>
        <v>45.248</v>
      </c>
      <c r="D145" s="14" t="n">
        <f aca="false">D139*D144+D141*m_ne</f>
        <v>110</v>
      </c>
      <c r="E145" s="14" t="n">
        <f aca="false">E139*E144+E141*m_ne</f>
        <v>166.252399553571</v>
      </c>
      <c r="F145" s="14" t="n">
        <f aca="false">F139*F144+F141*m_ne</f>
        <v>109.695595629699</v>
      </c>
      <c r="G145" s="14" t="n">
        <f aca="false">G139*G144+G141*m_ne</f>
        <v>118.443318733506</v>
      </c>
    </row>
    <row r="146" customFormat="false" ht="15" hidden="false" customHeight="false" outlineLevel="0" collapsed="false">
      <c r="A146" s="5" t="s">
        <v>376</v>
      </c>
      <c r="B146" s="0" t="s">
        <v>42</v>
      </c>
      <c r="C146" s="13" t="n">
        <f aca="false">C145/C142</f>
        <v>0.185963931677325</v>
      </c>
      <c r="D146" s="13" t="n">
        <f aca="false">D145/D142</f>
        <v>0.293333333333333</v>
      </c>
      <c r="E146" s="13" t="n">
        <f aca="false">E145/E142</f>
        <v>0.313253023449477</v>
      </c>
      <c r="F146" s="13" t="n">
        <f aca="false">F145/F142</f>
        <v>0.270515438025634</v>
      </c>
      <c r="G146" s="13" t="n">
        <f aca="false">G145/G142</f>
        <v>0.251912854620657</v>
      </c>
    </row>
    <row r="147" customFormat="false" ht="17.15" hidden="false" customHeight="false" outlineLevel="0" collapsed="false">
      <c r="A147" s="1" t="s">
        <v>444</v>
      </c>
    </row>
    <row r="148" customFormat="false" ht="15" hidden="false" customHeight="false" outlineLevel="0" collapsed="false">
      <c r="A148" s="5" t="s">
        <v>445</v>
      </c>
      <c r="B148" s="0" t="s">
        <v>238</v>
      </c>
      <c r="C148" s="14" t="n">
        <f aca="false">q25_cer</f>
        <v>82.554</v>
      </c>
      <c r="D148" s="14" t="n">
        <f aca="false">q26_cer</f>
        <v>84</v>
      </c>
      <c r="E148" s="14" t="n">
        <f aca="false">D148*(1+g_cer)</f>
        <v>84</v>
      </c>
      <c r="F148" s="14" t="n">
        <f aca="false">E148*(1+g_cer)</f>
        <v>84</v>
      </c>
      <c r="G148" s="14" t="n">
        <f aca="false">F148*(1+g_cer)</f>
        <v>84</v>
      </c>
    </row>
    <row r="149" customFormat="false" ht="15" hidden="false" customHeight="false" outlineLevel="0" collapsed="false">
      <c r="A149" s="5" t="s">
        <v>446</v>
      </c>
      <c r="B149" s="0" t="s">
        <v>238</v>
      </c>
      <c r="C149" s="14" t="n">
        <f aca="false">q25_oth</f>
        <v>90.33</v>
      </c>
      <c r="D149" s="14" t="n">
        <f aca="false">q26_oth</f>
        <v>91</v>
      </c>
      <c r="E149" s="14" t="n">
        <f aca="false">D149*(1+g_oth)</f>
        <v>93.73</v>
      </c>
      <c r="F149" s="14" t="n">
        <f aca="false">E149*(1+g_oth)</f>
        <v>96.5419</v>
      </c>
      <c r="G149" s="14" t="n">
        <f aca="false">F149*(1+g_oth)</f>
        <v>99.438157</v>
      </c>
    </row>
    <row r="150" customFormat="false" ht="15" hidden="false" customHeight="false" outlineLevel="0" collapsed="false">
      <c r="A150" s="5" t="s">
        <v>365</v>
      </c>
      <c r="B150" s="0" t="s">
        <v>238</v>
      </c>
      <c r="C150" s="14" t="n">
        <f aca="false">C142+C148+C149</f>
        <v>416.2</v>
      </c>
      <c r="D150" s="14" t="n">
        <f aca="false">D142+D148+D149</f>
        <v>550</v>
      </c>
      <c r="E150" s="14" t="n">
        <f aca="false">E142+E148+E149</f>
        <v>708.458794642857</v>
      </c>
      <c r="F150" s="14" t="n">
        <f aca="false">F142+F148+F149</f>
        <v>586.047761071429</v>
      </c>
      <c r="G150" s="14" t="n">
        <f aca="false">G142+G148+G149</f>
        <v>653.613920407801</v>
      </c>
    </row>
    <row r="151" customFormat="false" ht="15" hidden="false" customHeight="false" outlineLevel="0" collapsed="false">
      <c r="A151" s="5" t="s">
        <v>447</v>
      </c>
      <c r="B151" s="0" t="s">
        <v>42</v>
      </c>
      <c r="D151" s="13" t="n">
        <f aca="false">D150/C150-1</f>
        <v>0.321480057664584</v>
      </c>
      <c r="E151" s="13" t="n">
        <f aca="false">E150/D150-1</f>
        <v>0.288106899350649</v>
      </c>
      <c r="F151" s="13" t="n">
        <f aca="false">F150/E150-1</f>
        <v>-0.172784972812904</v>
      </c>
      <c r="G151" s="13" t="n">
        <f aca="false">G150/F150-1</f>
        <v>0.115291216560312</v>
      </c>
    </row>
    <row r="152" customFormat="false" ht="17.15" hidden="false" customHeight="false" outlineLevel="0" collapsed="false">
      <c r="A152" s="0" t="s">
        <v>448</v>
      </c>
      <c r="B152" s="0" t="s">
        <v>42</v>
      </c>
      <c r="D152" s="13" t="n">
        <f aca="false">D139/D150</f>
        <v>0.443181818181818</v>
      </c>
      <c r="E152" s="13" t="n">
        <f aca="false">E139/E150</f>
        <v>0.554607124103712</v>
      </c>
      <c r="F152" s="13" t="n">
        <f aca="false">F139/F150</f>
        <v>0.445019592933214</v>
      </c>
      <c r="G152" s="13" t="n">
        <f aca="false">G139/G150</f>
        <v>0.486889082716058</v>
      </c>
    </row>
    <row r="153" customFormat="false" ht="15" hidden="false" customHeight="false" outlineLevel="0" collapsed="false">
      <c r="A153" s="5" t="s">
        <v>449</v>
      </c>
      <c r="B153" s="0" t="s">
        <v>238</v>
      </c>
      <c r="C153" s="14" t="n">
        <f aca="false">q25_oi-q25_eoi</f>
        <v>16.779</v>
      </c>
      <c r="D153" s="14" t="n">
        <f aca="false">q26_oi-q26_eoi</f>
        <v>17</v>
      </c>
      <c r="E153" s="14" t="n">
        <f aca="false">E148*m_cer+E149*m_oth+q26_adj</f>
        <v>17.24695</v>
      </c>
      <c r="F153" s="14" t="n">
        <f aca="false">F148*m_cer+F149*m_oth+q26_adj</f>
        <v>17.5703185</v>
      </c>
      <c r="G153" s="14" t="n">
        <f aca="false">G148*m_cer+G149*m_oth+q26_adj</f>
        <v>17.903388055</v>
      </c>
    </row>
    <row r="154" customFormat="false" ht="15" hidden="false" customHeight="false" outlineLevel="0" collapsed="false">
      <c r="A154" s="5" t="s">
        <v>370</v>
      </c>
      <c r="B154" s="0" t="s">
        <v>238</v>
      </c>
      <c r="C154" s="14" t="n">
        <f aca="false">C145+C153</f>
        <v>62.027</v>
      </c>
      <c r="D154" s="14" t="n">
        <f aca="false">D145+D153</f>
        <v>127</v>
      </c>
      <c r="E154" s="14" t="n">
        <f aca="false">E145+E153</f>
        <v>183.499349553571</v>
      </c>
      <c r="F154" s="14" t="n">
        <f aca="false">F145+F153</f>
        <v>127.265914129699</v>
      </c>
      <c r="G154" s="14" t="n">
        <f aca="false">G145+G153</f>
        <v>136.346706788506</v>
      </c>
    </row>
    <row r="155" customFormat="false" ht="15" hidden="false" customHeight="false" outlineLevel="0" collapsed="false">
      <c r="A155" s="5" t="s">
        <v>377</v>
      </c>
      <c r="B155" s="0" t="s">
        <v>42</v>
      </c>
      <c r="C155" s="13" t="n">
        <f aca="false">C154/C150</f>
        <v>0.149031715521384</v>
      </c>
      <c r="D155" s="13" t="n">
        <f aca="false">D154/D150</f>
        <v>0.230909090909091</v>
      </c>
      <c r="E155" s="13" t="n">
        <f aca="false">E154/E150</f>
        <v>0.259012028562756</v>
      </c>
      <c r="F155" s="13" t="n">
        <f aca="false">F154/F150</f>
        <v>0.217159628589022</v>
      </c>
      <c r="G155" s="13" t="n">
        <f aca="false">G154/G150</f>
        <v>0.208604349649464</v>
      </c>
    </row>
    <row r="156" customFormat="false" ht="15" hidden="false" customHeight="false" outlineLevel="0" collapsed="false">
      <c r="A156" s="5" t="s">
        <v>372</v>
      </c>
      <c r="B156" s="0" t="s">
        <v>238</v>
      </c>
      <c r="C156" s="14" t="n">
        <f aca="false">q25_ni</f>
        <v>63.713</v>
      </c>
      <c r="D156" s="14" t="n">
        <f aca="false">q26_ni</f>
        <v>84</v>
      </c>
      <c r="E156" s="14" t="n">
        <f aca="false">E154*ni_oi</f>
        <v>121.293070054911</v>
      </c>
      <c r="F156" s="14" t="n">
        <f aca="false">F154*ni_oi</f>
        <v>84.1227692397312</v>
      </c>
      <c r="G156" s="14" t="n">
        <f aca="false">G154*ni_oi</f>
        <v>90.1251731872022</v>
      </c>
    </row>
    <row r="157" customFormat="false" ht="15" hidden="false" customHeight="false" outlineLevel="0" collapsed="false">
      <c r="A157" s="5" t="s">
        <v>450</v>
      </c>
      <c r="B157" s="5" t="s">
        <v>451</v>
      </c>
      <c r="D157" s="15" t="n">
        <f aca="false">q26_sh</f>
        <v>0.561197220737574</v>
      </c>
      <c r="E157" s="15" t="n">
        <f aca="false">D157*(1+sh_g)</f>
        <v>0.561197220737574</v>
      </c>
      <c r="F157" s="15" t="n">
        <f aca="false">E157*(1+sh_g)</f>
        <v>0.561197220737574</v>
      </c>
      <c r="G157" s="15" t="n">
        <f aca="false">F157*(1+sh_g)</f>
        <v>0.561197220737574</v>
      </c>
    </row>
    <row r="158" customFormat="false" ht="17.15" hidden="false" customHeight="false" outlineLevel="0" collapsed="false">
      <c r="A158" s="0" t="s">
        <v>452</v>
      </c>
      <c r="B158" s="0" t="s">
        <v>263</v>
      </c>
      <c r="C158" s="14" t="n">
        <f aca="false">q25_eps</f>
        <v>114.08</v>
      </c>
      <c r="D158" s="14" t="n">
        <f aca="false">D156/D157</f>
        <v>149.68</v>
      </c>
      <c r="E158" s="14" t="n">
        <f aca="false">E156/E157</f>
        <v>216.132699116893</v>
      </c>
      <c r="F158" s="14" t="n">
        <f aca="false">F156/F157</f>
        <v>149.898763092892</v>
      </c>
      <c r="G158" s="14" t="n">
        <f aca="false">G156/G157</f>
        <v>160.594475269767</v>
      </c>
    </row>
    <row r="159" customFormat="false" ht="17.15" hidden="false" customHeight="false" outlineLevel="0" collapsed="false">
      <c r="A159" s="0" t="s">
        <v>453</v>
      </c>
      <c r="B159" s="0" t="s">
        <v>42</v>
      </c>
      <c r="D159" s="13" t="n">
        <f aca="false">D158/C158-1</f>
        <v>0.312061711079944</v>
      </c>
      <c r="E159" s="13" t="n">
        <f aca="false">E158/D158-1</f>
        <v>0.443965119701318</v>
      </c>
      <c r="F159" s="13" t="n">
        <f aca="false">F158/E158-1</f>
        <v>-0.306450325631564</v>
      </c>
      <c r="G159" s="13" t="n">
        <f aca="false">G158/F158-1</f>
        <v>0.0713529048284838</v>
      </c>
    </row>
    <row r="162" customFormat="false" ht="17.15" hidden="false" customHeight="false" outlineLevel="0" collapsed="false">
      <c r="A162" s="3" t="s">
        <v>456</v>
      </c>
    </row>
    <row r="163" customFormat="false" ht="17.15" hidden="false" customHeight="false" outlineLevel="0" collapsed="false">
      <c r="A163" s="3" t="s">
        <v>457</v>
      </c>
    </row>
    <row r="164" customFormat="false" ht="17.15" hidden="false" customHeight="false" outlineLevel="0" collapsed="false">
      <c r="A164" s="6" t="s">
        <v>19</v>
      </c>
      <c r="B164" s="6" t="s">
        <v>20</v>
      </c>
      <c r="C164" s="11" t="s">
        <v>361</v>
      </c>
      <c r="D164" s="11" t="s">
        <v>408</v>
      </c>
      <c r="E164" s="11" t="s">
        <v>384</v>
      </c>
      <c r="F164" s="11" t="s">
        <v>385</v>
      </c>
      <c r="G164" s="11" t="s">
        <v>386</v>
      </c>
      <c r="H164" s="11" t="s">
        <v>458</v>
      </c>
      <c r="I164" s="11" t="s">
        <v>459</v>
      </c>
      <c r="J164" s="11" t="s">
        <v>460</v>
      </c>
      <c r="K164" s="6" t="s">
        <v>364</v>
      </c>
    </row>
    <row r="165" customFormat="false" ht="17.15" hidden="false" customHeight="false" outlineLevel="0" collapsed="false">
      <c r="A165" s="5" t="s">
        <v>461</v>
      </c>
      <c r="B165" s="0" t="s">
        <v>238</v>
      </c>
      <c r="C165" s="12" t="n">
        <f aca="false">C82</f>
        <v>416.2</v>
      </c>
      <c r="D165" s="12" t="n">
        <f aca="false">D82</f>
        <v>550</v>
      </c>
      <c r="E165" s="12" t="n">
        <f aca="false">E82</f>
        <v>708.458794642857</v>
      </c>
      <c r="F165" s="12" t="n">
        <f aca="false">F82</f>
        <v>759.916251785714</v>
      </c>
      <c r="G165" s="12" t="n">
        <f aca="false">G82</f>
        <v>865.772241846335</v>
      </c>
      <c r="H165" s="20" t="n">
        <f aca="false">G165*(1+H166)</f>
        <v>963.488807738629</v>
      </c>
      <c r="I165" s="20" t="n">
        <f aca="false">H165*(1+I166)</f>
        <v>1046.76621171531</v>
      </c>
      <c r="J165" s="20" t="n">
        <f aca="false">I165*(1+J166)</f>
        <v>1109.57218441823</v>
      </c>
      <c r="K165" s="8" t="s">
        <v>462</v>
      </c>
    </row>
    <row r="166" customFormat="false" ht="15" hidden="false" customHeight="false" outlineLevel="0" collapsed="false">
      <c r="A166" s="5" t="s">
        <v>410</v>
      </c>
      <c r="B166" s="0" t="s">
        <v>42</v>
      </c>
      <c r="C166" s="13"/>
      <c r="D166" s="13" t="n">
        <f aca="false">D165/C165-1</f>
        <v>0.321480057664584</v>
      </c>
      <c r="E166" s="13" t="n">
        <f aca="false">E165/D165-1</f>
        <v>0.288106899350649</v>
      </c>
      <c r="F166" s="13" t="n">
        <f aca="false">F165/E165-1</f>
        <v>0.0726329569651225</v>
      </c>
      <c r="G166" s="13" t="n">
        <f aca="false">G165/F165-1</f>
        <v>0.139299547564447</v>
      </c>
      <c r="H166" s="21" t="n">
        <f aca="false">$G$166+($C$172-$G$166)*1/3</f>
        <v>0.112866365042964</v>
      </c>
      <c r="I166" s="21" t="n">
        <f aca="false">$G$166+($C$172-$G$166)*2/3</f>
        <v>0.0864331825214822</v>
      </c>
      <c r="J166" s="21" t="n">
        <f aca="false">$G$166+($C$172-$G$166)*3/3</f>
        <v>0.06</v>
      </c>
    </row>
    <row r="167" customFormat="false" ht="15" hidden="false" customHeight="false" outlineLevel="0" collapsed="false">
      <c r="A167" s="5" t="s">
        <v>463</v>
      </c>
      <c r="B167" s="0" t="s">
        <v>238</v>
      </c>
      <c r="C167" s="12" t="n">
        <f aca="false">C88</f>
        <v>63.713</v>
      </c>
      <c r="D167" s="12" t="n">
        <f aca="false">D88</f>
        <v>84</v>
      </c>
      <c r="E167" s="12" t="n">
        <f aca="false">E88</f>
        <v>121.293070054911</v>
      </c>
      <c r="F167" s="12" t="n">
        <f aca="false">F88</f>
        <v>122.897085151385</v>
      </c>
      <c r="G167" s="12" t="n">
        <f aca="false">G88</f>
        <v>132.276075251809</v>
      </c>
      <c r="H167" s="20" t="n">
        <f aca="false">H165*H168</f>
        <v>147.20559504763</v>
      </c>
      <c r="I167" s="20" t="n">
        <f aca="false">I165*I168</f>
        <v>159.929043112565</v>
      </c>
      <c r="J167" s="20" t="n">
        <f aca="false">J165*J168</f>
        <v>169.524785699319</v>
      </c>
    </row>
    <row r="168" customFormat="false" ht="15" hidden="false" customHeight="false" outlineLevel="0" collapsed="false">
      <c r="A168" s="5" t="s">
        <v>464</v>
      </c>
      <c r="B168" s="0" t="s">
        <v>42</v>
      </c>
      <c r="C168" s="13" t="n">
        <f aca="false">C167/C165</f>
        <v>0.153082652570879</v>
      </c>
      <c r="D168" s="13" t="n">
        <f aca="false">D167/D165</f>
        <v>0.152727272727273</v>
      </c>
      <c r="E168" s="13" t="n">
        <f aca="false">E167/E165</f>
        <v>0.171206950879982</v>
      </c>
      <c r="F168" s="13" t="n">
        <f aca="false">F167/F165</f>
        <v>0.161724512224329</v>
      </c>
      <c r="G168" s="13" t="n">
        <f aca="false">G167/G165</f>
        <v>0.152783918054151</v>
      </c>
      <c r="H168" s="21" t="n">
        <f aca="false">$G$168+($C$173-$G$168)*1/3</f>
        <v>0.152783918054151</v>
      </c>
      <c r="I168" s="21" t="n">
        <f aca="false">$G$168+($C$173-$G$168)*2/3</f>
        <v>0.152783918054151</v>
      </c>
      <c r="J168" s="21" t="n">
        <f aca="false">$G$168+($C$173-$G$168)*3/3</f>
        <v>0.152783918054151</v>
      </c>
    </row>
    <row r="169" customFormat="false" ht="17.15" hidden="false" customHeight="false" outlineLevel="0" collapsed="false">
      <c r="A169" s="5" t="s">
        <v>465</v>
      </c>
      <c r="B169" s="5" t="s">
        <v>451</v>
      </c>
      <c r="C169" s="15"/>
      <c r="D169" s="15" t="n">
        <f aca="false">D89</f>
        <v>0.561197220737574</v>
      </c>
      <c r="E169" s="15" t="n">
        <f aca="false">E89</f>
        <v>0.561197220737574</v>
      </c>
      <c r="F169" s="15" t="n">
        <f aca="false">F89</f>
        <v>0.561197220737574</v>
      </c>
      <c r="G169" s="15" t="n">
        <f aca="false">G89</f>
        <v>0.561197220737574</v>
      </c>
      <c r="H169" s="22" t="n">
        <f aca="false">G169*(1+sh_g)</f>
        <v>0.561197220737574</v>
      </c>
      <c r="I169" s="22" t="n">
        <f aca="false">H169*(1+sh_g)</f>
        <v>0.561197220737574</v>
      </c>
      <c r="J169" s="22" t="n">
        <f aca="false">I169*(1+sh_g)</f>
        <v>0.561197220737574</v>
      </c>
      <c r="K169" s="8" t="s">
        <v>466</v>
      </c>
    </row>
    <row r="170" customFormat="false" ht="17.15" hidden="false" customHeight="false" outlineLevel="0" collapsed="false">
      <c r="A170" s="0" t="s">
        <v>467</v>
      </c>
      <c r="B170" s="0" t="s">
        <v>263</v>
      </c>
      <c r="C170" s="12" t="n">
        <f aca="false">C90</f>
        <v>114.08</v>
      </c>
      <c r="D170" s="12" t="n">
        <f aca="false">D90</f>
        <v>149.68</v>
      </c>
      <c r="E170" s="12" t="n">
        <f aca="false">E90</f>
        <v>216.132699116893</v>
      </c>
      <c r="F170" s="12" t="n">
        <f aca="false">F90</f>
        <v>218.990901255469</v>
      </c>
      <c r="G170" s="12" t="n">
        <f aca="false">G90</f>
        <v>235.703368377271</v>
      </c>
      <c r="H170" s="20" t="n">
        <f aca="false">H167/H169</f>
        <v>262.306350794396</v>
      </c>
      <c r="I170" s="20" t="n">
        <f aca="false">I167/I169</f>
        <v>284.978323489152</v>
      </c>
      <c r="J170" s="20" t="n">
        <f aca="false">J167/J169</f>
        <v>302.077022898501</v>
      </c>
    </row>
    <row r="171" customFormat="false" ht="17.15" hidden="false" customHeight="false" outlineLevel="0" collapsed="false">
      <c r="A171" s="0" t="s">
        <v>414</v>
      </c>
      <c r="B171" s="0" t="s">
        <v>42</v>
      </c>
      <c r="C171" s="13"/>
      <c r="D171" s="13" t="n">
        <f aca="false">D170/C170-1</f>
        <v>0.312061711079944</v>
      </c>
      <c r="E171" s="13" t="n">
        <f aca="false">E170/D170-1</f>
        <v>0.443965119701318</v>
      </c>
      <c r="F171" s="13" t="n">
        <f aca="false">F170/E170-1</f>
        <v>0.0132242929933957</v>
      </c>
      <c r="G171" s="13" t="n">
        <f aca="false">G170/F170-1</f>
        <v>0.0763158059352693</v>
      </c>
      <c r="H171" s="21" t="n">
        <f aca="false">H170/G170-1</f>
        <v>0.112866365042964</v>
      </c>
      <c r="I171" s="21" t="n">
        <f aca="false">I170/H170-1</f>
        <v>0.0864331825214821</v>
      </c>
      <c r="J171" s="21" t="n">
        <f aca="false">J170/I170-1</f>
        <v>0.0600000000000001</v>
      </c>
    </row>
    <row r="172" customFormat="false" ht="17.15" hidden="false" customHeight="false" outlineLevel="0" collapsed="false">
      <c r="A172" s="5" t="s">
        <v>468</v>
      </c>
      <c r="B172" s="0" t="s">
        <v>42</v>
      </c>
      <c r="C172" s="13" t="n">
        <f aca="false">fade_gA</f>
        <v>0.06</v>
      </c>
      <c r="K172" s="8" t="s">
        <v>469</v>
      </c>
    </row>
    <row r="173" customFormat="false" ht="17.15" hidden="false" customHeight="false" outlineLevel="0" collapsed="false">
      <c r="A173" s="5" t="s">
        <v>470</v>
      </c>
      <c r="B173" s="0" t="s">
        <v>42</v>
      </c>
      <c r="C173" s="13" t="n">
        <f aca="false">G168</f>
        <v>0.152783918054151</v>
      </c>
      <c r="K173" s="5" t="s">
        <v>471</v>
      </c>
    </row>
    <row r="175" customFormat="false" ht="17.15" hidden="false" customHeight="false" outlineLevel="0" collapsed="false">
      <c r="A175" s="3" t="s">
        <v>472</v>
      </c>
    </row>
    <row r="176" customFormat="false" ht="17.15" hidden="false" customHeight="false" outlineLevel="0" collapsed="false">
      <c r="A176" s="6" t="s">
        <v>19</v>
      </c>
      <c r="B176" s="6" t="s">
        <v>20</v>
      </c>
      <c r="C176" s="11" t="s">
        <v>361</v>
      </c>
      <c r="D176" s="11" t="s">
        <v>408</v>
      </c>
      <c r="E176" s="11" t="s">
        <v>384</v>
      </c>
      <c r="F176" s="11" t="s">
        <v>385</v>
      </c>
      <c r="G176" s="11" t="s">
        <v>386</v>
      </c>
      <c r="H176" s="11" t="s">
        <v>458</v>
      </c>
      <c r="I176" s="11" t="s">
        <v>459</v>
      </c>
      <c r="J176" s="11" t="s">
        <v>460</v>
      </c>
      <c r="K176" s="6" t="s">
        <v>364</v>
      </c>
    </row>
    <row r="177" customFormat="false" ht="17.15" hidden="false" customHeight="false" outlineLevel="0" collapsed="false">
      <c r="A177" s="5" t="s">
        <v>461</v>
      </c>
      <c r="B177" s="0" t="s">
        <v>238</v>
      </c>
      <c r="C177" s="12" t="n">
        <f aca="false">C116</f>
        <v>416.2</v>
      </c>
      <c r="D177" s="12" t="n">
        <f aca="false">D116</f>
        <v>550</v>
      </c>
      <c r="E177" s="12" t="n">
        <f aca="false">E116</f>
        <v>708.458794642857</v>
      </c>
      <c r="F177" s="12" t="n">
        <f aca="false">F116</f>
        <v>672.982006428572</v>
      </c>
      <c r="G177" s="12" t="n">
        <f aca="false">G116</f>
        <v>786.212871306884</v>
      </c>
      <c r="H177" s="20" t="n">
        <f aca="false">G177*(1+H178)</f>
        <v>884.883865733988</v>
      </c>
      <c r="I177" s="20" t="n">
        <f aca="false">H177*(1+I178)</f>
        <v>958.10872542571</v>
      </c>
      <c r="J177" s="20" t="n">
        <f aca="false">I177*(1+J178)</f>
        <v>996.433074442739</v>
      </c>
      <c r="K177" s="8" t="s">
        <v>462</v>
      </c>
    </row>
    <row r="178" customFormat="false" ht="15" hidden="false" customHeight="false" outlineLevel="0" collapsed="false">
      <c r="A178" s="5" t="s">
        <v>410</v>
      </c>
      <c r="B178" s="0" t="s">
        <v>42</v>
      </c>
      <c r="C178" s="13"/>
      <c r="D178" s="13" t="n">
        <f aca="false">D177/C177-1</f>
        <v>0.321480057664584</v>
      </c>
      <c r="E178" s="13" t="n">
        <f aca="false">E177/D177-1</f>
        <v>0.288106899350649</v>
      </c>
      <c r="F178" s="13" t="n">
        <f aca="false">F177/E177-1</f>
        <v>-0.0500760079238906</v>
      </c>
      <c r="G178" s="13" t="n">
        <f aca="false">G177/F177-1</f>
        <v>0.16825244032781</v>
      </c>
      <c r="H178" s="21" t="n">
        <f aca="false">$G$178+($C$184-$G$178)*1/3</f>
        <v>0.125501626885206</v>
      </c>
      <c r="I178" s="21" t="n">
        <f aca="false">$G$178+($C$184-$G$178)*2/3</f>
        <v>0.0827508134426032</v>
      </c>
      <c r="J178" s="21" t="n">
        <f aca="false">$G$178+($C$184-$G$178)*3/3</f>
        <v>0.04</v>
      </c>
    </row>
    <row r="179" customFormat="false" ht="15" hidden="false" customHeight="false" outlineLevel="0" collapsed="false">
      <c r="A179" s="5" t="s">
        <v>463</v>
      </c>
      <c r="B179" s="0" t="s">
        <v>238</v>
      </c>
      <c r="C179" s="12" t="n">
        <f aca="false">C122</f>
        <v>63.713</v>
      </c>
      <c r="D179" s="12" t="n">
        <f aca="false">D122</f>
        <v>84</v>
      </c>
      <c r="E179" s="12" t="n">
        <f aca="false">E122</f>
        <v>121.293070054911</v>
      </c>
      <c r="F179" s="12" t="n">
        <f aca="false">F122</f>
        <v>103.509927195558</v>
      </c>
      <c r="G179" s="12" t="n">
        <f aca="false">G122</f>
        <v>116.469486977581</v>
      </c>
      <c r="H179" s="20" t="n">
        <f aca="false">H177*H180</f>
        <v>126.717043839895</v>
      </c>
      <c r="I179" s="20" t="n">
        <f aca="false">I177*I180</f>
        <v>132.471844974181</v>
      </c>
      <c r="J179" s="20" t="n">
        <f aca="false">J177*J180</f>
        <v>132.850335959822</v>
      </c>
    </row>
    <row r="180" customFormat="false" ht="15" hidden="false" customHeight="false" outlineLevel="0" collapsed="false">
      <c r="A180" s="5" t="s">
        <v>464</v>
      </c>
      <c r="B180" s="0" t="s">
        <v>42</v>
      </c>
      <c r="C180" s="13" t="n">
        <f aca="false">C179/C177</f>
        <v>0.153082652570879</v>
      </c>
      <c r="D180" s="13" t="n">
        <f aca="false">D179/D177</f>
        <v>0.152727272727273</v>
      </c>
      <c r="E180" s="13" t="n">
        <f aca="false">E179/E177</f>
        <v>0.171206950879982</v>
      </c>
      <c r="F180" s="13" t="n">
        <f aca="false">F179/F177</f>
        <v>0.153807867382476</v>
      </c>
      <c r="G180" s="13" t="n">
        <f aca="false">G179/G177</f>
        <v>0.148139888353621</v>
      </c>
      <c r="H180" s="21" t="n">
        <f aca="false">$G$180+($C$185-$G$180)*1/3</f>
        <v>0.143201892075167</v>
      </c>
      <c r="I180" s="21" t="n">
        <f aca="false">$G$180+($C$185-$G$180)*2/3</f>
        <v>0.138263895796712</v>
      </c>
      <c r="J180" s="21" t="n">
        <f aca="false">$G$180+($C$185-$G$180)*3/3</f>
        <v>0.133325899518258</v>
      </c>
    </row>
    <row r="181" customFormat="false" ht="17.15" hidden="false" customHeight="false" outlineLevel="0" collapsed="false">
      <c r="A181" s="5" t="s">
        <v>465</v>
      </c>
      <c r="B181" s="5" t="s">
        <v>451</v>
      </c>
      <c r="C181" s="15"/>
      <c r="D181" s="15" t="n">
        <f aca="false">D123</f>
        <v>0.561197220737574</v>
      </c>
      <c r="E181" s="15" t="n">
        <f aca="false">E123</f>
        <v>0.561197220737574</v>
      </c>
      <c r="F181" s="15" t="n">
        <f aca="false">F123</f>
        <v>0.561197220737574</v>
      </c>
      <c r="G181" s="15" t="n">
        <f aca="false">G123</f>
        <v>0.561197220737574</v>
      </c>
      <c r="H181" s="22" t="n">
        <f aca="false">G181*(1+sh_g)</f>
        <v>0.561197220737574</v>
      </c>
      <c r="I181" s="22" t="n">
        <f aca="false">H181*(1+sh_g)</f>
        <v>0.561197220737574</v>
      </c>
      <c r="J181" s="22" t="n">
        <f aca="false">I181*(1+sh_g)</f>
        <v>0.561197220737574</v>
      </c>
      <c r="K181" s="8" t="s">
        <v>466</v>
      </c>
    </row>
    <row r="182" customFormat="false" ht="17.15" hidden="false" customHeight="false" outlineLevel="0" collapsed="false">
      <c r="A182" s="0" t="s">
        <v>467</v>
      </c>
      <c r="B182" s="0" t="s">
        <v>263</v>
      </c>
      <c r="C182" s="12" t="n">
        <f aca="false">C124</f>
        <v>114.08</v>
      </c>
      <c r="D182" s="12" t="n">
        <f aca="false">D124</f>
        <v>149.68</v>
      </c>
      <c r="E182" s="12" t="n">
        <f aca="false">E124</f>
        <v>216.132699116893</v>
      </c>
      <c r="F182" s="12" t="n">
        <f aca="false">F124</f>
        <v>184.444832174181</v>
      </c>
      <c r="G182" s="12" t="n">
        <f aca="false">G124</f>
        <v>207.537533461957</v>
      </c>
      <c r="H182" s="20" t="n">
        <f aca="false">H179/H181</f>
        <v>225.797703832803</v>
      </c>
      <c r="I182" s="20" t="n">
        <f aca="false">I179/I181</f>
        <v>236.052211377803</v>
      </c>
      <c r="J182" s="20" t="n">
        <f aca="false">J179/J181</f>
        <v>236.726646267454</v>
      </c>
    </row>
    <row r="183" customFormat="false" ht="17.15" hidden="false" customHeight="false" outlineLevel="0" collapsed="false">
      <c r="A183" s="0" t="s">
        <v>414</v>
      </c>
      <c r="B183" s="0" t="s">
        <v>42</v>
      </c>
      <c r="C183" s="13"/>
      <c r="D183" s="13" t="n">
        <f aca="false">D182/C182-1</f>
        <v>0.312061711079944</v>
      </c>
      <c r="E183" s="13" t="n">
        <f aca="false">E182/D182-1</f>
        <v>0.443965119701318</v>
      </c>
      <c r="F183" s="13" t="n">
        <f aca="false">F182/E182-1</f>
        <v>-0.146613016319084</v>
      </c>
      <c r="G183" s="13" t="n">
        <f aca="false">G182/F182-1</f>
        <v>0.125201129332637</v>
      </c>
      <c r="H183" s="21" t="n">
        <f aca="false">H182/G182-1</f>
        <v>0.087984905989033</v>
      </c>
      <c r="I183" s="21" t="n">
        <f aca="false">I182/H182-1</f>
        <v>0.0454145784963065</v>
      </c>
      <c r="J183" s="21" t="n">
        <f aca="false">J182/I182-1</f>
        <v>0.00285714285714289</v>
      </c>
    </row>
    <row r="184" customFormat="false" ht="17.15" hidden="false" customHeight="false" outlineLevel="0" collapsed="false">
      <c r="A184" s="5" t="s">
        <v>468</v>
      </c>
      <c r="B184" s="0" t="s">
        <v>42</v>
      </c>
      <c r="C184" s="13" t="n">
        <f aca="false">fade_gB</f>
        <v>0.04</v>
      </c>
      <c r="K184" s="8" t="s">
        <v>473</v>
      </c>
    </row>
    <row r="185" customFormat="false" ht="17.15" hidden="false" customHeight="false" outlineLevel="0" collapsed="false">
      <c r="A185" s="5" t="s">
        <v>470</v>
      </c>
      <c r="B185" s="0" t="s">
        <v>42</v>
      </c>
      <c r="C185" s="13" t="n">
        <f aca="false">G180*(1+nim10_f)/2</f>
        <v>0.133325899518258</v>
      </c>
      <c r="K185" s="5" t="s">
        <v>474</v>
      </c>
    </row>
    <row r="187" customFormat="false" ht="17.15" hidden="false" customHeight="false" outlineLevel="0" collapsed="false">
      <c r="A187" s="3" t="s">
        <v>475</v>
      </c>
    </row>
    <row r="188" customFormat="false" ht="17.15" hidden="false" customHeight="false" outlineLevel="0" collapsed="false">
      <c r="A188" s="6" t="s">
        <v>19</v>
      </c>
      <c r="B188" s="6" t="s">
        <v>20</v>
      </c>
      <c r="C188" s="11" t="s">
        <v>361</v>
      </c>
      <c r="D188" s="11" t="s">
        <v>408</v>
      </c>
      <c r="E188" s="11" t="s">
        <v>384</v>
      </c>
      <c r="F188" s="11" t="s">
        <v>385</v>
      </c>
      <c r="G188" s="11" t="s">
        <v>386</v>
      </c>
      <c r="H188" s="11" t="s">
        <v>458</v>
      </c>
      <c r="I188" s="11" t="s">
        <v>459</v>
      </c>
      <c r="J188" s="11" t="s">
        <v>460</v>
      </c>
      <c r="K188" s="6" t="s">
        <v>364</v>
      </c>
    </row>
    <row r="189" customFormat="false" ht="17.15" hidden="false" customHeight="false" outlineLevel="0" collapsed="false">
      <c r="A189" s="5" t="s">
        <v>461</v>
      </c>
      <c r="B189" s="0" t="s">
        <v>238</v>
      </c>
      <c r="C189" s="12" t="n">
        <f aca="false">C150</f>
        <v>416.2</v>
      </c>
      <c r="D189" s="12" t="n">
        <f aca="false">D150</f>
        <v>550</v>
      </c>
      <c r="E189" s="12" t="n">
        <f aca="false">E150</f>
        <v>708.458794642857</v>
      </c>
      <c r="F189" s="12" t="n">
        <f aca="false">F150</f>
        <v>586.047761071429</v>
      </c>
      <c r="G189" s="12" t="n">
        <f aca="false">G150</f>
        <v>653.613920407801</v>
      </c>
      <c r="H189" s="20" t="n">
        <f aca="false">G189*(1+H190)</f>
        <v>708.208642573566</v>
      </c>
      <c r="I189" s="20" t="n">
        <f aca="false">H189*(1+I190)</f>
        <v>744.868169801492</v>
      </c>
      <c r="J189" s="20" t="n">
        <f aca="false">I189*(1+J190)</f>
        <v>759.765533197522</v>
      </c>
      <c r="K189" s="8" t="s">
        <v>462</v>
      </c>
    </row>
    <row r="190" customFormat="false" ht="15" hidden="false" customHeight="false" outlineLevel="0" collapsed="false">
      <c r="A190" s="5" t="s">
        <v>410</v>
      </c>
      <c r="B190" s="0" t="s">
        <v>42</v>
      </c>
      <c r="C190" s="13"/>
      <c r="D190" s="13" t="n">
        <f aca="false">D189/C189-1</f>
        <v>0.321480057664584</v>
      </c>
      <c r="E190" s="13" t="n">
        <f aca="false">E189/D189-1</f>
        <v>0.288106899350649</v>
      </c>
      <c r="F190" s="13" t="n">
        <f aca="false">F189/E189-1</f>
        <v>-0.172784972812904</v>
      </c>
      <c r="G190" s="13" t="n">
        <f aca="false">G189/F189-1</f>
        <v>0.115291216560312</v>
      </c>
      <c r="H190" s="21" t="n">
        <f aca="false">$G$190+($C$196-$G$190)*1/3</f>
        <v>0.0835274777068748</v>
      </c>
      <c r="I190" s="21" t="n">
        <f aca="false">$G$190+($C$196-$G$190)*2/3</f>
        <v>0.0517637388534374</v>
      </c>
      <c r="J190" s="21" t="n">
        <f aca="false">$G$190+($C$196-$G$190)*3/3</f>
        <v>0.02</v>
      </c>
    </row>
    <row r="191" customFormat="false" ht="15" hidden="false" customHeight="false" outlineLevel="0" collapsed="false">
      <c r="A191" s="5" t="s">
        <v>463</v>
      </c>
      <c r="B191" s="0" t="s">
        <v>238</v>
      </c>
      <c r="C191" s="12" t="n">
        <f aca="false">C156</f>
        <v>63.713</v>
      </c>
      <c r="D191" s="12" t="n">
        <f aca="false">D156</f>
        <v>84</v>
      </c>
      <c r="E191" s="12" t="n">
        <f aca="false">E156</f>
        <v>121.293070054911</v>
      </c>
      <c r="F191" s="12" t="n">
        <f aca="false">F156</f>
        <v>84.1227692397312</v>
      </c>
      <c r="G191" s="12" t="n">
        <f aca="false">G156</f>
        <v>90.1251731872022</v>
      </c>
      <c r="H191" s="20" t="n">
        <f aca="false">H189*H192</f>
        <v>91.1428948093295</v>
      </c>
      <c r="I191" s="20" t="n">
        <f aca="false">I189*I192</f>
        <v>89.0135923992584</v>
      </c>
      <c r="J191" s="20" t="n">
        <f aca="false">J189*J192</f>
        <v>83.8097208436095</v>
      </c>
    </row>
    <row r="192" customFormat="false" ht="15" hidden="false" customHeight="false" outlineLevel="0" collapsed="false">
      <c r="A192" s="5" t="s">
        <v>464</v>
      </c>
      <c r="B192" s="0" t="s">
        <v>42</v>
      </c>
      <c r="C192" s="13" t="n">
        <f aca="false">C191/C189</f>
        <v>0.153082652570879</v>
      </c>
      <c r="D192" s="13" t="n">
        <f aca="false">D191/D189</f>
        <v>0.152727272727273</v>
      </c>
      <c r="E192" s="13" t="n">
        <f aca="false">E191/E189</f>
        <v>0.171206950879982</v>
      </c>
      <c r="F192" s="13" t="n">
        <f aca="false">F191/F189</f>
        <v>0.143542514497343</v>
      </c>
      <c r="G192" s="13" t="n">
        <f aca="false">G191/G189</f>
        <v>0.137887475118296</v>
      </c>
      <c r="H192" s="21" t="n">
        <f aca="false">$G$192+($C$197-$G$192)*1/3</f>
        <v>0.128694976777076</v>
      </c>
      <c r="I192" s="21" t="n">
        <f aca="false">$G$192+($C$197-$G$192)*2/3</f>
        <v>0.119502478435856</v>
      </c>
      <c r="J192" s="21" t="n">
        <f aca="false">$G$192+($C$197-$G$192)*3/3</f>
        <v>0.110309980094636</v>
      </c>
    </row>
    <row r="193" customFormat="false" ht="17.15" hidden="false" customHeight="false" outlineLevel="0" collapsed="false">
      <c r="A193" s="5" t="s">
        <v>465</v>
      </c>
      <c r="B193" s="5" t="s">
        <v>451</v>
      </c>
      <c r="C193" s="15"/>
      <c r="D193" s="15" t="n">
        <f aca="false">D157</f>
        <v>0.561197220737574</v>
      </c>
      <c r="E193" s="15" t="n">
        <f aca="false">E157</f>
        <v>0.561197220737574</v>
      </c>
      <c r="F193" s="15" t="n">
        <f aca="false">F157</f>
        <v>0.561197220737574</v>
      </c>
      <c r="G193" s="15" t="n">
        <f aca="false">G157</f>
        <v>0.561197220737574</v>
      </c>
      <c r="H193" s="22" t="n">
        <f aca="false">G193*(1+sh_g)</f>
        <v>0.561197220737574</v>
      </c>
      <c r="I193" s="22" t="n">
        <f aca="false">H193*(1+sh_g)</f>
        <v>0.561197220737574</v>
      </c>
      <c r="J193" s="22" t="n">
        <f aca="false">I193*(1+sh_g)</f>
        <v>0.561197220737574</v>
      </c>
      <c r="K193" s="8" t="s">
        <v>466</v>
      </c>
    </row>
    <row r="194" customFormat="false" ht="17.15" hidden="false" customHeight="false" outlineLevel="0" collapsed="false">
      <c r="A194" s="0" t="s">
        <v>467</v>
      </c>
      <c r="B194" s="0" t="s">
        <v>263</v>
      </c>
      <c r="C194" s="12" t="n">
        <f aca="false">C158</f>
        <v>114.08</v>
      </c>
      <c r="D194" s="12" t="n">
        <f aca="false">D158</f>
        <v>149.68</v>
      </c>
      <c r="E194" s="12" t="n">
        <f aca="false">E158</f>
        <v>216.132699116893</v>
      </c>
      <c r="F194" s="12" t="n">
        <f aca="false">F158</f>
        <v>149.898763092892</v>
      </c>
      <c r="G194" s="12" t="n">
        <f aca="false">G158</f>
        <v>160.594475269767</v>
      </c>
      <c r="H194" s="20" t="n">
        <f aca="false">H191/H193</f>
        <v>162.407958274529</v>
      </c>
      <c r="I194" s="20" t="n">
        <f aca="false">I191/I193</f>
        <v>158.613744170488</v>
      </c>
      <c r="J194" s="20" t="n">
        <f aca="false">J191/J193</f>
        <v>149.340940665136</v>
      </c>
    </row>
    <row r="195" customFormat="false" ht="17.15" hidden="false" customHeight="false" outlineLevel="0" collapsed="false">
      <c r="A195" s="0" t="s">
        <v>414</v>
      </c>
      <c r="B195" s="0" t="s">
        <v>42</v>
      </c>
      <c r="C195" s="13"/>
      <c r="D195" s="13" t="n">
        <f aca="false">D194/C194-1</f>
        <v>0.312061711079944</v>
      </c>
      <c r="E195" s="13" t="n">
        <f aca="false">E194/D194-1</f>
        <v>0.443965119701318</v>
      </c>
      <c r="F195" s="13" t="n">
        <f aca="false">F194/E194-1</f>
        <v>-0.306450325631564</v>
      </c>
      <c r="G195" s="13" t="n">
        <f aca="false">G194/F194-1</f>
        <v>0.0713529048284838</v>
      </c>
      <c r="H195" s="21" t="n">
        <f aca="false">H194/G194-1</f>
        <v>0.0112923125264166</v>
      </c>
      <c r="I195" s="21" t="n">
        <f aca="false">I194/H194-1</f>
        <v>-0.0233622424932369</v>
      </c>
      <c r="J195" s="21" t="n">
        <f aca="false">J194/I194-1</f>
        <v>-0.0584615384615383</v>
      </c>
    </row>
    <row r="196" customFormat="false" ht="17.15" hidden="false" customHeight="false" outlineLevel="0" collapsed="false">
      <c r="A196" s="5" t="s">
        <v>468</v>
      </c>
      <c r="B196" s="0" t="s">
        <v>42</v>
      </c>
      <c r="C196" s="13" t="n">
        <f aca="false">fade_gC</f>
        <v>0.02</v>
      </c>
      <c r="K196" s="8" t="s">
        <v>476</v>
      </c>
    </row>
    <row r="197" customFormat="false" ht="17.15" hidden="false" customHeight="false" outlineLevel="0" collapsed="false">
      <c r="A197" s="5" t="s">
        <v>470</v>
      </c>
      <c r="B197" s="0" t="s">
        <v>42</v>
      </c>
      <c r="C197" s="13" t="n">
        <f aca="false">G192*nim10_f</f>
        <v>0.110309980094636</v>
      </c>
      <c r="K197" s="5" t="s">
        <v>477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7" min="2" style="0" width="18"/>
    <col collapsed="false" customWidth="true" hidden="false" outlineLevel="0" max="11" min="9" style="0" width="10"/>
  </cols>
  <sheetData>
    <row r="1" customFormat="false" ht="17.15" hidden="false" customHeight="false" outlineLevel="0" collapsed="false">
      <c r="A1" s="0" t="s">
        <v>478</v>
      </c>
    </row>
    <row r="2" customFormat="false" ht="17.15" hidden="false" customHeight="false" outlineLevel="0" collapsed="false">
      <c r="A2" s="5" t="s">
        <v>479</v>
      </c>
    </row>
    <row r="3" customFormat="false" ht="17.15" hidden="false" customHeight="false" outlineLevel="0" collapsed="false">
      <c r="A3" s="5" t="s">
        <v>480</v>
      </c>
    </row>
    <row r="4" customFormat="false" ht="17.15" hidden="false" customHeight="false" outlineLevel="0" collapsed="false">
      <c r="A4" s="1" t="s">
        <v>481</v>
      </c>
    </row>
    <row r="5" customFormat="false" ht="15" hidden="false" customHeight="false" outlineLevel="0" collapsed="false">
      <c r="A5" s="6" t="s">
        <v>19</v>
      </c>
      <c r="B5" s="11" t="s">
        <v>482</v>
      </c>
      <c r="C5" s="11" t="s">
        <v>483</v>
      </c>
      <c r="D5" s="11" t="s">
        <v>484</v>
      </c>
      <c r="E5" s="6" t="s">
        <v>364</v>
      </c>
    </row>
    <row r="6" customFormat="false" ht="17.15" hidden="false" customHeight="false" outlineLevel="0" collapsed="false">
      <c r="A6" s="5" t="s">
        <v>485</v>
      </c>
      <c r="B6" s="16" t="n">
        <f aca="false">px</f>
        <v>8512</v>
      </c>
    </row>
    <row r="7" customFormat="false" ht="17.15" hidden="false" customHeight="false" outlineLevel="0" collapsed="false">
      <c r="A7" s="5" t="s">
        <v>486</v>
      </c>
      <c r="B7" s="23" t="n">
        <f aca="false">px/PL!D12</f>
        <v>56.8679850347408</v>
      </c>
      <c r="C7" s="23" t="n">
        <f aca="false">px/PL!D23</f>
        <v>56.8679850347408</v>
      </c>
      <c r="D7" s="23" t="n">
        <f aca="false">px/PL!D34</f>
        <v>56.8679850347408</v>
      </c>
    </row>
    <row r="8" customFormat="false" ht="17.15" hidden="false" customHeight="false" outlineLevel="0" collapsed="false">
      <c r="A8" s="5" t="s">
        <v>487</v>
      </c>
      <c r="B8" s="23" t="n">
        <f aca="false">px/PL!E12</f>
        <v>39.3832124189425</v>
      </c>
      <c r="C8" s="23" t="n">
        <f aca="false">px/PL!E23</f>
        <v>39.3832124189425</v>
      </c>
      <c r="D8" s="23" t="n">
        <f aca="false">px/PL!E34</f>
        <v>39.3832124189425</v>
      </c>
      <c r="E8" s="8" t="s">
        <v>488</v>
      </c>
    </row>
    <row r="9" customFormat="false" ht="17.15" hidden="false" customHeight="false" outlineLevel="0" collapsed="false">
      <c r="A9" s="5" t="s">
        <v>489</v>
      </c>
      <c r="B9" s="23" t="n">
        <f aca="false">px/PL!F12</f>
        <v>38.8691947985097</v>
      </c>
      <c r="C9" s="23" t="n">
        <f aca="false">px/PL!F23</f>
        <v>46.1493005776475</v>
      </c>
      <c r="D9" s="23" t="n">
        <f aca="false">px/PL!F34</f>
        <v>56.7849915794509</v>
      </c>
    </row>
    <row r="10" customFormat="false" ht="17.15" hidden="false" customHeight="false" outlineLevel="0" collapsed="false">
      <c r="A10" s="5" t="s">
        <v>490</v>
      </c>
      <c r="B10" s="23" t="n">
        <f aca="false">px/PL!G12</f>
        <v>36.1131877690248</v>
      </c>
      <c r="C10" s="23" t="n">
        <f aca="false">px/PL!G23</f>
        <v>41.0142679158337</v>
      </c>
      <c r="D10" s="23" t="n">
        <f aca="false">px/PL!G34</f>
        <v>53.0030686653543</v>
      </c>
    </row>
    <row r="11" customFormat="false" ht="17.15" hidden="false" customHeight="false" outlineLevel="0" collapsed="false">
      <c r="A11" s="5" t="s">
        <v>299</v>
      </c>
      <c r="B11" s="23" t="n">
        <f aca="false">pe_fwd_sa</f>
        <v>53.97</v>
      </c>
      <c r="E11" s="5" t="s">
        <v>491</v>
      </c>
    </row>
    <row r="12" customFormat="false" ht="17.15" hidden="false" customHeight="false" outlineLevel="0" collapsed="false">
      <c r="A12" s="5" t="s">
        <v>492</v>
      </c>
      <c r="B12" s="23" t="n">
        <f aca="false">cons_feps</f>
        <v>180.915323327775</v>
      </c>
    </row>
    <row r="13" customFormat="false" ht="17.15" hidden="false" customHeight="false" outlineLevel="0" collapsed="false">
      <c r="A13" s="5" t="s">
        <v>493</v>
      </c>
      <c r="B13" s="23" t="n">
        <f aca="false">pe_ttm</f>
        <v>83.85</v>
      </c>
    </row>
    <row r="15" customFormat="false" ht="17.15" hidden="false" customHeight="false" outlineLevel="0" collapsed="false">
      <c r="A15" s="1" t="s">
        <v>494</v>
      </c>
    </row>
    <row r="16" customFormat="false" ht="17.15" hidden="false" customHeight="false" outlineLevel="0" collapsed="false">
      <c r="A16" s="6" t="s">
        <v>495</v>
      </c>
      <c r="B16" s="6" t="s">
        <v>496</v>
      </c>
      <c r="C16" s="11" t="s">
        <v>497</v>
      </c>
      <c r="D16" s="6" t="s">
        <v>498</v>
      </c>
      <c r="E16" s="6" t="s">
        <v>364</v>
      </c>
    </row>
    <row r="17" customFormat="false" ht="17.15" hidden="false" customHeight="false" outlineLevel="0" collapsed="false">
      <c r="A17" s="0" t="s">
        <v>482</v>
      </c>
      <c r="B17" s="0" t="n">
        <f aca="false">INDEX({2026,2027,2028,2029},MATCH(MAX(PL!D82:G82),PL!D82:G82,0))</f>
        <v>2029</v>
      </c>
      <c r="C17" s="0" t="str">
        <f aca="false">IF(B17=2029,"中段",IF(2027&lt;B17,"中段",IF(2027=B17,"見頂","谷底")))</f>
        <v>中段</v>
      </c>
      <c r="D17" s="0" t="str">
        <f aca="false">IF(B17=2029,"是：營收到觀測期末仍在增加","否")</f>
        <v>是：營收到觀測期末仍在增加</v>
      </c>
      <c r="E17" s="0" t="s">
        <v>499</v>
      </c>
    </row>
    <row r="18" customFormat="false" ht="15" hidden="false" customHeight="false" outlineLevel="0" collapsed="false">
      <c r="A18" s="0" t="s">
        <v>483</v>
      </c>
      <c r="B18" s="0" t="n">
        <f aca="false">INDEX({2026,2027,2028,2029},MATCH(MAX(PL!D116:G116),PL!D116:G116,0))</f>
        <v>2029</v>
      </c>
      <c r="C18" s="0" t="str">
        <f aca="false">IF(B18=2029,"中段",IF(2027&lt;B18,"中段",IF(2027=B18,"見頂","谷底")))</f>
        <v>中段</v>
      </c>
      <c r="D18" s="0" t="str">
        <f aca="false">IF(B18=2029,"是：營收到觀測期末仍在增加","否")</f>
        <v>是：營收到觀測期末仍在增加</v>
      </c>
      <c r="E18" s="5" t="s">
        <v>44</v>
      </c>
    </row>
    <row r="19" customFormat="false" ht="15" hidden="false" customHeight="false" outlineLevel="0" collapsed="false">
      <c r="A19" s="0" t="s">
        <v>484</v>
      </c>
      <c r="B19" s="0" t="n">
        <f aca="false">INDEX({2026,2027,2028,2029},MATCH(MAX(PL!D150:G150),PL!D150:G150,0))</f>
        <v>2027</v>
      </c>
      <c r="C19" s="0" t="str">
        <f aca="false">IF(B19=2029,"中段",IF(2027&lt;B19,"中段",IF(2027=B19,"見頂","谷底")))</f>
        <v>見頂</v>
      </c>
      <c r="D19" s="0" t="str">
        <f aca="false">IF(B19=2029,"是：營收到觀測期末仍在增加","否")</f>
        <v>否</v>
      </c>
      <c r="E19" s="5" t="s">
        <v>44</v>
      </c>
    </row>
    <row r="21" customFormat="false" ht="17.15" hidden="false" customHeight="false" outlineLevel="0" collapsed="false">
      <c r="A21" s="1" t="s">
        <v>500</v>
      </c>
    </row>
    <row r="22" customFormat="false" ht="17.15" hidden="false" customHeight="false" outlineLevel="0" collapsed="false">
      <c r="A22" s="11" t="s">
        <v>501</v>
      </c>
      <c r="B22" s="6" t="s">
        <v>502</v>
      </c>
      <c r="C22" s="6" t="s">
        <v>503</v>
      </c>
      <c r="D22" s="6" t="s">
        <v>504</v>
      </c>
      <c r="E22" s="6" t="s">
        <v>505</v>
      </c>
    </row>
    <row r="23" customFormat="false" ht="15" hidden="false" customHeight="false" outlineLevel="0" collapsed="false">
      <c r="A23" s="24" t="n">
        <v>0.5</v>
      </c>
      <c r="B23" s="23" t="n">
        <f aca="false">px*A23/PL!F12</f>
        <v>19.4345973992548</v>
      </c>
      <c r="C23" s="23" t="n">
        <f aca="false">px*A23/PL!F23</f>
        <v>23.0746502888237</v>
      </c>
      <c r="D23" s="23" t="n">
        <f aca="false">px*A23/PL!F34</f>
        <v>28.3924957897254</v>
      </c>
      <c r="E23" s="23" t="n">
        <f aca="false">pe_fair_andy</f>
        <v>25</v>
      </c>
    </row>
    <row r="24" customFormat="false" ht="15" hidden="false" customHeight="false" outlineLevel="0" collapsed="false">
      <c r="A24" s="24" t="n">
        <v>0.75</v>
      </c>
      <c r="B24" s="23" t="n">
        <f aca="false">px*A24/PL!F12</f>
        <v>29.1518960988822</v>
      </c>
      <c r="C24" s="23" t="n">
        <f aca="false">px*A24/PL!F23</f>
        <v>34.6119754332356</v>
      </c>
      <c r="D24" s="23" t="n">
        <f aca="false">px*A24/PL!F34</f>
        <v>42.5887436845882</v>
      </c>
      <c r="E24" s="23" t="n">
        <f aca="false">pe_fair_andy</f>
        <v>25</v>
      </c>
    </row>
    <row r="25" customFormat="false" ht="15" hidden="false" customHeight="false" outlineLevel="0" collapsed="false">
      <c r="A25" s="24" t="n">
        <v>1</v>
      </c>
      <c r="B25" s="23" t="n">
        <f aca="false">px*A25/PL!F12</f>
        <v>38.8691947985097</v>
      </c>
      <c r="C25" s="23" t="n">
        <f aca="false">px*A25/PL!F23</f>
        <v>46.1493005776475</v>
      </c>
      <c r="D25" s="23" t="n">
        <f aca="false">px*A25/PL!F34</f>
        <v>56.7849915794509</v>
      </c>
      <c r="E25" s="23" t="n">
        <f aca="false">pe_fair_andy</f>
        <v>25</v>
      </c>
    </row>
    <row r="26" customFormat="false" ht="15" hidden="false" customHeight="false" outlineLevel="0" collapsed="false">
      <c r="A26" s="24" t="n">
        <v>1.21</v>
      </c>
      <c r="B26" s="23" t="n">
        <f aca="false">px*A26/PL!F12</f>
        <v>47.0317257061967</v>
      </c>
      <c r="C26" s="23" t="n">
        <f aca="false">px*A26/PL!F23</f>
        <v>55.8406536989534</v>
      </c>
      <c r="D26" s="23" t="n">
        <f aca="false">px*A26/PL!F34</f>
        <v>68.7098398111356</v>
      </c>
      <c r="E26" s="23" t="n">
        <f aca="false">pe_fair_andy</f>
        <v>25</v>
      </c>
    </row>
    <row r="27" customFormat="false" ht="15" hidden="false" customHeight="false" outlineLevel="0" collapsed="false">
      <c r="A27" s="24" t="n">
        <v>1.5</v>
      </c>
      <c r="B27" s="23" t="n">
        <f aca="false">px*A27/PL!F12</f>
        <v>58.3037921977645</v>
      </c>
      <c r="C27" s="23" t="n">
        <f aca="false">px*A27/PL!F23</f>
        <v>69.2239508664712</v>
      </c>
      <c r="D27" s="23" t="n">
        <f aca="false">px*A27/PL!F34</f>
        <v>85.1774873691764</v>
      </c>
      <c r="E27" s="23" t="n">
        <f aca="false">pe_fair_andy</f>
        <v>25</v>
      </c>
    </row>
    <row r="28" customFormat="false" ht="17.15" hidden="false" customHeight="false" outlineLevel="0" collapsed="false">
      <c r="A28" s="5" t="s">
        <v>506</v>
      </c>
    </row>
    <row r="30" customFormat="false" ht="17.15" hidden="false" customHeight="false" outlineLevel="0" collapsed="false">
      <c r="A30" s="1" t="s">
        <v>507</v>
      </c>
    </row>
    <row r="31" customFormat="false" ht="15" hidden="false" customHeight="false" outlineLevel="0" collapsed="false">
      <c r="A31" s="6" t="s">
        <v>495</v>
      </c>
      <c r="B31" s="11" t="s">
        <v>508</v>
      </c>
      <c r="C31" s="11" t="s">
        <v>509</v>
      </c>
      <c r="D31" s="6" t="s">
        <v>510</v>
      </c>
      <c r="E31" s="11" t="s">
        <v>511</v>
      </c>
      <c r="F31" s="11" t="s">
        <v>509</v>
      </c>
      <c r="G31" s="6" t="s">
        <v>510</v>
      </c>
    </row>
    <row r="32" customFormat="false" ht="15" hidden="false" customHeight="false" outlineLevel="0" collapsed="false">
      <c r="A32" s="10" t="s">
        <v>482</v>
      </c>
      <c r="B32" s="25" t="n">
        <f aca="false">PL!E12</f>
        <v>216.132699116893</v>
      </c>
      <c r="C32" s="26" t="n">
        <f aca="false">B32*pe_fair_andy</f>
        <v>5403.31747792233</v>
      </c>
      <c r="D32" s="27" t="n">
        <f aca="false">C32/px-1</f>
        <v>-0.365211762462132</v>
      </c>
      <c r="E32" s="25" t="n">
        <f aca="false">PL!F12</f>
        <v>218.990901255469</v>
      </c>
      <c r="F32" s="26" t="n">
        <f aca="false">E32*pe_fair_andy</f>
        <v>5474.77253138671</v>
      </c>
      <c r="G32" s="27" t="n">
        <f aca="false">F32/px-1</f>
        <v>-0.35681713682017</v>
      </c>
    </row>
    <row r="33" customFormat="false" ht="15" hidden="false" customHeight="false" outlineLevel="0" collapsed="false">
      <c r="A33" s="10" t="s">
        <v>483</v>
      </c>
      <c r="B33" s="25" t="n">
        <f aca="false">PL!E23</f>
        <v>216.132699116893</v>
      </c>
      <c r="C33" s="26" t="n">
        <f aca="false">B33*pe_fair_andy</f>
        <v>5403.31747792233</v>
      </c>
      <c r="D33" s="27" t="n">
        <f aca="false">C33/px-1</f>
        <v>-0.365211762462132</v>
      </c>
      <c r="E33" s="25" t="n">
        <f aca="false">PL!F23</f>
        <v>184.444832174181</v>
      </c>
      <c r="F33" s="26" t="n">
        <f aca="false">E33*pe_fair_andy</f>
        <v>4611.12080435451</v>
      </c>
      <c r="G33" s="27" t="n">
        <f aca="false">F33/px-1</f>
        <v>-0.458279980691434</v>
      </c>
    </row>
    <row r="34" customFormat="false" ht="15" hidden="false" customHeight="false" outlineLevel="0" collapsed="false">
      <c r="A34" s="10" t="s">
        <v>484</v>
      </c>
      <c r="B34" s="25" t="n">
        <f aca="false">PL!E34</f>
        <v>216.132699116893</v>
      </c>
      <c r="C34" s="26" t="n">
        <f aca="false">B34*pe_fair_andy</f>
        <v>5403.31747792233</v>
      </c>
      <c r="D34" s="27" t="n">
        <f aca="false">C34/px-1</f>
        <v>-0.365211762462132</v>
      </c>
      <c r="E34" s="25" t="n">
        <f aca="false">PL!F34</f>
        <v>149.898763092892</v>
      </c>
      <c r="F34" s="26" t="n">
        <f aca="false">E34*pe_fair_andy</f>
        <v>3747.46907732231</v>
      </c>
      <c r="G34" s="27" t="n">
        <f aca="false">F34/px-1</f>
        <v>-0.559742824562699</v>
      </c>
    </row>
    <row r="36" customFormat="false" ht="17.15" hidden="false" customHeight="false" outlineLevel="0" collapsed="false">
      <c r="A36" s="3" t="s">
        <v>512</v>
      </c>
    </row>
    <row r="37" customFormat="false" ht="15" hidden="false" customHeight="false" outlineLevel="0" collapsed="false">
      <c r="A37" s="6" t="s">
        <v>19</v>
      </c>
      <c r="B37" s="6" t="s">
        <v>513</v>
      </c>
      <c r="C37" s="11"/>
      <c r="D37" s="11"/>
      <c r="E37" s="6" t="s">
        <v>364</v>
      </c>
    </row>
    <row r="38" customFormat="false" ht="17.15" hidden="false" customHeight="false" outlineLevel="0" collapsed="false">
      <c r="A38" s="5" t="s">
        <v>514</v>
      </c>
      <c r="B38" s="16" t="n">
        <f aca="false">tp_wA*B40+tp_wB*B41+tp_wC*B42</f>
        <v>9531.45203105499</v>
      </c>
      <c r="E38" s="5" t="s">
        <v>515</v>
      </c>
    </row>
    <row r="39" customFormat="false" ht="17.15" hidden="false" customHeight="false" outlineLevel="0" collapsed="false">
      <c r="A39" s="5" t="s">
        <v>516</v>
      </c>
      <c r="B39" s="13" t="n">
        <f aca="false">B38/px-1</f>
        <v>0.119766451016799</v>
      </c>
      <c r="E39" s="5" t="s">
        <v>517</v>
      </c>
    </row>
    <row r="40" customFormat="false" ht="17.15" hidden="false" customHeight="false" outlineLevel="0" collapsed="false">
      <c r="A40" s="5" t="s">
        <v>518</v>
      </c>
      <c r="B40" s="16" t="n">
        <f aca="false">$B$58*PL!E12</f>
        <v>9531.45203105499</v>
      </c>
      <c r="E40" s="5" t="s">
        <v>519</v>
      </c>
    </row>
    <row r="41" customFormat="false" ht="17.15" hidden="false" customHeight="false" outlineLevel="0" collapsed="false">
      <c r="A41" s="5" t="s">
        <v>520</v>
      </c>
      <c r="B41" s="16" t="n">
        <f aca="false">$B$58*PL!E23</f>
        <v>9531.45203105499</v>
      </c>
      <c r="E41" s="5" t="s">
        <v>521</v>
      </c>
    </row>
    <row r="42" customFormat="false" ht="17.15" hidden="false" customHeight="false" outlineLevel="0" collapsed="false">
      <c r="A42" s="5" t="s">
        <v>522</v>
      </c>
      <c r="B42" s="16" t="n">
        <f aca="false">$B$58*PL!E34</f>
        <v>9531.45203105499</v>
      </c>
      <c r="E42" s="5" t="s">
        <v>523</v>
      </c>
    </row>
    <row r="43" customFormat="false" ht="17.15" hidden="false" customHeight="false" outlineLevel="0" collapsed="false">
      <c r="A43" s="5" t="s">
        <v>524</v>
      </c>
      <c r="B43" s="28" t="n">
        <f aca="false">tp_wA</f>
        <v>0.3</v>
      </c>
      <c r="C43" s="28" t="n">
        <f aca="false">tp_wB</f>
        <v>0.5</v>
      </c>
      <c r="D43" s="28" t="n">
        <f aca="false">tp_wC</f>
        <v>0.2</v>
      </c>
      <c r="E43" s="0" t="str">
        <f aca="false">"合計 "&amp;TEXT(B43+C43+D43,"0%")&amp;"；In 頁 tp_wA／tp_wB／tp_wC（Assumed，Andy 可改）"</f>
        <v>合計 100%；In 頁 tp_wA／tp_wB／tp_wC（Assumed，Andy 可改）</v>
      </c>
    </row>
    <row r="44" customFormat="false" ht="17.15" hidden="false" customHeight="false" outlineLevel="0" collapsed="false">
      <c r="A44" s="5" t="s">
        <v>525</v>
      </c>
      <c r="B44" s="0" t="s">
        <v>526</v>
      </c>
    </row>
    <row r="46" customFormat="false" ht="17.15" hidden="false" customHeight="false" outlineLevel="0" collapsed="false">
      <c r="A46" s="1" t="s">
        <v>527</v>
      </c>
    </row>
    <row r="47" customFormat="false" ht="15" hidden="false" customHeight="false" outlineLevel="0" collapsed="false">
      <c r="A47" s="6" t="s">
        <v>528</v>
      </c>
      <c r="B47" s="11" t="s">
        <v>529</v>
      </c>
      <c r="C47" s="6" t="s">
        <v>530</v>
      </c>
      <c r="D47" s="6" t="s">
        <v>364</v>
      </c>
    </row>
    <row r="48" customFormat="false" ht="17.15" hidden="false" customHeight="false" outlineLevel="0" collapsed="false">
      <c r="A48" s="0" t="s">
        <v>531</v>
      </c>
      <c r="B48" s="29" t="n">
        <v>44.1</v>
      </c>
      <c r="C48" s="5" t="s">
        <v>532</v>
      </c>
      <c r="D48" s="8" t="s">
        <v>533</v>
      </c>
    </row>
    <row r="49" customFormat="false" ht="17.15" hidden="false" customHeight="false" outlineLevel="0" collapsed="false">
      <c r="A49" s="0" t="s">
        <v>534</v>
      </c>
      <c r="B49" s="29" t="n">
        <v>-6.66</v>
      </c>
      <c r="C49" s="5" t="s">
        <v>535</v>
      </c>
      <c r="D49" s="5" t="s">
        <v>536</v>
      </c>
    </row>
    <row r="50" customFormat="false" ht="15" hidden="false" customHeight="false" outlineLevel="0" collapsed="false">
      <c r="A50" s="0" t="s">
        <v>537</v>
      </c>
      <c r="B50" s="29" t="n">
        <v>35.3</v>
      </c>
      <c r="C50" s="5" t="s">
        <v>532</v>
      </c>
    </row>
    <row r="51" customFormat="false" ht="15" hidden="false" customHeight="false" outlineLevel="0" collapsed="false">
      <c r="A51" s="0" t="s">
        <v>538</v>
      </c>
      <c r="B51" s="29" t="n">
        <v>137</v>
      </c>
      <c r="C51" s="5" t="s">
        <v>532</v>
      </c>
    </row>
    <row r="52" customFormat="false" ht="15" hidden="false" customHeight="false" outlineLevel="0" collapsed="false">
      <c r="A52" s="0" t="s">
        <v>539</v>
      </c>
      <c r="B52" s="29" t="n">
        <v>55.2</v>
      </c>
      <c r="C52" s="5" t="s">
        <v>532</v>
      </c>
    </row>
    <row r="53" customFormat="false" ht="15" hidden="false" customHeight="false" outlineLevel="0" collapsed="false">
      <c r="A53" s="0" t="s">
        <v>540</v>
      </c>
      <c r="B53" s="29" t="n">
        <v>53.1</v>
      </c>
      <c r="C53" s="5" t="s">
        <v>532</v>
      </c>
    </row>
    <row r="54" customFormat="false" ht="15" hidden="false" customHeight="false" outlineLevel="0" collapsed="false">
      <c r="A54" s="0" t="s">
        <v>541</v>
      </c>
      <c r="B54" s="29" t="n">
        <v>40.7</v>
      </c>
      <c r="C54" s="5" t="s">
        <v>532</v>
      </c>
    </row>
    <row r="55" customFormat="false" ht="15" hidden="false" customHeight="false" outlineLevel="0" collapsed="false">
      <c r="A55" s="0" t="s">
        <v>542</v>
      </c>
      <c r="B55" s="29" t="n">
        <v>26.8</v>
      </c>
      <c r="C55" s="5" t="s">
        <v>532</v>
      </c>
    </row>
    <row r="56" customFormat="false" ht="15" hidden="false" customHeight="false" outlineLevel="0" collapsed="false">
      <c r="A56" s="0" t="s">
        <v>543</v>
      </c>
      <c r="B56" s="29" t="n">
        <v>57.2</v>
      </c>
      <c r="C56" s="5" t="s">
        <v>532</v>
      </c>
    </row>
    <row r="57" customFormat="false" ht="15" hidden="false" customHeight="false" outlineLevel="0" collapsed="false">
      <c r="A57" s="0" t="s">
        <v>544</v>
      </c>
      <c r="B57" s="29" t="n">
        <v>33.6</v>
      </c>
      <c r="C57" s="5" t="s">
        <v>532</v>
      </c>
    </row>
    <row r="58" customFormat="false" ht="15" hidden="false" customHeight="false" outlineLevel="0" collapsed="false">
      <c r="A58" s="5" t="s">
        <v>545</v>
      </c>
      <c r="B58" s="23" t="n">
        <f aca="false">MEDIAN(B48,B50,B51,B52,B53,B54,B55,B56,B57)</f>
        <v>44.1</v>
      </c>
    </row>
    <row r="61" customFormat="false" ht="17.15" hidden="false" customHeight="false" outlineLevel="0" collapsed="false">
      <c r="A61" s="1" t="s">
        <v>546</v>
      </c>
    </row>
    <row r="62" customFormat="false" ht="17.15" hidden="false" customHeight="false" outlineLevel="0" collapsed="false">
      <c r="A62" s="1" t="s">
        <v>547</v>
      </c>
    </row>
    <row r="63" customFormat="false" ht="17.15" hidden="false" customHeight="false" outlineLevel="0" collapsed="false">
      <c r="A63" s="6" t="s">
        <v>19</v>
      </c>
      <c r="B63" s="11" t="s">
        <v>548</v>
      </c>
      <c r="C63" s="11" t="s">
        <v>549</v>
      </c>
      <c r="D63" s="11" t="s">
        <v>550</v>
      </c>
      <c r="E63" s="6" t="s">
        <v>364</v>
      </c>
    </row>
    <row r="64" customFormat="false" ht="17.15" hidden="false" customHeight="false" outlineLevel="0" collapsed="false">
      <c r="A64" s="5" t="s">
        <v>551</v>
      </c>
      <c r="E64" s="0" t="s">
        <v>552</v>
      </c>
    </row>
    <row r="65" customFormat="false" ht="15" hidden="false" customHeight="false" outlineLevel="0" collapsed="false">
      <c r="A65" s="0" t="s">
        <v>553</v>
      </c>
      <c r="B65" s="12" t="n">
        <f aca="false">PL!E170</f>
        <v>216.132699116893</v>
      </c>
      <c r="C65" s="12" t="n">
        <f aca="false">PL!E182</f>
        <v>216.132699116893</v>
      </c>
      <c r="D65" s="12" t="n">
        <f aca="false">PL!E194</f>
        <v>216.132699116893</v>
      </c>
    </row>
    <row r="66" customFormat="false" ht="15" hidden="false" customHeight="false" outlineLevel="0" collapsed="false">
      <c r="A66" s="0" t="s">
        <v>554</v>
      </c>
      <c r="B66" s="12" t="n">
        <f aca="false">PL!F170</f>
        <v>218.990901255469</v>
      </c>
      <c r="C66" s="12" t="n">
        <f aca="false">PL!F182</f>
        <v>184.444832174181</v>
      </c>
      <c r="D66" s="12" t="n">
        <f aca="false">PL!F194</f>
        <v>149.898763092892</v>
      </c>
    </row>
    <row r="67" customFormat="false" ht="15" hidden="false" customHeight="false" outlineLevel="0" collapsed="false">
      <c r="A67" s="0" t="s">
        <v>555</v>
      </c>
      <c r="B67" s="12" t="n">
        <f aca="false">PL!G170</f>
        <v>235.703368377271</v>
      </c>
      <c r="C67" s="12" t="n">
        <f aca="false">PL!G182</f>
        <v>207.537533461957</v>
      </c>
      <c r="D67" s="12" t="n">
        <f aca="false">PL!G194</f>
        <v>160.594475269767</v>
      </c>
    </row>
    <row r="68" customFormat="false" ht="15" hidden="false" customHeight="false" outlineLevel="0" collapsed="false">
      <c r="A68" s="0" t="s">
        <v>556</v>
      </c>
      <c r="B68" s="12" t="n">
        <f aca="false">PL!H170</f>
        <v>262.306350794396</v>
      </c>
      <c r="C68" s="12" t="n">
        <f aca="false">PL!H182</f>
        <v>225.797703832803</v>
      </c>
      <c r="D68" s="12" t="n">
        <f aca="false">PL!H194</f>
        <v>162.407958274529</v>
      </c>
    </row>
    <row r="69" customFormat="false" ht="15" hidden="false" customHeight="false" outlineLevel="0" collapsed="false">
      <c r="A69" s="0" t="s">
        <v>557</v>
      </c>
      <c r="B69" s="12" t="n">
        <f aca="false">PL!I170</f>
        <v>284.978323489152</v>
      </c>
      <c r="C69" s="12" t="n">
        <f aca="false">PL!I182</f>
        <v>236.052211377803</v>
      </c>
      <c r="D69" s="12" t="n">
        <f aca="false">PL!I194</f>
        <v>158.613744170488</v>
      </c>
    </row>
    <row r="70" customFormat="false" ht="15" hidden="false" customHeight="false" outlineLevel="0" collapsed="false">
      <c r="A70" s="0" t="s">
        <v>558</v>
      </c>
      <c r="B70" s="12" t="n">
        <f aca="false">PL!J170</f>
        <v>302.077022898501</v>
      </c>
      <c r="C70" s="12" t="n">
        <f aca="false">PL!J182</f>
        <v>236.726646267454</v>
      </c>
      <c r="D70" s="12" t="n">
        <f aca="false">PL!J194</f>
        <v>149.340940665136</v>
      </c>
    </row>
    <row r="71" customFormat="false" ht="17.15" hidden="false" customHeight="false" outlineLevel="0" collapsed="false">
      <c r="A71" s="5" t="s">
        <v>559</v>
      </c>
    </row>
    <row r="72" customFormat="false" ht="17.15" hidden="false" customHeight="false" outlineLevel="0" collapsed="false">
      <c r="A72" s="5" t="s">
        <v>560</v>
      </c>
      <c r="B72" s="13" t="n">
        <f aca="false">MIN(tp_g/tp_roe,0.8)</f>
        <v>0.464396284829721</v>
      </c>
      <c r="E72" s="8" t="s">
        <v>561</v>
      </c>
    </row>
    <row r="73" customFormat="false" ht="15" hidden="false" customHeight="false" outlineLevel="0" collapsed="false">
      <c r="A73" s="0" t="s">
        <v>553</v>
      </c>
      <c r="B73" s="12" t="n">
        <f aca="false">B65*(1-$B$72)</f>
        <v>115.761476616788</v>
      </c>
      <c r="C73" s="12" t="n">
        <f aca="false">C65*(1-$B$72)</f>
        <v>115.761476616788</v>
      </c>
      <c r="D73" s="12" t="n">
        <f aca="false">D65*(1-$B$72)</f>
        <v>115.761476616788</v>
      </c>
    </row>
    <row r="74" customFormat="false" ht="15" hidden="false" customHeight="false" outlineLevel="0" collapsed="false">
      <c r="A74" s="0" t="s">
        <v>554</v>
      </c>
      <c r="B74" s="12" t="n">
        <f aca="false">B66*(1-$B$72)</f>
        <v>117.292340300917</v>
      </c>
      <c r="C74" s="12" t="n">
        <f aca="false">C66*(1-$B$72)</f>
        <v>98.7893373564496</v>
      </c>
      <c r="D74" s="12" t="n">
        <f aca="false">D66*(1-$B$72)</f>
        <v>80.2863344119826</v>
      </c>
    </row>
    <row r="75" customFormat="false" ht="15" hidden="false" customHeight="false" outlineLevel="0" collapsed="false">
      <c r="A75" s="0" t="s">
        <v>555</v>
      </c>
      <c r="B75" s="12" t="n">
        <f aca="false">B67*(1-$B$72)</f>
        <v>126.243599781015</v>
      </c>
      <c r="C75" s="12" t="n">
        <f aca="false">C67*(1-$B$72)</f>
        <v>111.1578739595</v>
      </c>
      <c r="D75" s="12" t="n">
        <f aca="false">D67*(1-$B$72)</f>
        <v>86.0149975903086</v>
      </c>
    </row>
    <row r="76" customFormat="false" ht="15" hidden="false" customHeight="false" outlineLevel="0" collapsed="false">
      <c r="A76" s="0" t="s">
        <v>556</v>
      </c>
      <c r="B76" s="12" t="n">
        <f aca="false">B68*(1-$B$72)</f>
        <v>140.492255998237</v>
      </c>
      <c r="C76" s="12" t="n">
        <f aca="false">C68*(1-$B$72)</f>
        <v>120.938089049767</v>
      </c>
      <c r="D76" s="12" t="n">
        <f aca="false">D68*(1-$B$72)</f>
        <v>86.9863058250574</v>
      </c>
    </row>
    <row r="77" customFormat="false" ht="15" hidden="false" customHeight="false" outlineLevel="0" collapsed="false">
      <c r="A77" s="0" t="s">
        <v>557</v>
      </c>
      <c r="B77" s="12" t="n">
        <f aca="false">B69*(1-$B$72)</f>
        <v>152.635448803787</v>
      </c>
      <c r="C77" s="12" t="n">
        <f aca="false">C69*(1-$B$72)</f>
        <v>126.430441388111</v>
      </c>
      <c r="D77" s="12" t="n">
        <f aca="false">D69*(1-$B$72)</f>
        <v>84.9541106547815</v>
      </c>
    </row>
    <row r="78" customFormat="false" ht="15" hidden="false" customHeight="false" outlineLevel="0" collapsed="false">
      <c r="A78" s="0" t="s">
        <v>558</v>
      </c>
      <c r="B78" s="12" t="n">
        <f aca="false">B70*(1-$B$72)</f>
        <v>161.793575732014</v>
      </c>
      <c r="C78" s="12" t="n">
        <f aca="false">C70*(1-$B$72)</f>
        <v>126.791671220649</v>
      </c>
      <c r="D78" s="12" t="n">
        <f aca="false">D70*(1-$B$72)</f>
        <v>79.9875626472712</v>
      </c>
    </row>
    <row r="79" customFormat="false" ht="17.15" hidden="false" customHeight="false" outlineLevel="0" collapsed="false">
      <c r="A79" s="0" t="s">
        <v>562</v>
      </c>
      <c r="B79" s="16" t="n">
        <f aca="false">SUMPRODUCT(B73:B78,1/(1+tp_r)^{1;2;3;4;5;6})+B78*(1+tp_g)/(tp_r-tp_g)/(1+tp_r)^6</f>
        <v>2162.10626728528</v>
      </c>
      <c r="C79" s="16" t="n">
        <f aca="false">SUMPRODUCT(C73:C78,1/(1+tp_r)^{1;2;3;4;5;6})+C78*(1+tp_g)/(tp_r-tp_g)/(1+tp_r)^6</f>
        <v>1743.6295788999</v>
      </c>
      <c r="D79" s="16" t="n">
        <f aca="false">SUMPRODUCT(D73:D78,1/(1+tp_r)^{1;2;3;4;5;6})+D78*(1+tp_g)/(tp_r-tp_g)/(1+tp_r)^6</f>
        <v>1176.14341251206</v>
      </c>
      <c r="E79" s="8" t="s">
        <v>563</v>
      </c>
    </row>
    <row r="80" customFormat="false" ht="17.15" hidden="false" customHeight="false" outlineLevel="0" collapsed="false">
      <c r="A80" s="0" t="s">
        <v>564</v>
      </c>
      <c r="B80" s="16" t="n">
        <f aca="false">B79*(1+tp_r)</f>
        <v>2378.3168940138</v>
      </c>
      <c r="C80" s="16" t="n">
        <f aca="false">C79*(1+tp_r)</f>
        <v>1917.99253678989</v>
      </c>
      <c r="D80" s="16" t="n">
        <f aca="false">D79*(1+tp_r)</f>
        <v>1293.75775376326</v>
      </c>
    </row>
    <row r="81" customFormat="false" ht="17.15" hidden="false" customHeight="false" outlineLevel="0" collapsed="false">
      <c r="A81" s="0" t="s">
        <v>565</v>
      </c>
      <c r="B81" s="26" t="n">
        <f aca="false">tp_wA*B80+tp_wB*C80+tp_wC*D80</f>
        <v>1931.24288735174</v>
      </c>
      <c r="E81" s="8" t="s">
        <v>566</v>
      </c>
    </row>
    <row r="83" customFormat="false" ht="17.15" hidden="false" customHeight="false" outlineLevel="0" collapsed="false">
      <c r="A83" s="1" t="s">
        <v>567</v>
      </c>
    </row>
    <row r="84" customFormat="false" ht="17.15" hidden="false" customHeight="false" outlineLevel="0" collapsed="false">
      <c r="A84" s="6" t="s">
        <v>568</v>
      </c>
      <c r="B84" s="6" t="s">
        <v>569</v>
      </c>
      <c r="C84" s="6" t="s">
        <v>570</v>
      </c>
      <c r="D84" s="6" t="s">
        <v>571</v>
      </c>
      <c r="E84" s="6" t="s">
        <v>572</v>
      </c>
      <c r="F84" s="6" t="s">
        <v>24</v>
      </c>
    </row>
    <row r="85" customFormat="false" ht="17.15" hidden="false" customHeight="false" outlineLevel="0" collapsed="false">
      <c r="A85" s="5" t="s">
        <v>573</v>
      </c>
      <c r="B85" s="0" t="s">
        <v>574</v>
      </c>
      <c r="C85" s="29" t="n">
        <v>42.28</v>
      </c>
      <c r="D85" s="8" t="s">
        <v>575</v>
      </c>
      <c r="E85" s="8" t="s">
        <v>576</v>
      </c>
      <c r="F85" s="8" t="s">
        <v>577</v>
      </c>
    </row>
    <row r="86" customFormat="false" ht="17.15" hidden="false" customHeight="false" outlineLevel="0" collapsed="false">
      <c r="A86" s="5" t="s">
        <v>578</v>
      </c>
      <c r="B86" s="0" t="s">
        <v>579</v>
      </c>
      <c r="C86" s="29" t="n">
        <v>33.73</v>
      </c>
      <c r="D86" s="8" t="s">
        <v>580</v>
      </c>
      <c r="E86" s="8" t="s">
        <v>576</v>
      </c>
      <c r="F86" s="8" t="s">
        <v>577</v>
      </c>
    </row>
    <row r="87" customFormat="false" ht="17.15" hidden="false" customHeight="false" outlineLevel="0" collapsed="false">
      <c r="A87" s="5" t="s">
        <v>581</v>
      </c>
      <c r="B87" s="0" t="s">
        <v>582</v>
      </c>
      <c r="C87" s="29" t="n">
        <v>44.7</v>
      </c>
      <c r="D87" s="8" t="s">
        <v>575</v>
      </c>
      <c r="E87" s="8" t="s">
        <v>576</v>
      </c>
      <c r="F87" s="8" t="s">
        <v>577</v>
      </c>
    </row>
    <row r="88" customFormat="false" ht="17.15" hidden="false" customHeight="false" outlineLevel="0" collapsed="false">
      <c r="A88" s="5" t="s">
        <v>583</v>
      </c>
      <c r="B88" s="0" t="s">
        <v>584</v>
      </c>
      <c r="C88" s="29" t="n">
        <v>43.4</v>
      </c>
      <c r="D88" s="8" t="s">
        <v>585</v>
      </c>
      <c r="E88" s="8" t="s">
        <v>576</v>
      </c>
      <c r="F88" s="8" t="s">
        <v>577</v>
      </c>
    </row>
    <row r="89" customFormat="false" ht="17.15" hidden="false" customHeight="false" outlineLevel="0" collapsed="false">
      <c r="A89" s="0" t="s">
        <v>586</v>
      </c>
      <c r="B89" s="0" t="s">
        <v>587</v>
      </c>
      <c r="C89" s="29" t="n">
        <v>14.91</v>
      </c>
      <c r="D89" s="8" t="s">
        <v>588</v>
      </c>
      <c r="E89" s="8" t="s">
        <v>576</v>
      </c>
      <c r="F89" s="8" t="s">
        <v>577</v>
      </c>
    </row>
    <row r="90" customFormat="false" ht="17.15" hidden="false" customHeight="false" outlineLevel="0" collapsed="false">
      <c r="A90" s="5" t="s">
        <v>589</v>
      </c>
      <c r="B90" s="23" t="n">
        <f aca="false">MEDIAN(C85:C89)</f>
        <v>42.28</v>
      </c>
      <c r="E90" s="8" t="s">
        <v>590</v>
      </c>
    </row>
    <row r="91" customFormat="false" ht="17.15" hidden="false" customHeight="false" outlineLevel="0" collapsed="false">
      <c r="A91" s="0" t="s">
        <v>591</v>
      </c>
      <c r="B91" s="12" t="n">
        <f aca="false">tp_wA*(0.5*B65+0.5*B66)+tp_wB*(0.5*C65+0.5*C66)+tp_wC*(0.5*D65+0.5*D66)</f>
        <v>202.016069099601</v>
      </c>
      <c r="E91" s="5" t="s">
        <v>592</v>
      </c>
    </row>
    <row r="92" customFormat="false" ht="17.15" hidden="false" customHeight="false" outlineLevel="0" collapsed="false">
      <c r="A92" s="0" t="s">
        <v>593</v>
      </c>
      <c r="B92" s="26" t="n">
        <f aca="false">B90*B91</f>
        <v>8541.23940153114</v>
      </c>
      <c r="E92" s="5" t="s">
        <v>594</v>
      </c>
    </row>
    <row r="94" customFormat="false" ht="17.15" hidden="false" customHeight="false" outlineLevel="0" collapsed="false">
      <c r="A94" s="1" t="s">
        <v>595</v>
      </c>
    </row>
    <row r="95" customFormat="false" ht="15" hidden="false" customHeight="false" outlineLevel="0" collapsed="false">
      <c r="A95" s="6" t="s">
        <v>19</v>
      </c>
      <c r="B95" s="6" t="s">
        <v>513</v>
      </c>
      <c r="C95" s="11"/>
      <c r="D95" s="11"/>
      <c r="E95" s="6" t="s">
        <v>364</v>
      </c>
    </row>
    <row r="96" customFormat="false" ht="17.15" hidden="false" customHeight="false" outlineLevel="0" collapsed="false">
      <c r="A96" s="3" t="s">
        <v>596</v>
      </c>
      <c r="B96" s="26" t="n">
        <f aca="false">tp_w_dcf*B81+(1-tp_w_dcf)*B92</f>
        <v>5236.24114444144</v>
      </c>
      <c r="E96" s="8" t="s">
        <v>597</v>
      </c>
    </row>
    <row r="97" customFormat="false" ht="17.15" hidden="false" customHeight="false" outlineLevel="0" collapsed="false">
      <c r="A97" s="0" t="s">
        <v>598</v>
      </c>
      <c r="B97" s="16" t="n">
        <f aca="false">B92</f>
        <v>8541.23940153114</v>
      </c>
      <c r="E97" s="5" t="s">
        <v>599</v>
      </c>
    </row>
    <row r="98" customFormat="false" ht="17.15" hidden="false" customHeight="false" outlineLevel="0" collapsed="false">
      <c r="A98" s="5" t="s">
        <v>600</v>
      </c>
      <c r="B98" s="16" t="n">
        <f aca="false">cons_tp</f>
        <v>12432.35</v>
      </c>
      <c r="E98" s="8" t="s">
        <v>354</v>
      </c>
    </row>
    <row r="99" customFormat="false" ht="17.15" hidden="false" customHeight="false" outlineLevel="0" collapsed="false">
      <c r="A99" s="5" t="s">
        <v>601</v>
      </c>
      <c r="B99" s="13" t="n">
        <f aca="false">B96/px-1</f>
        <v>-0.384840091113553</v>
      </c>
      <c r="E99" s="5" t="s">
        <v>602</v>
      </c>
    </row>
    <row r="100" customFormat="false" ht="17.15" hidden="false" customHeight="false" outlineLevel="0" collapsed="false">
      <c r="A100" s="5" t="s">
        <v>603</v>
      </c>
      <c r="B100" s="13" t="n">
        <f aca="false">B97/px-1</f>
        <v>0.00343508006709858</v>
      </c>
    </row>
    <row r="101" customFormat="false" ht="17.15" hidden="false" customHeight="false" outlineLevel="0" collapsed="false">
      <c r="A101" s="5" t="s">
        <v>604</v>
      </c>
      <c r="B101" s="13" t="n">
        <f aca="false">B91/cons_feps-1</f>
        <v>0.116633270105027</v>
      </c>
      <c r="E101" s="5" t="s">
        <v>605</v>
      </c>
    </row>
    <row r="102" customFormat="false" ht="17.15" hidden="false" customHeight="false" outlineLevel="0" collapsed="false">
      <c r="A102" s="5" t="s">
        <v>606</v>
      </c>
      <c r="B102" s="13" t="n">
        <f aca="false">(cons_tp/cons_feps)/B90-1</f>
        <v>0.625335034292753</v>
      </c>
      <c r="E102" s="0" t="str">
        <f aca="false">"共識目標價 ÷ 共識前瞻 EPS 隱含 "&amp;TEXT(cons_tp/cons_feps,"0.0")&amp;"x，同業中位數 "&amp;TEXT(B90,"0.0")&amp;"x"</f>
        <v>共識目標價 ÷ 共識前瞻 EPS 隱含 68.7x，同業中位數 42.3x</v>
      </c>
    </row>
    <row r="103" customFormat="false" ht="17.15" hidden="false" customHeight="false" outlineLevel="0" collapsed="false">
      <c r="A103" s="5" t="s">
        <v>607</v>
      </c>
      <c r="B103" s="30" t="str">
        <f aca="false">TEXT(D80,"#,##0")&amp;"～"&amp;TEXT(B80,"#,##0")</f>
        <v>1,294～2,378</v>
      </c>
      <c r="E103" s="8" t="s">
        <v>608</v>
      </c>
    </row>
    <row r="104" customFormat="false" ht="17.15" hidden="false" customHeight="false" outlineLevel="0" collapsed="false">
      <c r="A104" s="5" t="s">
        <v>609</v>
      </c>
      <c r="B104" s="28" t="n">
        <f aca="false">IF(px/B66&lt;=MIN($B$108:$K$108),0,IF(px/B66&gt;=MAX($B$108:$K$108),1,PERCENTRANK($B$108:$K$108,px/B66)))</f>
        <v>0.333</v>
      </c>
      <c r="C104" s="28" t="n">
        <f aca="false">IF(px/C66&lt;=MIN($B$108:$K$108),0,IF(px/C66&gt;=MAX($B$108:$K$108),1,PERCENTRANK($B$108:$K$108,px/C66)))</f>
        <v>0.528</v>
      </c>
      <c r="D104" s="28" t="n">
        <f aca="false">IF(px/D66&lt;=MIN($B$108:$K$108),0,IF(px/D66&gt;=MAX($B$108:$K$108),1,PERCENTRANK($B$108:$K$108,px/D66)))</f>
        <v>0.849</v>
      </c>
      <c r="E104" s="5" t="s">
        <v>610</v>
      </c>
    </row>
    <row r="105" customFormat="false" ht="17.15" hidden="false" customHeight="false" outlineLevel="0" collapsed="false">
      <c r="A105" s="5" t="s">
        <v>611</v>
      </c>
      <c r="B105" s="0" t="s">
        <v>612</v>
      </c>
    </row>
    <row r="107" customFormat="false" ht="17.15" hidden="false" customHeight="false" outlineLevel="0" collapsed="false">
      <c r="A107" s="3" t="s">
        <v>613</v>
      </c>
      <c r="B107" s="8" t="s">
        <v>531</v>
      </c>
      <c r="C107" s="8" t="s">
        <v>534</v>
      </c>
      <c r="D107" s="8" t="s">
        <v>537</v>
      </c>
      <c r="E107" s="8" t="s">
        <v>538</v>
      </c>
      <c r="F107" s="8" t="s">
        <v>539</v>
      </c>
      <c r="G107" s="8" t="s">
        <v>540</v>
      </c>
      <c r="H107" s="8" t="s">
        <v>541</v>
      </c>
      <c r="I107" s="8" t="s">
        <v>542</v>
      </c>
      <c r="J107" s="8" t="s">
        <v>543</v>
      </c>
      <c r="K107" s="8" t="s">
        <v>544</v>
      </c>
    </row>
    <row r="108" customFormat="false" ht="17.15" hidden="false" customHeight="false" outlineLevel="0" collapsed="false">
      <c r="A108" s="5" t="s">
        <v>614</v>
      </c>
      <c r="B108" s="29" t="n">
        <v>44.1</v>
      </c>
      <c r="C108" s="29"/>
      <c r="D108" s="29" t="n">
        <v>35.3</v>
      </c>
      <c r="E108" s="29" t="n">
        <v>137</v>
      </c>
      <c r="F108" s="29" t="n">
        <v>55.2</v>
      </c>
      <c r="G108" s="29" t="n">
        <v>53.1</v>
      </c>
      <c r="H108" s="29" t="n">
        <v>40.7</v>
      </c>
      <c r="I108" s="29" t="n">
        <v>26.8</v>
      </c>
      <c r="J108" s="29" t="n">
        <v>57.2</v>
      </c>
      <c r="K108" s="29" t="n">
        <v>33.6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8" min="2" style="0" width="12"/>
    <col collapsed="false" customWidth="true" hidden="false" outlineLevel="0" max="9" min="9" style="0" width="36"/>
    <col collapsed="false" customWidth="true" hidden="false" outlineLevel="0" max="10" min="10" style="0" width="70"/>
  </cols>
  <sheetData>
    <row r="1" customFormat="false" ht="17.15" hidden="false" customHeight="false" outlineLevel="0" collapsed="false">
      <c r="A1" s="0" t="s">
        <v>615</v>
      </c>
    </row>
    <row r="3" customFormat="false" ht="17.15" hidden="false" customHeight="false" outlineLevel="0" collapsed="false">
      <c r="A3" s="6" t="s">
        <v>19</v>
      </c>
      <c r="B3" s="6" t="s">
        <v>616</v>
      </c>
      <c r="C3" s="6" t="s">
        <v>617</v>
      </c>
      <c r="D3" s="6" t="s">
        <v>618</v>
      </c>
      <c r="E3" s="6" t="s">
        <v>619</v>
      </c>
      <c r="F3" s="6" t="s">
        <v>620</v>
      </c>
      <c r="G3" s="6" t="s">
        <v>621</v>
      </c>
      <c r="H3" s="6" t="s">
        <v>622</v>
      </c>
      <c r="I3" s="6" t="s">
        <v>623</v>
      </c>
      <c r="J3" s="6" t="s">
        <v>364</v>
      </c>
    </row>
    <row r="4" customFormat="false" ht="17.15" hidden="false" customHeight="false" outlineLevel="0" collapsed="false">
      <c r="A4" s="1" t="s">
        <v>624</v>
      </c>
    </row>
    <row r="5" customFormat="false" ht="17.15" hidden="false" customHeight="false" outlineLevel="0" collapsed="false">
      <c r="A5" s="0" t="s">
        <v>625</v>
      </c>
      <c r="B5" s="12" t="n">
        <f aca="false">tgt30_rev</f>
        <v>1000</v>
      </c>
      <c r="C5" s="12" t="n">
        <f aca="false">PL!G82</f>
        <v>865.772241846335</v>
      </c>
      <c r="D5" s="13" t="n">
        <f aca="false">C5/B5-1</f>
        <v>-0.134227758153666</v>
      </c>
      <c r="E5" s="12" t="n">
        <f aca="false">PL!G116</f>
        <v>786.212871306884</v>
      </c>
      <c r="F5" s="13" t="n">
        <f aca="false">E5/B5-1</f>
        <v>-0.213787128693116</v>
      </c>
      <c r="G5" s="12" t="n">
        <f aca="false">PL!G150</f>
        <v>653.613920407801</v>
      </c>
      <c r="H5" s="13" t="n">
        <f aca="false">G5/B5-1</f>
        <v>-0.346386079592199</v>
      </c>
      <c r="I5" s="8" t="s">
        <v>626</v>
      </c>
      <c r="J5" s="5" t="s">
        <v>627</v>
      </c>
    </row>
    <row r="6" customFormat="false" ht="17.15" hidden="false" customHeight="false" outlineLevel="0" collapsed="false">
      <c r="A6" s="0" t="s">
        <v>628</v>
      </c>
      <c r="B6" s="12" t="n">
        <f aca="false">tgt30_oi</f>
        <v>300</v>
      </c>
      <c r="C6" s="12" t="n">
        <f aca="false">PL!G86</f>
        <v>200.115091152509</v>
      </c>
      <c r="D6" s="13" t="n">
        <f aca="false">C6/B6-1</f>
        <v>-0.332949696158302</v>
      </c>
      <c r="E6" s="12" t="n">
        <f aca="false">PL!G120</f>
        <v>176.201947016008</v>
      </c>
      <c r="F6" s="13" t="n">
        <f aca="false">E6/B6-1</f>
        <v>-0.412660176613307</v>
      </c>
      <c r="G6" s="12" t="n">
        <f aca="false">PL!G154</f>
        <v>136.346706788506</v>
      </c>
      <c r="H6" s="13" t="n">
        <f aca="false">G6/B6-1</f>
        <v>-0.545510977371648</v>
      </c>
      <c r="I6" s="5" t="s">
        <v>44</v>
      </c>
    </row>
    <row r="7" customFormat="false" ht="17.15" hidden="false" customHeight="false" outlineLevel="0" collapsed="false">
      <c r="A7" s="0" t="s">
        <v>629</v>
      </c>
      <c r="B7" s="12" t="n">
        <f aca="false">cons_feps</f>
        <v>180.915323327775</v>
      </c>
      <c r="C7" s="12" t="n">
        <f aca="false">PL!E90</f>
        <v>216.132699116893</v>
      </c>
      <c r="D7" s="13" t="n">
        <f aca="false">C7/B7-1</f>
        <v>0.194662205176027</v>
      </c>
      <c r="E7" s="12" t="n">
        <f aca="false">PL!E124</f>
        <v>216.132699116893</v>
      </c>
      <c r="F7" s="13" t="n">
        <f aca="false">E7/B7-1</f>
        <v>0.194662205176027</v>
      </c>
      <c r="G7" s="12" t="n">
        <f aca="false">PL!E158</f>
        <v>216.132699116893</v>
      </c>
      <c r="H7" s="13" t="n">
        <f aca="false">G7/B7-1</f>
        <v>0.194662205176027</v>
      </c>
      <c r="I7" s="8" t="s">
        <v>630</v>
      </c>
      <c r="J7" s="5" t="s">
        <v>631</v>
      </c>
    </row>
    <row r="8" customFormat="false" ht="17.15" hidden="false" customHeight="false" outlineLevel="0" collapsed="false">
      <c r="A8" s="1" t="s">
        <v>632</v>
      </c>
    </row>
    <row r="9" customFormat="false" ht="17.15" hidden="false" customHeight="false" outlineLevel="0" collapsed="false">
      <c r="A9" s="0" t="s">
        <v>633</v>
      </c>
      <c r="B9" s="16" t="n">
        <v>225</v>
      </c>
      <c r="C9" s="16" t="n">
        <f aca="false">Units!C8</f>
        <v>215.308595737464</v>
      </c>
      <c r="D9" s="13" t="n">
        <f aca="false">C9/B9-1</f>
        <v>-0.0430729078334936</v>
      </c>
      <c r="E9" s="16" t="n">
        <f aca="false">Units!C8</f>
        <v>215.308595737464</v>
      </c>
      <c r="F9" s="13" t="n">
        <f aca="false">E9/B9-1</f>
        <v>-0.0430729078334936</v>
      </c>
      <c r="G9" s="16" t="n">
        <f aca="false">Units!C8</f>
        <v>215.308595737464</v>
      </c>
      <c r="H9" s="13" t="n">
        <f aca="false">G9/B9-1</f>
        <v>-0.0430729078334936</v>
      </c>
      <c r="I9" s="5" t="s">
        <v>634</v>
      </c>
      <c r="J9" s="5" t="s">
        <v>635</v>
      </c>
    </row>
    <row r="10" customFormat="false" ht="17.15" hidden="false" customHeight="false" outlineLevel="0" collapsed="false">
      <c r="A10" s="0" t="s">
        <v>636</v>
      </c>
      <c r="B10" s="16" t="n">
        <v>75</v>
      </c>
      <c r="C10" s="16" t="n">
        <f aca="false">Units!C12</f>
        <v>77.0969490852276</v>
      </c>
      <c r="D10" s="13" t="n">
        <f aca="false">C10/B10-1</f>
        <v>0.027959321136368</v>
      </c>
      <c r="E10" s="16" t="n">
        <f aca="false">Units!C12</f>
        <v>77.0969490852276</v>
      </c>
      <c r="F10" s="13" t="n">
        <f aca="false">E10/B10-1</f>
        <v>0.027959321136368</v>
      </c>
      <c r="G10" s="16" t="n">
        <f aca="false">Units!C12</f>
        <v>77.0969490852276</v>
      </c>
      <c r="H10" s="13" t="n">
        <f aca="false">G10/B10-1</f>
        <v>0.027959321136368</v>
      </c>
      <c r="I10" s="5" t="s">
        <v>634</v>
      </c>
    </row>
    <row r="11" customFormat="false" ht="17.15" hidden="false" customHeight="false" outlineLevel="0" collapsed="false">
      <c r="A11" s="0" t="s">
        <v>637</v>
      </c>
      <c r="C11" s="13" t="n">
        <f aca="false">PL!E84</f>
        <v>0.554607124103712</v>
      </c>
      <c r="E11" s="13" t="n">
        <f aca="false">PL!E118</f>
        <v>0.554607124103712</v>
      </c>
      <c r="G11" s="13" t="n">
        <f aca="false">PL!E152</f>
        <v>0.554607124103712</v>
      </c>
      <c r="I11" s="8" t="s">
        <v>182</v>
      </c>
    </row>
    <row r="12" customFormat="false" ht="17.15" hidden="false" customHeight="false" outlineLevel="0" collapsed="false">
      <c r="A12" s="0" t="s">
        <v>638</v>
      </c>
      <c r="B12" s="13" t="n">
        <f aca="false">q26_eoi/q26_e</f>
        <v>0.293333333333333</v>
      </c>
      <c r="C12" s="13" t="n">
        <f aca="false">PL!F78</f>
        <v>0.29058186593395</v>
      </c>
      <c r="D12" s="13" t="n">
        <f aca="false">C12-B12</f>
        <v>-0.0027514673993837</v>
      </c>
      <c r="E12" s="13" t="n">
        <f aca="false">PL!F112</f>
        <v>0.282319892527068</v>
      </c>
      <c r="F12" s="13" t="n">
        <f aca="false">E12-B12</f>
        <v>-0.0110134408062651</v>
      </c>
      <c r="G12" s="13" t="n">
        <f aca="false">PL!F146</f>
        <v>0.270515438025634</v>
      </c>
      <c r="H12" s="13" t="n">
        <f aca="false">G12-B12</f>
        <v>-0.0228178953076997</v>
      </c>
      <c r="I12" s="5" t="s">
        <v>639</v>
      </c>
      <c r="J12" s="5" t="s">
        <v>640</v>
      </c>
    </row>
    <row r="13" customFormat="false" ht="17.15" hidden="false" customHeight="false" outlineLevel="0" collapsed="false">
      <c r="A13" s="1" t="s">
        <v>641</v>
      </c>
    </row>
    <row r="14" customFormat="false" ht="17.15" hidden="false" customHeight="false" outlineLevel="0" collapsed="false">
      <c r="A14" s="5" t="s">
        <v>642</v>
      </c>
      <c r="J14" s="5" t="s">
        <v>643</v>
      </c>
    </row>
    <row r="15" customFormat="false" ht="17.15" hidden="false" customHeight="false" outlineLevel="0" collapsed="false">
      <c r="A15" s="0" t="s">
        <v>644</v>
      </c>
      <c r="J15" s="5" t="s">
        <v>643</v>
      </c>
    </row>
    <row r="17" customFormat="false" ht="17.15" hidden="false" customHeight="false" outlineLevel="0" collapsed="false">
      <c r="A17" s="1" t="s">
        <v>645</v>
      </c>
    </row>
    <row r="18" customFormat="false" ht="17.15" hidden="false" customHeight="false" outlineLevel="0" collapsed="false">
      <c r="A18" s="0" t="s">
        <v>646</v>
      </c>
      <c r="B18" s="12" t="n">
        <f aca="false">cons_feps</f>
        <v>180.915323327775</v>
      </c>
      <c r="C18" s="12" t="n">
        <f aca="false">Val!B91</f>
        <v>202.016069099601</v>
      </c>
      <c r="D18" s="13" t="n">
        <f aca="false">C18/B18-1</f>
        <v>0.116633270105027</v>
      </c>
      <c r="I18" s="8" t="s">
        <v>357</v>
      </c>
      <c r="J18" s="5" t="s">
        <v>647</v>
      </c>
    </row>
    <row r="19" customFormat="false" ht="17.15" hidden="false" customHeight="false" outlineLevel="0" collapsed="false">
      <c r="A19" s="5" t="s">
        <v>648</v>
      </c>
      <c r="B19" s="12" t="n">
        <f aca="false">cons_tp</f>
        <v>12432.35</v>
      </c>
      <c r="C19" s="12" t="n">
        <f aca="false">Val!B96</f>
        <v>5236.24114444144</v>
      </c>
      <c r="D19" s="13" t="n">
        <f aca="false">C19/B19-1</f>
        <v>-0.578821289262172</v>
      </c>
      <c r="I19" s="8" t="s">
        <v>354</v>
      </c>
      <c r="J19" s="5" t="s">
        <v>647</v>
      </c>
    </row>
    <row r="20" customFormat="false" ht="17.15" hidden="false" customHeight="false" outlineLevel="0" collapsed="false">
      <c r="A20" s="0" t="s">
        <v>649</v>
      </c>
      <c r="B20" s="12" t="n">
        <f aca="false">cons_tp</f>
        <v>12432.35</v>
      </c>
      <c r="C20" s="12" t="n">
        <f aca="false">Val!B92</f>
        <v>8541.23940153114</v>
      </c>
      <c r="D20" s="13" t="n">
        <f aca="false">C20/B20-1</f>
        <v>-0.312982710305683</v>
      </c>
      <c r="I20" s="5" t="s">
        <v>44</v>
      </c>
      <c r="J20" s="5" t="s">
        <v>647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6"/>
    <col collapsed="false" customWidth="true" hidden="false" outlineLevel="0" max="12" min="3" style="0" width="14"/>
  </cols>
  <sheetData>
    <row r="1" customFormat="false" ht="17.15" hidden="false" customHeight="false" outlineLevel="0" collapsed="false">
      <c r="A1" s="0" t="s">
        <v>650</v>
      </c>
    </row>
    <row r="3" customFormat="false" ht="17.15" hidden="false" customHeight="false" outlineLevel="0" collapsed="false">
      <c r="A3" s="6" t="s">
        <v>651</v>
      </c>
      <c r="B3" s="6" t="s">
        <v>652</v>
      </c>
      <c r="C3" s="11" t="s">
        <v>653</v>
      </c>
      <c r="D3" s="11" t="s">
        <v>654</v>
      </c>
      <c r="E3" s="11" t="s">
        <v>655</v>
      </c>
      <c r="F3" s="11" t="s">
        <v>508</v>
      </c>
      <c r="G3" s="11" t="s">
        <v>656</v>
      </c>
      <c r="H3" s="11" t="s">
        <v>657</v>
      </c>
      <c r="I3" s="11" t="s">
        <v>658</v>
      </c>
      <c r="J3" s="11" t="s">
        <v>659</v>
      </c>
      <c r="K3" s="11" t="s">
        <v>511</v>
      </c>
      <c r="L3" s="11" t="s">
        <v>660</v>
      </c>
    </row>
    <row r="4" customFormat="false" ht="17.15" hidden="false" customHeight="false" outlineLevel="0" collapsed="false">
      <c r="A4" s="5" t="s">
        <v>661</v>
      </c>
      <c r="B4" s="0" t="s">
        <v>662</v>
      </c>
      <c r="C4" s="12" t="n">
        <f aca="false">PL!E82</f>
        <v>708.458794642857</v>
      </c>
      <c r="D4" s="12" t="n">
        <f aca="false">PL!E71</f>
        <v>392.916294642857</v>
      </c>
      <c r="E4" s="13" t="n">
        <f aca="false">PL!E78</f>
        <v>0.313253023449477</v>
      </c>
      <c r="F4" s="12" t="n">
        <f aca="false">PL!E90</f>
        <v>216.132699116893</v>
      </c>
      <c r="G4" s="13" t="n">
        <f aca="false">F4/F$4-1</f>
        <v>0</v>
      </c>
      <c r="H4" s="12" t="n">
        <f aca="false">PL!F82</f>
        <v>759.916251785714</v>
      </c>
      <c r="I4" s="12" t="n">
        <f aca="false">PL!F71</f>
        <v>434.671226785714</v>
      </c>
      <c r="J4" s="13" t="n">
        <f aca="false">PL!F78</f>
        <v>0.29058186593395</v>
      </c>
      <c r="K4" s="12" t="n">
        <f aca="false">PL!F90</f>
        <v>218.990901255469</v>
      </c>
      <c r="L4" s="13" t="n">
        <f aca="false">K4/K$4-1</f>
        <v>0</v>
      </c>
    </row>
    <row r="5" customFormat="false" ht="17.15" hidden="false" customHeight="false" outlineLevel="0" collapsed="false">
      <c r="A5" s="5" t="s">
        <v>663</v>
      </c>
      <c r="B5" s="5" t="s">
        <v>664</v>
      </c>
      <c r="C5" s="12" t="n">
        <f aca="false">E62</f>
        <v>688.812979910714</v>
      </c>
      <c r="D5" s="12" t="n">
        <f aca="false">E51</f>
        <v>373.270479910714</v>
      </c>
      <c r="E5" s="13" t="n">
        <f aca="false">E58</f>
        <v>0.286854758589379</v>
      </c>
      <c r="F5" s="12" t="n">
        <f aca="false">E70</f>
        <v>192.993091403086</v>
      </c>
      <c r="G5" s="13" t="n">
        <f aca="false">F5/F$4-1</f>
        <v>-0.107062040164929</v>
      </c>
      <c r="H5" s="12" t="n">
        <f aca="false">F62</f>
        <v>714.161385808271</v>
      </c>
      <c r="I5" s="12" t="n">
        <f aca="false">F51</f>
        <v>388.916360808271</v>
      </c>
      <c r="J5" s="13" t="n">
        <f aca="false">F58</f>
        <v>0.22975325582989</v>
      </c>
      <c r="K5" s="12" t="n">
        <f aca="false">F70</f>
        <v>165.099033488659</v>
      </c>
      <c r="L5" s="13" t="n">
        <f aca="false">K5/K$4-1</f>
        <v>-0.24609181229836</v>
      </c>
    </row>
    <row r="6" customFormat="false" ht="17.15" hidden="false" customHeight="false" outlineLevel="0" collapsed="false">
      <c r="A6" s="5" t="s">
        <v>665</v>
      </c>
      <c r="B6" s="5" t="s">
        <v>666</v>
      </c>
      <c r="C6" s="12" t="n">
        <f aca="false">E96</f>
        <v>728.104609375</v>
      </c>
      <c r="D6" s="12" t="n">
        <f aca="false">E85</f>
        <v>412.562109375</v>
      </c>
      <c r="E6" s="13" t="n">
        <f aca="false">E92</f>
        <v>0.337766697662195</v>
      </c>
      <c r="F6" s="12" t="n">
        <f aca="false">E104</f>
        <v>239.272306830701</v>
      </c>
      <c r="G6" s="13" t="n">
        <f aca="false">F6/F$4-1</f>
        <v>0.107062040164929</v>
      </c>
      <c r="H6" s="12" t="n">
        <f aca="false">F96</f>
        <v>805.671117763158</v>
      </c>
      <c r="I6" s="12" t="n">
        <f aca="false">F85</f>
        <v>480.426092763158</v>
      </c>
      <c r="J6" s="13" t="n">
        <f aca="false">F92</f>
        <v>0.342506061322395</v>
      </c>
      <c r="K6" s="12" t="n">
        <f aca="false">F104</f>
        <v>272.882769022278</v>
      </c>
      <c r="L6" s="13" t="n">
        <f aca="false">K6/K$4-1</f>
        <v>0.24609181229836</v>
      </c>
    </row>
    <row r="7" customFormat="false" ht="17.15" hidden="false" customHeight="false" outlineLevel="0" collapsed="false">
      <c r="A7" s="5" t="s">
        <v>667</v>
      </c>
      <c r="B7" s="5" t="s">
        <v>668</v>
      </c>
      <c r="C7" s="12" t="n">
        <f aca="false">E130</f>
        <v>667.099184680451</v>
      </c>
      <c r="D7" s="12" t="n">
        <f aca="false">E119</f>
        <v>351.556684680451</v>
      </c>
      <c r="E7" s="13" t="n">
        <f aca="false">E126</f>
        <v>0.308413644618109</v>
      </c>
      <c r="F7" s="12" t="n">
        <f aca="false">E138</f>
        <v>198.083180549308</v>
      </c>
      <c r="G7" s="13" t="n">
        <f aca="false">F7/F$4-1</f>
        <v>-0.0835112809923471</v>
      </c>
      <c r="H7" s="12" t="n">
        <f aca="false">F130</f>
        <v>695.703456919643</v>
      </c>
      <c r="I7" s="12" t="n">
        <f aca="false">F119</f>
        <v>370.458431919643</v>
      </c>
      <c r="J7" s="13" t="n">
        <f aca="false">F126</f>
        <v>0.284748429810093</v>
      </c>
      <c r="K7" s="12" t="n">
        <f aca="false">F138</f>
        <v>193.473918411335</v>
      </c>
      <c r="L7" s="13" t="n">
        <f aca="false">K7/K$4-1</f>
        <v>-0.11652074445945</v>
      </c>
    </row>
    <row r="8" customFormat="false" ht="17.15" hidden="false" customHeight="false" outlineLevel="0" collapsed="false">
      <c r="A8" s="5" t="s">
        <v>669</v>
      </c>
      <c r="B8" s="5" t="s">
        <v>670</v>
      </c>
      <c r="C8" s="12" t="n">
        <f aca="false">E164</f>
        <v>729.13859962406</v>
      </c>
      <c r="D8" s="12" t="n">
        <f aca="false">E153</f>
        <v>413.59609962406</v>
      </c>
      <c r="E8" s="13" t="n">
        <f aca="false">E160</f>
        <v>0.315400471707158</v>
      </c>
      <c r="F8" s="12" t="n">
        <f aca="false">E172</f>
        <v>225.157458400686</v>
      </c>
      <c r="G8" s="13" t="n">
        <f aca="false">F8/F$4-1</f>
        <v>0.0417556404961734</v>
      </c>
      <c r="H8" s="12" t="n">
        <f aca="false">F164</f>
        <v>819.189600892857</v>
      </c>
      <c r="I8" s="12" t="n">
        <f aca="false">F153</f>
        <v>493.944575892857</v>
      </c>
      <c r="J8" s="13" t="n">
        <f aca="false">F160</f>
        <v>0.29492541202585</v>
      </c>
      <c r="K8" s="12" t="n">
        <f aca="false">F172</f>
        <v>242.545039265438</v>
      </c>
      <c r="L8" s="13" t="n">
        <f aca="false">K8/K$4-1</f>
        <v>0.107557610270262</v>
      </c>
    </row>
    <row r="9" customFormat="false" ht="17.15" hidden="false" customHeight="false" outlineLevel="0" collapsed="false">
      <c r="A9" s="5" t="s">
        <v>671</v>
      </c>
      <c r="B9" s="5" t="s">
        <v>672</v>
      </c>
      <c r="C9" s="12" t="n">
        <f aca="false">E198</f>
        <v>681.820401785714</v>
      </c>
      <c r="D9" s="12" t="n">
        <f aca="false">E187</f>
        <v>366.277901785714</v>
      </c>
      <c r="E9" s="13" t="n">
        <f aca="false">E194</f>
        <v>0.310227159509814</v>
      </c>
      <c r="F9" s="12" t="n">
        <f aca="false">E206</f>
        <v>204.507585463194</v>
      </c>
      <c r="G9" s="13" t="n">
        <f aca="false">F9/F$4-1</f>
        <v>-0.0537869267408336</v>
      </c>
      <c r="H9" s="12" t="n">
        <f aca="false">F198</f>
        <v>702.975694642857</v>
      </c>
      <c r="I9" s="12" t="n">
        <f aca="false">F187</f>
        <v>377.730669642857</v>
      </c>
      <c r="J9" s="13" t="n">
        <f aca="false">F194</f>
        <v>0.285481083842229</v>
      </c>
      <c r="K9" s="12" t="n">
        <f aca="false">F206</f>
        <v>196.363771837101</v>
      </c>
      <c r="L9" s="13" t="n">
        <f aca="false">K9/K$4-1</f>
        <v>-0.103324518455546</v>
      </c>
    </row>
    <row r="10" customFormat="false" ht="17.15" hidden="false" customHeight="false" outlineLevel="0" collapsed="false">
      <c r="A10" s="5" t="s">
        <v>673</v>
      </c>
      <c r="B10" s="5" t="s">
        <v>674</v>
      </c>
      <c r="C10" s="12" t="n">
        <f aca="false">E232</f>
        <v>721.777991071429</v>
      </c>
      <c r="D10" s="12" t="n">
        <f aca="false">E221</f>
        <v>406.235491071429</v>
      </c>
      <c r="E10" s="13" t="n">
        <f aca="false">E228</f>
        <v>0.314654838173661</v>
      </c>
      <c r="F10" s="12" t="n">
        <f aca="false">E240</f>
        <v>221.945255943743</v>
      </c>
      <c r="G10" s="13" t="n">
        <f aca="false">F10/F$4-1</f>
        <v>0.0268934633704168</v>
      </c>
      <c r="H10" s="12" t="n">
        <f aca="false">F232</f>
        <v>789.884966071429</v>
      </c>
      <c r="I10" s="12" t="n">
        <f aca="false">F221</f>
        <v>464.639941071429</v>
      </c>
      <c r="J10" s="13" t="n">
        <f aca="false">F228</f>
        <v>0.29288358628977</v>
      </c>
      <c r="K10" s="12" t="n">
        <f aca="false">F240</f>
        <v>230.89991673882</v>
      </c>
      <c r="L10" s="13" t="n">
        <f aca="false">K10/K$4-1</f>
        <v>0.0543813255029191</v>
      </c>
    </row>
    <row r="11" customFormat="false" ht="17.15" hidden="false" customHeight="false" outlineLevel="0" collapsed="false">
      <c r="A11" s="5" t="s">
        <v>675</v>
      </c>
      <c r="B11" s="0" t="s">
        <v>676</v>
      </c>
      <c r="C11" s="12" t="n">
        <f aca="false">E266</f>
        <v>690.05421875</v>
      </c>
      <c r="D11" s="12" t="n">
        <f aca="false">E255</f>
        <v>374.51171875</v>
      </c>
      <c r="E11" s="13" t="n">
        <f aca="false">E262</f>
        <v>0.311196040308541</v>
      </c>
      <c r="F11" s="12" t="n">
        <f aca="false">E274</f>
        <v>208.100859972167</v>
      </c>
      <c r="G11" s="13" t="n">
        <f aca="false">F11/F$4-1</f>
        <v>-0.037161610332651</v>
      </c>
      <c r="H11" s="12" t="n">
        <f aca="false">F266</f>
        <v>726.58256875</v>
      </c>
      <c r="I11" s="12" t="n">
        <f aca="false">F255</f>
        <v>401.33754375</v>
      </c>
      <c r="J11" s="13" t="n">
        <f aca="false">F262</f>
        <v>0.28772490282623</v>
      </c>
      <c r="K11" s="12" t="n">
        <f aca="false">F274</f>
        <v>205.744709123073</v>
      </c>
      <c r="L11" s="13" t="n">
        <f aca="false">K11/K$4-1</f>
        <v>-0.0604874086386953</v>
      </c>
    </row>
    <row r="12" customFormat="false" ht="17.15" hidden="false" customHeight="false" outlineLevel="0" collapsed="false">
      <c r="A12" s="5" t="s">
        <v>677</v>
      </c>
      <c r="B12" s="0" t="s">
        <v>678</v>
      </c>
      <c r="C12" s="12" t="n">
        <f aca="false">E300</f>
        <v>722.2622265625</v>
      </c>
      <c r="D12" s="12" t="n">
        <f aca="false">E289</f>
        <v>406.7197265625</v>
      </c>
      <c r="E12" s="13" t="n">
        <f aca="false">E296</f>
        <v>0.314704510931652</v>
      </c>
      <c r="F12" s="12" t="n">
        <f aca="false">E308</f>
        <v>222.156578475438</v>
      </c>
      <c r="G12" s="13" t="n">
        <f aca="false">F12/F$4-1</f>
        <v>0.0278712077494883</v>
      </c>
      <c r="H12" s="12" t="n">
        <f aca="false">F300</f>
        <v>784.9165140625</v>
      </c>
      <c r="I12" s="12" t="n">
        <f aca="false">F289</f>
        <v>459.6714890625</v>
      </c>
      <c r="J12" s="13" t="n">
        <f aca="false">F296</f>
        <v>0.292517773742164</v>
      </c>
      <c r="K12" s="12" t="n">
        <f aca="false">F308</f>
        <v>228.925545354765</v>
      </c>
      <c r="L12" s="13" t="n">
        <f aca="false">K12/K$4-1</f>
        <v>0.0453655564790216</v>
      </c>
    </row>
    <row r="13" customFormat="false" ht="17.15" hidden="false" customHeight="false" outlineLevel="0" collapsed="false">
      <c r="A13" s="0" t="s">
        <v>679</v>
      </c>
      <c r="B13" s="0" t="s">
        <v>680</v>
      </c>
      <c r="C13" s="12" t="n">
        <f aca="false">E334</f>
        <v>687.385133928572</v>
      </c>
      <c r="D13" s="12" t="n">
        <f aca="false">E323</f>
        <v>332.467633928571</v>
      </c>
      <c r="E13" s="13" t="n">
        <f aca="false">E330</f>
        <v>0.320003350479907</v>
      </c>
      <c r="F13" s="12" t="n">
        <f aca="false">E342</f>
        <v>212.409492047059</v>
      </c>
      <c r="G13" s="13" t="n">
        <f aca="false">F13/F$4-1</f>
        <v>-0.017226486714167</v>
      </c>
      <c r="H13" s="12" t="n">
        <f aca="false">F334</f>
        <v>734.387505357143</v>
      </c>
      <c r="I13" s="12" t="n">
        <f aca="false">F323</f>
        <v>367.798730357143</v>
      </c>
      <c r="J13" s="13" t="n">
        <f aca="false">F330</f>
        <v>0.302463413892698</v>
      </c>
      <c r="K13" s="12" t="n">
        <f aca="false">F342</f>
        <v>218.004287144709</v>
      </c>
      <c r="L13" s="13" t="n">
        <f aca="false">K13/K$4-1</f>
        <v>-0.00450527444338045</v>
      </c>
    </row>
    <row r="14" customFormat="false" ht="17.15" hidden="false" customHeight="false" outlineLevel="0" collapsed="false">
      <c r="A14" s="0" t="s">
        <v>681</v>
      </c>
      <c r="B14" s="5" t="s">
        <v>682</v>
      </c>
      <c r="C14" s="12" t="n">
        <f aca="false">E368</f>
        <v>729.532455357143</v>
      </c>
      <c r="D14" s="12" t="n">
        <f aca="false">E357</f>
        <v>453.364955357143</v>
      </c>
      <c r="E14" s="13" t="n">
        <f aca="false">E364</f>
        <v>0.307018294347866</v>
      </c>
      <c r="F14" s="12" t="n">
        <f aca="false">E376</f>
        <v>219.855906186727</v>
      </c>
      <c r="G14" s="13" t="n">
        <f aca="false">F14/F$4-1</f>
        <v>0.0172264867141669</v>
      </c>
      <c r="H14" s="12" t="n">
        <f aca="false">F368</f>
        <v>785.444998214286</v>
      </c>
      <c r="I14" s="12" t="n">
        <f aca="false">F357</f>
        <v>501.543723214286</v>
      </c>
      <c r="J14" s="13" t="n">
        <f aca="false">F364</f>
        <v>0.279703192736178</v>
      </c>
      <c r="K14" s="12" t="n">
        <f aca="false">F376</f>
        <v>219.977515366228</v>
      </c>
      <c r="L14" s="13" t="n">
        <f aca="false">K14/K$4-1</f>
        <v>0.00450527444338067</v>
      </c>
    </row>
    <row r="15" customFormat="false" ht="17.15" hidden="false" customHeight="false" outlineLevel="0" collapsed="false">
      <c r="A15" s="5" t="s">
        <v>683</v>
      </c>
      <c r="B15" s="5" t="s">
        <v>684</v>
      </c>
      <c r="C15" s="12" t="n">
        <f aca="false">E402</f>
        <v>708.458794642857</v>
      </c>
      <c r="D15" s="12" t="n">
        <f aca="false">E391</f>
        <v>392.916294642857</v>
      </c>
      <c r="E15" s="13" t="n">
        <f aca="false">E398</f>
        <v>0.320201752559759</v>
      </c>
      <c r="F15" s="12" t="n">
        <f aca="false">E410</f>
        <v>220.476440698366</v>
      </c>
      <c r="G15" s="13" t="n">
        <f aca="false">F15/F$4-1</f>
        <v>0.0200975678331943</v>
      </c>
      <c r="H15" s="12" t="n">
        <f aca="false">F402</f>
        <v>759.916251785714</v>
      </c>
      <c r="I15" s="12" t="n">
        <f aca="false">F391</f>
        <v>434.671226785714</v>
      </c>
      <c r="J15" s="13" t="n">
        <f aca="false">F398</f>
        <v>0.299355919354661</v>
      </c>
      <c r="K15" s="12" t="n">
        <f aca="false">F410</f>
        <v>224.978400722734</v>
      </c>
      <c r="L15" s="13" t="n">
        <f aca="false">K15/K$4-1</f>
        <v>0.0273413161594376</v>
      </c>
    </row>
    <row r="16" customFormat="false" ht="17.15" hidden="false" customHeight="false" outlineLevel="0" collapsed="false">
      <c r="A16" s="5" t="s">
        <v>685</v>
      </c>
      <c r="B16" s="5" t="s">
        <v>686</v>
      </c>
      <c r="C16" s="12" t="n">
        <f aca="false">E436</f>
        <v>708.458794642857</v>
      </c>
      <c r="D16" s="12" t="n">
        <f aca="false">E425</f>
        <v>392.916294642857</v>
      </c>
      <c r="E16" s="13" t="n">
        <f aca="false">E432</f>
        <v>0.306304294339194</v>
      </c>
      <c r="F16" s="12" t="n">
        <f aca="false">E444</f>
        <v>211.78895753542</v>
      </c>
      <c r="G16" s="13" t="n">
        <f aca="false">F16/F$4-1</f>
        <v>-0.0200975678331947</v>
      </c>
      <c r="H16" s="12" t="n">
        <f aca="false">F436</f>
        <v>759.916251785714</v>
      </c>
      <c r="I16" s="12" t="n">
        <f aca="false">F425</f>
        <v>434.671226785714</v>
      </c>
      <c r="J16" s="13" t="n">
        <f aca="false">F432</f>
        <v>0.281807812513238</v>
      </c>
      <c r="K16" s="12" t="n">
        <f aca="false">F444</f>
        <v>213.003401788203</v>
      </c>
      <c r="L16" s="13" t="n">
        <f aca="false">K16/K$4-1</f>
        <v>-0.0273413161594378</v>
      </c>
    </row>
    <row r="17" customFormat="false" ht="17.15" hidden="false" customHeight="false" outlineLevel="0" collapsed="false">
      <c r="A17" s="5" t="s">
        <v>687</v>
      </c>
      <c r="B17" s="5" t="s">
        <v>688</v>
      </c>
      <c r="C17" s="12" t="n">
        <f aca="false">E470</f>
        <v>708.458794642857</v>
      </c>
      <c r="D17" s="12" t="n">
        <f aca="false">E459</f>
        <v>392.916294642857</v>
      </c>
      <c r="E17" s="13" t="n">
        <f aca="false">E466</f>
        <v>0.313253023449477</v>
      </c>
      <c r="F17" s="12" t="n">
        <f aca="false">E478</f>
        <v>202.72658616108</v>
      </c>
      <c r="G17" s="13" t="n">
        <f aca="false">F17/F$4-1</f>
        <v>-0.0620272314674736</v>
      </c>
      <c r="H17" s="12" t="n">
        <f aca="false">F470</f>
        <v>759.916251785714</v>
      </c>
      <c r="I17" s="12" t="n">
        <f aca="false">F459</f>
        <v>434.671226785714</v>
      </c>
      <c r="J17" s="13" t="n">
        <f aca="false">F466</f>
        <v>0.29058186593395</v>
      </c>
      <c r="K17" s="12" t="n">
        <f aca="false">F478</f>
        <v>205.407501934025</v>
      </c>
      <c r="L17" s="13" t="n">
        <f aca="false">K17/K$4-1</f>
        <v>-0.0620272314674735</v>
      </c>
    </row>
    <row r="18" customFormat="false" ht="17.15" hidden="false" customHeight="false" outlineLevel="0" collapsed="false">
      <c r="A18" s="0" t="s">
        <v>689</v>
      </c>
      <c r="B18" s="0" t="s">
        <v>690</v>
      </c>
      <c r="C18" s="12" t="n">
        <f aca="false">E504</f>
        <v>708.458794642857</v>
      </c>
      <c r="D18" s="12" t="n">
        <f aca="false">E493</f>
        <v>392.916294642857</v>
      </c>
      <c r="E18" s="13" t="n">
        <f aca="false">E500</f>
        <v>0.313253023449477</v>
      </c>
      <c r="F18" s="12" t="n">
        <f aca="false">E512</f>
        <v>209.837571958149</v>
      </c>
      <c r="G18" s="13" t="n">
        <f aca="false">F18/F$4-1</f>
        <v>-0.0291262135922331</v>
      </c>
      <c r="H18" s="12" t="n">
        <f aca="false">F504</f>
        <v>759.916251785714</v>
      </c>
      <c r="I18" s="12" t="n">
        <f aca="false">F493</f>
        <v>434.671226785714</v>
      </c>
      <c r="J18" s="13" t="n">
        <f aca="false">F500</f>
        <v>0.29058186593395</v>
      </c>
      <c r="K18" s="12" t="n">
        <f aca="false">F512</f>
        <v>206.419927660919</v>
      </c>
      <c r="L18" s="13" t="n">
        <f aca="false">K18/K$4-1</f>
        <v>-0.0574040908662458</v>
      </c>
    </row>
    <row r="19" customFormat="false" ht="17.15" hidden="false" customHeight="false" outlineLevel="0" collapsed="false">
      <c r="A19" s="5" t="s">
        <v>691</v>
      </c>
      <c r="B19" s="0" t="s">
        <v>692</v>
      </c>
      <c r="C19" s="12" t="n">
        <f aca="false">PL!E116</f>
        <v>708.458794642857</v>
      </c>
      <c r="D19" s="12" t="n">
        <f aca="false">PL!E105</f>
        <v>392.916294642857</v>
      </c>
      <c r="E19" s="13" t="n">
        <f aca="false">PL!E112</f>
        <v>0.313253023449477</v>
      </c>
      <c r="F19" s="12" t="n">
        <f aca="false">PL!E124</f>
        <v>216.132699116893</v>
      </c>
      <c r="G19" s="13" t="n">
        <f aca="false">F19/F$4-1</f>
        <v>0</v>
      </c>
      <c r="H19" s="12" t="n">
        <f aca="false">PL!F116</f>
        <v>672.982006428572</v>
      </c>
      <c r="I19" s="12" t="n">
        <f aca="false">PL!F105</f>
        <v>347.736981428572</v>
      </c>
      <c r="J19" s="13" t="n">
        <f aca="false">PL!F112</f>
        <v>0.282319892527068</v>
      </c>
      <c r="K19" s="12" t="n">
        <f aca="false">PL!F124</f>
        <v>184.444832174181</v>
      </c>
      <c r="L19" s="13" t="n">
        <f aca="false">K19/K$4-1</f>
        <v>-0.157751161729717</v>
      </c>
    </row>
    <row r="20" customFormat="false" ht="17.15" hidden="false" customHeight="false" outlineLevel="0" collapsed="false">
      <c r="A20" s="5" t="s">
        <v>693</v>
      </c>
      <c r="B20" s="0" t="s">
        <v>694</v>
      </c>
      <c r="C20" s="12" t="n">
        <f aca="false">PL!E150</f>
        <v>708.458794642857</v>
      </c>
      <c r="D20" s="12" t="n">
        <f aca="false">PL!E139</f>
        <v>392.916294642857</v>
      </c>
      <c r="E20" s="13" t="n">
        <f aca="false">PL!E146</f>
        <v>0.313253023449477</v>
      </c>
      <c r="F20" s="12" t="n">
        <f aca="false">PL!E158</f>
        <v>216.132699116893</v>
      </c>
      <c r="G20" s="13" t="n">
        <f aca="false">F20/F$4-1</f>
        <v>0</v>
      </c>
      <c r="H20" s="12" t="n">
        <f aca="false">PL!F150</f>
        <v>586.047761071429</v>
      </c>
      <c r="I20" s="12" t="n">
        <f aca="false">PL!F139</f>
        <v>260.802736071429</v>
      </c>
      <c r="J20" s="13" t="n">
        <f aca="false">PL!F146</f>
        <v>0.270515438025634</v>
      </c>
      <c r="K20" s="12" t="n">
        <f aca="false">PL!F158</f>
        <v>149.898763092892</v>
      </c>
      <c r="L20" s="13" t="n">
        <f aca="false">K20/K$4-1</f>
        <v>-0.315502323459435</v>
      </c>
    </row>
    <row r="22" customFormat="false" ht="17.15" hidden="false" customHeight="false" outlineLevel="0" collapsed="false">
      <c r="A22" s="5" t="s">
        <v>695</v>
      </c>
    </row>
    <row r="40" customFormat="false" ht="17.15" hidden="false" customHeight="false" outlineLevel="0" collapsed="false">
      <c r="A40" s="3" t="s">
        <v>696</v>
      </c>
    </row>
    <row r="41" customFormat="false" ht="17.15" hidden="false" customHeight="false" outlineLevel="0" collapsed="false">
      <c r="A41" s="6" t="s">
        <v>19</v>
      </c>
      <c r="B41" s="6" t="s">
        <v>20</v>
      </c>
      <c r="C41" s="11" t="s">
        <v>361</v>
      </c>
      <c r="D41" s="11" t="s">
        <v>408</v>
      </c>
      <c r="E41" s="11" t="s">
        <v>384</v>
      </c>
      <c r="F41" s="11" t="s">
        <v>385</v>
      </c>
      <c r="G41" s="11" t="s">
        <v>386</v>
      </c>
      <c r="H41" s="6" t="s">
        <v>364</v>
      </c>
    </row>
    <row r="42" customFormat="false" ht="17.15" hidden="false" customHeight="false" outlineLevel="0" collapsed="false">
      <c r="A42" s="1" t="s">
        <v>422</v>
      </c>
    </row>
    <row r="43" customFormat="false" ht="17.15" hidden="false" customHeight="false" outlineLevel="0" collapsed="false">
      <c r="A43" s="0" t="s">
        <v>423</v>
      </c>
      <c r="B43" s="5" t="s">
        <v>30</v>
      </c>
      <c r="D43" s="14" t="n">
        <f aca="false">(u_bw_26+u_rb_26+u_ru_26+u_hp_26)*1</f>
        <v>7.6</v>
      </c>
      <c r="E43" s="14" t="n">
        <f aca="false">(u_bw_27+u_rb_27+u_ru_27+u_hp_27)*1</f>
        <v>9.7</v>
      </c>
      <c r="F43" s="14" t="n">
        <f aca="false">(u_bw_28+u_rb_28+u_ru_28+u_hp_28)*um28_A</f>
        <v>9.5</v>
      </c>
      <c r="G43" s="14" t="n">
        <f aca="false">(u_bw_28*(1+g29_bw)+u_rb_28*(1+g29_rb)+u_ru_28*(1+g29_ru)+u_hp_28*(1+g29_hp))*um29_A</f>
        <v>10.6</v>
      </c>
      <c r="H43" s="8" t="s">
        <v>424</v>
      </c>
    </row>
    <row r="44" customFormat="false" ht="17.15" hidden="false" customHeight="false" outlineLevel="0" collapsed="false">
      <c r="A44" s="5" t="s">
        <v>425</v>
      </c>
      <c r="B44" s="5" t="s">
        <v>30</v>
      </c>
      <c r="D44" s="14" t="n">
        <f aca="false">(u_amd_26+u_tpu_26+u_trn_26+u_oth_26)*1</f>
        <v>7.6</v>
      </c>
      <c r="E44" s="14" t="n">
        <f aca="false">(u_amd_27+u_tpu_27+u_trn_27+u_oth_27)*1</f>
        <v>14</v>
      </c>
      <c r="F44" s="14" t="n">
        <f aca="false">(u_amd_28+u_tpu_28+u_trn_28+u_oth_28)*um28_A</f>
        <v>17</v>
      </c>
      <c r="G44" s="14" t="n">
        <f aca="false">(u_amd_28*(1+g29_amd)+u_tpu_28*(1+g29_tpu)+u_trn_28*(1+g29_trn)+u_oth_28*(1+g29_oth))*um29_A</f>
        <v>19.55</v>
      </c>
      <c r="H44" s="8" t="s">
        <v>426</v>
      </c>
    </row>
    <row r="45" customFormat="false" ht="17.15" hidden="false" customHeight="false" outlineLevel="0" collapsed="false">
      <c r="A45" s="5" t="s">
        <v>427</v>
      </c>
      <c r="B45" s="5" t="s">
        <v>30</v>
      </c>
      <c r="D45" s="14" t="n">
        <f aca="false">D43+w_ot*D44</f>
        <v>10.64</v>
      </c>
      <c r="E45" s="14" t="n">
        <f aca="false">E43+w_ot*E44</f>
        <v>15.3</v>
      </c>
      <c r="F45" s="14" t="n">
        <f aca="false">F43+w_ot*F44</f>
        <v>16.3</v>
      </c>
      <c r="G45" s="14" t="n">
        <f aca="false">G43+w_ot*G44</f>
        <v>18.42</v>
      </c>
    </row>
    <row r="46" customFormat="false" ht="17.15" hidden="false" customHeight="false" outlineLevel="0" collapsed="false">
      <c r="A46" s="0" t="s">
        <v>428</v>
      </c>
      <c r="B46" s="0" t="s">
        <v>238</v>
      </c>
      <c r="D46" s="14" t="n">
        <f aca="false">q26_e*ai_e</f>
        <v>243.75</v>
      </c>
      <c r="H46" s="8" t="s">
        <v>429</v>
      </c>
    </row>
    <row r="47" customFormat="false" ht="17.15" hidden="false" customHeight="false" outlineLevel="0" collapsed="false">
      <c r="A47" s="5" t="s">
        <v>430</v>
      </c>
      <c r="B47" s="5" t="s">
        <v>431</v>
      </c>
      <c r="D47" s="12" t="n">
        <f aca="false">D46/D45</f>
        <v>22.9088345864662</v>
      </c>
      <c r="H47" s="8" t="s">
        <v>432</v>
      </c>
    </row>
    <row r="48" customFormat="false" ht="17.15" hidden="false" customHeight="false" outlineLevel="0" collapsed="false">
      <c r="A48" s="5" t="s">
        <v>433</v>
      </c>
      <c r="B48" s="0" t="s">
        <v>142</v>
      </c>
      <c r="D48" s="18" t="n">
        <f aca="false">1</f>
        <v>1</v>
      </c>
      <c r="E48" s="18" t="n">
        <f aca="false">D48*(1+g_asp)</f>
        <v>1.18</v>
      </c>
      <c r="F48" s="18" t="n">
        <f aca="false">E48*(1+g_asp)</f>
        <v>1.3924</v>
      </c>
      <c r="G48" s="18" t="n">
        <f aca="false">F48*(1+g_asp)</f>
        <v>1.643032</v>
      </c>
    </row>
    <row r="49" customFormat="false" ht="17.15" hidden="false" customHeight="false" outlineLevel="0" collapsed="false">
      <c r="A49" s="0" t="s">
        <v>434</v>
      </c>
      <c r="B49" s="0" t="s">
        <v>142</v>
      </c>
      <c r="D49" s="19" t="n">
        <f aca="false">1</f>
        <v>1</v>
      </c>
      <c r="E49" s="19" t="n">
        <f aca="false">rel_27</f>
        <v>0.95</v>
      </c>
      <c r="F49" s="19" t="n">
        <f aca="false">rel_28</f>
        <v>0.88</v>
      </c>
      <c r="G49" s="19" t="n">
        <f aca="false">rel_29</f>
        <v>0.85</v>
      </c>
    </row>
    <row r="50" customFormat="false" ht="17.15" hidden="false" customHeight="false" outlineLevel="0" collapsed="false">
      <c r="A50" s="5" t="s">
        <v>435</v>
      </c>
      <c r="B50" s="0" t="s">
        <v>142</v>
      </c>
      <c r="D50" s="19" t="n">
        <f aca="false">1</f>
        <v>1</v>
      </c>
      <c r="E50" s="19" t="n">
        <f aca="false">PPLO_27</f>
        <v>0.95</v>
      </c>
      <c r="F50" s="19" t="n">
        <f aca="false">PPLO_28</f>
        <v>0.85</v>
      </c>
      <c r="G50" s="19" t="n">
        <f aca="false">PPLO_29</f>
        <v>0.75</v>
      </c>
    </row>
    <row r="51" customFormat="false" ht="17.15" hidden="false" customHeight="false" outlineLevel="0" collapsed="false">
      <c r="A51" s="0" t="s">
        <v>397</v>
      </c>
      <c r="B51" s="0" t="s">
        <v>238</v>
      </c>
      <c r="D51" s="14" t="n">
        <f aca="false">D46</f>
        <v>243.75</v>
      </c>
      <c r="E51" s="14" t="n">
        <f aca="false">E45*$D$47*E48*E49*E50</f>
        <v>373.270479910714</v>
      </c>
      <c r="F51" s="14" t="n">
        <f aca="false">F45*$D$47*F48*F49*F50</f>
        <v>388.916360808271</v>
      </c>
      <c r="G51" s="14" t="n">
        <f aca="false">G45*$D$47*G48*G49*G50</f>
        <v>441.996502996945</v>
      </c>
    </row>
    <row r="52" customFormat="false" ht="17.15" hidden="false" customHeight="false" outlineLevel="0" collapsed="false">
      <c r="A52" s="1" t="s">
        <v>436</v>
      </c>
    </row>
    <row r="53" customFormat="false" ht="17.15" hidden="false" customHeight="false" outlineLevel="0" collapsed="false">
      <c r="A53" s="5" t="s">
        <v>437</v>
      </c>
      <c r="B53" s="0" t="s">
        <v>238</v>
      </c>
      <c r="D53" s="14" t="n">
        <f aca="false">q26_e-D51</f>
        <v>131.25</v>
      </c>
      <c r="E53" s="14" t="n">
        <f aca="false">D53*(1+g_ne)</f>
        <v>137.8125</v>
      </c>
      <c r="F53" s="14" t="n">
        <f aca="false">E53*(1+g_ne)</f>
        <v>144.703125</v>
      </c>
      <c r="G53" s="14" t="n">
        <f aca="false">F53*(1+g_ne)</f>
        <v>151.93828125</v>
      </c>
    </row>
    <row r="54" customFormat="false" ht="15" hidden="false" customHeight="false" outlineLevel="0" collapsed="false">
      <c r="A54" s="5" t="s">
        <v>438</v>
      </c>
      <c r="B54" s="0" t="s">
        <v>238</v>
      </c>
      <c r="C54" s="14" t="n">
        <f aca="false">q25_e</f>
        <v>243.316</v>
      </c>
      <c r="D54" s="14" t="n">
        <f aca="false">D51+D53</f>
        <v>375</v>
      </c>
      <c r="E54" s="14" t="n">
        <f aca="false">E51+E53</f>
        <v>511.082979910714</v>
      </c>
      <c r="F54" s="14" t="n">
        <f aca="false">F51+F53</f>
        <v>533.619485808271</v>
      </c>
      <c r="G54" s="14" t="n">
        <f aca="false">G51+G53</f>
        <v>593.934784246945</v>
      </c>
    </row>
    <row r="55" customFormat="false" ht="17.15" hidden="false" customHeight="false" outlineLevel="0" collapsed="false">
      <c r="A55" s="0" t="s">
        <v>439</v>
      </c>
      <c r="B55" s="0" t="s">
        <v>42</v>
      </c>
      <c r="D55" s="13" t="n">
        <f aca="false">(q26_eoi-m_ne*D53)/D51</f>
        <v>0.370512820512821</v>
      </c>
      <c r="H55" s="8" t="s">
        <v>440</v>
      </c>
    </row>
    <row r="56" customFormat="false" ht="17.15" hidden="false" customHeight="false" outlineLevel="0" collapsed="false">
      <c r="A56" s="0" t="s">
        <v>441</v>
      </c>
      <c r="B56" s="0" t="s">
        <v>42</v>
      </c>
      <c r="D56" s="13" t="n">
        <f aca="false">D55</f>
        <v>0.370512820512821</v>
      </c>
      <c r="E56" s="13" t="n">
        <f aca="false">1-(1-$D$55)/E50</f>
        <v>0.337381916329285</v>
      </c>
      <c r="F56" s="13" t="n">
        <f aca="false">1-(1-$D$55)/F50</f>
        <v>0.259426847662142</v>
      </c>
      <c r="G56" s="13" t="n">
        <f aca="false">1-(1-$D$55)/G50</f>
        <v>0.160683760683761</v>
      </c>
      <c r="H56" s="8" t="s">
        <v>442</v>
      </c>
    </row>
    <row r="57" customFormat="false" ht="15" hidden="false" customHeight="false" outlineLevel="0" collapsed="false">
      <c r="A57" s="5" t="s">
        <v>443</v>
      </c>
      <c r="B57" s="0" t="s">
        <v>238</v>
      </c>
      <c r="C57" s="14" t="n">
        <f aca="false">q25_eoi</f>
        <v>45.248</v>
      </c>
      <c r="D57" s="14" t="n">
        <f aca="false">D51*D56+D53*m_ne</f>
        <v>110</v>
      </c>
      <c r="E57" s="14" t="n">
        <f aca="false">E51*E56+E53*m_ne</f>
        <v>146.606584821429</v>
      </c>
      <c r="F57" s="14" t="n">
        <f aca="false">F51*F56+F53*m_ne</f>
        <v>122.600814238722</v>
      </c>
      <c r="G57" s="14" t="n">
        <f aca="false">G51*G56+G53*m_ne</f>
        <v>93.8124024981203</v>
      </c>
    </row>
    <row r="58" customFormat="false" ht="15" hidden="false" customHeight="false" outlineLevel="0" collapsed="false">
      <c r="A58" s="5" t="s">
        <v>376</v>
      </c>
      <c r="B58" s="0" t="s">
        <v>42</v>
      </c>
      <c r="C58" s="13" t="n">
        <f aca="false">C57/C54</f>
        <v>0.185963931677325</v>
      </c>
      <c r="D58" s="13" t="n">
        <f aca="false">D57/D54</f>
        <v>0.293333333333333</v>
      </c>
      <c r="E58" s="13" t="n">
        <f aca="false">E57/E54</f>
        <v>0.286854758589379</v>
      </c>
      <c r="F58" s="13" t="n">
        <f aca="false">F57/F54</f>
        <v>0.22975325582989</v>
      </c>
      <c r="G58" s="13" t="n">
        <f aca="false">G57/G54</f>
        <v>0.157950679075087</v>
      </c>
    </row>
    <row r="59" customFormat="false" ht="17.15" hidden="false" customHeight="false" outlineLevel="0" collapsed="false">
      <c r="A59" s="1" t="s">
        <v>444</v>
      </c>
    </row>
    <row r="60" customFormat="false" ht="15" hidden="false" customHeight="false" outlineLevel="0" collapsed="false">
      <c r="A60" s="5" t="s">
        <v>445</v>
      </c>
      <c r="B60" s="0" t="s">
        <v>238</v>
      </c>
      <c r="C60" s="14" t="n">
        <f aca="false">q25_cer</f>
        <v>82.554</v>
      </c>
      <c r="D60" s="14" t="n">
        <f aca="false">q26_cer</f>
        <v>84</v>
      </c>
      <c r="E60" s="14" t="n">
        <f aca="false">D60*(1+g_cer)</f>
        <v>84</v>
      </c>
      <c r="F60" s="14" t="n">
        <f aca="false">E60*(1+g_cer)</f>
        <v>84</v>
      </c>
      <c r="G60" s="14" t="n">
        <f aca="false">F60*(1+g_cer)</f>
        <v>84</v>
      </c>
    </row>
    <row r="61" customFormat="false" ht="15" hidden="false" customHeight="false" outlineLevel="0" collapsed="false">
      <c r="A61" s="5" t="s">
        <v>446</v>
      </c>
      <c r="B61" s="0" t="s">
        <v>238</v>
      </c>
      <c r="C61" s="14" t="n">
        <f aca="false">q25_oth</f>
        <v>90.33</v>
      </c>
      <c r="D61" s="14" t="n">
        <f aca="false">q26_oth</f>
        <v>91</v>
      </c>
      <c r="E61" s="14" t="n">
        <f aca="false">D61*(1+g_oth)</f>
        <v>93.73</v>
      </c>
      <c r="F61" s="14" t="n">
        <f aca="false">E61*(1+g_oth)</f>
        <v>96.5419</v>
      </c>
      <c r="G61" s="14" t="n">
        <f aca="false">F61*(1+g_oth)</f>
        <v>99.438157</v>
      </c>
    </row>
    <row r="62" customFormat="false" ht="15" hidden="false" customHeight="false" outlineLevel="0" collapsed="false">
      <c r="A62" s="5" t="s">
        <v>365</v>
      </c>
      <c r="B62" s="0" t="s">
        <v>238</v>
      </c>
      <c r="C62" s="14" t="n">
        <f aca="false">C54+C60+C61</f>
        <v>416.2</v>
      </c>
      <c r="D62" s="14" t="n">
        <f aca="false">D54+D60+D61</f>
        <v>550</v>
      </c>
      <c r="E62" s="14" t="n">
        <f aca="false">E54+E60+E61</f>
        <v>688.812979910714</v>
      </c>
      <c r="F62" s="14" t="n">
        <f aca="false">F54+F60+F61</f>
        <v>714.161385808271</v>
      </c>
      <c r="G62" s="14" t="n">
        <f aca="false">G54+G60+G61</f>
        <v>777.372941246945</v>
      </c>
    </row>
    <row r="63" customFormat="false" ht="15" hidden="false" customHeight="false" outlineLevel="0" collapsed="false">
      <c r="A63" s="5" t="s">
        <v>447</v>
      </c>
      <c r="B63" s="0" t="s">
        <v>42</v>
      </c>
      <c r="D63" s="13" t="n">
        <f aca="false">D62/C62-1</f>
        <v>0.321480057664584</v>
      </c>
      <c r="E63" s="13" t="n">
        <f aca="false">E62/D62-1</f>
        <v>0.252387236201299</v>
      </c>
      <c r="F63" s="13" t="n">
        <f aca="false">F62/E62-1</f>
        <v>0.036800128099854</v>
      </c>
      <c r="G63" s="13" t="n">
        <f aca="false">G62/F62-1</f>
        <v>0.0885115839287971</v>
      </c>
    </row>
    <row r="64" customFormat="false" ht="17.15" hidden="false" customHeight="false" outlineLevel="0" collapsed="false">
      <c r="A64" s="0" t="s">
        <v>448</v>
      </c>
      <c r="B64" s="0" t="s">
        <v>42</v>
      </c>
      <c r="D64" s="13" t="n">
        <f aca="false">D51/D62</f>
        <v>0.443181818181818</v>
      </c>
      <c r="E64" s="13" t="n">
        <f aca="false">E51/E62</f>
        <v>0.541903957673821</v>
      </c>
      <c r="F64" s="13" t="n">
        <f aca="false">F51/F62</f>
        <v>0.544577694253386</v>
      </c>
      <c r="G64" s="13" t="n">
        <f aca="false">G51/G62</f>
        <v>0.568577164890716</v>
      </c>
    </row>
    <row r="65" customFormat="false" ht="15" hidden="false" customHeight="false" outlineLevel="0" collapsed="false">
      <c r="A65" s="5" t="s">
        <v>449</v>
      </c>
      <c r="B65" s="0" t="s">
        <v>238</v>
      </c>
      <c r="C65" s="14" t="n">
        <f aca="false">q25_oi-q25_eoi</f>
        <v>16.779</v>
      </c>
      <c r="D65" s="14" t="n">
        <f aca="false">q26_oi-q26_eoi</f>
        <v>17</v>
      </c>
      <c r="E65" s="14" t="n">
        <f aca="false">E60*m_cer+E61*m_oth+q26_adj</f>
        <v>17.24695</v>
      </c>
      <c r="F65" s="14" t="n">
        <f aca="false">F60*m_cer+F61*m_oth+q26_adj</f>
        <v>17.5703185</v>
      </c>
      <c r="G65" s="14" t="n">
        <f aca="false">G60*m_cer+G61*m_oth+q26_adj</f>
        <v>17.903388055</v>
      </c>
    </row>
    <row r="66" customFormat="false" ht="15" hidden="false" customHeight="false" outlineLevel="0" collapsed="false">
      <c r="A66" s="5" t="s">
        <v>370</v>
      </c>
      <c r="B66" s="0" t="s">
        <v>238</v>
      </c>
      <c r="C66" s="14" t="n">
        <f aca="false">C57+C65</f>
        <v>62.027</v>
      </c>
      <c r="D66" s="14" t="n">
        <f aca="false">D57+D65</f>
        <v>127</v>
      </c>
      <c r="E66" s="14" t="n">
        <f aca="false">E57+E65</f>
        <v>163.853534821429</v>
      </c>
      <c r="F66" s="14" t="n">
        <f aca="false">F57+F65</f>
        <v>140.171132738722</v>
      </c>
      <c r="G66" s="14" t="n">
        <f aca="false">G57+G65</f>
        <v>111.71579055312</v>
      </c>
    </row>
    <row r="67" customFormat="false" ht="15" hidden="false" customHeight="false" outlineLevel="0" collapsed="false">
      <c r="A67" s="5" t="s">
        <v>377</v>
      </c>
      <c r="B67" s="0" t="s">
        <v>42</v>
      </c>
      <c r="C67" s="13" t="n">
        <f aca="false">C66/C62</f>
        <v>0.149031715521384</v>
      </c>
      <c r="D67" s="13" t="n">
        <f aca="false">D66/D62</f>
        <v>0.230909090909091</v>
      </c>
      <c r="E67" s="13" t="n">
        <f aca="false">E66/E62</f>
        <v>0.237878117283254</v>
      </c>
      <c r="F67" s="13" t="n">
        <f aca="false">F66/F62</f>
        <v>0.196273749217174</v>
      </c>
      <c r="G67" s="13" t="n">
        <f aca="false">G66/G62</f>
        <v>0.14370938918188</v>
      </c>
    </row>
    <row r="68" customFormat="false" ht="15" hidden="false" customHeight="false" outlineLevel="0" collapsed="false">
      <c r="A68" s="5" t="s">
        <v>372</v>
      </c>
      <c r="B68" s="0" t="s">
        <v>238</v>
      </c>
      <c r="C68" s="14" t="n">
        <f aca="false">q25_ni</f>
        <v>63.713</v>
      </c>
      <c r="D68" s="14" t="n">
        <f aca="false">q26_ni</f>
        <v>84</v>
      </c>
      <c r="E68" s="14" t="n">
        <f aca="false">E66*ni_oi</f>
        <v>108.307186516964</v>
      </c>
      <c r="F68" s="14" t="n">
        <f aca="false">F66*ni_oi</f>
        <v>92.6531187402951</v>
      </c>
      <c r="G68" s="14" t="n">
        <f aca="false">G66*ni_oi</f>
        <v>73.8441375556125</v>
      </c>
    </row>
    <row r="69" customFormat="false" ht="15" hidden="false" customHeight="false" outlineLevel="0" collapsed="false">
      <c r="A69" s="5" t="s">
        <v>450</v>
      </c>
      <c r="B69" s="5" t="s">
        <v>451</v>
      </c>
      <c r="D69" s="15" t="n">
        <f aca="false">q26_sh</f>
        <v>0.561197220737574</v>
      </c>
      <c r="E69" s="15" t="n">
        <f aca="false">D69*(1+sh_g)</f>
        <v>0.561197220737574</v>
      </c>
      <c r="F69" s="15" t="n">
        <f aca="false">E69*(1+sh_g)</f>
        <v>0.561197220737574</v>
      </c>
      <c r="G69" s="15" t="n">
        <f aca="false">F69*(1+sh_g)</f>
        <v>0.561197220737574</v>
      </c>
    </row>
    <row r="70" customFormat="false" ht="17.15" hidden="false" customHeight="false" outlineLevel="0" collapsed="false">
      <c r="A70" s="0" t="s">
        <v>452</v>
      </c>
      <c r="B70" s="0" t="s">
        <v>263</v>
      </c>
      <c r="C70" s="14" t="n">
        <f aca="false">q25_eps</f>
        <v>114.08</v>
      </c>
      <c r="D70" s="14" t="n">
        <f aca="false">D68/D69</f>
        <v>149.68</v>
      </c>
      <c r="E70" s="14" t="n">
        <f aca="false">E68/E69</f>
        <v>192.993091403086</v>
      </c>
      <c r="F70" s="14" t="n">
        <f aca="false">F68/F69</f>
        <v>165.099033488659</v>
      </c>
      <c r="G70" s="14" t="n">
        <f aca="false">G68/G69</f>
        <v>131.583220349096</v>
      </c>
    </row>
    <row r="71" customFormat="false" ht="17.15" hidden="false" customHeight="false" outlineLevel="0" collapsed="false">
      <c r="A71" s="0" t="s">
        <v>453</v>
      </c>
      <c r="B71" s="0" t="s">
        <v>42</v>
      </c>
      <c r="D71" s="13" t="n">
        <f aca="false">D70/C70-1</f>
        <v>0.312061711079944</v>
      </c>
      <c r="E71" s="13" t="n">
        <f aca="false">E70/D70-1</f>
        <v>0.289371268059098</v>
      </c>
      <c r="F71" s="13" t="n">
        <f aca="false">F70/E70-1</f>
        <v>-0.14453397119883</v>
      </c>
      <c r="G71" s="13" t="n">
        <f aca="false">G70/F70-1</f>
        <v>-0.203004296459829</v>
      </c>
    </row>
    <row r="74" customFormat="false" ht="17.15" hidden="false" customHeight="false" outlineLevel="0" collapsed="false">
      <c r="A74" s="3" t="s">
        <v>697</v>
      </c>
    </row>
    <row r="75" customFormat="false" ht="17.15" hidden="false" customHeight="false" outlineLevel="0" collapsed="false">
      <c r="A75" s="6" t="s">
        <v>19</v>
      </c>
      <c r="B75" s="6" t="s">
        <v>20</v>
      </c>
      <c r="C75" s="11" t="s">
        <v>361</v>
      </c>
      <c r="D75" s="11" t="s">
        <v>408</v>
      </c>
      <c r="E75" s="11" t="s">
        <v>384</v>
      </c>
      <c r="F75" s="11" t="s">
        <v>385</v>
      </c>
      <c r="G75" s="11" t="s">
        <v>386</v>
      </c>
      <c r="H75" s="6" t="s">
        <v>364</v>
      </c>
    </row>
    <row r="76" customFormat="false" ht="17.15" hidden="false" customHeight="false" outlineLevel="0" collapsed="false">
      <c r="A76" s="1" t="s">
        <v>422</v>
      </c>
    </row>
    <row r="77" customFormat="false" ht="17.15" hidden="false" customHeight="false" outlineLevel="0" collapsed="false">
      <c r="A77" s="0" t="s">
        <v>423</v>
      </c>
      <c r="B77" s="5" t="s">
        <v>30</v>
      </c>
      <c r="D77" s="14" t="n">
        <f aca="false">(u_bw_26+u_rb_26+u_ru_26+u_hp_26)*1</f>
        <v>7.6</v>
      </c>
      <c r="E77" s="14" t="n">
        <f aca="false">(u_bw_27+u_rb_27+u_ru_27+u_hp_27)*1</f>
        <v>9.7</v>
      </c>
      <c r="F77" s="14" t="n">
        <f aca="false">(u_bw_28+u_rb_28+u_ru_28+u_hp_28)*um28_A</f>
        <v>9.5</v>
      </c>
      <c r="G77" s="14" t="n">
        <f aca="false">(u_bw_28*(1+g29_bw)+u_rb_28*(1+g29_rb)+u_ru_28*(1+g29_ru)+u_hp_28*(1+g29_hp))*um29_A</f>
        <v>10.6</v>
      </c>
      <c r="H77" s="8" t="s">
        <v>424</v>
      </c>
    </row>
    <row r="78" customFormat="false" ht="17.15" hidden="false" customHeight="false" outlineLevel="0" collapsed="false">
      <c r="A78" s="5" t="s">
        <v>425</v>
      </c>
      <c r="B78" s="5" t="s">
        <v>30</v>
      </c>
      <c r="D78" s="14" t="n">
        <f aca="false">(u_amd_26+u_tpu_26+u_trn_26+u_oth_26)*1</f>
        <v>7.6</v>
      </c>
      <c r="E78" s="14" t="n">
        <f aca="false">(u_amd_27+u_tpu_27+u_trn_27+u_oth_27)*1</f>
        <v>14</v>
      </c>
      <c r="F78" s="14" t="n">
        <f aca="false">(u_amd_28+u_tpu_28+u_trn_28+u_oth_28)*um28_A</f>
        <v>17</v>
      </c>
      <c r="G78" s="14" t="n">
        <f aca="false">(u_amd_28*(1+g29_amd)+u_tpu_28*(1+g29_tpu)+u_trn_28*(1+g29_trn)+u_oth_28*(1+g29_oth))*um29_A</f>
        <v>19.55</v>
      </c>
      <c r="H78" s="8" t="s">
        <v>426</v>
      </c>
    </row>
    <row r="79" customFormat="false" ht="17.15" hidden="false" customHeight="false" outlineLevel="0" collapsed="false">
      <c r="A79" s="5" t="s">
        <v>427</v>
      </c>
      <c r="B79" s="5" t="s">
        <v>30</v>
      </c>
      <c r="D79" s="14" t="n">
        <f aca="false">D77+w_ot*D78</f>
        <v>10.64</v>
      </c>
      <c r="E79" s="14" t="n">
        <f aca="false">E77+w_ot*E78</f>
        <v>15.3</v>
      </c>
      <c r="F79" s="14" t="n">
        <f aca="false">F77+w_ot*F78</f>
        <v>16.3</v>
      </c>
      <c r="G79" s="14" t="n">
        <f aca="false">G77+w_ot*G78</f>
        <v>18.42</v>
      </c>
    </row>
    <row r="80" customFormat="false" ht="17.15" hidden="false" customHeight="false" outlineLevel="0" collapsed="false">
      <c r="A80" s="0" t="s">
        <v>428</v>
      </c>
      <c r="B80" s="0" t="s">
        <v>238</v>
      </c>
      <c r="D80" s="14" t="n">
        <f aca="false">q26_e*ai_e</f>
        <v>243.75</v>
      </c>
      <c r="H80" s="8" t="s">
        <v>429</v>
      </c>
    </row>
    <row r="81" customFormat="false" ht="17.15" hidden="false" customHeight="false" outlineLevel="0" collapsed="false">
      <c r="A81" s="5" t="s">
        <v>430</v>
      </c>
      <c r="B81" s="5" t="s">
        <v>431</v>
      </c>
      <c r="D81" s="12" t="n">
        <f aca="false">D80/D79</f>
        <v>22.9088345864662</v>
      </c>
      <c r="H81" s="8" t="s">
        <v>432</v>
      </c>
    </row>
    <row r="82" customFormat="false" ht="17.15" hidden="false" customHeight="false" outlineLevel="0" collapsed="false">
      <c r="A82" s="5" t="s">
        <v>433</v>
      </c>
      <c r="B82" s="0" t="s">
        <v>142</v>
      </c>
      <c r="D82" s="18" t="n">
        <f aca="false">1</f>
        <v>1</v>
      </c>
      <c r="E82" s="18" t="n">
        <f aca="false">D82*(1+g_asp)</f>
        <v>1.18</v>
      </c>
      <c r="F82" s="18" t="n">
        <f aca="false">E82*(1+g_asp)</f>
        <v>1.3924</v>
      </c>
      <c r="G82" s="18" t="n">
        <f aca="false">F82*(1+g_asp)</f>
        <v>1.643032</v>
      </c>
    </row>
    <row r="83" customFormat="false" ht="17.15" hidden="false" customHeight="false" outlineLevel="0" collapsed="false">
      <c r="A83" s="0" t="s">
        <v>434</v>
      </c>
      <c r="B83" s="0" t="s">
        <v>142</v>
      </c>
      <c r="D83" s="19" t="n">
        <f aca="false">1</f>
        <v>1</v>
      </c>
      <c r="E83" s="19" t="n">
        <f aca="false">rel_27</f>
        <v>0.95</v>
      </c>
      <c r="F83" s="19" t="n">
        <f aca="false">rel_28</f>
        <v>0.88</v>
      </c>
      <c r="G83" s="19" t="n">
        <f aca="false">rel_29</f>
        <v>0.85</v>
      </c>
    </row>
    <row r="84" customFormat="false" ht="17.15" hidden="false" customHeight="false" outlineLevel="0" collapsed="false">
      <c r="A84" s="5" t="s">
        <v>435</v>
      </c>
      <c r="B84" s="0" t="s">
        <v>142</v>
      </c>
      <c r="D84" s="19" t="n">
        <f aca="false">1</f>
        <v>1</v>
      </c>
      <c r="E84" s="19" t="n">
        <f aca="false">PPHI_27</f>
        <v>1.05</v>
      </c>
      <c r="F84" s="19" t="n">
        <f aca="false">PPHI_28</f>
        <v>1.05</v>
      </c>
      <c r="G84" s="19" t="n">
        <f aca="false">PPHI_29</f>
        <v>1</v>
      </c>
    </row>
    <row r="85" customFormat="false" ht="17.15" hidden="false" customHeight="false" outlineLevel="0" collapsed="false">
      <c r="A85" s="0" t="s">
        <v>397</v>
      </c>
      <c r="B85" s="0" t="s">
        <v>238</v>
      </c>
      <c r="D85" s="14" t="n">
        <f aca="false">D80</f>
        <v>243.75</v>
      </c>
      <c r="E85" s="14" t="n">
        <f aca="false">E79*$D$81*E82*E83*E84</f>
        <v>412.562109375</v>
      </c>
      <c r="F85" s="14" t="n">
        <f aca="false">F79*$D$81*F82*F83*F84</f>
        <v>480.426092763158</v>
      </c>
      <c r="G85" s="14" t="n">
        <f aca="false">G79*$D$81*G82*G83*G84</f>
        <v>589.328670662594</v>
      </c>
    </row>
    <row r="86" customFormat="false" ht="17.15" hidden="false" customHeight="false" outlineLevel="0" collapsed="false">
      <c r="A86" s="1" t="s">
        <v>436</v>
      </c>
    </row>
    <row r="87" customFormat="false" ht="17.15" hidden="false" customHeight="false" outlineLevel="0" collapsed="false">
      <c r="A87" s="5" t="s">
        <v>437</v>
      </c>
      <c r="B87" s="0" t="s">
        <v>238</v>
      </c>
      <c r="D87" s="14" t="n">
        <f aca="false">q26_e-D85</f>
        <v>131.25</v>
      </c>
      <c r="E87" s="14" t="n">
        <f aca="false">D87*(1+g_ne)</f>
        <v>137.8125</v>
      </c>
      <c r="F87" s="14" t="n">
        <f aca="false">E87*(1+g_ne)</f>
        <v>144.703125</v>
      </c>
      <c r="G87" s="14" t="n">
        <f aca="false">F87*(1+g_ne)</f>
        <v>151.93828125</v>
      </c>
    </row>
    <row r="88" customFormat="false" ht="15" hidden="false" customHeight="false" outlineLevel="0" collapsed="false">
      <c r="A88" s="5" t="s">
        <v>438</v>
      </c>
      <c r="B88" s="0" t="s">
        <v>238</v>
      </c>
      <c r="C88" s="14" t="n">
        <f aca="false">q25_e</f>
        <v>243.316</v>
      </c>
      <c r="D88" s="14" t="n">
        <f aca="false">D85+D87</f>
        <v>375</v>
      </c>
      <c r="E88" s="14" t="n">
        <f aca="false">E85+E87</f>
        <v>550.374609375</v>
      </c>
      <c r="F88" s="14" t="n">
        <f aca="false">F85+F87</f>
        <v>625.129217763158</v>
      </c>
      <c r="G88" s="14" t="n">
        <f aca="false">G85+G87</f>
        <v>741.266951912594</v>
      </c>
    </row>
    <row r="89" customFormat="false" ht="17.15" hidden="false" customHeight="false" outlineLevel="0" collapsed="false">
      <c r="A89" s="0" t="s">
        <v>439</v>
      </c>
      <c r="B89" s="0" t="s">
        <v>42</v>
      </c>
      <c r="D89" s="13" t="n">
        <f aca="false">(q26_eoi-m_ne*D87)/D85</f>
        <v>0.370512820512821</v>
      </c>
      <c r="H89" s="8" t="s">
        <v>440</v>
      </c>
    </row>
    <row r="90" customFormat="false" ht="17.15" hidden="false" customHeight="false" outlineLevel="0" collapsed="false">
      <c r="A90" s="0" t="s">
        <v>441</v>
      </c>
      <c r="B90" s="0" t="s">
        <v>42</v>
      </c>
      <c r="D90" s="13" t="n">
        <f aca="false">D89</f>
        <v>0.370512820512821</v>
      </c>
      <c r="E90" s="13" t="n">
        <f aca="false">1-(1-$D$89)/E84</f>
        <v>0.400488400488401</v>
      </c>
      <c r="F90" s="13" t="n">
        <f aca="false">1-(1-$D$89)/F84</f>
        <v>0.400488400488401</v>
      </c>
      <c r="G90" s="13" t="n">
        <f aca="false">1-(1-$D$89)/G84</f>
        <v>0.370512820512821</v>
      </c>
      <c r="H90" s="8" t="s">
        <v>442</v>
      </c>
    </row>
    <row r="91" customFormat="false" ht="15" hidden="false" customHeight="false" outlineLevel="0" collapsed="false">
      <c r="A91" s="5" t="s">
        <v>443</v>
      </c>
      <c r="B91" s="0" t="s">
        <v>238</v>
      </c>
      <c r="C91" s="14" t="n">
        <f aca="false">q25_eoi</f>
        <v>45.248</v>
      </c>
      <c r="D91" s="14" t="n">
        <f aca="false">D85*D90+D87*m_ne</f>
        <v>110</v>
      </c>
      <c r="E91" s="14" t="n">
        <f aca="false">E85*E90+E87*m_ne</f>
        <v>185.898214285714</v>
      </c>
      <c r="F91" s="14" t="n">
        <f aca="false">F85*F90+F87*m_ne</f>
        <v>214.110546193609</v>
      </c>
      <c r="G91" s="14" t="n">
        <f aca="false">G85*G90+G87*m_ne</f>
        <v>241.144570163769</v>
      </c>
    </row>
    <row r="92" customFormat="false" ht="15" hidden="false" customHeight="false" outlineLevel="0" collapsed="false">
      <c r="A92" s="5" t="s">
        <v>376</v>
      </c>
      <c r="B92" s="0" t="s">
        <v>42</v>
      </c>
      <c r="C92" s="13" t="n">
        <f aca="false">C91/C88</f>
        <v>0.185963931677325</v>
      </c>
      <c r="D92" s="13" t="n">
        <f aca="false">D91/D88</f>
        <v>0.293333333333333</v>
      </c>
      <c r="E92" s="13" t="n">
        <f aca="false">E91/E88</f>
        <v>0.337766697662195</v>
      </c>
      <c r="F92" s="13" t="n">
        <f aca="false">F91/F88</f>
        <v>0.342506061322395</v>
      </c>
      <c r="G92" s="13" t="n">
        <f aca="false">G91/G88</f>
        <v>0.325314071457759</v>
      </c>
    </row>
    <row r="93" customFormat="false" ht="17.15" hidden="false" customHeight="false" outlineLevel="0" collapsed="false">
      <c r="A93" s="1" t="s">
        <v>444</v>
      </c>
    </row>
    <row r="94" customFormat="false" ht="15" hidden="false" customHeight="false" outlineLevel="0" collapsed="false">
      <c r="A94" s="5" t="s">
        <v>445</v>
      </c>
      <c r="B94" s="0" t="s">
        <v>238</v>
      </c>
      <c r="C94" s="14" t="n">
        <f aca="false">q25_cer</f>
        <v>82.554</v>
      </c>
      <c r="D94" s="14" t="n">
        <f aca="false">q26_cer</f>
        <v>84</v>
      </c>
      <c r="E94" s="14" t="n">
        <f aca="false">D94*(1+g_cer)</f>
        <v>84</v>
      </c>
      <c r="F94" s="14" t="n">
        <f aca="false">E94*(1+g_cer)</f>
        <v>84</v>
      </c>
      <c r="G94" s="14" t="n">
        <f aca="false">F94*(1+g_cer)</f>
        <v>84</v>
      </c>
    </row>
    <row r="95" customFormat="false" ht="15" hidden="false" customHeight="false" outlineLevel="0" collapsed="false">
      <c r="A95" s="5" t="s">
        <v>446</v>
      </c>
      <c r="B95" s="0" t="s">
        <v>238</v>
      </c>
      <c r="C95" s="14" t="n">
        <f aca="false">q25_oth</f>
        <v>90.33</v>
      </c>
      <c r="D95" s="14" t="n">
        <f aca="false">q26_oth</f>
        <v>91</v>
      </c>
      <c r="E95" s="14" t="n">
        <f aca="false">D95*(1+g_oth)</f>
        <v>93.73</v>
      </c>
      <c r="F95" s="14" t="n">
        <f aca="false">E95*(1+g_oth)</f>
        <v>96.5419</v>
      </c>
      <c r="G95" s="14" t="n">
        <f aca="false">F95*(1+g_oth)</f>
        <v>99.438157</v>
      </c>
    </row>
    <row r="96" customFormat="false" ht="15" hidden="false" customHeight="false" outlineLevel="0" collapsed="false">
      <c r="A96" s="5" t="s">
        <v>365</v>
      </c>
      <c r="B96" s="0" t="s">
        <v>238</v>
      </c>
      <c r="C96" s="14" t="n">
        <f aca="false">C88+C94+C95</f>
        <v>416.2</v>
      </c>
      <c r="D96" s="14" t="n">
        <f aca="false">D88+D94+D95</f>
        <v>550</v>
      </c>
      <c r="E96" s="14" t="n">
        <f aca="false">E88+E94+E95</f>
        <v>728.104609375</v>
      </c>
      <c r="F96" s="14" t="n">
        <f aca="false">F88+F94+F95</f>
        <v>805.671117763158</v>
      </c>
      <c r="G96" s="14" t="n">
        <f aca="false">G88+G94+G95</f>
        <v>924.705108912594</v>
      </c>
    </row>
    <row r="97" customFormat="false" ht="15" hidden="false" customHeight="false" outlineLevel="0" collapsed="false">
      <c r="A97" s="5" t="s">
        <v>447</v>
      </c>
      <c r="B97" s="0" t="s">
        <v>42</v>
      </c>
      <c r="D97" s="13" t="n">
        <f aca="false">D96/C96-1</f>
        <v>0.321480057664584</v>
      </c>
      <c r="E97" s="13" t="n">
        <f aca="false">E96/D96-1</f>
        <v>0.3238265625</v>
      </c>
      <c r="F97" s="13" t="n">
        <f aca="false">F96/E96-1</f>
        <v>0.106532093588503</v>
      </c>
      <c r="G97" s="13" t="n">
        <f aca="false">G96/F96-1</f>
        <v>0.147745138835209</v>
      </c>
    </row>
    <row r="98" customFormat="false" ht="17.15" hidden="false" customHeight="false" outlineLevel="0" collapsed="false">
      <c r="A98" s="0" t="s">
        <v>448</v>
      </c>
      <c r="B98" s="0" t="s">
        <v>42</v>
      </c>
      <c r="D98" s="13" t="n">
        <f aca="false">D85/D96</f>
        <v>0.443181818181818</v>
      </c>
      <c r="E98" s="13" t="n">
        <f aca="false">E85/E96</f>
        <v>0.566624773504923</v>
      </c>
      <c r="F98" s="13" t="n">
        <f aca="false">F85/F96</f>
        <v>0.596305467790628</v>
      </c>
      <c r="G98" s="13" t="n">
        <f aca="false">G85/G96</f>
        <v>0.637315253243939</v>
      </c>
    </row>
    <row r="99" customFormat="false" ht="15" hidden="false" customHeight="false" outlineLevel="0" collapsed="false">
      <c r="A99" s="5" t="s">
        <v>449</v>
      </c>
      <c r="B99" s="0" t="s">
        <v>238</v>
      </c>
      <c r="C99" s="14" t="n">
        <f aca="false">q25_oi-q25_eoi</f>
        <v>16.779</v>
      </c>
      <c r="D99" s="14" t="n">
        <f aca="false">q26_oi-q26_eoi</f>
        <v>17</v>
      </c>
      <c r="E99" s="14" t="n">
        <f aca="false">E94*m_cer+E95*m_oth+q26_adj</f>
        <v>17.24695</v>
      </c>
      <c r="F99" s="14" t="n">
        <f aca="false">F94*m_cer+F95*m_oth+q26_adj</f>
        <v>17.5703185</v>
      </c>
      <c r="G99" s="14" t="n">
        <f aca="false">G94*m_cer+G95*m_oth+q26_adj</f>
        <v>17.903388055</v>
      </c>
    </row>
    <row r="100" customFormat="false" ht="15" hidden="false" customHeight="false" outlineLevel="0" collapsed="false">
      <c r="A100" s="5" t="s">
        <v>370</v>
      </c>
      <c r="B100" s="0" t="s">
        <v>238</v>
      </c>
      <c r="C100" s="14" t="n">
        <f aca="false">C91+C99</f>
        <v>62.027</v>
      </c>
      <c r="D100" s="14" t="n">
        <f aca="false">D91+D99</f>
        <v>127</v>
      </c>
      <c r="E100" s="14" t="n">
        <f aca="false">E91+E99</f>
        <v>203.145164285714</v>
      </c>
      <c r="F100" s="14" t="n">
        <f aca="false">F91+F99</f>
        <v>231.680864693609</v>
      </c>
      <c r="G100" s="14" t="n">
        <f aca="false">G91+G99</f>
        <v>259.047958218769</v>
      </c>
    </row>
    <row r="101" customFormat="false" ht="15" hidden="false" customHeight="false" outlineLevel="0" collapsed="false">
      <c r="A101" s="5" t="s">
        <v>377</v>
      </c>
      <c r="B101" s="0" t="s">
        <v>42</v>
      </c>
      <c r="C101" s="13" t="n">
        <f aca="false">C100/C96</f>
        <v>0.149031715521384</v>
      </c>
      <c r="D101" s="13" t="n">
        <f aca="false">D100/D96</f>
        <v>0.230909090909091</v>
      </c>
      <c r="E101" s="13" t="n">
        <f aca="false">E100/E96</f>
        <v>0.279005463871589</v>
      </c>
      <c r="F101" s="13" t="n">
        <f aca="false">F100/F96</f>
        <v>0.287562579302633</v>
      </c>
      <c r="G101" s="13" t="n">
        <f aca="false">G100/G96</f>
        <v>0.28014115605287</v>
      </c>
    </row>
    <row r="102" customFormat="false" ht="15" hidden="false" customHeight="false" outlineLevel="0" collapsed="false">
      <c r="A102" s="5" t="s">
        <v>372</v>
      </c>
      <c r="B102" s="0" t="s">
        <v>238</v>
      </c>
      <c r="C102" s="14" t="n">
        <f aca="false">q25_ni</f>
        <v>63.713</v>
      </c>
      <c r="D102" s="14" t="n">
        <f aca="false">q26_ni</f>
        <v>84</v>
      </c>
      <c r="E102" s="14" t="n">
        <f aca="false">E100*ni_oi</f>
        <v>134.278953592857</v>
      </c>
      <c r="F102" s="14" t="n">
        <f aca="false">F100*ni_oi</f>
        <v>153.141051562476</v>
      </c>
      <c r="G102" s="14" t="n">
        <f aca="false">G100*ni_oi</f>
        <v>171.230700382606</v>
      </c>
    </row>
    <row r="103" customFormat="false" ht="15" hidden="false" customHeight="false" outlineLevel="0" collapsed="false">
      <c r="A103" s="5" t="s">
        <v>450</v>
      </c>
      <c r="B103" s="5" t="s">
        <v>451</v>
      </c>
      <c r="D103" s="15" t="n">
        <f aca="false">q26_sh</f>
        <v>0.561197220737574</v>
      </c>
      <c r="E103" s="15" t="n">
        <f aca="false">D103*(1+sh_g)</f>
        <v>0.561197220737574</v>
      </c>
      <c r="F103" s="15" t="n">
        <f aca="false">E103*(1+sh_g)</f>
        <v>0.561197220737574</v>
      </c>
      <c r="G103" s="15" t="n">
        <f aca="false">F103*(1+sh_g)</f>
        <v>0.561197220737574</v>
      </c>
    </row>
    <row r="104" customFormat="false" ht="17.15" hidden="false" customHeight="false" outlineLevel="0" collapsed="false">
      <c r="A104" s="0" t="s">
        <v>452</v>
      </c>
      <c r="B104" s="0" t="s">
        <v>263</v>
      </c>
      <c r="C104" s="14" t="n">
        <f aca="false">q25_eps</f>
        <v>114.08</v>
      </c>
      <c r="D104" s="14" t="n">
        <f aca="false">D102/D103</f>
        <v>149.68</v>
      </c>
      <c r="E104" s="14" t="n">
        <f aca="false">E102/E103</f>
        <v>239.272306830701</v>
      </c>
      <c r="F104" s="14" t="n">
        <f aca="false">F102/F103</f>
        <v>272.882769022278</v>
      </c>
      <c r="G104" s="14" t="n">
        <f aca="false">G102/G103</f>
        <v>305.116800396053</v>
      </c>
    </row>
    <row r="105" customFormat="false" ht="17.15" hidden="false" customHeight="false" outlineLevel="0" collapsed="false">
      <c r="A105" s="0" t="s">
        <v>453</v>
      </c>
      <c r="B105" s="0" t="s">
        <v>42</v>
      </c>
      <c r="D105" s="13" t="n">
        <f aca="false">D104/C104-1</f>
        <v>0.312061711079944</v>
      </c>
      <c r="E105" s="13" t="n">
        <f aca="false">E104/D104-1</f>
        <v>0.598558971343538</v>
      </c>
      <c r="F105" s="13" t="n">
        <f aca="false">F104/E104-1</f>
        <v>0.140469503708001</v>
      </c>
      <c r="G105" s="13" t="n">
        <f aca="false">G104/F104-1</f>
        <v>0.11812409955113</v>
      </c>
    </row>
    <row r="108" customFormat="false" ht="17.15" hidden="false" customHeight="false" outlineLevel="0" collapsed="false">
      <c r="A108" s="3" t="s">
        <v>698</v>
      </c>
    </row>
    <row r="109" customFormat="false" ht="17.15" hidden="false" customHeight="false" outlineLevel="0" collapsed="false">
      <c r="A109" s="6" t="s">
        <v>19</v>
      </c>
      <c r="B109" s="6" t="s">
        <v>20</v>
      </c>
      <c r="C109" s="11" t="s">
        <v>361</v>
      </c>
      <c r="D109" s="11" t="s">
        <v>408</v>
      </c>
      <c r="E109" s="11" t="s">
        <v>384</v>
      </c>
      <c r="F109" s="11" t="s">
        <v>385</v>
      </c>
      <c r="G109" s="11" t="s">
        <v>386</v>
      </c>
      <c r="H109" s="6" t="s">
        <v>364</v>
      </c>
    </row>
    <row r="110" customFormat="false" ht="17.15" hidden="false" customHeight="false" outlineLevel="0" collapsed="false">
      <c r="A110" s="1" t="s">
        <v>422</v>
      </c>
    </row>
    <row r="111" customFormat="false" ht="17.15" hidden="false" customHeight="false" outlineLevel="0" collapsed="false">
      <c r="A111" s="0" t="s">
        <v>423</v>
      </c>
      <c r="B111" s="5" t="s">
        <v>30</v>
      </c>
      <c r="D111" s="14" t="n">
        <f aca="false">(u_bw_26+u_rb_26+u_ru_26+u_hp_26)*1</f>
        <v>7.6</v>
      </c>
      <c r="E111" s="14" t="n">
        <f aca="false">(u_bw_27+u_rb_27+u_ru_27+u_hp_27)*1</f>
        <v>9.7</v>
      </c>
      <c r="F111" s="14" t="n">
        <f aca="false">(u_bw_28+u_rb_28+u_ru_28+u_hp_28)*um28_A</f>
        <v>9.5</v>
      </c>
      <c r="G111" s="14" t="n">
        <f aca="false">(u_bw_28*(1+g29_bw)+u_rb_28*(1+g29_rb)+u_ru_28*(1+g29_ru)+u_hp_28*(1+g29_hp))*um29_A</f>
        <v>10.6</v>
      </c>
      <c r="H111" s="8" t="s">
        <v>424</v>
      </c>
    </row>
    <row r="112" customFormat="false" ht="17.15" hidden="false" customHeight="false" outlineLevel="0" collapsed="false">
      <c r="A112" s="5" t="s">
        <v>425</v>
      </c>
      <c r="B112" s="5" t="s">
        <v>30</v>
      </c>
      <c r="D112" s="14" t="n">
        <f aca="false">(u_amd_26+u_tpu_26+u_trn_26+u_oth_26)*1</f>
        <v>7.6</v>
      </c>
      <c r="E112" s="14" t="n">
        <f aca="false">(u_amd_27+u_tpu_27+u_trn_27+u_oth_27)*1</f>
        <v>14</v>
      </c>
      <c r="F112" s="14" t="n">
        <f aca="false">(u_amd_28+u_tpu_28+u_trn_28+u_oth_28)*um28_A</f>
        <v>17</v>
      </c>
      <c r="G112" s="14" t="n">
        <f aca="false">(u_amd_28*(1+g29_amd)+u_tpu_28*(1+g29_tpu)+u_trn_28*(1+g29_trn)+u_oth_28*(1+g29_oth))*um29_A</f>
        <v>19.55</v>
      </c>
      <c r="H112" s="8" t="s">
        <v>426</v>
      </c>
    </row>
    <row r="113" customFormat="false" ht="17.15" hidden="false" customHeight="false" outlineLevel="0" collapsed="false">
      <c r="A113" s="5" t="s">
        <v>427</v>
      </c>
      <c r="B113" s="5" t="s">
        <v>30</v>
      </c>
      <c r="D113" s="14" t="n">
        <f aca="false">D111+w_ot*D112</f>
        <v>10.64</v>
      </c>
      <c r="E113" s="14" t="n">
        <f aca="false">E111+w_ot*E112</f>
        <v>15.3</v>
      </c>
      <c r="F113" s="14" t="n">
        <f aca="false">F111+w_ot*F112</f>
        <v>16.3</v>
      </c>
      <c r="G113" s="14" t="n">
        <f aca="false">G111+w_ot*G112</f>
        <v>18.42</v>
      </c>
    </row>
    <row r="114" customFormat="false" ht="17.15" hidden="false" customHeight="false" outlineLevel="0" collapsed="false">
      <c r="A114" s="0" t="s">
        <v>428</v>
      </c>
      <c r="B114" s="0" t="s">
        <v>238</v>
      </c>
      <c r="D114" s="14" t="n">
        <f aca="false">q26_e*ai_e</f>
        <v>243.75</v>
      </c>
      <c r="H114" s="8" t="s">
        <v>429</v>
      </c>
    </row>
    <row r="115" customFormat="false" ht="17.15" hidden="false" customHeight="false" outlineLevel="0" collapsed="false">
      <c r="A115" s="5" t="s">
        <v>430</v>
      </c>
      <c r="B115" s="5" t="s">
        <v>431</v>
      </c>
      <c r="D115" s="12" t="n">
        <f aca="false">D114/D113</f>
        <v>22.9088345864662</v>
      </c>
      <c r="H115" s="8" t="s">
        <v>432</v>
      </c>
    </row>
    <row r="116" customFormat="false" ht="17.15" hidden="false" customHeight="false" outlineLevel="0" collapsed="false">
      <c r="A116" s="5" t="s">
        <v>433</v>
      </c>
      <c r="B116" s="0" t="s">
        <v>142</v>
      </c>
      <c r="D116" s="18" t="n">
        <f aca="false">1</f>
        <v>1</v>
      </c>
      <c r="E116" s="18" t="n">
        <f aca="false">D116*(1+g_asp)</f>
        <v>1.18</v>
      </c>
      <c r="F116" s="18" t="n">
        <f aca="false">E116*(1+g_asp)</f>
        <v>1.3924</v>
      </c>
      <c r="G116" s="18" t="n">
        <f aca="false">F116*(1+g_asp)</f>
        <v>1.643032</v>
      </c>
    </row>
    <row r="117" customFormat="false" ht="17.15" hidden="false" customHeight="false" outlineLevel="0" collapsed="false">
      <c r="A117" s="0" t="s">
        <v>434</v>
      </c>
      <c r="B117" s="0" t="s">
        <v>142</v>
      </c>
      <c r="D117" s="19" t="n">
        <f aca="false">1</f>
        <v>1</v>
      </c>
      <c r="E117" s="19" t="n">
        <f aca="false">RLO_27</f>
        <v>0.85</v>
      </c>
      <c r="F117" s="19" t="n">
        <f aca="false">RLO_28</f>
        <v>0.75</v>
      </c>
      <c r="G117" s="19" t="n">
        <f aca="false">RLO_29</f>
        <v>0.7</v>
      </c>
    </row>
    <row r="118" customFormat="false" ht="17.15" hidden="false" customHeight="false" outlineLevel="0" collapsed="false">
      <c r="A118" s="5" t="s">
        <v>435</v>
      </c>
      <c r="B118" s="0" t="s">
        <v>142</v>
      </c>
      <c r="D118" s="19" t="n">
        <f aca="false">1</f>
        <v>1</v>
      </c>
      <c r="E118" s="19" t="n">
        <f aca="false">pp_27</f>
        <v>1</v>
      </c>
      <c r="F118" s="19" t="n">
        <f aca="false">pp_28</f>
        <v>0.95</v>
      </c>
      <c r="G118" s="19" t="n">
        <f aca="false">pp_29</f>
        <v>0.9</v>
      </c>
    </row>
    <row r="119" customFormat="false" ht="17.15" hidden="false" customHeight="false" outlineLevel="0" collapsed="false">
      <c r="A119" s="0" t="s">
        <v>397</v>
      </c>
      <c r="B119" s="0" t="s">
        <v>238</v>
      </c>
      <c r="D119" s="14" t="n">
        <f aca="false">D114</f>
        <v>243.75</v>
      </c>
      <c r="E119" s="14" t="n">
        <f aca="false">E113*$D$115*E116*E117*E118</f>
        <v>351.556684680451</v>
      </c>
      <c r="F119" s="14" t="n">
        <f aca="false">F113*$D$115*F116*F117*F118</f>
        <v>370.458431919643</v>
      </c>
      <c r="G119" s="14" t="n">
        <f aca="false">G113*$D$115*G116*G117*G118</f>
        <v>436.796544138158</v>
      </c>
    </row>
    <row r="120" customFormat="false" ht="17.15" hidden="false" customHeight="false" outlineLevel="0" collapsed="false">
      <c r="A120" s="1" t="s">
        <v>436</v>
      </c>
    </row>
    <row r="121" customFormat="false" ht="17.15" hidden="false" customHeight="false" outlineLevel="0" collapsed="false">
      <c r="A121" s="5" t="s">
        <v>437</v>
      </c>
      <c r="B121" s="0" t="s">
        <v>238</v>
      </c>
      <c r="D121" s="14" t="n">
        <f aca="false">q26_e-D119</f>
        <v>131.25</v>
      </c>
      <c r="E121" s="14" t="n">
        <f aca="false">D121*(1+g_ne)</f>
        <v>137.8125</v>
      </c>
      <c r="F121" s="14" t="n">
        <f aca="false">E121*(1+g_ne)</f>
        <v>144.703125</v>
      </c>
      <c r="G121" s="14" t="n">
        <f aca="false">F121*(1+g_ne)</f>
        <v>151.93828125</v>
      </c>
    </row>
    <row r="122" customFormat="false" ht="15" hidden="false" customHeight="false" outlineLevel="0" collapsed="false">
      <c r="A122" s="5" t="s">
        <v>438</v>
      </c>
      <c r="B122" s="0" t="s">
        <v>238</v>
      </c>
      <c r="C122" s="14" t="n">
        <f aca="false">q25_e</f>
        <v>243.316</v>
      </c>
      <c r="D122" s="14" t="n">
        <f aca="false">D119+D121</f>
        <v>375</v>
      </c>
      <c r="E122" s="14" t="n">
        <f aca="false">E119+E121</f>
        <v>489.369184680451</v>
      </c>
      <c r="F122" s="14" t="n">
        <f aca="false">F119+F121</f>
        <v>515.161556919643</v>
      </c>
      <c r="G122" s="14" t="n">
        <f aca="false">G119+G121</f>
        <v>588.734825388158</v>
      </c>
    </row>
    <row r="123" customFormat="false" ht="17.15" hidden="false" customHeight="false" outlineLevel="0" collapsed="false">
      <c r="A123" s="0" t="s">
        <v>439</v>
      </c>
      <c r="B123" s="0" t="s">
        <v>42</v>
      </c>
      <c r="D123" s="13" t="n">
        <f aca="false">(q26_eoi-m_ne*D121)/D119</f>
        <v>0.370512820512821</v>
      </c>
      <c r="H123" s="8" t="s">
        <v>440</v>
      </c>
    </row>
    <row r="124" customFormat="false" ht="17.15" hidden="false" customHeight="false" outlineLevel="0" collapsed="false">
      <c r="A124" s="0" t="s">
        <v>441</v>
      </c>
      <c r="B124" s="0" t="s">
        <v>42</v>
      </c>
      <c r="D124" s="13" t="n">
        <f aca="false">D123</f>
        <v>0.370512820512821</v>
      </c>
      <c r="E124" s="13" t="n">
        <f aca="false">1-(1-$D$123)/E118</f>
        <v>0.370512820512821</v>
      </c>
      <c r="F124" s="13" t="n">
        <f aca="false">1-(1-$D$123)/F118</f>
        <v>0.337381916329285</v>
      </c>
      <c r="G124" s="13" t="n">
        <f aca="false">1-(1-$D$123)/G118</f>
        <v>0.300569800569801</v>
      </c>
      <c r="H124" s="8" t="s">
        <v>442</v>
      </c>
    </row>
    <row r="125" customFormat="false" ht="15" hidden="false" customHeight="false" outlineLevel="0" collapsed="false">
      <c r="A125" s="5" t="s">
        <v>443</v>
      </c>
      <c r="B125" s="0" t="s">
        <v>238</v>
      </c>
      <c r="C125" s="14" t="n">
        <f aca="false">q25_eoi</f>
        <v>45.248</v>
      </c>
      <c r="D125" s="14" t="n">
        <f aca="false">D119*D124+D121*m_ne</f>
        <v>110</v>
      </c>
      <c r="E125" s="14" t="n">
        <f aca="false">E119*E124+E121*m_ne</f>
        <v>150.92813381109</v>
      </c>
      <c r="F125" s="14" t="n">
        <f aca="false">F119*F124+F121*m_ne</f>
        <v>146.691444431391</v>
      </c>
      <c r="G125" s="14" t="n">
        <f aca="false">G119*G124+G121*m_ne</f>
        <v>154.078592348684</v>
      </c>
    </row>
    <row r="126" customFormat="false" ht="15" hidden="false" customHeight="false" outlineLevel="0" collapsed="false">
      <c r="A126" s="5" t="s">
        <v>376</v>
      </c>
      <c r="B126" s="0" t="s">
        <v>42</v>
      </c>
      <c r="C126" s="13" t="n">
        <f aca="false">C125/C122</f>
        <v>0.185963931677325</v>
      </c>
      <c r="D126" s="13" t="n">
        <f aca="false">D125/D122</f>
        <v>0.293333333333333</v>
      </c>
      <c r="E126" s="13" t="n">
        <f aca="false">E125/E122</f>
        <v>0.308413644618109</v>
      </c>
      <c r="F126" s="13" t="n">
        <f aca="false">F125/F122</f>
        <v>0.284748429810093</v>
      </c>
      <c r="G126" s="13" t="n">
        <f aca="false">G125/G122</f>
        <v>0.261711360878132</v>
      </c>
    </row>
    <row r="127" customFormat="false" ht="17.15" hidden="false" customHeight="false" outlineLevel="0" collapsed="false">
      <c r="A127" s="1" t="s">
        <v>444</v>
      </c>
    </row>
    <row r="128" customFormat="false" ht="15" hidden="false" customHeight="false" outlineLevel="0" collapsed="false">
      <c r="A128" s="5" t="s">
        <v>445</v>
      </c>
      <c r="B128" s="0" t="s">
        <v>238</v>
      </c>
      <c r="C128" s="14" t="n">
        <f aca="false">q25_cer</f>
        <v>82.554</v>
      </c>
      <c r="D128" s="14" t="n">
        <f aca="false">q26_cer</f>
        <v>84</v>
      </c>
      <c r="E128" s="14" t="n">
        <f aca="false">D128*(1+g_cer)</f>
        <v>84</v>
      </c>
      <c r="F128" s="14" t="n">
        <f aca="false">E128*(1+g_cer)</f>
        <v>84</v>
      </c>
      <c r="G128" s="14" t="n">
        <f aca="false">F128*(1+g_cer)</f>
        <v>84</v>
      </c>
    </row>
    <row r="129" customFormat="false" ht="15" hidden="false" customHeight="false" outlineLevel="0" collapsed="false">
      <c r="A129" s="5" t="s">
        <v>446</v>
      </c>
      <c r="B129" s="0" t="s">
        <v>238</v>
      </c>
      <c r="C129" s="14" t="n">
        <f aca="false">q25_oth</f>
        <v>90.33</v>
      </c>
      <c r="D129" s="14" t="n">
        <f aca="false">q26_oth</f>
        <v>91</v>
      </c>
      <c r="E129" s="14" t="n">
        <f aca="false">D129*(1+g_oth)</f>
        <v>93.73</v>
      </c>
      <c r="F129" s="14" t="n">
        <f aca="false">E129*(1+g_oth)</f>
        <v>96.5419</v>
      </c>
      <c r="G129" s="14" t="n">
        <f aca="false">F129*(1+g_oth)</f>
        <v>99.438157</v>
      </c>
    </row>
    <row r="130" customFormat="false" ht="15" hidden="false" customHeight="false" outlineLevel="0" collapsed="false">
      <c r="A130" s="5" t="s">
        <v>365</v>
      </c>
      <c r="B130" s="0" t="s">
        <v>238</v>
      </c>
      <c r="C130" s="14" t="n">
        <f aca="false">C122+C128+C129</f>
        <v>416.2</v>
      </c>
      <c r="D130" s="14" t="n">
        <f aca="false">D122+D128+D129</f>
        <v>550</v>
      </c>
      <c r="E130" s="14" t="n">
        <f aca="false">E122+E128+E129</f>
        <v>667.099184680451</v>
      </c>
      <c r="F130" s="14" t="n">
        <f aca="false">F122+F128+F129</f>
        <v>695.703456919643</v>
      </c>
      <c r="G130" s="14" t="n">
        <f aca="false">G122+G128+G129</f>
        <v>772.172982388158</v>
      </c>
    </row>
    <row r="131" customFormat="false" ht="15" hidden="false" customHeight="false" outlineLevel="0" collapsed="false">
      <c r="A131" s="5" t="s">
        <v>447</v>
      </c>
      <c r="B131" s="0" t="s">
        <v>42</v>
      </c>
      <c r="D131" s="13" t="n">
        <f aca="false">D130/C130-1</f>
        <v>0.321480057664584</v>
      </c>
      <c r="E131" s="13" t="n">
        <f aca="false">E130/D130-1</f>
        <v>0.212907608509911</v>
      </c>
      <c r="F131" s="13" t="n">
        <f aca="false">F130/E130-1</f>
        <v>0.0428785897151016</v>
      </c>
      <c r="G131" s="13" t="n">
        <f aca="false">G130/F130-1</f>
        <v>0.10991683986608</v>
      </c>
    </row>
    <row r="132" customFormat="false" ht="17.15" hidden="false" customHeight="false" outlineLevel="0" collapsed="false">
      <c r="A132" s="0" t="s">
        <v>448</v>
      </c>
      <c r="B132" s="0" t="s">
        <v>42</v>
      </c>
      <c r="D132" s="13" t="n">
        <f aca="false">D119/D130</f>
        <v>0.443181818181818</v>
      </c>
      <c r="E132" s="13" t="n">
        <f aca="false">E119/E130</f>
        <v>0.526993125990479</v>
      </c>
      <c r="F132" s="13" t="n">
        <f aca="false">F119/F130</f>
        <v>0.532494740733238</v>
      </c>
      <c r="G132" s="13" t="n">
        <f aca="false">G119/G130</f>
        <v>0.565671881949617</v>
      </c>
    </row>
    <row r="133" customFormat="false" ht="15" hidden="false" customHeight="false" outlineLevel="0" collapsed="false">
      <c r="A133" s="5" t="s">
        <v>449</v>
      </c>
      <c r="B133" s="0" t="s">
        <v>238</v>
      </c>
      <c r="C133" s="14" t="n">
        <f aca="false">q25_oi-q25_eoi</f>
        <v>16.779</v>
      </c>
      <c r="D133" s="14" t="n">
        <f aca="false">q26_oi-q26_eoi</f>
        <v>17</v>
      </c>
      <c r="E133" s="14" t="n">
        <f aca="false">E128*m_cer+E129*m_oth+q26_adj</f>
        <v>17.24695</v>
      </c>
      <c r="F133" s="14" t="n">
        <f aca="false">F128*m_cer+F129*m_oth+q26_adj</f>
        <v>17.5703185</v>
      </c>
      <c r="G133" s="14" t="n">
        <f aca="false">G128*m_cer+G129*m_oth+q26_adj</f>
        <v>17.903388055</v>
      </c>
    </row>
    <row r="134" customFormat="false" ht="15" hidden="false" customHeight="false" outlineLevel="0" collapsed="false">
      <c r="A134" s="5" t="s">
        <v>370</v>
      </c>
      <c r="B134" s="0" t="s">
        <v>238</v>
      </c>
      <c r="C134" s="14" t="n">
        <f aca="false">C125+C133</f>
        <v>62.027</v>
      </c>
      <c r="D134" s="14" t="n">
        <f aca="false">D125+D133</f>
        <v>127</v>
      </c>
      <c r="E134" s="14" t="n">
        <f aca="false">E125+E133</f>
        <v>168.17508381109</v>
      </c>
      <c r="F134" s="14" t="n">
        <f aca="false">F125+F133</f>
        <v>164.261762931391</v>
      </c>
      <c r="G134" s="14" t="n">
        <f aca="false">G125+G133</f>
        <v>171.981980403684</v>
      </c>
    </row>
    <row r="135" customFormat="false" ht="15" hidden="false" customHeight="false" outlineLevel="0" collapsed="false">
      <c r="A135" s="5" t="s">
        <v>377</v>
      </c>
      <c r="B135" s="0" t="s">
        <v>42</v>
      </c>
      <c r="C135" s="13" t="n">
        <f aca="false">C134/C130</f>
        <v>0.149031715521384</v>
      </c>
      <c r="D135" s="13" t="n">
        <f aca="false">D134/D130</f>
        <v>0.230909090909091</v>
      </c>
      <c r="E135" s="13" t="n">
        <f aca="false">E134/E130</f>
        <v>0.252099069633323</v>
      </c>
      <c r="F135" s="13" t="n">
        <f aca="false">F134/F130</f>
        <v>0.236108878427442</v>
      </c>
      <c r="G135" s="13" t="n">
        <f aca="false">G134/G130</f>
        <v>0.222724679995644</v>
      </c>
    </row>
    <row r="136" customFormat="false" ht="15" hidden="false" customHeight="false" outlineLevel="0" collapsed="false">
      <c r="A136" s="5" t="s">
        <v>372</v>
      </c>
      <c r="B136" s="0" t="s">
        <v>238</v>
      </c>
      <c r="C136" s="14" t="n">
        <f aca="false">q25_ni</f>
        <v>63.713</v>
      </c>
      <c r="D136" s="14" t="n">
        <f aca="false">q26_ni</f>
        <v>84</v>
      </c>
      <c r="E136" s="14" t="n">
        <f aca="false">E134*ni_oi</f>
        <v>111.163730399131</v>
      </c>
      <c r="F136" s="14" t="n">
        <f aca="false">F134*ni_oi</f>
        <v>108.577025297649</v>
      </c>
      <c r="G136" s="14" t="n">
        <f aca="false">G134*ni_oi</f>
        <v>113.680089046835</v>
      </c>
    </row>
    <row r="137" customFormat="false" ht="15" hidden="false" customHeight="false" outlineLevel="0" collapsed="false">
      <c r="A137" s="5" t="s">
        <v>450</v>
      </c>
      <c r="B137" s="5" t="s">
        <v>451</v>
      </c>
      <c r="D137" s="15" t="n">
        <f aca="false">q26_sh</f>
        <v>0.561197220737574</v>
      </c>
      <c r="E137" s="15" t="n">
        <f aca="false">D137*(1+sh_g)</f>
        <v>0.561197220737574</v>
      </c>
      <c r="F137" s="15" t="n">
        <f aca="false">E137*(1+sh_g)</f>
        <v>0.561197220737574</v>
      </c>
      <c r="G137" s="15" t="n">
        <f aca="false">F137*(1+sh_g)</f>
        <v>0.561197220737574</v>
      </c>
    </row>
    <row r="138" customFormat="false" ht="17.15" hidden="false" customHeight="false" outlineLevel="0" collapsed="false">
      <c r="A138" s="0" t="s">
        <v>452</v>
      </c>
      <c r="B138" s="0" t="s">
        <v>263</v>
      </c>
      <c r="C138" s="14" t="n">
        <f aca="false">q25_eps</f>
        <v>114.08</v>
      </c>
      <c r="D138" s="14" t="n">
        <f aca="false">D136/D137</f>
        <v>149.68</v>
      </c>
      <c r="E138" s="14" t="n">
        <f aca="false">E136/E137</f>
        <v>198.083180549308</v>
      </c>
      <c r="F138" s="14" t="n">
        <f aca="false">F136/F137</f>
        <v>193.473918411335</v>
      </c>
      <c r="G138" s="14" t="n">
        <f aca="false">G136/G137</f>
        <v>202.567092006313</v>
      </c>
    </row>
    <row r="139" customFormat="false" ht="17.15" hidden="false" customHeight="false" outlineLevel="0" collapsed="false">
      <c r="A139" s="0" t="s">
        <v>453</v>
      </c>
      <c r="B139" s="0" t="s">
        <v>42</v>
      </c>
      <c r="D139" s="13" t="n">
        <f aca="false">D138/C138-1</f>
        <v>0.312061711079944</v>
      </c>
      <c r="E139" s="13" t="n">
        <f aca="false">E138/D138-1</f>
        <v>0.323377742846793</v>
      </c>
      <c r="F139" s="13" t="n">
        <f aca="false">F138/E138-1</f>
        <v>-0.0232693261749467</v>
      </c>
      <c r="G139" s="13" t="n">
        <f aca="false">G138/F138-1</f>
        <v>0.0469994801864988</v>
      </c>
    </row>
    <row r="142" customFormat="false" ht="17.15" hidden="false" customHeight="false" outlineLevel="0" collapsed="false">
      <c r="A142" s="3" t="s">
        <v>699</v>
      </c>
    </row>
    <row r="143" customFormat="false" ht="17.15" hidden="false" customHeight="false" outlineLevel="0" collapsed="false">
      <c r="A143" s="6" t="s">
        <v>19</v>
      </c>
      <c r="B143" s="6" t="s">
        <v>20</v>
      </c>
      <c r="C143" s="11" t="s">
        <v>361</v>
      </c>
      <c r="D143" s="11" t="s">
        <v>408</v>
      </c>
      <c r="E143" s="11" t="s">
        <v>384</v>
      </c>
      <c r="F143" s="11" t="s">
        <v>385</v>
      </c>
      <c r="G143" s="11" t="s">
        <v>386</v>
      </c>
      <c r="H143" s="6" t="s">
        <v>364</v>
      </c>
    </row>
    <row r="144" customFormat="false" ht="17.15" hidden="false" customHeight="false" outlineLevel="0" collapsed="false">
      <c r="A144" s="1" t="s">
        <v>422</v>
      </c>
    </row>
    <row r="145" customFormat="false" ht="17.15" hidden="false" customHeight="false" outlineLevel="0" collapsed="false">
      <c r="A145" s="0" t="s">
        <v>423</v>
      </c>
      <c r="B145" s="5" t="s">
        <v>30</v>
      </c>
      <c r="D145" s="14" t="n">
        <f aca="false">(u_bw_26+u_rb_26+u_ru_26+u_hp_26)*1</f>
        <v>7.6</v>
      </c>
      <c r="E145" s="14" t="n">
        <f aca="false">(u_bw_27+u_rb_27+u_ru_27+u_hp_27)*1</f>
        <v>9.7</v>
      </c>
      <c r="F145" s="14" t="n">
        <f aca="false">(u_bw_28+u_rb_28+u_ru_28+u_hp_28)*um28_A</f>
        <v>9.5</v>
      </c>
      <c r="G145" s="14" t="n">
        <f aca="false">(u_bw_28*(1+g29_bw)+u_rb_28*(1+g29_rb)+u_ru_28*(1+g29_ru)+u_hp_28*(1+g29_hp))*um29_A</f>
        <v>10.6</v>
      </c>
      <c r="H145" s="8" t="s">
        <v>424</v>
      </c>
    </row>
    <row r="146" customFormat="false" ht="17.15" hidden="false" customHeight="false" outlineLevel="0" collapsed="false">
      <c r="A146" s="5" t="s">
        <v>425</v>
      </c>
      <c r="B146" s="5" t="s">
        <v>30</v>
      </c>
      <c r="D146" s="14" t="n">
        <f aca="false">(u_amd_26+u_tpu_26+u_trn_26+u_oth_26)*1</f>
        <v>7.6</v>
      </c>
      <c r="E146" s="14" t="n">
        <f aca="false">(u_amd_27+u_tpu_27+u_trn_27+u_oth_27)*1</f>
        <v>14</v>
      </c>
      <c r="F146" s="14" t="n">
        <f aca="false">(u_amd_28+u_tpu_28+u_trn_28+u_oth_28)*um28_A</f>
        <v>17</v>
      </c>
      <c r="G146" s="14" t="n">
        <f aca="false">(u_amd_28*(1+g29_amd)+u_tpu_28*(1+g29_tpu)+u_trn_28*(1+g29_trn)+u_oth_28*(1+g29_oth))*um29_A</f>
        <v>19.55</v>
      </c>
      <c r="H146" s="8" t="s">
        <v>426</v>
      </c>
    </row>
    <row r="147" customFormat="false" ht="17.15" hidden="false" customHeight="false" outlineLevel="0" collapsed="false">
      <c r="A147" s="5" t="s">
        <v>427</v>
      </c>
      <c r="B147" s="5" t="s">
        <v>30</v>
      </c>
      <c r="D147" s="14" t="n">
        <f aca="false">D145+w_ot*D146</f>
        <v>10.64</v>
      </c>
      <c r="E147" s="14" t="n">
        <f aca="false">E145+w_ot*E146</f>
        <v>15.3</v>
      </c>
      <c r="F147" s="14" t="n">
        <f aca="false">F145+w_ot*F146</f>
        <v>16.3</v>
      </c>
      <c r="G147" s="14" t="n">
        <f aca="false">G145+w_ot*G146</f>
        <v>18.42</v>
      </c>
    </row>
    <row r="148" customFormat="false" ht="17.15" hidden="false" customHeight="false" outlineLevel="0" collapsed="false">
      <c r="A148" s="0" t="s">
        <v>428</v>
      </c>
      <c r="B148" s="0" t="s">
        <v>238</v>
      </c>
      <c r="D148" s="14" t="n">
        <f aca="false">q26_e*ai_e</f>
        <v>243.75</v>
      </c>
      <c r="H148" s="8" t="s">
        <v>429</v>
      </c>
    </row>
    <row r="149" customFormat="false" ht="17.15" hidden="false" customHeight="false" outlineLevel="0" collapsed="false">
      <c r="A149" s="5" t="s">
        <v>430</v>
      </c>
      <c r="B149" s="5" t="s">
        <v>431</v>
      </c>
      <c r="D149" s="12" t="n">
        <f aca="false">D148/D147</f>
        <v>22.9088345864662</v>
      </c>
      <c r="H149" s="8" t="s">
        <v>432</v>
      </c>
    </row>
    <row r="150" customFormat="false" ht="17.15" hidden="false" customHeight="false" outlineLevel="0" collapsed="false">
      <c r="A150" s="5" t="s">
        <v>433</v>
      </c>
      <c r="B150" s="0" t="s">
        <v>142</v>
      </c>
      <c r="D150" s="18" t="n">
        <f aca="false">1</f>
        <v>1</v>
      </c>
      <c r="E150" s="18" t="n">
        <f aca="false">D150*(1+g_asp)</f>
        <v>1.18</v>
      </c>
      <c r="F150" s="18" t="n">
        <f aca="false">E150*(1+g_asp)</f>
        <v>1.3924</v>
      </c>
      <c r="G150" s="18" t="n">
        <f aca="false">F150*(1+g_asp)</f>
        <v>1.643032</v>
      </c>
    </row>
    <row r="151" customFormat="false" ht="17.15" hidden="false" customHeight="false" outlineLevel="0" collapsed="false">
      <c r="A151" s="0" t="s">
        <v>434</v>
      </c>
      <c r="B151" s="0" t="s">
        <v>142</v>
      </c>
      <c r="D151" s="19" t="n">
        <f aca="false">1</f>
        <v>1</v>
      </c>
      <c r="E151" s="19" t="n">
        <f aca="false">RHI_27</f>
        <v>1</v>
      </c>
      <c r="F151" s="19" t="n">
        <f aca="false">RHI_28</f>
        <v>1</v>
      </c>
      <c r="G151" s="19" t="n">
        <f aca="false">RHI_29</f>
        <v>1</v>
      </c>
    </row>
    <row r="152" customFormat="false" ht="17.15" hidden="false" customHeight="false" outlineLevel="0" collapsed="false">
      <c r="A152" s="5" t="s">
        <v>435</v>
      </c>
      <c r="B152" s="0" t="s">
        <v>142</v>
      </c>
      <c r="D152" s="19" t="n">
        <f aca="false">1</f>
        <v>1</v>
      </c>
      <c r="E152" s="19" t="n">
        <f aca="false">pp_27</f>
        <v>1</v>
      </c>
      <c r="F152" s="19" t="n">
        <f aca="false">pp_28</f>
        <v>0.95</v>
      </c>
      <c r="G152" s="19" t="n">
        <f aca="false">pp_29</f>
        <v>0.9</v>
      </c>
    </row>
    <row r="153" customFormat="false" ht="17.15" hidden="false" customHeight="false" outlineLevel="0" collapsed="false">
      <c r="A153" s="0" t="s">
        <v>397</v>
      </c>
      <c r="B153" s="0" t="s">
        <v>238</v>
      </c>
      <c r="D153" s="14" t="n">
        <f aca="false">D148</f>
        <v>243.75</v>
      </c>
      <c r="E153" s="14" t="n">
        <f aca="false">E147*$D$149*E150*E151*E152</f>
        <v>413.59609962406</v>
      </c>
      <c r="F153" s="14" t="n">
        <f aca="false">F147*$D$149*F150*F151*F152</f>
        <v>493.944575892857</v>
      </c>
      <c r="G153" s="14" t="n">
        <f aca="false">G147*$D$149*G150*G151*G152</f>
        <v>623.995063054511</v>
      </c>
    </row>
    <row r="154" customFormat="false" ht="17.15" hidden="false" customHeight="false" outlineLevel="0" collapsed="false">
      <c r="A154" s="1" t="s">
        <v>436</v>
      </c>
    </row>
    <row r="155" customFormat="false" ht="17.15" hidden="false" customHeight="false" outlineLevel="0" collapsed="false">
      <c r="A155" s="5" t="s">
        <v>437</v>
      </c>
      <c r="B155" s="0" t="s">
        <v>238</v>
      </c>
      <c r="D155" s="14" t="n">
        <f aca="false">q26_e-D153</f>
        <v>131.25</v>
      </c>
      <c r="E155" s="14" t="n">
        <f aca="false">D155*(1+g_ne)</f>
        <v>137.8125</v>
      </c>
      <c r="F155" s="14" t="n">
        <f aca="false">E155*(1+g_ne)</f>
        <v>144.703125</v>
      </c>
      <c r="G155" s="14" t="n">
        <f aca="false">F155*(1+g_ne)</f>
        <v>151.93828125</v>
      </c>
    </row>
    <row r="156" customFormat="false" ht="15" hidden="false" customHeight="false" outlineLevel="0" collapsed="false">
      <c r="A156" s="5" t="s">
        <v>438</v>
      </c>
      <c r="B156" s="0" t="s">
        <v>238</v>
      </c>
      <c r="C156" s="14" t="n">
        <f aca="false">q25_e</f>
        <v>243.316</v>
      </c>
      <c r="D156" s="14" t="n">
        <f aca="false">D153+D155</f>
        <v>375</v>
      </c>
      <c r="E156" s="14" t="n">
        <f aca="false">E153+E155</f>
        <v>551.40859962406</v>
      </c>
      <c r="F156" s="14" t="n">
        <f aca="false">F153+F155</f>
        <v>638.647700892857</v>
      </c>
      <c r="G156" s="14" t="n">
        <f aca="false">G153+G155</f>
        <v>775.933344304511</v>
      </c>
    </row>
    <row r="157" customFormat="false" ht="17.15" hidden="false" customHeight="false" outlineLevel="0" collapsed="false">
      <c r="A157" s="0" t="s">
        <v>439</v>
      </c>
      <c r="B157" s="0" t="s">
        <v>42</v>
      </c>
      <c r="D157" s="13" t="n">
        <f aca="false">(q26_eoi-m_ne*D155)/D153</f>
        <v>0.370512820512821</v>
      </c>
      <c r="H157" s="8" t="s">
        <v>440</v>
      </c>
    </row>
    <row r="158" customFormat="false" ht="17.15" hidden="false" customHeight="false" outlineLevel="0" collapsed="false">
      <c r="A158" s="0" t="s">
        <v>441</v>
      </c>
      <c r="B158" s="0" t="s">
        <v>42</v>
      </c>
      <c r="D158" s="13" t="n">
        <f aca="false">D157</f>
        <v>0.370512820512821</v>
      </c>
      <c r="E158" s="13" t="n">
        <f aca="false">1-(1-$D$157)/E152</f>
        <v>0.370512820512821</v>
      </c>
      <c r="F158" s="13" t="n">
        <f aca="false">1-(1-$D$157)/F152</f>
        <v>0.337381916329285</v>
      </c>
      <c r="G158" s="13" t="n">
        <f aca="false">1-(1-$D$157)/G152</f>
        <v>0.300569800569801</v>
      </c>
      <c r="H158" s="8" t="s">
        <v>442</v>
      </c>
    </row>
    <row r="159" customFormat="false" ht="15" hidden="false" customHeight="false" outlineLevel="0" collapsed="false">
      <c r="A159" s="5" t="s">
        <v>443</v>
      </c>
      <c r="B159" s="0" t="s">
        <v>238</v>
      </c>
      <c r="C159" s="14" t="n">
        <f aca="false">q25_eoi</f>
        <v>45.248</v>
      </c>
      <c r="D159" s="14" t="n">
        <f aca="false">D153*D158+D155*m_ne</f>
        <v>110</v>
      </c>
      <c r="E159" s="14" t="n">
        <f aca="false">E153*E158+E155*m_ne</f>
        <v>173.914532424812</v>
      </c>
      <c r="F159" s="14" t="n">
        <f aca="false">F153*F158+F155*m_ne</f>
        <v>188.353436325188</v>
      </c>
      <c r="G159" s="14" t="n">
        <f aca="false">G153*G158+G155*m_ne</f>
        <v>210.344813846335</v>
      </c>
    </row>
    <row r="160" customFormat="false" ht="15" hidden="false" customHeight="false" outlineLevel="0" collapsed="false">
      <c r="A160" s="5" t="s">
        <v>376</v>
      </c>
      <c r="B160" s="0" t="s">
        <v>42</v>
      </c>
      <c r="C160" s="13" t="n">
        <f aca="false">C159/C156</f>
        <v>0.185963931677325</v>
      </c>
      <c r="D160" s="13" t="n">
        <f aca="false">D159/D156</f>
        <v>0.293333333333333</v>
      </c>
      <c r="E160" s="13" t="n">
        <f aca="false">E159/E156</f>
        <v>0.315400471707158</v>
      </c>
      <c r="F160" s="13" t="n">
        <f aca="false">F159/F156</f>
        <v>0.29492541202585</v>
      </c>
      <c r="G160" s="13" t="n">
        <f aca="false">G159/G156</f>
        <v>0.271086189800068</v>
      </c>
    </row>
    <row r="161" customFormat="false" ht="17.15" hidden="false" customHeight="false" outlineLevel="0" collapsed="false">
      <c r="A161" s="1" t="s">
        <v>444</v>
      </c>
    </row>
    <row r="162" customFormat="false" ht="15" hidden="false" customHeight="false" outlineLevel="0" collapsed="false">
      <c r="A162" s="5" t="s">
        <v>445</v>
      </c>
      <c r="B162" s="0" t="s">
        <v>238</v>
      </c>
      <c r="C162" s="14" t="n">
        <f aca="false">q25_cer</f>
        <v>82.554</v>
      </c>
      <c r="D162" s="14" t="n">
        <f aca="false">q26_cer</f>
        <v>84</v>
      </c>
      <c r="E162" s="14" t="n">
        <f aca="false">D162*(1+g_cer)</f>
        <v>84</v>
      </c>
      <c r="F162" s="14" t="n">
        <f aca="false">E162*(1+g_cer)</f>
        <v>84</v>
      </c>
      <c r="G162" s="14" t="n">
        <f aca="false">F162*(1+g_cer)</f>
        <v>84</v>
      </c>
    </row>
    <row r="163" customFormat="false" ht="15" hidden="false" customHeight="false" outlineLevel="0" collapsed="false">
      <c r="A163" s="5" t="s">
        <v>446</v>
      </c>
      <c r="B163" s="0" t="s">
        <v>238</v>
      </c>
      <c r="C163" s="14" t="n">
        <f aca="false">q25_oth</f>
        <v>90.33</v>
      </c>
      <c r="D163" s="14" t="n">
        <f aca="false">q26_oth</f>
        <v>91</v>
      </c>
      <c r="E163" s="14" t="n">
        <f aca="false">D163*(1+g_oth)</f>
        <v>93.73</v>
      </c>
      <c r="F163" s="14" t="n">
        <f aca="false">E163*(1+g_oth)</f>
        <v>96.5419</v>
      </c>
      <c r="G163" s="14" t="n">
        <f aca="false">F163*(1+g_oth)</f>
        <v>99.438157</v>
      </c>
    </row>
    <row r="164" customFormat="false" ht="15" hidden="false" customHeight="false" outlineLevel="0" collapsed="false">
      <c r="A164" s="5" t="s">
        <v>365</v>
      </c>
      <c r="B164" s="0" t="s">
        <v>238</v>
      </c>
      <c r="C164" s="14" t="n">
        <f aca="false">C156+C162+C163</f>
        <v>416.2</v>
      </c>
      <c r="D164" s="14" t="n">
        <f aca="false">D156+D162+D163</f>
        <v>550</v>
      </c>
      <c r="E164" s="14" t="n">
        <f aca="false">E156+E162+E163</f>
        <v>729.13859962406</v>
      </c>
      <c r="F164" s="14" t="n">
        <f aca="false">F156+F162+F163</f>
        <v>819.189600892857</v>
      </c>
      <c r="G164" s="14" t="n">
        <f aca="false">G156+G162+G163</f>
        <v>959.371501304511</v>
      </c>
    </row>
    <row r="165" customFormat="false" ht="15" hidden="false" customHeight="false" outlineLevel="0" collapsed="false">
      <c r="A165" s="5" t="s">
        <v>447</v>
      </c>
      <c r="B165" s="0" t="s">
        <v>42</v>
      </c>
      <c r="D165" s="13" t="n">
        <f aca="false">D164/C164-1</f>
        <v>0.321480057664584</v>
      </c>
      <c r="E165" s="13" t="n">
        <f aca="false">E164/D164-1</f>
        <v>0.325706544771018</v>
      </c>
      <c r="F165" s="13" t="n">
        <f aca="false">F164/E164-1</f>
        <v>0.123503269906746</v>
      </c>
      <c r="G165" s="13" t="n">
        <f aca="false">G164/F164-1</f>
        <v>0.171122656170032</v>
      </c>
    </row>
    <row r="166" customFormat="false" ht="17.15" hidden="false" customHeight="false" outlineLevel="0" collapsed="false">
      <c r="A166" s="0" t="s">
        <v>448</v>
      </c>
      <c r="B166" s="0" t="s">
        <v>42</v>
      </c>
      <c r="D166" s="13" t="n">
        <f aca="false">D153/D164</f>
        <v>0.443181818181818</v>
      </c>
      <c r="E166" s="13" t="n">
        <f aca="false">E153/E164</f>
        <v>0.567239342200931</v>
      </c>
      <c r="F166" s="13" t="n">
        <f aca="false">F153/F164</f>
        <v>0.602967341570857</v>
      </c>
      <c r="G166" s="13" t="n">
        <f aca="false">G153/G164</f>
        <v>0.650420678752736</v>
      </c>
    </row>
    <row r="167" customFormat="false" ht="15" hidden="false" customHeight="false" outlineLevel="0" collapsed="false">
      <c r="A167" s="5" t="s">
        <v>449</v>
      </c>
      <c r="B167" s="0" t="s">
        <v>238</v>
      </c>
      <c r="C167" s="14" t="n">
        <f aca="false">q25_oi-q25_eoi</f>
        <v>16.779</v>
      </c>
      <c r="D167" s="14" t="n">
        <f aca="false">q26_oi-q26_eoi</f>
        <v>17</v>
      </c>
      <c r="E167" s="14" t="n">
        <f aca="false">E162*m_cer+E163*m_oth+q26_adj</f>
        <v>17.24695</v>
      </c>
      <c r="F167" s="14" t="n">
        <f aca="false">F162*m_cer+F163*m_oth+q26_adj</f>
        <v>17.5703185</v>
      </c>
      <c r="G167" s="14" t="n">
        <f aca="false">G162*m_cer+G163*m_oth+q26_adj</f>
        <v>17.903388055</v>
      </c>
    </row>
    <row r="168" customFormat="false" ht="15" hidden="false" customHeight="false" outlineLevel="0" collapsed="false">
      <c r="A168" s="5" t="s">
        <v>370</v>
      </c>
      <c r="B168" s="0" t="s">
        <v>238</v>
      </c>
      <c r="C168" s="14" t="n">
        <f aca="false">C159+C167</f>
        <v>62.027</v>
      </c>
      <c r="D168" s="14" t="n">
        <f aca="false">D159+D167</f>
        <v>127</v>
      </c>
      <c r="E168" s="14" t="n">
        <f aca="false">E159+E167</f>
        <v>191.161482424812</v>
      </c>
      <c r="F168" s="14" t="n">
        <f aca="false">F159+F167</f>
        <v>205.923754825188</v>
      </c>
      <c r="G168" s="14" t="n">
        <f aca="false">G159+G167</f>
        <v>228.248201901335</v>
      </c>
    </row>
    <row r="169" customFormat="false" ht="15" hidden="false" customHeight="false" outlineLevel="0" collapsed="false">
      <c r="A169" s="5" t="s">
        <v>377</v>
      </c>
      <c r="B169" s="0" t="s">
        <v>42</v>
      </c>
      <c r="C169" s="13" t="n">
        <f aca="false">C168/C164</f>
        <v>0.149031715521384</v>
      </c>
      <c r="D169" s="13" t="n">
        <f aca="false">D168/D164</f>
        <v>0.230909090909091</v>
      </c>
      <c r="E169" s="13" t="n">
        <f aca="false">E168/E164</f>
        <v>0.262174410356788</v>
      </c>
      <c r="F169" s="13" t="n">
        <f aca="false">F168/F164</f>
        <v>0.251374962036562</v>
      </c>
      <c r="G169" s="13" t="n">
        <f aca="false">G168/G164</f>
        <v>0.237914302844073</v>
      </c>
    </row>
    <row r="170" customFormat="false" ht="15" hidden="false" customHeight="false" outlineLevel="0" collapsed="false">
      <c r="A170" s="5" t="s">
        <v>372</v>
      </c>
      <c r="B170" s="0" t="s">
        <v>238</v>
      </c>
      <c r="C170" s="14" t="n">
        <f aca="false">q25_ni</f>
        <v>63.713</v>
      </c>
      <c r="D170" s="14" t="n">
        <f aca="false">q26_ni</f>
        <v>84</v>
      </c>
      <c r="E170" s="14" t="n">
        <f aca="false">E168*ni_oi</f>
        <v>126.357739882801</v>
      </c>
      <c r="F170" s="14" t="n">
        <f aca="false">F168*ni_oi</f>
        <v>136.115601939449</v>
      </c>
      <c r="G170" s="14" t="n">
        <f aca="false">G168*ni_oi</f>
        <v>150.872061456782</v>
      </c>
    </row>
    <row r="171" customFormat="false" ht="15" hidden="false" customHeight="false" outlineLevel="0" collapsed="false">
      <c r="A171" s="5" t="s">
        <v>450</v>
      </c>
      <c r="B171" s="5" t="s">
        <v>451</v>
      </c>
      <c r="D171" s="15" t="n">
        <f aca="false">q26_sh</f>
        <v>0.561197220737574</v>
      </c>
      <c r="E171" s="15" t="n">
        <f aca="false">D171*(1+sh_g)</f>
        <v>0.561197220737574</v>
      </c>
      <c r="F171" s="15" t="n">
        <f aca="false">E171*(1+sh_g)</f>
        <v>0.561197220737574</v>
      </c>
      <c r="G171" s="15" t="n">
        <f aca="false">F171*(1+sh_g)</f>
        <v>0.561197220737574</v>
      </c>
    </row>
    <row r="172" customFormat="false" ht="17.15" hidden="false" customHeight="false" outlineLevel="0" collapsed="false">
      <c r="A172" s="0" t="s">
        <v>452</v>
      </c>
      <c r="B172" s="0" t="s">
        <v>263</v>
      </c>
      <c r="C172" s="14" t="n">
        <f aca="false">q25_eps</f>
        <v>114.08</v>
      </c>
      <c r="D172" s="14" t="n">
        <f aca="false">D170/D171</f>
        <v>149.68</v>
      </c>
      <c r="E172" s="14" t="n">
        <f aca="false">E170/E171</f>
        <v>225.157458400686</v>
      </c>
      <c r="F172" s="14" t="n">
        <f aca="false">F170/F171</f>
        <v>242.545039265438</v>
      </c>
      <c r="G172" s="14" t="n">
        <f aca="false">G170/G171</f>
        <v>268.839644748228</v>
      </c>
    </row>
    <row r="173" customFormat="false" ht="17.15" hidden="false" customHeight="false" outlineLevel="0" collapsed="false">
      <c r="A173" s="0" t="s">
        <v>453</v>
      </c>
      <c r="B173" s="0" t="s">
        <v>42</v>
      </c>
      <c r="D173" s="13" t="n">
        <f aca="false">D172/C172-1</f>
        <v>0.312061711079944</v>
      </c>
      <c r="E173" s="13" t="n">
        <f aca="false">E172/D172-1</f>
        <v>0.50425880812858</v>
      </c>
      <c r="F173" s="13" t="n">
        <f aca="false">F172/E172-1</f>
        <v>0.077224094588104</v>
      </c>
      <c r="G173" s="13" t="n">
        <f aca="false">G172/F172-1</f>
        <v>0.108411227714347</v>
      </c>
    </row>
    <row r="176" customFormat="false" ht="17.15" hidden="false" customHeight="false" outlineLevel="0" collapsed="false">
      <c r="A176" s="3" t="s">
        <v>700</v>
      </c>
    </row>
    <row r="177" customFormat="false" ht="17.15" hidden="false" customHeight="false" outlineLevel="0" collapsed="false">
      <c r="A177" s="6" t="s">
        <v>19</v>
      </c>
      <c r="B177" s="6" t="s">
        <v>20</v>
      </c>
      <c r="C177" s="11" t="s">
        <v>361</v>
      </c>
      <c r="D177" s="11" t="s">
        <v>408</v>
      </c>
      <c r="E177" s="11" t="s">
        <v>384</v>
      </c>
      <c r="F177" s="11" t="s">
        <v>385</v>
      </c>
      <c r="G177" s="11" t="s">
        <v>386</v>
      </c>
      <c r="H177" s="6" t="s">
        <v>364</v>
      </c>
    </row>
    <row r="178" customFormat="false" ht="17.15" hidden="false" customHeight="false" outlineLevel="0" collapsed="false">
      <c r="A178" s="1" t="s">
        <v>422</v>
      </c>
    </row>
    <row r="179" customFormat="false" ht="17.15" hidden="false" customHeight="false" outlineLevel="0" collapsed="false">
      <c r="A179" s="0" t="s">
        <v>423</v>
      </c>
      <c r="B179" s="5" t="s">
        <v>30</v>
      </c>
      <c r="D179" s="14" t="n">
        <f aca="false">(u_bw_26+u_rb_26+u_ru_26+u_hp_26)*1</f>
        <v>7.6</v>
      </c>
      <c r="E179" s="14" t="n">
        <f aca="false">(u_bw_27+u_rb_27+u_ru_27+u_hp_27)*1</f>
        <v>9.7</v>
      </c>
      <c r="F179" s="14" t="n">
        <f aca="false">(u_bw_28+u_rb_28+u_ru_28+u_hp_28)*um28_A</f>
        <v>9.5</v>
      </c>
      <c r="G179" s="14" t="n">
        <f aca="false">(u_bw_28*(1+g29_bw)+u_rb_28*(1+g29_rb)+u_ru_28*(1+g29_ru)+u_hp_28*(1+g29_hp))*um29_A</f>
        <v>10.6</v>
      </c>
      <c r="H179" s="8" t="s">
        <v>424</v>
      </c>
    </row>
    <row r="180" customFormat="false" ht="17.15" hidden="false" customHeight="false" outlineLevel="0" collapsed="false">
      <c r="A180" s="5" t="s">
        <v>425</v>
      </c>
      <c r="B180" s="5" t="s">
        <v>30</v>
      </c>
      <c r="D180" s="14" t="n">
        <f aca="false">(u_amd_26+u_tpu_26+u_trn_26+u_oth_26)*1</f>
        <v>7.6</v>
      </c>
      <c r="E180" s="14" t="n">
        <f aca="false">(u_amd_27+u_tpu_27+u_trn_27+u_oth_27)*1</f>
        <v>14</v>
      </c>
      <c r="F180" s="14" t="n">
        <f aca="false">(u_amd_28+u_tpu_28+u_trn_28+u_oth_28)*um28_A</f>
        <v>17</v>
      </c>
      <c r="G180" s="14" t="n">
        <f aca="false">(u_amd_28*(1+g29_amd)+u_tpu_28*(1+g29_tpu)+u_trn_28*(1+g29_trn)+u_oth_28*(1+g29_oth))*um29_A</f>
        <v>19.55</v>
      </c>
      <c r="H180" s="8" t="s">
        <v>426</v>
      </c>
    </row>
    <row r="181" customFormat="false" ht="17.15" hidden="false" customHeight="false" outlineLevel="0" collapsed="false">
      <c r="A181" s="5" t="s">
        <v>427</v>
      </c>
      <c r="B181" s="5" t="s">
        <v>30</v>
      </c>
      <c r="D181" s="14" t="n">
        <f aca="false">D179+w_ot*D180</f>
        <v>10.64</v>
      </c>
      <c r="E181" s="14" t="n">
        <f aca="false">E179+w_ot*E180</f>
        <v>15.3</v>
      </c>
      <c r="F181" s="14" t="n">
        <f aca="false">F179+w_ot*F180</f>
        <v>16.3</v>
      </c>
      <c r="G181" s="14" t="n">
        <f aca="false">G179+w_ot*G180</f>
        <v>18.42</v>
      </c>
    </row>
    <row r="182" customFormat="false" ht="17.15" hidden="false" customHeight="false" outlineLevel="0" collapsed="false">
      <c r="A182" s="0" t="s">
        <v>428</v>
      </c>
      <c r="B182" s="0" t="s">
        <v>238</v>
      </c>
      <c r="D182" s="14" t="n">
        <f aca="false">q26_e*ai_e</f>
        <v>243.75</v>
      </c>
      <c r="H182" s="8" t="s">
        <v>429</v>
      </c>
    </row>
    <row r="183" customFormat="false" ht="17.15" hidden="false" customHeight="false" outlineLevel="0" collapsed="false">
      <c r="A183" s="5" t="s">
        <v>430</v>
      </c>
      <c r="B183" s="5" t="s">
        <v>431</v>
      </c>
      <c r="D183" s="12" t="n">
        <f aca="false">D182/D181</f>
        <v>22.9088345864662</v>
      </c>
      <c r="H183" s="8" t="s">
        <v>432</v>
      </c>
    </row>
    <row r="184" customFormat="false" ht="17.15" hidden="false" customHeight="false" outlineLevel="0" collapsed="false">
      <c r="A184" s="5" t="s">
        <v>433</v>
      </c>
      <c r="B184" s="0" t="s">
        <v>142</v>
      </c>
      <c r="D184" s="18" t="n">
        <f aca="false">1</f>
        <v>1</v>
      </c>
      <c r="E184" s="18" t="n">
        <f aca="false">D184*(1+g_asp_lo)</f>
        <v>1.1</v>
      </c>
      <c r="F184" s="18" t="n">
        <f aca="false">E184*(1+g_asp_lo)</f>
        <v>1.21</v>
      </c>
      <c r="G184" s="18" t="n">
        <f aca="false">F184*(1+g_asp_lo)</f>
        <v>1.331</v>
      </c>
    </row>
    <row r="185" customFormat="false" ht="17.15" hidden="false" customHeight="false" outlineLevel="0" collapsed="false">
      <c r="A185" s="0" t="s">
        <v>434</v>
      </c>
      <c r="B185" s="0" t="s">
        <v>142</v>
      </c>
      <c r="D185" s="19" t="n">
        <f aca="false">1</f>
        <v>1</v>
      </c>
      <c r="E185" s="19" t="n">
        <f aca="false">rel_27</f>
        <v>0.95</v>
      </c>
      <c r="F185" s="19" t="n">
        <f aca="false">rel_28</f>
        <v>0.88</v>
      </c>
      <c r="G185" s="19" t="n">
        <f aca="false">rel_29</f>
        <v>0.85</v>
      </c>
    </row>
    <row r="186" customFormat="false" ht="17.15" hidden="false" customHeight="false" outlineLevel="0" collapsed="false">
      <c r="A186" s="5" t="s">
        <v>435</v>
      </c>
      <c r="B186" s="0" t="s">
        <v>142</v>
      </c>
      <c r="D186" s="19" t="n">
        <f aca="false">1</f>
        <v>1</v>
      </c>
      <c r="E186" s="19" t="n">
        <f aca="false">pp_27</f>
        <v>1</v>
      </c>
      <c r="F186" s="19" t="n">
        <f aca="false">pp_28</f>
        <v>0.95</v>
      </c>
      <c r="G186" s="19" t="n">
        <f aca="false">pp_29</f>
        <v>0.9</v>
      </c>
    </row>
    <row r="187" customFormat="false" ht="17.15" hidden="false" customHeight="false" outlineLevel="0" collapsed="false">
      <c r="A187" s="0" t="s">
        <v>397</v>
      </c>
      <c r="B187" s="0" t="s">
        <v>238</v>
      </c>
      <c r="D187" s="14" t="n">
        <f aca="false">D182</f>
        <v>243.75</v>
      </c>
      <c r="E187" s="14" t="n">
        <f aca="false">E181*$D$183*E184*E185*E186</f>
        <v>366.277901785714</v>
      </c>
      <c r="F187" s="14" t="n">
        <f aca="false">F181*$D$183*F184*F185*F186</f>
        <v>377.730669642857</v>
      </c>
      <c r="G187" s="14" t="n">
        <f aca="false">G181*$D$183*G184*G185*G186</f>
        <v>429.667112135808</v>
      </c>
    </row>
    <row r="188" customFormat="false" ht="17.15" hidden="false" customHeight="false" outlineLevel="0" collapsed="false">
      <c r="A188" s="1" t="s">
        <v>436</v>
      </c>
    </row>
    <row r="189" customFormat="false" ht="17.15" hidden="false" customHeight="false" outlineLevel="0" collapsed="false">
      <c r="A189" s="5" t="s">
        <v>437</v>
      </c>
      <c r="B189" s="0" t="s">
        <v>238</v>
      </c>
      <c r="D189" s="14" t="n">
        <f aca="false">q26_e-D187</f>
        <v>131.25</v>
      </c>
      <c r="E189" s="14" t="n">
        <f aca="false">D189*(1+g_ne)</f>
        <v>137.8125</v>
      </c>
      <c r="F189" s="14" t="n">
        <f aca="false">E189*(1+g_ne)</f>
        <v>144.703125</v>
      </c>
      <c r="G189" s="14" t="n">
        <f aca="false">F189*(1+g_ne)</f>
        <v>151.93828125</v>
      </c>
    </row>
    <row r="190" customFormat="false" ht="15" hidden="false" customHeight="false" outlineLevel="0" collapsed="false">
      <c r="A190" s="5" t="s">
        <v>438</v>
      </c>
      <c r="B190" s="0" t="s">
        <v>238</v>
      </c>
      <c r="C190" s="14" t="n">
        <f aca="false">q25_e</f>
        <v>243.316</v>
      </c>
      <c r="D190" s="14" t="n">
        <f aca="false">D187+D189</f>
        <v>375</v>
      </c>
      <c r="E190" s="14" t="n">
        <f aca="false">E187+E189</f>
        <v>504.090401785714</v>
      </c>
      <c r="F190" s="14" t="n">
        <f aca="false">F187+F189</f>
        <v>522.433794642857</v>
      </c>
      <c r="G190" s="14" t="n">
        <f aca="false">G187+G189</f>
        <v>581.605393385808</v>
      </c>
    </row>
    <row r="191" customFormat="false" ht="17.15" hidden="false" customHeight="false" outlineLevel="0" collapsed="false">
      <c r="A191" s="0" t="s">
        <v>439</v>
      </c>
      <c r="B191" s="0" t="s">
        <v>42</v>
      </c>
      <c r="D191" s="13" t="n">
        <f aca="false">(q26_eoi-m_ne*D189)/D187</f>
        <v>0.370512820512821</v>
      </c>
      <c r="H191" s="8" t="s">
        <v>440</v>
      </c>
    </row>
    <row r="192" customFormat="false" ht="17.15" hidden="false" customHeight="false" outlineLevel="0" collapsed="false">
      <c r="A192" s="0" t="s">
        <v>441</v>
      </c>
      <c r="B192" s="0" t="s">
        <v>42</v>
      </c>
      <c r="D192" s="13" t="n">
        <f aca="false">D191</f>
        <v>0.370512820512821</v>
      </c>
      <c r="E192" s="13" t="n">
        <f aca="false">1-(1-$D$191)/E186</f>
        <v>0.370512820512821</v>
      </c>
      <c r="F192" s="13" t="n">
        <f aca="false">1-(1-$D$191)/F186</f>
        <v>0.337381916329285</v>
      </c>
      <c r="G192" s="13" t="n">
        <f aca="false">1-(1-$D$191)/G186</f>
        <v>0.300569800569801</v>
      </c>
      <c r="H192" s="8" t="s">
        <v>442</v>
      </c>
    </row>
    <row r="193" customFormat="false" ht="15" hidden="false" customHeight="false" outlineLevel="0" collapsed="false">
      <c r="A193" s="5" t="s">
        <v>443</v>
      </c>
      <c r="B193" s="0" t="s">
        <v>238</v>
      </c>
      <c r="C193" s="14" t="n">
        <f aca="false">q25_eoi</f>
        <v>45.248</v>
      </c>
      <c r="D193" s="14" t="n">
        <f aca="false">D187*D192+D189*m_ne</f>
        <v>110</v>
      </c>
      <c r="E193" s="14" t="n">
        <f aca="false">E187*E192+E189*m_ne</f>
        <v>156.382533482143</v>
      </c>
      <c r="F193" s="14" t="n">
        <f aca="false">F187*F192+F189*m_ne</f>
        <v>149.144965930451</v>
      </c>
      <c r="G193" s="14" t="n">
        <f aca="false">G187*G192+G189*m_ne</f>
        <v>151.935700393562</v>
      </c>
    </row>
    <row r="194" customFormat="false" ht="15" hidden="false" customHeight="false" outlineLevel="0" collapsed="false">
      <c r="A194" s="5" t="s">
        <v>376</v>
      </c>
      <c r="B194" s="0" t="s">
        <v>42</v>
      </c>
      <c r="C194" s="13" t="n">
        <f aca="false">C193/C190</f>
        <v>0.185963931677325</v>
      </c>
      <c r="D194" s="13" t="n">
        <f aca="false">D193/D190</f>
        <v>0.293333333333333</v>
      </c>
      <c r="E194" s="13" t="n">
        <f aca="false">E193/E190</f>
        <v>0.310227159509814</v>
      </c>
      <c r="F194" s="13" t="n">
        <f aca="false">F193/F190</f>
        <v>0.285481083842229</v>
      </c>
      <c r="G194" s="13" t="n">
        <f aca="false">G193/G190</f>
        <v>0.261235026568565</v>
      </c>
    </row>
    <row r="195" customFormat="false" ht="17.15" hidden="false" customHeight="false" outlineLevel="0" collapsed="false">
      <c r="A195" s="1" t="s">
        <v>444</v>
      </c>
    </row>
    <row r="196" customFormat="false" ht="15" hidden="false" customHeight="false" outlineLevel="0" collapsed="false">
      <c r="A196" s="5" t="s">
        <v>445</v>
      </c>
      <c r="B196" s="0" t="s">
        <v>238</v>
      </c>
      <c r="C196" s="14" t="n">
        <f aca="false">q25_cer</f>
        <v>82.554</v>
      </c>
      <c r="D196" s="14" t="n">
        <f aca="false">q26_cer</f>
        <v>84</v>
      </c>
      <c r="E196" s="14" t="n">
        <f aca="false">D196*(1+g_cer)</f>
        <v>84</v>
      </c>
      <c r="F196" s="14" t="n">
        <f aca="false">E196*(1+g_cer)</f>
        <v>84</v>
      </c>
      <c r="G196" s="14" t="n">
        <f aca="false">F196*(1+g_cer)</f>
        <v>84</v>
      </c>
    </row>
    <row r="197" customFormat="false" ht="15" hidden="false" customHeight="false" outlineLevel="0" collapsed="false">
      <c r="A197" s="5" t="s">
        <v>446</v>
      </c>
      <c r="B197" s="0" t="s">
        <v>238</v>
      </c>
      <c r="C197" s="14" t="n">
        <f aca="false">q25_oth</f>
        <v>90.33</v>
      </c>
      <c r="D197" s="14" t="n">
        <f aca="false">q26_oth</f>
        <v>91</v>
      </c>
      <c r="E197" s="14" t="n">
        <f aca="false">D197*(1+g_oth)</f>
        <v>93.73</v>
      </c>
      <c r="F197" s="14" t="n">
        <f aca="false">E197*(1+g_oth)</f>
        <v>96.5419</v>
      </c>
      <c r="G197" s="14" t="n">
        <f aca="false">F197*(1+g_oth)</f>
        <v>99.438157</v>
      </c>
    </row>
    <row r="198" customFormat="false" ht="15" hidden="false" customHeight="false" outlineLevel="0" collapsed="false">
      <c r="A198" s="5" t="s">
        <v>365</v>
      </c>
      <c r="B198" s="0" t="s">
        <v>238</v>
      </c>
      <c r="C198" s="14" t="n">
        <f aca="false">C190+C196+C197</f>
        <v>416.2</v>
      </c>
      <c r="D198" s="14" t="n">
        <f aca="false">D190+D196+D197</f>
        <v>550</v>
      </c>
      <c r="E198" s="14" t="n">
        <f aca="false">E190+E196+E197</f>
        <v>681.820401785714</v>
      </c>
      <c r="F198" s="14" t="n">
        <f aca="false">F190+F196+F197</f>
        <v>702.975694642857</v>
      </c>
      <c r="G198" s="14" t="n">
        <f aca="false">G190+G196+G197</f>
        <v>765.043550385808</v>
      </c>
    </row>
    <row r="199" customFormat="false" ht="15" hidden="false" customHeight="false" outlineLevel="0" collapsed="false">
      <c r="A199" s="5" t="s">
        <v>447</v>
      </c>
      <c r="B199" s="0" t="s">
        <v>42</v>
      </c>
      <c r="D199" s="13" t="n">
        <f aca="false">D198/C198-1</f>
        <v>0.321480057664584</v>
      </c>
      <c r="E199" s="13" t="n">
        <f aca="false">E198/D198-1</f>
        <v>0.239673457792208</v>
      </c>
      <c r="F199" s="13" t="n">
        <f aca="false">F198/E198-1</f>
        <v>0.0310276618325538</v>
      </c>
      <c r="G199" s="13" t="n">
        <f aca="false">G198/F198-1</f>
        <v>0.0882930323422979</v>
      </c>
    </row>
    <row r="200" customFormat="false" ht="17.15" hidden="false" customHeight="false" outlineLevel="0" collapsed="false">
      <c r="A200" s="0" t="s">
        <v>448</v>
      </c>
      <c r="B200" s="0" t="s">
        <v>42</v>
      </c>
      <c r="D200" s="13" t="n">
        <f aca="false">D187/D198</f>
        <v>0.443181818181818</v>
      </c>
      <c r="E200" s="13" t="n">
        <f aca="false">E187/E198</f>
        <v>0.53720584016908</v>
      </c>
      <c r="F200" s="13" t="n">
        <f aca="false">F187/F198</f>
        <v>0.537331052156449</v>
      </c>
      <c r="G200" s="13" t="n">
        <f aca="false">G187/G198</f>
        <v>0.561624383238221</v>
      </c>
    </row>
    <row r="201" customFormat="false" ht="15" hidden="false" customHeight="false" outlineLevel="0" collapsed="false">
      <c r="A201" s="5" t="s">
        <v>449</v>
      </c>
      <c r="B201" s="0" t="s">
        <v>238</v>
      </c>
      <c r="C201" s="14" t="n">
        <f aca="false">q25_oi-q25_eoi</f>
        <v>16.779</v>
      </c>
      <c r="D201" s="14" t="n">
        <f aca="false">q26_oi-q26_eoi</f>
        <v>17</v>
      </c>
      <c r="E201" s="14" t="n">
        <f aca="false">E196*m_cer+E197*m_oth+q26_adj</f>
        <v>17.24695</v>
      </c>
      <c r="F201" s="14" t="n">
        <f aca="false">F196*m_cer+F197*m_oth+q26_adj</f>
        <v>17.5703185</v>
      </c>
      <c r="G201" s="14" t="n">
        <f aca="false">G196*m_cer+G197*m_oth+q26_adj</f>
        <v>17.903388055</v>
      </c>
    </row>
    <row r="202" customFormat="false" ht="15" hidden="false" customHeight="false" outlineLevel="0" collapsed="false">
      <c r="A202" s="5" t="s">
        <v>370</v>
      </c>
      <c r="B202" s="0" t="s">
        <v>238</v>
      </c>
      <c r="C202" s="14" t="n">
        <f aca="false">C193+C201</f>
        <v>62.027</v>
      </c>
      <c r="D202" s="14" t="n">
        <f aca="false">D193+D201</f>
        <v>127</v>
      </c>
      <c r="E202" s="14" t="n">
        <f aca="false">E193+E201</f>
        <v>173.629483482143</v>
      </c>
      <c r="F202" s="14" t="n">
        <f aca="false">F193+F201</f>
        <v>166.715284430451</v>
      </c>
      <c r="G202" s="14" t="n">
        <f aca="false">G193+G201</f>
        <v>169.839088448562</v>
      </c>
    </row>
    <row r="203" customFormat="false" ht="15" hidden="false" customHeight="false" outlineLevel="0" collapsed="false">
      <c r="A203" s="5" t="s">
        <v>377</v>
      </c>
      <c r="B203" s="0" t="s">
        <v>42</v>
      </c>
      <c r="C203" s="13" t="n">
        <f aca="false">C202/C198</f>
        <v>0.149031715521384</v>
      </c>
      <c r="D203" s="13" t="n">
        <f aca="false">D202/D198</f>
        <v>0.230909090909091</v>
      </c>
      <c r="E203" s="13" t="n">
        <f aca="false">E202/E198</f>
        <v>0.254655746626825</v>
      </c>
      <c r="F203" s="13" t="n">
        <f aca="false">F202/F198</f>
        <v>0.23715654140098</v>
      </c>
      <c r="G203" s="13" t="n">
        <f aca="false">G202/G198</f>
        <v>0.221999242216882</v>
      </c>
    </row>
    <row r="204" customFormat="false" ht="15" hidden="false" customHeight="false" outlineLevel="0" collapsed="false">
      <c r="A204" s="5" t="s">
        <v>372</v>
      </c>
      <c r="B204" s="0" t="s">
        <v>238</v>
      </c>
      <c r="C204" s="14" t="n">
        <f aca="false">q25_ni</f>
        <v>63.713</v>
      </c>
      <c r="D204" s="14" t="n">
        <f aca="false">q26_ni</f>
        <v>84</v>
      </c>
      <c r="E204" s="14" t="n">
        <f aca="false">E202*ni_oi</f>
        <v>114.769088581696</v>
      </c>
      <c r="F204" s="14" t="n">
        <f aca="false">F202*ni_oi</f>
        <v>110.198803008528</v>
      </c>
      <c r="G204" s="14" t="n">
        <f aca="false">G202*ni_oi</f>
        <v>112.2636374645</v>
      </c>
    </row>
    <row r="205" customFormat="false" ht="15" hidden="false" customHeight="false" outlineLevel="0" collapsed="false">
      <c r="A205" s="5" t="s">
        <v>450</v>
      </c>
      <c r="B205" s="5" t="s">
        <v>451</v>
      </c>
      <c r="D205" s="15" t="n">
        <f aca="false">q26_sh</f>
        <v>0.561197220737574</v>
      </c>
      <c r="E205" s="15" t="n">
        <f aca="false">D205*(1+sh_g)</f>
        <v>0.561197220737574</v>
      </c>
      <c r="F205" s="15" t="n">
        <f aca="false">E205*(1+sh_g)</f>
        <v>0.561197220737574</v>
      </c>
      <c r="G205" s="15" t="n">
        <f aca="false">F205*(1+sh_g)</f>
        <v>0.561197220737574</v>
      </c>
    </row>
    <row r="206" customFormat="false" ht="17.15" hidden="false" customHeight="false" outlineLevel="0" collapsed="false">
      <c r="A206" s="0" t="s">
        <v>452</v>
      </c>
      <c r="B206" s="0" t="s">
        <v>263</v>
      </c>
      <c r="C206" s="14" t="n">
        <f aca="false">q25_eps</f>
        <v>114.08</v>
      </c>
      <c r="D206" s="14" t="n">
        <f aca="false">D204/D205</f>
        <v>149.68</v>
      </c>
      <c r="E206" s="14" t="n">
        <f aca="false">E204/E205</f>
        <v>204.507585463194</v>
      </c>
      <c r="F206" s="14" t="n">
        <f aca="false">F204/F205</f>
        <v>196.363771837101</v>
      </c>
      <c r="G206" s="14" t="n">
        <f aca="false">G204/G205</f>
        <v>200.043110186742</v>
      </c>
    </row>
    <row r="207" customFormat="false" ht="17.15" hidden="false" customHeight="false" outlineLevel="0" collapsed="false">
      <c r="A207" s="0" t="s">
        <v>453</v>
      </c>
      <c r="B207" s="0" t="s">
        <v>42</v>
      </c>
      <c r="D207" s="13" t="n">
        <f aca="false">D206/C206-1</f>
        <v>0.312061711079944</v>
      </c>
      <c r="E207" s="13" t="n">
        <f aca="false">E206/D206-1</f>
        <v>0.366298673591624</v>
      </c>
      <c r="F207" s="13" t="n">
        <f aca="false">F206/E206-1</f>
        <v>-0.0398215724255311</v>
      </c>
      <c r="G207" s="13" t="n">
        <f aca="false">G206/F206-1</f>
        <v>0.0187373582979076</v>
      </c>
    </row>
    <row r="210" customFormat="false" ht="17.15" hidden="false" customHeight="false" outlineLevel="0" collapsed="false">
      <c r="A210" s="3" t="s">
        <v>701</v>
      </c>
    </row>
    <row r="211" customFormat="false" ht="17.15" hidden="false" customHeight="false" outlineLevel="0" collapsed="false">
      <c r="A211" s="6" t="s">
        <v>19</v>
      </c>
      <c r="B211" s="6" t="s">
        <v>20</v>
      </c>
      <c r="C211" s="11" t="s">
        <v>361</v>
      </c>
      <c r="D211" s="11" t="s">
        <v>408</v>
      </c>
      <c r="E211" s="11" t="s">
        <v>384</v>
      </c>
      <c r="F211" s="11" t="s">
        <v>385</v>
      </c>
      <c r="G211" s="11" t="s">
        <v>386</v>
      </c>
      <c r="H211" s="6" t="s">
        <v>364</v>
      </c>
    </row>
    <row r="212" customFormat="false" ht="17.15" hidden="false" customHeight="false" outlineLevel="0" collapsed="false">
      <c r="A212" s="1" t="s">
        <v>422</v>
      </c>
    </row>
    <row r="213" customFormat="false" ht="17.15" hidden="false" customHeight="false" outlineLevel="0" collapsed="false">
      <c r="A213" s="0" t="s">
        <v>423</v>
      </c>
      <c r="B213" s="5" t="s">
        <v>30</v>
      </c>
      <c r="D213" s="14" t="n">
        <f aca="false">(u_bw_26+u_rb_26+u_ru_26+u_hp_26)*1</f>
        <v>7.6</v>
      </c>
      <c r="E213" s="14" t="n">
        <f aca="false">(u_bw_27+u_rb_27+u_ru_27+u_hp_27)*1</f>
        <v>9.7</v>
      </c>
      <c r="F213" s="14" t="n">
        <f aca="false">(u_bw_28+u_rb_28+u_ru_28+u_hp_28)*um28_A</f>
        <v>9.5</v>
      </c>
      <c r="G213" s="14" t="n">
        <f aca="false">(u_bw_28*(1+g29_bw)+u_rb_28*(1+g29_rb)+u_ru_28*(1+g29_ru)+u_hp_28*(1+g29_hp))*um29_A</f>
        <v>10.6</v>
      </c>
      <c r="H213" s="8" t="s">
        <v>424</v>
      </c>
    </row>
    <row r="214" customFormat="false" ht="17.15" hidden="false" customHeight="false" outlineLevel="0" collapsed="false">
      <c r="A214" s="5" t="s">
        <v>425</v>
      </c>
      <c r="B214" s="5" t="s">
        <v>30</v>
      </c>
      <c r="D214" s="14" t="n">
        <f aca="false">(u_amd_26+u_tpu_26+u_trn_26+u_oth_26)*1</f>
        <v>7.6</v>
      </c>
      <c r="E214" s="14" t="n">
        <f aca="false">(u_amd_27+u_tpu_27+u_trn_27+u_oth_27)*1</f>
        <v>14</v>
      </c>
      <c r="F214" s="14" t="n">
        <f aca="false">(u_amd_28+u_tpu_28+u_trn_28+u_oth_28)*um28_A</f>
        <v>17</v>
      </c>
      <c r="G214" s="14" t="n">
        <f aca="false">(u_amd_28*(1+g29_amd)+u_tpu_28*(1+g29_tpu)+u_trn_28*(1+g29_trn)+u_oth_28*(1+g29_oth))*um29_A</f>
        <v>19.55</v>
      </c>
      <c r="H214" s="8" t="s">
        <v>426</v>
      </c>
    </row>
    <row r="215" customFormat="false" ht="17.15" hidden="false" customHeight="false" outlineLevel="0" collapsed="false">
      <c r="A215" s="5" t="s">
        <v>427</v>
      </c>
      <c r="B215" s="5" t="s">
        <v>30</v>
      </c>
      <c r="D215" s="14" t="n">
        <f aca="false">D213+w_ot*D214</f>
        <v>10.64</v>
      </c>
      <c r="E215" s="14" t="n">
        <f aca="false">E213+w_ot*E214</f>
        <v>15.3</v>
      </c>
      <c r="F215" s="14" t="n">
        <f aca="false">F213+w_ot*F214</f>
        <v>16.3</v>
      </c>
      <c r="G215" s="14" t="n">
        <f aca="false">G213+w_ot*G214</f>
        <v>18.42</v>
      </c>
    </row>
    <row r="216" customFormat="false" ht="17.15" hidden="false" customHeight="false" outlineLevel="0" collapsed="false">
      <c r="A216" s="0" t="s">
        <v>428</v>
      </c>
      <c r="B216" s="0" t="s">
        <v>238</v>
      </c>
      <c r="D216" s="14" t="n">
        <f aca="false">q26_e*ai_e</f>
        <v>243.75</v>
      </c>
      <c r="H216" s="8" t="s">
        <v>429</v>
      </c>
    </row>
    <row r="217" customFormat="false" ht="17.15" hidden="false" customHeight="false" outlineLevel="0" collapsed="false">
      <c r="A217" s="5" t="s">
        <v>430</v>
      </c>
      <c r="B217" s="5" t="s">
        <v>431</v>
      </c>
      <c r="D217" s="12" t="n">
        <f aca="false">D216/D215</f>
        <v>22.9088345864662</v>
      </c>
      <c r="H217" s="8" t="s">
        <v>432</v>
      </c>
    </row>
    <row r="218" customFormat="false" ht="17.15" hidden="false" customHeight="false" outlineLevel="0" collapsed="false">
      <c r="A218" s="5" t="s">
        <v>433</v>
      </c>
      <c r="B218" s="0" t="s">
        <v>142</v>
      </c>
      <c r="D218" s="18" t="n">
        <f aca="false">1</f>
        <v>1</v>
      </c>
      <c r="E218" s="18" t="n">
        <f aca="false">D218*(1+g_asp_hi)</f>
        <v>1.22</v>
      </c>
      <c r="F218" s="18" t="n">
        <f aca="false">E218*(1+g_asp_hi)</f>
        <v>1.4884</v>
      </c>
      <c r="G218" s="18" t="n">
        <f aca="false">F218*(1+g_asp_hi)</f>
        <v>1.815848</v>
      </c>
    </row>
    <row r="219" customFormat="false" ht="17.15" hidden="false" customHeight="false" outlineLevel="0" collapsed="false">
      <c r="A219" s="0" t="s">
        <v>434</v>
      </c>
      <c r="B219" s="0" t="s">
        <v>142</v>
      </c>
      <c r="D219" s="19" t="n">
        <f aca="false">1</f>
        <v>1</v>
      </c>
      <c r="E219" s="19" t="n">
        <f aca="false">rel_27</f>
        <v>0.95</v>
      </c>
      <c r="F219" s="19" t="n">
        <f aca="false">rel_28</f>
        <v>0.88</v>
      </c>
      <c r="G219" s="19" t="n">
        <f aca="false">rel_29</f>
        <v>0.85</v>
      </c>
    </row>
    <row r="220" customFormat="false" ht="17.15" hidden="false" customHeight="false" outlineLevel="0" collapsed="false">
      <c r="A220" s="5" t="s">
        <v>435</v>
      </c>
      <c r="B220" s="0" t="s">
        <v>142</v>
      </c>
      <c r="D220" s="19" t="n">
        <f aca="false">1</f>
        <v>1</v>
      </c>
      <c r="E220" s="19" t="n">
        <f aca="false">pp_27</f>
        <v>1</v>
      </c>
      <c r="F220" s="19" t="n">
        <f aca="false">pp_28</f>
        <v>0.95</v>
      </c>
      <c r="G220" s="19" t="n">
        <f aca="false">pp_29</f>
        <v>0.9</v>
      </c>
    </row>
    <row r="221" customFormat="false" ht="17.15" hidden="false" customHeight="false" outlineLevel="0" collapsed="false">
      <c r="A221" s="0" t="s">
        <v>397</v>
      </c>
      <c r="B221" s="0" t="s">
        <v>238</v>
      </c>
      <c r="D221" s="14" t="n">
        <f aca="false">D216</f>
        <v>243.75</v>
      </c>
      <c r="E221" s="14" t="n">
        <f aca="false">E215*$D$217*E218*E219*E220</f>
        <v>406.235491071429</v>
      </c>
      <c r="F221" s="14" t="n">
        <f aca="false">F215*$D$217*F218*F219*F220</f>
        <v>464.639941071429</v>
      </c>
      <c r="G221" s="14" t="n">
        <f aca="false">G215*$D$217*G218*G219*G220</f>
        <v>586.183445708177</v>
      </c>
    </row>
    <row r="222" customFormat="false" ht="17.15" hidden="false" customHeight="false" outlineLevel="0" collapsed="false">
      <c r="A222" s="1" t="s">
        <v>436</v>
      </c>
    </row>
    <row r="223" customFormat="false" ht="17.15" hidden="false" customHeight="false" outlineLevel="0" collapsed="false">
      <c r="A223" s="5" t="s">
        <v>437</v>
      </c>
      <c r="B223" s="0" t="s">
        <v>238</v>
      </c>
      <c r="D223" s="14" t="n">
        <f aca="false">q26_e-D221</f>
        <v>131.25</v>
      </c>
      <c r="E223" s="14" t="n">
        <f aca="false">D223*(1+g_ne)</f>
        <v>137.8125</v>
      </c>
      <c r="F223" s="14" t="n">
        <f aca="false">E223*(1+g_ne)</f>
        <v>144.703125</v>
      </c>
      <c r="G223" s="14" t="n">
        <f aca="false">F223*(1+g_ne)</f>
        <v>151.93828125</v>
      </c>
    </row>
    <row r="224" customFormat="false" ht="15" hidden="false" customHeight="false" outlineLevel="0" collapsed="false">
      <c r="A224" s="5" t="s">
        <v>438</v>
      </c>
      <c r="B224" s="0" t="s">
        <v>238</v>
      </c>
      <c r="C224" s="14" t="n">
        <f aca="false">q25_e</f>
        <v>243.316</v>
      </c>
      <c r="D224" s="14" t="n">
        <f aca="false">D221+D223</f>
        <v>375</v>
      </c>
      <c r="E224" s="14" t="n">
        <f aca="false">E221+E223</f>
        <v>544.047991071428</v>
      </c>
      <c r="F224" s="14" t="n">
        <f aca="false">F221+F223</f>
        <v>609.343066071429</v>
      </c>
      <c r="G224" s="14" t="n">
        <f aca="false">G221+G223</f>
        <v>738.121726958177</v>
      </c>
    </row>
    <row r="225" customFormat="false" ht="17.15" hidden="false" customHeight="false" outlineLevel="0" collapsed="false">
      <c r="A225" s="0" t="s">
        <v>439</v>
      </c>
      <c r="B225" s="0" t="s">
        <v>42</v>
      </c>
      <c r="D225" s="13" t="n">
        <f aca="false">(q26_eoi-m_ne*D223)/D221</f>
        <v>0.370512820512821</v>
      </c>
      <c r="H225" s="8" t="s">
        <v>440</v>
      </c>
    </row>
    <row r="226" customFormat="false" ht="17.15" hidden="false" customHeight="false" outlineLevel="0" collapsed="false">
      <c r="A226" s="0" t="s">
        <v>441</v>
      </c>
      <c r="B226" s="0" t="s">
        <v>42</v>
      </c>
      <c r="D226" s="13" t="n">
        <f aca="false">D225</f>
        <v>0.370512820512821</v>
      </c>
      <c r="E226" s="13" t="n">
        <f aca="false">1-(1-$D$225)/E220</f>
        <v>0.370512820512821</v>
      </c>
      <c r="F226" s="13" t="n">
        <f aca="false">1-(1-$D$225)/F220</f>
        <v>0.337381916329285</v>
      </c>
      <c r="G226" s="13" t="n">
        <f aca="false">1-(1-$D$225)/G220</f>
        <v>0.300569800569801</v>
      </c>
      <c r="H226" s="8" t="s">
        <v>442</v>
      </c>
    </row>
    <row r="227" customFormat="false" ht="15" hidden="false" customHeight="false" outlineLevel="0" collapsed="false">
      <c r="A227" s="5" t="s">
        <v>443</v>
      </c>
      <c r="B227" s="0" t="s">
        <v>238</v>
      </c>
      <c r="C227" s="14" t="n">
        <f aca="false">q25_eoi</f>
        <v>45.248</v>
      </c>
      <c r="D227" s="14" t="n">
        <f aca="false">D221*D226+D223*m_ne</f>
        <v>110</v>
      </c>
      <c r="E227" s="14" t="n">
        <f aca="false">E221*E226+E223*m_ne</f>
        <v>171.187332589286</v>
      </c>
      <c r="F227" s="14" t="n">
        <f aca="false">F221*F226+F223*m_ne</f>
        <v>178.466582471805</v>
      </c>
      <c r="G227" s="14" t="n">
        <f aca="false">G221*G226+G223*m_ne</f>
        <v>198.979783561325</v>
      </c>
    </row>
    <row r="228" customFormat="false" ht="15" hidden="false" customHeight="false" outlineLevel="0" collapsed="false">
      <c r="A228" s="5" t="s">
        <v>376</v>
      </c>
      <c r="B228" s="0" t="s">
        <v>42</v>
      </c>
      <c r="C228" s="13" t="n">
        <f aca="false">C227/C224</f>
        <v>0.185963931677325</v>
      </c>
      <c r="D228" s="13" t="n">
        <f aca="false">D227/D224</f>
        <v>0.293333333333333</v>
      </c>
      <c r="E228" s="13" t="n">
        <f aca="false">E227/E224</f>
        <v>0.314654838173661</v>
      </c>
      <c r="F228" s="13" t="n">
        <f aca="false">F227/F224</f>
        <v>0.29288358628977</v>
      </c>
      <c r="G228" s="13" t="n">
        <f aca="false">G227/G224</f>
        <v>0.26957583863752</v>
      </c>
    </row>
    <row r="229" customFormat="false" ht="17.15" hidden="false" customHeight="false" outlineLevel="0" collapsed="false">
      <c r="A229" s="1" t="s">
        <v>444</v>
      </c>
    </row>
    <row r="230" customFormat="false" ht="15" hidden="false" customHeight="false" outlineLevel="0" collapsed="false">
      <c r="A230" s="5" t="s">
        <v>445</v>
      </c>
      <c r="B230" s="0" t="s">
        <v>238</v>
      </c>
      <c r="C230" s="14" t="n">
        <f aca="false">q25_cer</f>
        <v>82.554</v>
      </c>
      <c r="D230" s="14" t="n">
        <f aca="false">q26_cer</f>
        <v>84</v>
      </c>
      <c r="E230" s="14" t="n">
        <f aca="false">D230*(1+g_cer)</f>
        <v>84</v>
      </c>
      <c r="F230" s="14" t="n">
        <f aca="false">E230*(1+g_cer)</f>
        <v>84</v>
      </c>
      <c r="G230" s="14" t="n">
        <f aca="false">F230*(1+g_cer)</f>
        <v>84</v>
      </c>
    </row>
    <row r="231" customFormat="false" ht="15" hidden="false" customHeight="false" outlineLevel="0" collapsed="false">
      <c r="A231" s="5" t="s">
        <v>446</v>
      </c>
      <c r="B231" s="0" t="s">
        <v>238</v>
      </c>
      <c r="C231" s="14" t="n">
        <f aca="false">q25_oth</f>
        <v>90.33</v>
      </c>
      <c r="D231" s="14" t="n">
        <f aca="false">q26_oth</f>
        <v>91</v>
      </c>
      <c r="E231" s="14" t="n">
        <f aca="false">D231*(1+g_oth)</f>
        <v>93.73</v>
      </c>
      <c r="F231" s="14" t="n">
        <f aca="false">E231*(1+g_oth)</f>
        <v>96.5419</v>
      </c>
      <c r="G231" s="14" t="n">
        <f aca="false">F231*(1+g_oth)</f>
        <v>99.438157</v>
      </c>
    </row>
    <row r="232" customFormat="false" ht="15" hidden="false" customHeight="false" outlineLevel="0" collapsed="false">
      <c r="A232" s="5" t="s">
        <v>365</v>
      </c>
      <c r="B232" s="0" t="s">
        <v>238</v>
      </c>
      <c r="C232" s="14" t="n">
        <f aca="false">C224+C230+C231</f>
        <v>416.2</v>
      </c>
      <c r="D232" s="14" t="n">
        <f aca="false">D224+D230+D231</f>
        <v>550</v>
      </c>
      <c r="E232" s="14" t="n">
        <f aca="false">E224+E230+E231</f>
        <v>721.777991071429</v>
      </c>
      <c r="F232" s="14" t="n">
        <f aca="false">F224+F230+F231</f>
        <v>789.884966071429</v>
      </c>
      <c r="G232" s="14" t="n">
        <f aca="false">G224+G230+G231</f>
        <v>921.559883958177</v>
      </c>
    </row>
    <row r="233" customFormat="false" ht="15" hidden="false" customHeight="false" outlineLevel="0" collapsed="false">
      <c r="A233" s="5" t="s">
        <v>447</v>
      </c>
      <c r="B233" s="0" t="s">
        <v>42</v>
      </c>
      <c r="D233" s="13" t="n">
        <f aca="false">D232/C232-1</f>
        <v>0.321480057664584</v>
      </c>
      <c r="E233" s="13" t="n">
        <f aca="false">E232/D232-1</f>
        <v>0.31232362012987</v>
      </c>
      <c r="F233" s="13" t="n">
        <f aca="false">F232/E232-1</f>
        <v>0.094360005212822</v>
      </c>
      <c r="G233" s="13" t="n">
        <f aca="false">G232/F232-1</f>
        <v>0.166701385065785</v>
      </c>
    </row>
    <row r="234" customFormat="false" ht="17.15" hidden="false" customHeight="false" outlineLevel="0" collapsed="false">
      <c r="A234" s="0" t="s">
        <v>448</v>
      </c>
      <c r="B234" s="0" t="s">
        <v>42</v>
      </c>
      <c r="D234" s="13" t="n">
        <f aca="false">D221/D232</f>
        <v>0.443181818181818</v>
      </c>
      <c r="E234" s="13" t="n">
        <f aca="false">E221/E232</f>
        <v>0.562826099017512</v>
      </c>
      <c r="F234" s="13" t="n">
        <f aca="false">F221/F232</f>
        <v>0.588237478910836</v>
      </c>
      <c r="G234" s="13" t="n">
        <f aca="false">G221/G232</f>
        <v>0.636077433395288</v>
      </c>
    </row>
    <row r="235" customFormat="false" ht="15" hidden="false" customHeight="false" outlineLevel="0" collapsed="false">
      <c r="A235" s="5" t="s">
        <v>449</v>
      </c>
      <c r="B235" s="0" t="s">
        <v>238</v>
      </c>
      <c r="C235" s="14" t="n">
        <f aca="false">q25_oi-q25_eoi</f>
        <v>16.779</v>
      </c>
      <c r="D235" s="14" t="n">
        <f aca="false">q26_oi-q26_eoi</f>
        <v>17</v>
      </c>
      <c r="E235" s="14" t="n">
        <f aca="false">E230*m_cer+E231*m_oth+q26_adj</f>
        <v>17.24695</v>
      </c>
      <c r="F235" s="14" t="n">
        <f aca="false">F230*m_cer+F231*m_oth+q26_adj</f>
        <v>17.5703185</v>
      </c>
      <c r="G235" s="14" t="n">
        <f aca="false">G230*m_cer+G231*m_oth+q26_adj</f>
        <v>17.903388055</v>
      </c>
    </row>
    <row r="236" customFormat="false" ht="15" hidden="false" customHeight="false" outlineLevel="0" collapsed="false">
      <c r="A236" s="5" t="s">
        <v>370</v>
      </c>
      <c r="B236" s="0" t="s">
        <v>238</v>
      </c>
      <c r="C236" s="14" t="n">
        <f aca="false">C227+C235</f>
        <v>62.027</v>
      </c>
      <c r="D236" s="14" t="n">
        <f aca="false">D227+D235</f>
        <v>127</v>
      </c>
      <c r="E236" s="14" t="n">
        <f aca="false">E227+E235</f>
        <v>188.434282589286</v>
      </c>
      <c r="F236" s="14" t="n">
        <f aca="false">F227+F235</f>
        <v>196.036900971805</v>
      </c>
      <c r="G236" s="14" t="n">
        <f aca="false">G227+G235</f>
        <v>216.883171616325</v>
      </c>
    </row>
    <row r="237" customFormat="false" ht="15" hidden="false" customHeight="false" outlineLevel="0" collapsed="false">
      <c r="A237" s="5" t="s">
        <v>377</v>
      </c>
      <c r="B237" s="0" t="s">
        <v>42</v>
      </c>
      <c r="C237" s="13" t="n">
        <f aca="false">C236/C232</f>
        <v>0.149031715521384</v>
      </c>
      <c r="D237" s="13" t="n">
        <f aca="false">D236/D232</f>
        <v>0.230909090909091</v>
      </c>
      <c r="E237" s="13" t="n">
        <f aca="false">E236/E232</f>
        <v>0.26106958776835</v>
      </c>
      <c r="F237" s="13" t="n">
        <f aca="false">F236/F232</f>
        <v>0.248184114639899</v>
      </c>
      <c r="G237" s="13" t="n">
        <f aca="false">G236/G232</f>
        <v>0.23534354673165</v>
      </c>
    </row>
    <row r="238" customFormat="false" ht="15" hidden="false" customHeight="false" outlineLevel="0" collapsed="false">
      <c r="A238" s="5" t="s">
        <v>372</v>
      </c>
      <c r="B238" s="0" t="s">
        <v>238</v>
      </c>
      <c r="C238" s="14" t="n">
        <f aca="false">q25_ni</f>
        <v>63.713</v>
      </c>
      <c r="D238" s="14" t="n">
        <f aca="false">q26_ni</f>
        <v>84</v>
      </c>
      <c r="E238" s="14" t="n">
        <f aca="false">E236*ni_oi</f>
        <v>124.555060791518</v>
      </c>
      <c r="F238" s="14" t="n">
        <f aca="false">F236*ni_oi</f>
        <v>129.580391542363</v>
      </c>
      <c r="G238" s="14" t="n">
        <f aca="false">G236*ni_oi</f>
        <v>143.359776438391</v>
      </c>
    </row>
    <row r="239" customFormat="false" ht="15" hidden="false" customHeight="false" outlineLevel="0" collapsed="false">
      <c r="A239" s="5" t="s">
        <v>450</v>
      </c>
      <c r="B239" s="5" t="s">
        <v>451</v>
      </c>
      <c r="D239" s="15" t="n">
        <f aca="false">q26_sh</f>
        <v>0.561197220737574</v>
      </c>
      <c r="E239" s="15" t="n">
        <f aca="false">D239*(1+sh_g)</f>
        <v>0.561197220737574</v>
      </c>
      <c r="F239" s="15" t="n">
        <f aca="false">E239*(1+sh_g)</f>
        <v>0.561197220737574</v>
      </c>
      <c r="G239" s="15" t="n">
        <f aca="false">F239*(1+sh_g)</f>
        <v>0.561197220737574</v>
      </c>
    </row>
    <row r="240" customFormat="false" ht="17.15" hidden="false" customHeight="false" outlineLevel="0" collapsed="false">
      <c r="A240" s="0" t="s">
        <v>452</v>
      </c>
      <c r="B240" s="0" t="s">
        <v>263</v>
      </c>
      <c r="C240" s="14" t="n">
        <f aca="false">q25_eps</f>
        <v>114.08</v>
      </c>
      <c r="D240" s="14" t="n">
        <f aca="false">D238/D239</f>
        <v>149.68</v>
      </c>
      <c r="E240" s="14" t="n">
        <f aca="false">E238/E239</f>
        <v>221.945255943743</v>
      </c>
      <c r="F240" s="14" t="n">
        <f aca="false">F238/F239</f>
        <v>230.89991673882</v>
      </c>
      <c r="G240" s="14" t="n">
        <f aca="false">G238/G239</f>
        <v>255.453468301171</v>
      </c>
    </row>
    <row r="241" customFormat="false" ht="17.15" hidden="false" customHeight="false" outlineLevel="0" collapsed="false">
      <c r="A241" s="0" t="s">
        <v>453</v>
      </c>
      <c r="B241" s="0" t="s">
        <v>42</v>
      </c>
      <c r="D241" s="13" t="n">
        <f aca="false">D240/C240-1</f>
        <v>0.312061711079944</v>
      </c>
      <c r="E241" s="13" t="n">
        <f aca="false">E240/D240-1</f>
        <v>0.482798342756165</v>
      </c>
      <c r="F241" s="13" t="n">
        <f aca="false">F240/E240-1</f>
        <v>0.0403462590673567</v>
      </c>
      <c r="G241" s="13" t="n">
        <f aca="false">G240/F240-1</f>
        <v>0.106338503318408</v>
      </c>
    </row>
    <row r="244" customFormat="false" ht="17.15" hidden="false" customHeight="false" outlineLevel="0" collapsed="false">
      <c r="A244" s="3" t="s">
        <v>702</v>
      </c>
    </row>
    <row r="245" customFormat="false" ht="17.15" hidden="false" customHeight="false" outlineLevel="0" collapsed="false">
      <c r="A245" s="6" t="s">
        <v>19</v>
      </c>
      <c r="B245" s="6" t="s">
        <v>20</v>
      </c>
      <c r="C245" s="11" t="s">
        <v>361</v>
      </c>
      <c r="D245" s="11" t="s">
        <v>408</v>
      </c>
      <c r="E245" s="11" t="s">
        <v>384</v>
      </c>
      <c r="F245" s="11" t="s">
        <v>385</v>
      </c>
      <c r="G245" s="11" t="s">
        <v>386</v>
      </c>
      <c r="H245" s="6" t="s">
        <v>364</v>
      </c>
    </row>
    <row r="246" customFormat="false" ht="17.15" hidden="false" customHeight="false" outlineLevel="0" collapsed="false">
      <c r="A246" s="1" t="s">
        <v>422</v>
      </c>
    </row>
    <row r="247" customFormat="false" ht="17.15" hidden="false" customHeight="false" outlineLevel="0" collapsed="false">
      <c r="A247" s="0" t="s">
        <v>423</v>
      </c>
      <c r="B247" s="5" t="s">
        <v>30</v>
      </c>
      <c r="D247" s="14" t="n">
        <f aca="false">(u_bw_26+u_rb_26+u_ru_26+u_hp_26)*1</f>
        <v>7.6</v>
      </c>
      <c r="E247" s="14" t="n">
        <f aca="false">(u_bw_27+u_rb_27+u_ru_27+u_hp_27)*1</f>
        <v>9.7</v>
      </c>
      <c r="F247" s="14" t="n">
        <f aca="false">(u_bw_28+u_rb_28+u_ru_28+u_hp_28)*um28_A</f>
        <v>9.5</v>
      </c>
      <c r="G247" s="14" t="n">
        <f aca="false">(u_bw_28*(1+g29_bw)+u_rb_28*(1+g29_rb)+u_ru_28*(1+g29_ru)+u_hp_28*(1+g29_hp))*um29_A</f>
        <v>10.6</v>
      </c>
      <c r="H247" s="8" t="s">
        <v>424</v>
      </c>
    </row>
    <row r="248" customFormat="false" ht="17.15" hidden="false" customHeight="false" outlineLevel="0" collapsed="false">
      <c r="A248" s="5" t="s">
        <v>425</v>
      </c>
      <c r="B248" s="5" t="s">
        <v>30</v>
      </c>
      <c r="D248" s="14" t="n">
        <f aca="false">(u_amd_26+u_tpu_26+u_trn_26+u_oth_26)*1</f>
        <v>7.6</v>
      </c>
      <c r="E248" s="14" t="n">
        <f aca="false">(u_amd_27+u_tpu_27+u_trn_27+u_oth_27)*1</f>
        <v>14</v>
      </c>
      <c r="F248" s="14" t="n">
        <f aca="false">(u_amd_28+u_tpu_28+u_trn_28+u_oth_28)*um28_A</f>
        <v>17</v>
      </c>
      <c r="G248" s="14" t="n">
        <f aca="false">(u_amd_28*(1+g29_amd)+u_tpu_28*(1+g29_tpu)+u_trn_28*(1+g29_trn)+u_oth_28*(1+g29_oth))*um29_A</f>
        <v>19.55</v>
      </c>
      <c r="H248" s="8" t="s">
        <v>426</v>
      </c>
    </row>
    <row r="249" customFormat="false" ht="17.15" hidden="false" customHeight="false" outlineLevel="0" collapsed="false">
      <c r="A249" s="5" t="s">
        <v>427</v>
      </c>
      <c r="B249" s="5" t="s">
        <v>30</v>
      </c>
      <c r="D249" s="14" t="n">
        <f aca="false">D247+w_ot_lo*D248</f>
        <v>9.12</v>
      </c>
      <c r="E249" s="14" t="n">
        <f aca="false">E247+w_ot_lo*E248</f>
        <v>12.5</v>
      </c>
      <c r="F249" s="14" t="n">
        <f aca="false">F247+w_ot_lo*F248</f>
        <v>12.9</v>
      </c>
      <c r="G249" s="14" t="n">
        <f aca="false">G247+w_ot_lo*G248</f>
        <v>14.51</v>
      </c>
    </row>
    <row r="250" customFormat="false" ht="17.15" hidden="false" customHeight="false" outlineLevel="0" collapsed="false">
      <c r="A250" s="0" t="s">
        <v>428</v>
      </c>
      <c r="B250" s="0" t="s">
        <v>238</v>
      </c>
      <c r="D250" s="14" t="n">
        <f aca="false">q26_e*ai_e</f>
        <v>243.75</v>
      </c>
      <c r="H250" s="8" t="s">
        <v>429</v>
      </c>
    </row>
    <row r="251" customFormat="false" ht="17.15" hidden="false" customHeight="false" outlineLevel="0" collapsed="false">
      <c r="A251" s="5" t="s">
        <v>430</v>
      </c>
      <c r="B251" s="5" t="s">
        <v>431</v>
      </c>
      <c r="D251" s="12" t="n">
        <f aca="false">D250/D249</f>
        <v>26.7269736842105</v>
      </c>
      <c r="H251" s="8" t="s">
        <v>432</v>
      </c>
    </row>
    <row r="252" customFormat="false" ht="17.15" hidden="false" customHeight="false" outlineLevel="0" collapsed="false">
      <c r="A252" s="5" t="s">
        <v>433</v>
      </c>
      <c r="B252" s="0" t="s">
        <v>142</v>
      </c>
      <c r="D252" s="18" t="n">
        <f aca="false">1</f>
        <v>1</v>
      </c>
      <c r="E252" s="18" t="n">
        <f aca="false">D252*(1+g_asp)</f>
        <v>1.18</v>
      </c>
      <c r="F252" s="18" t="n">
        <f aca="false">E252*(1+g_asp)</f>
        <v>1.3924</v>
      </c>
      <c r="G252" s="18" t="n">
        <f aca="false">F252*(1+g_asp)</f>
        <v>1.643032</v>
      </c>
    </row>
    <row r="253" customFormat="false" ht="17.15" hidden="false" customHeight="false" outlineLevel="0" collapsed="false">
      <c r="A253" s="0" t="s">
        <v>434</v>
      </c>
      <c r="B253" s="0" t="s">
        <v>142</v>
      </c>
      <c r="D253" s="19" t="n">
        <f aca="false">1</f>
        <v>1</v>
      </c>
      <c r="E253" s="19" t="n">
        <f aca="false">rel_27</f>
        <v>0.95</v>
      </c>
      <c r="F253" s="19" t="n">
        <f aca="false">rel_28</f>
        <v>0.88</v>
      </c>
      <c r="G253" s="19" t="n">
        <f aca="false">rel_29</f>
        <v>0.85</v>
      </c>
    </row>
    <row r="254" customFormat="false" ht="17.15" hidden="false" customHeight="false" outlineLevel="0" collapsed="false">
      <c r="A254" s="5" t="s">
        <v>435</v>
      </c>
      <c r="B254" s="0" t="s">
        <v>142</v>
      </c>
      <c r="D254" s="19" t="n">
        <f aca="false">1</f>
        <v>1</v>
      </c>
      <c r="E254" s="19" t="n">
        <f aca="false">pp_27</f>
        <v>1</v>
      </c>
      <c r="F254" s="19" t="n">
        <f aca="false">pp_28</f>
        <v>0.95</v>
      </c>
      <c r="G254" s="19" t="n">
        <f aca="false">pp_29</f>
        <v>0.9</v>
      </c>
    </row>
    <row r="255" customFormat="false" ht="17.15" hidden="false" customHeight="false" outlineLevel="0" collapsed="false">
      <c r="A255" s="0" t="s">
        <v>397</v>
      </c>
      <c r="B255" s="0" t="s">
        <v>238</v>
      </c>
      <c r="D255" s="14" t="n">
        <f aca="false">D250</f>
        <v>243.75</v>
      </c>
      <c r="E255" s="14" t="n">
        <f aca="false">E249*$D$251*E252*E253*E254</f>
        <v>374.51171875</v>
      </c>
      <c r="F255" s="14" t="n">
        <f aca="false">F249*$D$251*F252*F253*F254</f>
        <v>401.33754375</v>
      </c>
      <c r="G255" s="14" t="n">
        <f aca="false">G249*$D$251*G252*G253*G254</f>
        <v>487.443917583059</v>
      </c>
    </row>
    <row r="256" customFormat="false" ht="17.15" hidden="false" customHeight="false" outlineLevel="0" collapsed="false">
      <c r="A256" s="1" t="s">
        <v>436</v>
      </c>
    </row>
    <row r="257" customFormat="false" ht="17.15" hidden="false" customHeight="false" outlineLevel="0" collapsed="false">
      <c r="A257" s="5" t="s">
        <v>437</v>
      </c>
      <c r="B257" s="0" t="s">
        <v>238</v>
      </c>
      <c r="D257" s="14" t="n">
        <f aca="false">q26_e-D255</f>
        <v>131.25</v>
      </c>
      <c r="E257" s="14" t="n">
        <f aca="false">D257*(1+g_ne)</f>
        <v>137.8125</v>
      </c>
      <c r="F257" s="14" t="n">
        <f aca="false">E257*(1+g_ne)</f>
        <v>144.703125</v>
      </c>
      <c r="G257" s="14" t="n">
        <f aca="false">F257*(1+g_ne)</f>
        <v>151.93828125</v>
      </c>
    </row>
    <row r="258" customFormat="false" ht="15" hidden="false" customHeight="false" outlineLevel="0" collapsed="false">
      <c r="A258" s="5" t="s">
        <v>438</v>
      </c>
      <c r="B258" s="0" t="s">
        <v>238</v>
      </c>
      <c r="C258" s="14" t="n">
        <f aca="false">q25_e</f>
        <v>243.316</v>
      </c>
      <c r="D258" s="14" t="n">
        <f aca="false">D255+D257</f>
        <v>375</v>
      </c>
      <c r="E258" s="14" t="n">
        <f aca="false">E255+E257</f>
        <v>512.32421875</v>
      </c>
      <c r="F258" s="14" t="n">
        <f aca="false">F255+F257</f>
        <v>546.04066875</v>
      </c>
      <c r="G258" s="14" t="n">
        <f aca="false">G255+G257</f>
        <v>639.382198833059</v>
      </c>
    </row>
    <row r="259" customFormat="false" ht="17.15" hidden="false" customHeight="false" outlineLevel="0" collapsed="false">
      <c r="A259" s="0" t="s">
        <v>439</v>
      </c>
      <c r="B259" s="0" t="s">
        <v>42</v>
      </c>
      <c r="D259" s="13" t="n">
        <f aca="false">(q26_eoi-m_ne*D257)/D255</f>
        <v>0.370512820512821</v>
      </c>
      <c r="H259" s="8" t="s">
        <v>440</v>
      </c>
    </row>
    <row r="260" customFormat="false" ht="17.15" hidden="false" customHeight="false" outlineLevel="0" collapsed="false">
      <c r="A260" s="0" t="s">
        <v>441</v>
      </c>
      <c r="B260" s="0" t="s">
        <v>42</v>
      </c>
      <c r="D260" s="13" t="n">
        <f aca="false">D259</f>
        <v>0.370512820512821</v>
      </c>
      <c r="E260" s="13" t="n">
        <f aca="false">1-(1-$D$259)/E254</f>
        <v>0.370512820512821</v>
      </c>
      <c r="F260" s="13" t="n">
        <f aca="false">1-(1-$D$259)/F254</f>
        <v>0.337381916329285</v>
      </c>
      <c r="G260" s="13" t="n">
        <f aca="false">1-(1-$D$259)/G254</f>
        <v>0.300569800569801</v>
      </c>
      <c r="H260" s="8" t="s">
        <v>442</v>
      </c>
    </row>
    <row r="261" customFormat="false" ht="15" hidden="false" customHeight="false" outlineLevel="0" collapsed="false">
      <c r="A261" s="5" t="s">
        <v>443</v>
      </c>
      <c r="B261" s="0" t="s">
        <v>238</v>
      </c>
      <c r="C261" s="14" t="n">
        <f aca="false">q25_eoi</f>
        <v>45.248</v>
      </c>
      <c r="D261" s="14" t="n">
        <f aca="false">D255*D260+D257*m_ne</f>
        <v>110</v>
      </c>
      <c r="E261" s="14" t="n">
        <f aca="false">E255*E260+E257*m_ne</f>
        <v>159.433268229167</v>
      </c>
      <c r="F261" s="14" t="n">
        <f aca="false">F255*F260+F257*m_ne</f>
        <v>157.109498355263</v>
      </c>
      <c r="G261" s="14" t="n">
        <f aca="false">G255*G260+G257*m_ne</f>
        <v>169.301663284402</v>
      </c>
    </row>
    <row r="262" customFormat="false" ht="15" hidden="false" customHeight="false" outlineLevel="0" collapsed="false">
      <c r="A262" s="5" t="s">
        <v>376</v>
      </c>
      <c r="B262" s="0" t="s">
        <v>42</v>
      </c>
      <c r="C262" s="13" t="n">
        <f aca="false">C261/C258</f>
        <v>0.185963931677325</v>
      </c>
      <c r="D262" s="13" t="n">
        <f aca="false">D261/D258</f>
        <v>0.293333333333333</v>
      </c>
      <c r="E262" s="13" t="n">
        <f aca="false">E261/E258</f>
        <v>0.311196040308541</v>
      </c>
      <c r="F262" s="13" t="n">
        <f aca="false">F261/F258</f>
        <v>0.28772490282623</v>
      </c>
      <c r="G262" s="13" t="n">
        <f aca="false">G261/G258</f>
        <v>0.264789453934432</v>
      </c>
    </row>
    <row r="263" customFormat="false" ht="17.15" hidden="false" customHeight="false" outlineLevel="0" collapsed="false">
      <c r="A263" s="1" t="s">
        <v>444</v>
      </c>
    </row>
    <row r="264" customFormat="false" ht="15" hidden="false" customHeight="false" outlineLevel="0" collapsed="false">
      <c r="A264" s="5" t="s">
        <v>445</v>
      </c>
      <c r="B264" s="0" t="s">
        <v>238</v>
      </c>
      <c r="C264" s="14" t="n">
        <f aca="false">q25_cer</f>
        <v>82.554</v>
      </c>
      <c r="D264" s="14" t="n">
        <f aca="false">q26_cer</f>
        <v>84</v>
      </c>
      <c r="E264" s="14" t="n">
        <f aca="false">D264*(1+g_cer)</f>
        <v>84</v>
      </c>
      <c r="F264" s="14" t="n">
        <f aca="false">E264*(1+g_cer)</f>
        <v>84</v>
      </c>
      <c r="G264" s="14" t="n">
        <f aca="false">F264*(1+g_cer)</f>
        <v>84</v>
      </c>
    </row>
    <row r="265" customFormat="false" ht="15" hidden="false" customHeight="false" outlineLevel="0" collapsed="false">
      <c r="A265" s="5" t="s">
        <v>446</v>
      </c>
      <c r="B265" s="0" t="s">
        <v>238</v>
      </c>
      <c r="C265" s="14" t="n">
        <f aca="false">q25_oth</f>
        <v>90.33</v>
      </c>
      <c r="D265" s="14" t="n">
        <f aca="false">q26_oth</f>
        <v>91</v>
      </c>
      <c r="E265" s="14" t="n">
        <f aca="false">D265*(1+g_oth)</f>
        <v>93.73</v>
      </c>
      <c r="F265" s="14" t="n">
        <f aca="false">E265*(1+g_oth)</f>
        <v>96.5419</v>
      </c>
      <c r="G265" s="14" t="n">
        <f aca="false">F265*(1+g_oth)</f>
        <v>99.438157</v>
      </c>
    </row>
    <row r="266" customFormat="false" ht="15" hidden="false" customHeight="false" outlineLevel="0" collapsed="false">
      <c r="A266" s="5" t="s">
        <v>365</v>
      </c>
      <c r="B266" s="0" t="s">
        <v>238</v>
      </c>
      <c r="C266" s="14" t="n">
        <f aca="false">C258+C264+C265</f>
        <v>416.2</v>
      </c>
      <c r="D266" s="14" t="n">
        <f aca="false">D258+D264+D265</f>
        <v>550</v>
      </c>
      <c r="E266" s="14" t="n">
        <f aca="false">E258+E264+E265</f>
        <v>690.05421875</v>
      </c>
      <c r="F266" s="14" t="n">
        <f aca="false">F258+F264+F265</f>
        <v>726.58256875</v>
      </c>
      <c r="G266" s="14" t="n">
        <f aca="false">G258+G264+G265</f>
        <v>822.820355833059</v>
      </c>
    </row>
    <row r="267" customFormat="false" ht="15" hidden="false" customHeight="false" outlineLevel="0" collapsed="false">
      <c r="A267" s="5" t="s">
        <v>447</v>
      </c>
      <c r="B267" s="0" t="s">
        <v>42</v>
      </c>
      <c r="D267" s="13" t="n">
        <f aca="false">D266/C266-1</f>
        <v>0.321480057664584</v>
      </c>
      <c r="E267" s="13" t="n">
        <f aca="false">E266/D266-1</f>
        <v>0.254644034090909</v>
      </c>
      <c r="F267" s="13" t="n">
        <f aca="false">F266/E266-1</f>
        <v>0.0529354781225297</v>
      </c>
      <c r="G267" s="13" t="n">
        <f aca="false">G266/F266-1</f>
        <v>0.132452650561966</v>
      </c>
    </row>
    <row r="268" customFormat="false" ht="17.15" hidden="false" customHeight="false" outlineLevel="0" collapsed="false">
      <c r="A268" s="0" t="s">
        <v>448</v>
      </c>
      <c r="B268" s="0" t="s">
        <v>42</v>
      </c>
      <c r="D268" s="13" t="n">
        <f aca="false">D255/D266</f>
        <v>0.443181818181818</v>
      </c>
      <c r="E268" s="13" t="n">
        <f aca="false">E255/E266</f>
        <v>0.54272796046144</v>
      </c>
      <c r="F268" s="13" t="n">
        <f aca="false">F255/F266</f>
        <v>0.552363297732912</v>
      </c>
      <c r="G268" s="13" t="n">
        <f aca="false">G255/G266</f>
        <v>0.592406245333527</v>
      </c>
    </row>
    <row r="269" customFormat="false" ht="15" hidden="false" customHeight="false" outlineLevel="0" collapsed="false">
      <c r="A269" s="5" t="s">
        <v>449</v>
      </c>
      <c r="B269" s="0" t="s">
        <v>238</v>
      </c>
      <c r="C269" s="14" t="n">
        <f aca="false">q25_oi-q25_eoi</f>
        <v>16.779</v>
      </c>
      <c r="D269" s="14" t="n">
        <f aca="false">q26_oi-q26_eoi</f>
        <v>17</v>
      </c>
      <c r="E269" s="14" t="n">
        <f aca="false">E264*m_cer+E265*m_oth+q26_adj</f>
        <v>17.24695</v>
      </c>
      <c r="F269" s="14" t="n">
        <f aca="false">F264*m_cer+F265*m_oth+q26_adj</f>
        <v>17.5703185</v>
      </c>
      <c r="G269" s="14" t="n">
        <f aca="false">G264*m_cer+G265*m_oth+q26_adj</f>
        <v>17.903388055</v>
      </c>
    </row>
    <row r="270" customFormat="false" ht="15" hidden="false" customHeight="false" outlineLevel="0" collapsed="false">
      <c r="A270" s="5" t="s">
        <v>370</v>
      </c>
      <c r="B270" s="0" t="s">
        <v>238</v>
      </c>
      <c r="C270" s="14" t="n">
        <f aca="false">C261+C269</f>
        <v>62.027</v>
      </c>
      <c r="D270" s="14" t="n">
        <f aca="false">D261+D269</f>
        <v>127</v>
      </c>
      <c r="E270" s="14" t="n">
        <f aca="false">E261+E269</f>
        <v>176.680218229167</v>
      </c>
      <c r="F270" s="14" t="n">
        <f aca="false">F261+F269</f>
        <v>174.679816855263</v>
      </c>
      <c r="G270" s="14" t="n">
        <f aca="false">G261+G269</f>
        <v>187.205051339402</v>
      </c>
    </row>
    <row r="271" customFormat="false" ht="15" hidden="false" customHeight="false" outlineLevel="0" collapsed="false">
      <c r="A271" s="5" t="s">
        <v>377</v>
      </c>
      <c r="B271" s="0" t="s">
        <v>42</v>
      </c>
      <c r="C271" s="13" t="n">
        <f aca="false">C270/C266</f>
        <v>0.149031715521384</v>
      </c>
      <c r="D271" s="13" t="n">
        <f aca="false">D270/D266</f>
        <v>0.230909090909091</v>
      </c>
      <c r="E271" s="13" t="n">
        <f aca="false">E270/E266</f>
        <v>0.25603816834743</v>
      </c>
      <c r="F271" s="13" t="n">
        <f aca="false">F270/F266</f>
        <v>0.240412892310064</v>
      </c>
      <c r="G271" s="13" t="n">
        <f aca="false">G270/G266</f>
        <v>0.227516310227726</v>
      </c>
    </row>
    <row r="272" customFormat="false" ht="15" hidden="false" customHeight="false" outlineLevel="0" collapsed="false">
      <c r="A272" s="5" t="s">
        <v>372</v>
      </c>
      <c r="B272" s="0" t="s">
        <v>238</v>
      </c>
      <c r="C272" s="14" t="n">
        <f aca="false">q25_ni</f>
        <v>63.713</v>
      </c>
      <c r="D272" s="14" t="n">
        <f aca="false">q26_ni</f>
        <v>84</v>
      </c>
      <c r="E272" s="14" t="n">
        <f aca="false">E270*ni_oi</f>
        <v>116.785624249479</v>
      </c>
      <c r="F272" s="14" t="n">
        <f aca="false">F270*ni_oi</f>
        <v>115.463358941329</v>
      </c>
      <c r="G272" s="14" t="n">
        <f aca="false">G270*ni_oi</f>
        <v>123.742538935345</v>
      </c>
    </row>
    <row r="273" customFormat="false" ht="15" hidden="false" customHeight="false" outlineLevel="0" collapsed="false">
      <c r="A273" s="5" t="s">
        <v>450</v>
      </c>
      <c r="B273" s="5" t="s">
        <v>451</v>
      </c>
      <c r="D273" s="15" t="n">
        <f aca="false">q26_sh</f>
        <v>0.561197220737574</v>
      </c>
      <c r="E273" s="15" t="n">
        <f aca="false">D273*(1+sh_g)</f>
        <v>0.561197220737574</v>
      </c>
      <c r="F273" s="15" t="n">
        <f aca="false">E273*(1+sh_g)</f>
        <v>0.561197220737574</v>
      </c>
      <c r="G273" s="15" t="n">
        <f aca="false">F273*(1+sh_g)</f>
        <v>0.561197220737574</v>
      </c>
    </row>
    <row r="274" customFormat="false" ht="17.15" hidden="false" customHeight="false" outlineLevel="0" collapsed="false">
      <c r="A274" s="0" t="s">
        <v>452</v>
      </c>
      <c r="B274" s="0" t="s">
        <v>263</v>
      </c>
      <c r="C274" s="14" t="n">
        <f aca="false">q25_eps</f>
        <v>114.08</v>
      </c>
      <c r="D274" s="14" t="n">
        <f aca="false">D272/D273</f>
        <v>149.68</v>
      </c>
      <c r="E274" s="14" t="n">
        <f aca="false">E272/E273</f>
        <v>208.100859972167</v>
      </c>
      <c r="F274" s="14" t="n">
        <f aca="false">F272/F273</f>
        <v>205.744709123073</v>
      </c>
      <c r="G274" s="14" t="n">
        <f aca="false">G272/G273</f>
        <v>220.497419379077</v>
      </c>
    </row>
    <row r="275" customFormat="false" ht="17.15" hidden="false" customHeight="false" outlineLevel="0" collapsed="false">
      <c r="A275" s="0" t="s">
        <v>453</v>
      </c>
      <c r="B275" s="0" t="s">
        <v>42</v>
      </c>
      <c r="D275" s="13" t="n">
        <f aca="false">D274/C274-1</f>
        <v>0.312061711079944</v>
      </c>
      <c r="E275" s="13" t="n">
        <f aca="false">E274/D274-1</f>
        <v>0.390305050589038</v>
      </c>
      <c r="F275" s="13" t="n">
        <f aca="false">F274/E274-1</f>
        <v>-0.011322158156432</v>
      </c>
      <c r="G275" s="13" t="n">
        <f aca="false">G274/F274-1</f>
        <v>0.0717039593333066</v>
      </c>
    </row>
    <row r="278" customFormat="false" ht="17.15" hidden="false" customHeight="false" outlineLevel="0" collapsed="false">
      <c r="A278" s="3" t="s">
        <v>703</v>
      </c>
    </row>
    <row r="279" customFormat="false" ht="17.15" hidden="false" customHeight="false" outlineLevel="0" collapsed="false">
      <c r="A279" s="6" t="s">
        <v>19</v>
      </c>
      <c r="B279" s="6" t="s">
        <v>20</v>
      </c>
      <c r="C279" s="11" t="s">
        <v>361</v>
      </c>
      <c r="D279" s="11" t="s">
        <v>408</v>
      </c>
      <c r="E279" s="11" t="s">
        <v>384</v>
      </c>
      <c r="F279" s="11" t="s">
        <v>385</v>
      </c>
      <c r="G279" s="11" t="s">
        <v>386</v>
      </c>
      <c r="H279" s="6" t="s">
        <v>364</v>
      </c>
    </row>
    <row r="280" customFormat="false" ht="17.15" hidden="false" customHeight="false" outlineLevel="0" collapsed="false">
      <c r="A280" s="1" t="s">
        <v>422</v>
      </c>
    </row>
    <row r="281" customFormat="false" ht="17.15" hidden="false" customHeight="false" outlineLevel="0" collapsed="false">
      <c r="A281" s="0" t="s">
        <v>423</v>
      </c>
      <c r="B281" s="5" t="s">
        <v>30</v>
      </c>
      <c r="D281" s="14" t="n">
        <f aca="false">(u_bw_26+u_rb_26+u_ru_26+u_hp_26)*1</f>
        <v>7.6</v>
      </c>
      <c r="E281" s="14" t="n">
        <f aca="false">(u_bw_27+u_rb_27+u_ru_27+u_hp_27)*1</f>
        <v>9.7</v>
      </c>
      <c r="F281" s="14" t="n">
        <f aca="false">(u_bw_28+u_rb_28+u_ru_28+u_hp_28)*um28_A</f>
        <v>9.5</v>
      </c>
      <c r="G281" s="14" t="n">
        <f aca="false">(u_bw_28*(1+g29_bw)+u_rb_28*(1+g29_rb)+u_ru_28*(1+g29_ru)+u_hp_28*(1+g29_hp))*um29_A</f>
        <v>10.6</v>
      </c>
      <c r="H281" s="8" t="s">
        <v>424</v>
      </c>
    </row>
    <row r="282" customFormat="false" ht="17.15" hidden="false" customHeight="false" outlineLevel="0" collapsed="false">
      <c r="A282" s="5" t="s">
        <v>425</v>
      </c>
      <c r="B282" s="5" t="s">
        <v>30</v>
      </c>
      <c r="D282" s="14" t="n">
        <f aca="false">(u_amd_26+u_tpu_26+u_trn_26+u_oth_26)*1</f>
        <v>7.6</v>
      </c>
      <c r="E282" s="14" t="n">
        <f aca="false">(u_amd_27+u_tpu_27+u_trn_27+u_oth_27)*1</f>
        <v>14</v>
      </c>
      <c r="F282" s="14" t="n">
        <f aca="false">(u_amd_28+u_tpu_28+u_trn_28+u_oth_28)*um28_A</f>
        <v>17</v>
      </c>
      <c r="G282" s="14" t="n">
        <f aca="false">(u_amd_28*(1+g29_amd)+u_tpu_28*(1+g29_tpu)+u_trn_28*(1+g29_trn)+u_oth_28*(1+g29_oth))*um29_A</f>
        <v>19.55</v>
      </c>
      <c r="H282" s="8" t="s">
        <v>426</v>
      </c>
    </row>
    <row r="283" customFormat="false" ht="17.15" hidden="false" customHeight="false" outlineLevel="0" collapsed="false">
      <c r="A283" s="5" t="s">
        <v>427</v>
      </c>
      <c r="B283" s="5" t="s">
        <v>30</v>
      </c>
      <c r="D283" s="14" t="n">
        <f aca="false">D281+w_ot_hi*D282</f>
        <v>12.16</v>
      </c>
      <c r="E283" s="14" t="n">
        <f aca="false">E281+w_ot_hi*E282</f>
        <v>18.1</v>
      </c>
      <c r="F283" s="14" t="n">
        <f aca="false">F281+w_ot_hi*F282</f>
        <v>19.7</v>
      </c>
      <c r="G283" s="14" t="n">
        <f aca="false">G281+w_ot_hi*G282</f>
        <v>22.33</v>
      </c>
    </row>
    <row r="284" customFormat="false" ht="17.15" hidden="false" customHeight="false" outlineLevel="0" collapsed="false">
      <c r="A284" s="0" t="s">
        <v>428</v>
      </c>
      <c r="B284" s="0" t="s">
        <v>238</v>
      </c>
      <c r="D284" s="14" t="n">
        <f aca="false">q26_e*ai_e</f>
        <v>243.75</v>
      </c>
      <c r="H284" s="8" t="s">
        <v>429</v>
      </c>
    </row>
    <row r="285" customFormat="false" ht="17.15" hidden="false" customHeight="false" outlineLevel="0" collapsed="false">
      <c r="A285" s="5" t="s">
        <v>430</v>
      </c>
      <c r="B285" s="5" t="s">
        <v>431</v>
      </c>
      <c r="D285" s="12" t="n">
        <f aca="false">D284/D283</f>
        <v>20.0452302631579</v>
      </c>
      <c r="H285" s="8" t="s">
        <v>432</v>
      </c>
    </row>
    <row r="286" customFormat="false" ht="17.15" hidden="false" customHeight="false" outlineLevel="0" collapsed="false">
      <c r="A286" s="5" t="s">
        <v>433</v>
      </c>
      <c r="B286" s="0" t="s">
        <v>142</v>
      </c>
      <c r="D286" s="18" t="n">
        <f aca="false">1</f>
        <v>1</v>
      </c>
      <c r="E286" s="18" t="n">
        <f aca="false">D286*(1+g_asp)</f>
        <v>1.18</v>
      </c>
      <c r="F286" s="18" t="n">
        <f aca="false">E286*(1+g_asp)</f>
        <v>1.3924</v>
      </c>
      <c r="G286" s="18" t="n">
        <f aca="false">F286*(1+g_asp)</f>
        <v>1.643032</v>
      </c>
    </row>
    <row r="287" customFormat="false" ht="17.15" hidden="false" customHeight="false" outlineLevel="0" collapsed="false">
      <c r="A287" s="0" t="s">
        <v>434</v>
      </c>
      <c r="B287" s="0" t="s">
        <v>142</v>
      </c>
      <c r="D287" s="19" t="n">
        <f aca="false">1</f>
        <v>1</v>
      </c>
      <c r="E287" s="19" t="n">
        <f aca="false">rel_27</f>
        <v>0.95</v>
      </c>
      <c r="F287" s="19" t="n">
        <f aca="false">rel_28</f>
        <v>0.88</v>
      </c>
      <c r="G287" s="19" t="n">
        <f aca="false">rel_29</f>
        <v>0.85</v>
      </c>
    </row>
    <row r="288" customFormat="false" ht="17.15" hidden="false" customHeight="false" outlineLevel="0" collapsed="false">
      <c r="A288" s="5" t="s">
        <v>435</v>
      </c>
      <c r="B288" s="0" t="s">
        <v>142</v>
      </c>
      <c r="D288" s="19" t="n">
        <f aca="false">1</f>
        <v>1</v>
      </c>
      <c r="E288" s="19" t="n">
        <f aca="false">pp_27</f>
        <v>1</v>
      </c>
      <c r="F288" s="19" t="n">
        <f aca="false">pp_28</f>
        <v>0.95</v>
      </c>
      <c r="G288" s="19" t="n">
        <f aca="false">pp_29</f>
        <v>0.9</v>
      </c>
    </row>
    <row r="289" customFormat="false" ht="17.15" hidden="false" customHeight="false" outlineLevel="0" collapsed="false">
      <c r="A289" s="0" t="s">
        <v>397</v>
      </c>
      <c r="B289" s="0" t="s">
        <v>238</v>
      </c>
      <c r="D289" s="14" t="n">
        <f aca="false">D284</f>
        <v>243.75</v>
      </c>
      <c r="E289" s="14" t="n">
        <f aca="false">E283*$D$285*E286*E287*E288</f>
        <v>406.7197265625</v>
      </c>
      <c r="F289" s="14" t="n">
        <f aca="false">F283*$D$285*F286*F287*F288</f>
        <v>459.6714890625</v>
      </c>
      <c r="G289" s="14" t="n">
        <f aca="false">G283*$D$285*G286*G287*G288</f>
        <v>562.609718106291</v>
      </c>
    </row>
    <row r="290" customFormat="false" ht="17.15" hidden="false" customHeight="false" outlineLevel="0" collapsed="false">
      <c r="A290" s="1" t="s">
        <v>436</v>
      </c>
    </row>
    <row r="291" customFormat="false" ht="17.15" hidden="false" customHeight="false" outlineLevel="0" collapsed="false">
      <c r="A291" s="5" t="s">
        <v>437</v>
      </c>
      <c r="B291" s="0" t="s">
        <v>238</v>
      </c>
      <c r="D291" s="14" t="n">
        <f aca="false">q26_e-D289</f>
        <v>131.25</v>
      </c>
      <c r="E291" s="14" t="n">
        <f aca="false">D291*(1+g_ne)</f>
        <v>137.8125</v>
      </c>
      <c r="F291" s="14" t="n">
        <f aca="false">E291*(1+g_ne)</f>
        <v>144.703125</v>
      </c>
      <c r="G291" s="14" t="n">
        <f aca="false">F291*(1+g_ne)</f>
        <v>151.93828125</v>
      </c>
    </row>
    <row r="292" customFormat="false" ht="15" hidden="false" customHeight="false" outlineLevel="0" collapsed="false">
      <c r="A292" s="5" t="s">
        <v>438</v>
      </c>
      <c r="B292" s="0" t="s">
        <v>238</v>
      </c>
      <c r="C292" s="14" t="n">
        <f aca="false">q25_e</f>
        <v>243.316</v>
      </c>
      <c r="D292" s="14" t="n">
        <f aca="false">D289+D291</f>
        <v>375</v>
      </c>
      <c r="E292" s="14" t="n">
        <f aca="false">E289+E291</f>
        <v>544.5322265625</v>
      </c>
      <c r="F292" s="14" t="n">
        <f aca="false">F289+F291</f>
        <v>604.3746140625</v>
      </c>
      <c r="G292" s="14" t="n">
        <f aca="false">G289+G291</f>
        <v>714.547999356291</v>
      </c>
    </row>
    <row r="293" customFormat="false" ht="17.15" hidden="false" customHeight="false" outlineLevel="0" collapsed="false">
      <c r="A293" s="0" t="s">
        <v>439</v>
      </c>
      <c r="B293" s="0" t="s">
        <v>42</v>
      </c>
      <c r="D293" s="13" t="n">
        <f aca="false">(q26_eoi-m_ne*D291)/D289</f>
        <v>0.370512820512821</v>
      </c>
      <c r="H293" s="8" t="s">
        <v>440</v>
      </c>
    </row>
    <row r="294" customFormat="false" ht="17.15" hidden="false" customHeight="false" outlineLevel="0" collapsed="false">
      <c r="A294" s="0" t="s">
        <v>441</v>
      </c>
      <c r="B294" s="0" t="s">
        <v>42</v>
      </c>
      <c r="D294" s="13" t="n">
        <f aca="false">D293</f>
        <v>0.370512820512821</v>
      </c>
      <c r="E294" s="13" t="n">
        <f aca="false">1-(1-$D$293)/E288</f>
        <v>0.370512820512821</v>
      </c>
      <c r="F294" s="13" t="n">
        <f aca="false">1-(1-$D$293)/F288</f>
        <v>0.337381916329285</v>
      </c>
      <c r="G294" s="13" t="n">
        <f aca="false">1-(1-$D$293)/G288</f>
        <v>0.300569800569801</v>
      </c>
      <c r="H294" s="8" t="s">
        <v>442</v>
      </c>
    </row>
    <row r="295" customFormat="false" ht="15" hidden="false" customHeight="false" outlineLevel="0" collapsed="false">
      <c r="A295" s="5" t="s">
        <v>443</v>
      </c>
      <c r="B295" s="0" t="s">
        <v>238</v>
      </c>
      <c r="C295" s="14" t="n">
        <f aca="false">q25_eoi</f>
        <v>45.248</v>
      </c>
      <c r="D295" s="14" t="n">
        <f aca="false">D289*D294+D291*m_ne</f>
        <v>110</v>
      </c>
      <c r="E295" s="14" t="n">
        <f aca="false">E289*E294+E291*m_ne</f>
        <v>171.366748046875</v>
      </c>
      <c r="F295" s="14" t="n">
        <f aca="false">F289*F294+F291*m_ne</f>
        <v>176.790316611842</v>
      </c>
      <c r="G295" s="14" t="n">
        <f aca="false">G289*G294+G291*m_ne</f>
        <v>191.89423295734</v>
      </c>
    </row>
    <row r="296" customFormat="false" ht="15" hidden="false" customHeight="false" outlineLevel="0" collapsed="false">
      <c r="A296" s="5" t="s">
        <v>376</v>
      </c>
      <c r="B296" s="0" t="s">
        <v>42</v>
      </c>
      <c r="C296" s="13" t="n">
        <f aca="false">C295/C292</f>
        <v>0.185963931677325</v>
      </c>
      <c r="D296" s="13" t="n">
        <f aca="false">D295/D292</f>
        <v>0.293333333333333</v>
      </c>
      <c r="E296" s="13" t="n">
        <f aca="false">E295/E292</f>
        <v>0.314704510931652</v>
      </c>
      <c r="F296" s="13" t="n">
        <f aca="false">F295/F292</f>
        <v>0.292517773742164</v>
      </c>
      <c r="G296" s="13" t="n">
        <f aca="false">G295/G292</f>
        <v>0.268553313605538</v>
      </c>
    </row>
    <row r="297" customFormat="false" ht="17.15" hidden="false" customHeight="false" outlineLevel="0" collapsed="false">
      <c r="A297" s="1" t="s">
        <v>444</v>
      </c>
    </row>
    <row r="298" customFormat="false" ht="15" hidden="false" customHeight="false" outlineLevel="0" collapsed="false">
      <c r="A298" s="5" t="s">
        <v>445</v>
      </c>
      <c r="B298" s="0" t="s">
        <v>238</v>
      </c>
      <c r="C298" s="14" t="n">
        <f aca="false">q25_cer</f>
        <v>82.554</v>
      </c>
      <c r="D298" s="14" t="n">
        <f aca="false">q26_cer</f>
        <v>84</v>
      </c>
      <c r="E298" s="14" t="n">
        <f aca="false">D298*(1+g_cer)</f>
        <v>84</v>
      </c>
      <c r="F298" s="14" t="n">
        <f aca="false">E298*(1+g_cer)</f>
        <v>84</v>
      </c>
      <c r="G298" s="14" t="n">
        <f aca="false">F298*(1+g_cer)</f>
        <v>84</v>
      </c>
    </row>
    <row r="299" customFormat="false" ht="15" hidden="false" customHeight="false" outlineLevel="0" collapsed="false">
      <c r="A299" s="5" t="s">
        <v>446</v>
      </c>
      <c r="B299" s="0" t="s">
        <v>238</v>
      </c>
      <c r="C299" s="14" t="n">
        <f aca="false">q25_oth</f>
        <v>90.33</v>
      </c>
      <c r="D299" s="14" t="n">
        <f aca="false">q26_oth</f>
        <v>91</v>
      </c>
      <c r="E299" s="14" t="n">
        <f aca="false">D299*(1+g_oth)</f>
        <v>93.73</v>
      </c>
      <c r="F299" s="14" t="n">
        <f aca="false">E299*(1+g_oth)</f>
        <v>96.5419</v>
      </c>
      <c r="G299" s="14" t="n">
        <f aca="false">F299*(1+g_oth)</f>
        <v>99.438157</v>
      </c>
    </row>
    <row r="300" customFormat="false" ht="15" hidden="false" customHeight="false" outlineLevel="0" collapsed="false">
      <c r="A300" s="5" t="s">
        <v>365</v>
      </c>
      <c r="B300" s="0" t="s">
        <v>238</v>
      </c>
      <c r="C300" s="14" t="n">
        <f aca="false">C292+C298+C299</f>
        <v>416.2</v>
      </c>
      <c r="D300" s="14" t="n">
        <f aca="false">D292+D298+D299</f>
        <v>550</v>
      </c>
      <c r="E300" s="14" t="n">
        <f aca="false">E292+E298+E299</f>
        <v>722.2622265625</v>
      </c>
      <c r="F300" s="14" t="n">
        <f aca="false">F292+F298+F299</f>
        <v>784.9165140625</v>
      </c>
      <c r="G300" s="14" t="n">
        <f aca="false">G292+G298+G299</f>
        <v>897.986156356291</v>
      </c>
    </row>
    <row r="301" customFormat="false" ht="15" hidden="false" customHeight="false" outlineLevel="0" collapsed="false">
      <c r="A301" s="5" t="s">
        <v>447</v>
      </c>
      <c r="B301" s="0" t="s">
        <v>42</v>
      </c>
      <c r="D301" s="13" t="n">
        <f aca="false">D300/C300-1</f>
        <v>0.321480057664584</v>
      </c>
      <c r="E301" s="13" t="n">
        <f aca="false">E300/D300-1</f>
        <v>0.313204048295455</v>
      </c>
      <c r="F301" s="13" t="n">
        <f aca="false">F300/E300-1</f>
        <v>0.08674728539826</v>
      </c>
      <c r="G301" s="13" t="n">
        <f aca="false">G300/F300-1</f>
        <v>0.144053081146905</v>
      </c>
    </row>
    <row r="302" customFormat="false" ht="17.15" hidden="false" customHeight="false" outlineLevel="0" collapsed="false">
      <c r="A302" s="0" t="s">
        <v>448</v>
      </c>
      <c r="B302" s="0" t="s">
        <v>42</v>
      </c>
      <c r="D302" s="13" t="n">
        <f aca="false">D289/D300</f>
        <v>0.443181818181818</v>
      </c>
      <c r="E302" s="13" t="n">
        <f aca="false">E289/E300</f>
        <v>0.563119199100612</v>
      </c>
      <c r="F302" s="13" t="n">
        <f aca="false">F289/F300</f>
        <v>0.585631058624788</v>
      </c>
      <c r="G302" s="13" t="n">
        <f aca="false">G289/G300</f>
        <v>0.626523821245933</v>
      </c>
    </row>
    <row r="303" customFormat="false" ht="15" hidden="false" customHeight="false" outlineLevel="0" collapsed="false">
      <c r="A303" s="5" t="s">
        <v>449</v>
      </c>
      <c r="B303" s="0" t="s">
        <v>238</v>
      </c>
      <c r="C303" s="14" t="n">
        <f aca="false">q25_oi-q25_eoi</f>
        <v>16.779</v>
      </c>
      <c r="D303" s="14" t="n">
        <f aca="false">q26_oi-q26_eoi</f>
        <v>17</v>
      </c>
      <c r="E303" s="14" t="n">
        <f aca="false">E298*m_cer+E299*m_oth+q26_adj</f>
        <v>17.24695</v>
      </c>
      <c r="F303" s="14" t="n">
        <f aca="false">F298*m_cer+F299*m_oth+q26_adj</f>
        <v>17.5703185</v>
      </c>
      <c r="G303" s="14" t="n">
        <f aca="false">G298*m_cer+G299*m_oth+q26_adj</f>
        <v>17.903388055</v>
      </c>
    </row>
    <row r="304" customFormat="false" ht="15" hidden="false" customHeight="false" outlineLevel="0" collapsed="false">
      <c r="A304" s="5" t="s">
        <v>370</v>
      </c>
      <c r="B304" s="0" t="s">
        <v>238</v>
      </c>
      <c r="C304" s="14" t="n">
        <f aca="false">C295+C303</f>
        <v>62.027</v>
      </c>
      <c r="D304" s="14" t="n">
        <f aca="false">D295+D303</f>
        <v>127</v>
      </c>
      <c r="E304" s="14" t="n">
        <f aca="false">E295+E303</f>
        <v>188.613698046875</v>
      </c>
      <c r="F304" s="14" t="n">
        <f aca="false">F295+F303</f>
        <v>194.360635111842</v>
      </c>
      <c r="G304" s="14" t="n">
        <f aca="false">G295+G303</f>
        <v>209.79762101234</v>
      </c>
    </row>
    <row r="305" customFormat="false" ht="15" hidden="false" customHeight="false" outlineLevel="0" collapsed="false">
      <c r="A305" s="5" t="s">
        <v>377</v>
      </c>
      <c r="B305" s="0" t="s">
        <v>42</v>
      </c>
      <c r="C305" s="13" t="n">
        <f aca="false">C304/C300</f>
        <v>0.149031715521384</v>
      </c>
      <c r="D305" s="13" t="n">
        <f aca="false">D304/D300</f>
        <v>0.230909090909091</v>
      </c>
      <c r="E305" s="13" t="n">
        <f aca="false">E304/E300</f>
        <v>0.261142963192958</v>
      </c>
      <c r="F305" s="13" t="n">
        <f aca="false">F304/F300</f>
        <v>0.247619500456027</v>
      </c>
      <c r="G305" s="13" t="n">
        <f aca="false">G304/G300</f>
        <v>0.233631242004469</v>
      </c>
    </row>
    <row r="306" customFormat="false" ht="15" hidden="false" customHeight="false" outlineLevel="0" collapsed="false">
      <c r="A306" s="5" t="s">
        <v>372</v>
      </c>
      <c r="B306" s="0" t="s">
        <v>238</v>
      </c>
      <c r="C306" s="14" t="n">
        <f aca="false">q25_ni</f>
        <v>63.713</v>
      </c>
      <c r="D306" s="14" t="n">
        <f aca="false">q26_ni</f>
        <v>84</v>
      </c>
      <c r="E306" s="14" t="n">
        <f aca="false">E304*ni_oi</f>
        <v>124.673654408984</v>
      </c>
      <c r="F306" s="14" t="n">
        <f aca="false">F304*ni_oi</f>
        <v>128.472379808928</v>
      </c>
      <c r="G306" s="14" t="n">
        <f aca="false">G304*ni_oi</f>
        <v>138.676227489157</v>
      </c>
    </row>
    <row r="307" customFormat="false" ht="15" hidden="false" customHeight="false" outlineLevel="0" collapsed="false">
      <c r="A307" s="5" t="s">
        <v>450</v>
      </c>
      <c r="B307" s="5" t="s">
        <v>451</v>
      </c>
      <c r="D307" s="15" t="n">
        <f aca="false">q26_sh</f>
        <v>0.561197220737574</v>
      </c>
      <c r="E307" s="15" t="n">
        <f aca="false">D307*(1+sh_g)</f>
        <v>0.561197220737574</v>
      </c>
      <c r="F307" s="15" t="n">
        <f aca="false">E307*(1+sh_g)</f>
        <v>0.561197220737574</v>
      </c>
      <c r="G307" s="15" t="n">
        <f aca="false">F307*(1+sh_g)</f>
        <v>0.561197220737574</v>
      </c>
    </row>
    <row r="308" customFormat="false" ht="17.15" hidden="false" customHeight="false" outlineLevel="0" collapsed="false">
      <c r="A308" s="0" t="s">
        <v>452</v>
      </c>
      <c r="B308" s="0" t="s">
        <v>263</v>
      </c>
      <c r="C308" s="14" t="n">
        <f aca="false">q25_eps</f>
        <v>114.08</v>
      </c>
      <c r="D308" s="14" t="n">
        <f aca="false">D306/D307</f>
        <v>149.68</v>
      </c>
      <c r="E308" s="14" t="n">
        <f aca="false">E306/E307</f>
        <v>222.156578475438</v>
      </c>
      <c r="F308" s="14" t="n">
        <f aca="false">F306/F307</f>
        <v>228.925545354765</v>
      </c>
      <c r="G308" s="14" t="n">
        <f aca="false">G306/G307</f>
        <v>247.107830125916</v>
      </c>
    </row>
    <row r="309" customFormat="false" ht="17.15" hidden="false" customHeight="false" outlineLevel="0" collapsed="false">
      <c r="A309" s="0" t="s">
        <v>453</v>
      </c>
      <c r="B309" s="0" t="s">
        <v>42</v>
      </c>
      <c r="D309" s="13" t="n">
        <f aca="false">D308/C308-1</f>
        <v>0.312061711079944</v>
      </c>
      <c r="E309" s="13" t="n">
        <f aca="false">E308/D308-1</f>
        <v>0.484210171535528</v>
      </c>
      <c r="F309" s="13" t="n">
        <f aca="false">F308/E308-1</f>
        <v>0.0304693515077512</v>
      </c>
      <c r="G309" s="13" t="n">
        <f aca="false">G308/F308-1</f>
        <v>0.0794244466818836</v>
      </c>
    </row>
    <row r="312" customFormat="false" ht="17.15" hidden="false" customHeight="false" outlineLevel="0" collapsed="false">
      <c r="A312" s="3" t="s">
        <v>704</v>
      </c>
    </row>
    <row r="313" customFormat="false" ht="17.15" hidden="false" customHeight="false" outlineLevel="0" collapsed="false">
      <c r="A313" s="6" t="s">
        <v>19</v>
      </c>
      <c r="B313" s="6" t="s">
        <v>20</v>
      </c>
      <c r="C313" s="11" t="s">
        <v>361</v>
      </c>
      <c r="D313" s="11" t="s">
        <v>408</v>
      </c>
      <c r="E313" s="11" t="s">
        <v>384</v>
      </c>
      <c r="F313" s="11" t="s">
        <v>385</v>
      </c>
      <c r="G313" s="11" t="s">
        <v>386</v>
      </c>
      <c r="H313" s="6" t="s">
        <v>364</v>
      </c>
    </row>
    <row r="314" customFormat="false" ht="17.15" hidden="false" customHeight="false" outlineLevel="0" collapsed="false">
      <c r="A314" s="1" t="s">
        <v>422</v>
      </c>
    </row>
    <row r="315" customFormat="false" ht="17.15" hidden="false" customHeight="false" outlineLevel="0" collapsed="false">
      <c r="A315" s="0" t="s">
        <v>423</v>
      </c>
      <c r="B315" s="5" t="s">
        <v>30</v>
      </c>
      <c r="D315" s="14" t="n">
        <f aca="false">(u_bw_26+u_rb_26+u_ru_26+u_hp_26)*1</f>
        <v>7.6</v>
      </c>
      <c r="E315" s="14" t="n">
        <f aca="false">(u_bw_27+u_rb_27+u_ru_27+u_hp_27)*1</f>
        <v>9.7</v>
      </c>
      <c r="F315" s="14" t="n">
        <f aca="false">(u_bw_28+u_rb_28+u_ru_28+u_hp_28)*um28_A</f>
        <v>9.5</v>
      </c>
      <c r="G315" s="14" t="n">
        <f aca="false">(u_bw_28*(1+g29_bw)+u_rb_28*(1+g29_rb)+u_ru_28*(1+g29_ru)+u_hp_28*(1+g29_hp))*um29_A</f>
        <v>10.6</v>
      </c>
      <c r="H315" s="8" t="s">
        <v>424</v>
      </c>
    </row>
    <row r="316" customFormat="false" ht="17.15" hidden="false" customHeight="false" outlineLevel="0" collapsed="false">
      <c r="A316" s="5" t="s">
        <v>425</v>
      </c>
      <c r="B316" s="5" t="s">
        <v>30</v>
      </c>
      <c r="D316" s="14" t="n">
        <f aca="false">(u_amd_26+u_tpu_26+u_trn_26+u_oth_26)*1</f>
        <v>7.6</v>
      </c>
      <c r="E316" s="14" t="n">
        <f aca="false">(u_amd_27+u_tpu_27+u_trn_27+u_oth_27)*1</f>
        <v>14</v>
      </c>
      <c r="F316" s="14" t="n">
        <f aca="false">(u_amd_28+u_tpu_28+u_trn_28+u_oth_28)*um28_A</f>
        <v>17</v>
      </c>
      <c r="G316" s="14" t="n">
        <f aca="false">(u_amd_28*(1+g29_amd)+u_tpu_28*(1+g29_tpu)+u_trn_28*(1+g29_trn)+u_oth_28*(1+g29_oth))*um29_A</f>
        <v>19.55</v>
      </c>
      <c r="H316" s="8" t="s">
        <v>426</v>
      </c>
    </row>
    <row r="317" customFormat="false" ht="17.15" hidden="false" customHeight="false" outlineLevel="0" collapsed="false">
      <c r="A317" s="5" t="s">
        <v>427</v>
      </c>
      <c r="B317" s="5" t="s">
        <v>30</v>
      </c>
      <c r="D317" s="14" t="n">
        <f aca="false">D315+w_ot*D316</f>
        <v>10.64</v>
      </c>
      <c r="E317" s="14" t="n">
        <f aca="false">E315+w_ot*E316</f>
        <v>15.3</v>
      </c>
      <c r="F317" s="14" t="n">
        <f aca="false">F315+w_ot*F316</f>
        <v>16.3</v>
      </c>
      <c r="G317" s="14" t="n">
        <f aca="false">G315+w_ot*G316</f>
        <v>18.42</v>
      </c>
    </row>
    <row r="318" customFormat="false" ht="17.15" hidden="false" customHeight="false" outlineLevel="0" collapsed="false">
      <c r="A318" s="0" t="s">
        <v>428</v>
      </c>
      <c r="B318" s="0" t="s">
        <v>238</v>
      </c>
      <c r="D318" s="14" t="n">
        <f aca="false">q26_e*ai_e_lo</f>
        <v>206.25</v>
      </c>
      <c r="H318" s="8" t="s">
        <v>429</v>
      </c>
    </row>
    <row r="319" customFormat="false" ht="17.15" hidden="false" customHeight="false" outlineLevel="0" collapsed="false">
      <c r="A319" s="5" t="s">
        <v>430</v>
      </c>
      <c r="B319" s="5" t="s">
        <v>431</v>
      </c>
      <c r="D319" s="12" t="n">
        <f aca="false">D318/D317</f>
        <v>19.3843984962406</v>
      </c>
      <c r="H319" s="8" t="s">
        <v>432</v>
      </c>
    </row>
    <row r="320" customFormat="false" ht="17.15" hidden="false" customHeight="false" outlineLevel="0" collapsed="false">
      <c r="A320" s="5" t="s">
        <v>433</v>
      </c>
      <c r="B320" s="0" t="s">
        <v>142</v>
      </c>
      <c r="D320" s="18" t="n">
        <f aca="false">1</f>
        <v>1</v>
      </c>
      <c r="E320" s="18" t="n">
        <f aca="false">D320*(1+g_asp)</f>
        <v>1.18</v>
      </c>
      <c r="F320" s="18" t="n">
        <f aca="false">E320*(1+g_asp)</f>
        <v>1.3924</v>
      </c>
      <c r="G320" s="18" t="n">
        <f aca="false">F320*(1+g_asp)</f>
        <v>1.643032</v>
      </c>
    </row>
    <row r="321" customFormat="false" ht="17.15" hidden="false" customHeight="false" outlineLevel="0" collapsed="false">
      <c r="A321" s="0" t="s">
        <v>434</v>
      </c>
      <c r="B321" s="0" t="s">
        <v>142</v>
      </c>
      <c r="D321" s="19" t="n">
        <f aca="false">1</f>
        <v>1</v>
      </c>
      <c r="E321" s="19" t="n">
        <f aca="false">rel_27</f>
        <v>0.95</v>
      </c>
      <c r="F321" s="19" t="n">
        <f aca="false">rel_28</f>
        <v>0.88</v>
      </c>
      <c r="G321" s="19" t="n">
        <f aca="false">rel_29</f>
        <v>0.85</v>
      </c>
    </row>
    <row r="322" customFormat="false" ht="17.15" hidden="false" customHeight="false" outlineLevel="0" collapsed="false">
      <c r="A322" s="5" t="s">
        <v>435</v>
      </c>
      <c r="B322" s="0" t="s">
        <v>142</v>
      </c>
      <c r="D322" s="19" t="n">
        <f aca="false">1</f>
        <v>1</v>
      </c>
      <c r="E322" s="19" t="n">
        <f aca="false">pp_27</f>
        <v>1</v>
      </c>
      <c r="F322" s="19" t="n">
        <f aca="false">pp_28</f>
        <v>0.95</v>
      </c>
      <c r="G322" s="19" t="n">
        <f aca="false">pp_29</f>
        <v>0.9</v>
      </c>
    </row>
    <row r="323" customFormat="false" ht="17.15" hidden="false" customHeight="false" outlineLevel="0" collapsed="false">
      <c r="A323" s="0" t="s">
        <v>397</v>
      </c>
      <c r="B323" s="0" t="s">
        <v>238</v>
      </c>
      <c r="D323" s="14" t="n">
        <f aca="false">D318</f>
        <v>206.25</v>
      </c>
      <c r="E323" s="14" t="n">
        <f aca="false">E317*$D$319*E320*E321*E322</f>
        <v>332.467633928571</v>
      </c>
      <c r="F323" s="14" t="n">
        <f aca="false">F317*$D$319*F320*F321*F322</f>
        <v>367.798730357143</v>
      </c>
      <c r="G323" s="14" t="n">
        <f aca="false">G317*$D$319*G320*G321*G322</f>
        <v>448.796449196898</v>
      </c>
    </row>
    <row r="324" customFormat="false" ht="17.15" hidden="false" customHeight="false" outlineLevel="0" collapsed="false">
      <c r="A324" s="1" t="s">
        <v>436</v>
      </c>
    </row>
    <row r="325" customFormat="false" ht="17.15" hidden="false" customHeight="false" outlineLevel="0" collapsed="false">
      <c r="A325" s="5" t="s">
        <v>437</v>
      </c>
      <c r="B325" s="0" t="s">
        <v>238</v>
      </c>
      <c r="D325" s="14" t="n">
        <f aca="false">q26_e-D323</f>
        <v>168.75</v>
      </c>
      <c r="E325" s="14" t="n">
        <f aca="false">D325*(1+g_ne)</f>
        <v>177.1875</v>
      </c>
      <c r="F325" s="14" t="n">
        <f aca="false">E325*(1+g_ne)</f>
        <v>186.046875</v>
      </c>
      <c r="G325" s="14" t="n">
        <f aca="false">F325*(1+g_ne)</f>
        <v>195.34921875</v>
      </c>
    </row>
    <row r="326" customFormat="false" ht="15" hidden="false" customHeight="false" outlineLevel="0" collapsed="false">
      <c r="A326" s="5" t="s">
        <v>438</v>
      </c>
      <c r="B326" s="0" t="s">
        <v>238</v>
      </c>
      <c r="C326" s="14" t="n">
        <f aca="false">q25_e</f>
        <v>243.316</v>
      </c>
      <c r="D326" s="14" t="n">
        <f aca="false">D323+D325</f>
        <v>375</v>
      </c>
      <c r="E326" s="14" t="n">
        <f aca="false">E323+E325</f>
        <v>509.655133928571</v>
      </c>
      <c r="F326" s="14" t="n">
        <f aca="false">F323+F325</f>
        <v>553.845605357143</v>
      </c>
      <c r="G326" s="14" t="n">
        <f aca="false">G323+G325</f>
        <v>644.145667946898</v>
      </c>
    </row>
    <row r="327" customFormat="false" ht="17.15" hidden="false" customHeight="false" outlineLevel="0" collapsed="false">
      <c r="A327" s="0" t="s">
        <v>439</v>
      </c>
      <c r="B327" s="0" t="s">
        <v>42</v>
      </c>
      <c r="D327" s="13" t="n">
        <f aca="false">(q26_eoi-m_ne*D325)/D323</f>
        <v>0.410606060606061</v>
      </c>
      <c r="H327" s="8" t="s">
        <v>440</v>
      </c>
    </row>
    <row r="328" customFormat="false" ht="17.15" hidden="false" customHeight="false" outlineLevel="0" collapsed="false">
      <c r="A328" s="0" t="s">
        <v>441</v>
      </c>
      <c r="B328" s="0" t="s">
        <v>42</v>
      </c>
      <c r="D328" s="13" t="n">
        <f aca="false">D327</f>
        <v>0.410606060606061</v>
      </c>
      <c r="E328" s="13" t="n">
        <f aca="false">1-(1-$D$327)/E322</f>
        <v>0.410606060606061</v>
      </c>
      <c r="F328" s="13" t="n">
        <f aca="false">1-(1-$D$327)/F322</f>
        <v>0.379585326953748</v>
      </c>
      <c r="G328" s="13" t="n">
        <f aca="false">1-(1-$D$327)/G322</f>
        <v>0.345117845117845</v>
      </c>
      <c r="H328" s="8" t="s">
        <v>442</v>
      </c>
    </row>
    <row r="329" customFormat="false" ht="15" hidden="false" customHeight="false" outlineLevel="0" collapsed="false">
      <c r="A329" s="5" t="s">
        <v>443</v>
      </c>
      <c r="B329" s="0" t="s">
        <v>238</v>
      </c>
      <c r="C329" s="14" t="n">
        <f aca="false">q25_eoi</f>
        <v>45.248</v>
      </c>
      <c r="D329" s="14" t="n">
        <f aca="false">D323*D328+D325*m_ne</f>
        <v>110</v>
      </c>
      <c r="E329" s="14" t="n">
        <f aca="false">E323*E328+E325*m_ne</f>
        <v>163.091350446429</v>
      </c>
      <c r="F329" s="14" t="n">
        <f aca="false">F323*F328+F325*m_ne</f>
        <v>167.518032565789</v>
      </c>
      <c r="G329" s="14" t="n">
        <f aca="false">G323*G328+G325*m_ne</f>
        <v>184.190046255874</v>
      </c>
    </row>
    <row r="330" customFormat="false" ht="15" hidden="false" customHeight="false" outlineLevel="0" collapsed="false">
      <c r="A330" s="5" t="s">
        <v>376</v>
      </c>
      <c r="B330" s="0" t="s">
        <v>42</v>
      </c>
      <c r="C330" s="13" t="n">
        <f aca="false">C329/C326</f>
        <v>0.185963931677325</v>
      </c>
      <c r="D330" s="13" t="n">
        <f aca="false">D329/D326</f>
        <v>0.293333333333333</v>
      </c>
      <c r="E330" s="13" t="n">
        <f aca="false">E329/E326</f>
        <v>0.320003350479907</v>
      </c>
      <c r="F330" s="13" t="n">
        <f aca="false">F329/F326</f>
        <v>0.302463413892698</v>
      </c>
      <c r="G330" s="13" t="n">
        <f aca="false">G329/G326</f>
        <v>0.285944710057505</v>
      </c>
    </row>
    <row r="331" customFormat="false" ht="17.15" hidden="false" customHeight="false" outlineLevel="0" collapsed="false">
      <c r="A331" s="1" t="s">
        <v>444</v>
      </c>
    </row>
    <row r="332" customFormat="false" ht="15" hidden="false" customHeight="false" outlineLevel="0" collapsed="false">
      <c r="A332" s="5" t="s">
        <v>445</v>
      </c>
      <c r="B332" s="0" t="s">
        <v>238</v>
      </c>
      <c r="C332" s="14" t="n">
        <f aca="false">q25_cer</f>
        <v>82.554</v>
      </c>
      <c r="D332" s="14" t="n">
        <f aca="false">q26_cer</f>
        <v>84</v>
      </c>
      <c r="E332" s="14" t="n">
        <f aca="false">D332*(1+g_cer)</f>
        <v>84</v>
      </c>
      <c r="F332" s="14" t="n">
        <f aca="false">E332*(1+g_cer)</f>
        <v>84</v>
      </c>
      <c r="G332" s="14" t="n">
        <f aca="false">F332*(1+g_cer)</f>
        <v>84</v>
      </c>
    </row>
    <row r="333" customFormat="false" ht="15" hidden="false" customHeight="false" outlineLevel="0" collapsed="false">
      <c r="A333" s="5" t="s">
        <v>446</v>
      </c>
      <c r="B333" s="0" t="s">
        <v>238</v>
      </c>
      <c r="C333" s="14" t="n">
        <f aca="false">q25_oth</f>
        <v>90.33</v>
      </c>
      <c r="D333" s="14" t="n">
        <f aca="false">q26_oth</f>
        <v>91</v>
      </c>
      <c r="E333" s="14" t="n">
        <f aca="false">D333*(1+g_oth)</f>
        <v>93.73</v>
      </c>
      <c r="F333" s="14" t="n">
        <f aca="false">E333*(1+g_oth)</f>
        <v>96.5419</v>
      </c>
      <c r="G333" s="14" t="n">
        <f aca="false">F333*(1+g_oth)</f>
        <v>99.438157</v>
      </c>
    </row>
    <row r="334" customFormat="false" ht="15" hidden="false" customHeight="false" outlineLevel="0" collapsed="false">
      <c r="A334" s="5" t="s">
        <v>365</v>
      </c>
      <c r="B334" s="0" t="s">
        <v>238</v>
      </c>
      <c r="C334" s="14" t="n">
        <f aca="false">C326+C332+C333</f>
        <v>416.2</v>
      </c>
      <c r="D334" s="14" t="n">
        <f aca="false">D326+D332+D333</f>
        <v>550</v>
      </c>
      <c r="E334" s="14" t="n">
        <f aca="false">E326+E332+E333</f>
        <v>687.385133928572</v>
      </c>
      <c r="F334" s="14" t="n">
        <f aca="false">F326+F332+F333</f>
        <v>734.387505357143</v>
      </c>
      <c r="G334" s="14" t="n">
        <f aca="false">G326+G332+G333</f>
        <v>827.583824946898</v>
      </c>
    </row>
    <row r="335" customFormat="false" ht="15" hidden="false" customHeight="false" outlineLevel="0" collapsed="false">
      <c r="A335" s="5" t="s">
        <v>447</v>
      </c>
      <c r="B335" s="0" t="s">
        <v>42</v>
      </c>
      <c r="D335" s="13" t="n">
        <f aca="false">D334/C334-1</f>
        <v>0.321480057664584</v>
      </c>
      <c r="E335" s="13" t="n">
        <f aca="false">E334/D334-1</f>
        <v>0.249791152597403</v>
      </c>
      <c r="F335" s="13" t="n">
        <f aca="false">F334/E334-1</f>
        <v>0.0683785102536938</v>
      </c>
      <c r="G335" s="13" t="n">
        <f aca="false">G334/F334-1</f>
        <v>0.126903465690682</v>
      </c>
    </row>
    <row r="336" customFormat="false" ht="17.15" hidden="false" customHeight="false" outlineLevel="0" collapsed="false">
      <c r="A336" s="0" t="s">
        <v>448</v>
      </c>
      <c r="B336" s="0" t="s">
        <v>42</v>
      </c>
      <c r="D336" s="13" t="n">
        <f aca="false">D323/D334</f>
        <v>0.375</v>
      </c>
      <c r="E336" s="13" t="n">
        <f aca="false">E323/E334</f>
        <v>0.483670096308948</v>
      </c>
      <c r="F336" s="13" t="n">
        <f aca="false">F323/F334</f>
        <v>0.500823785364209</v>
      </c>
      <c r="G336" s="13" t="n">
        <f aca="false">G323/G334</f>
        <v>0.54229727028038</v>
      </c>
    </row>
    <row r="337" customFormat="false" ht="15" hidden="false" customHeight="false" outlineLevel="0" collapsed="false">
      <c r="A337" s="5" t="s">
        <v>449</v>
      </c>
      <c r="B337" s="0" t="s">
        <v>238</v>
      </c>
      <c r="C337" s="14" t="n">
        <f aca="false">q25_oi-q25_eoi</f>
        <v>16.779</v>
      </c>
      <c r="D337" s="14" t="n">
        <f aca="false">q26_oi-q26_eoi</f>
        <v>17</v>
      </c>
      <c r="E337" s="14" t="n">
        <f aca="false">E332*m_cer+E333*m_oth+q26_adj</f>
        <v>17.24695</v>
      </c>
      <c r="F337" s="14" t="n">
        <f aca="false">F332*m_cer+F333*m_oth+q26_adj</f>
        <v>17.5703185</v>
      </c>
      <c r="G337" s="14" t="n">
        <f aca="false">G332*m_cer+G333*m_oth+q26_adj</f>
        <v>17.903388055</v>
      </c>
    </row>
    <row r="338" customFormat="false" ht="15" hidden="false" customHeight="false" outlineLevel="0" collapsed="false">
      <c r="A338" s="5" t="s">
        <v>370</v>
      </c>
      <c r="B338" s="0" t="s">
        <v>238</v>
      </c>
      <c r="C338" s="14" t="n">
        <f aca="false">C329+C337</f>
        <v>62.027</v>
      </c>
      <c r="D338" s="14" t="n">
        <f aca="false">D329+D337</f>
        <v>127</v>
      </c>
      <c r="E338" s="14" t="n">
        <f aca="false">E329+E337</f>
        <v>180.338300446429</v>
      </c>
      <c r="F338" s="14" t="n">
        <f aca="false">F329+F337</f>
        <v>185.088351065789</v>
      </c>
      <c r="G338" s="14" t="n">
        <f aca="false">G329+G337</f>
        <v>202.093434310874</v>
      </c>
    </row>
    <row r="339" customFormat="false" ht="15" hidden="false" customHeight="false" outlineLevel="0" collapsed="false">
      <c r="A339" s="5" t="s">
        <v>377</v>
      </c>
      <c r="B339" s="0" t="s">
        <v>42</v>
      </c>
      <c r="C339" s="13" t="n">
        <f aca="false">C338/C334</f>
        <v>0.149031715521384</v>
      </c>
      <c r="D339" s="13" t="n">
        <f aca="false">D338/D334</f>
        <v>0.230909090909091</v>
      </c>
      <c r="E339" s="13" t="n">
        <f aca="false">E338/E334</f>
        <v>0.262354088770806</v>
      </c>
      <c r="F339" s="13" t="n">
        <f aca="false">F338/F334</f>
        <v>0.252030909724939</v>
      </c>
      <c r="G339" s="13" t="n">
        <f aca="false">G338/G334</f>
        <v>0.244196935970615</v>
      </c>
    </row>
    <row r="340" customFormat="false" ht="15" hidden="false" customHeight="false" outlineLevel="0" collapsed="false">
      <c r="A340" s="5" t="s">
        <v>372</v>
      </c>
      <c r="B340" s="0" t="s">
        <v>238</v>
      </c>
      <c r="C340" s="14" t="n">
        <f aca="false">q25_ni</f>
        <v>63.713</v>
      </c>
      <c r="D340" s="14" t="n">
        <f aca="false">q26_ni</f>
        <v>84</v>
      </c>
      <c r="E340" s="14" t="n">
        <f aca="false">E338*ni_oi</f>
        <v>119.203616595089</v>
      </c>
      <c r="F340" s="14" t="n">
        <f aca="false">F338*ni_oi</f>
        <v>122.343400054487</v>
      </c>
      <c r="G340" s="14" t="n">
        <f aca="false">G338*ni_oi</f>
        <v>133.583760079488</v>
      </c>
    </row>
    <row r="341" customFormat="false" ht="15" hidden="false" customHeight="false" outlineLevel="0" collapsed="false">
      <c r="A341" s="5" t="s">
        <v>450</v>
      </c>
      <c r="B341" s="5" t="s">
        <v>451</v>
      </c>
      <c r="D341" s="15" t="n">
        <f aca="false">q26_sh</f>
        <v>0.561197220737574</v>
      </c>
      <c r="E341" s="15" t="n">
        <f aca="false">D341*(1+sh_g)</f>
        <v>0.561197220737574</v>
      </c>
      <c r="F341" s="15" t="n">
        <f aca="false">E341*(1+sh_g)</f>
        <v>0.561197220737574</v>
      </c>
      <c r="G341" s="15" t="n">
        <f aca="false">F341*(1+sh_g)</f>
        <v>0.561197220737574</v>
      </c>
    </row>
    <row r="342" customFormat="false" ht="17.15" hidden="false" customHeight="false" outlineLevel="0" collapsed="false">
      <c r="A342" s="0" t="s">
        <v>452</v>
      </c>
      <c r="B342" s="0" t="s">
        <v>263</v>
      </c>
      <c r="C342" s="14" t="n">
        <f aca="false">q25_eps</f>
        <v>114.08</v>
      </c>
      <c r="D342" s="14" t="n">
        <f aca="false">D340/D341</f>
        <v>149.68</v>
      </c>
      <c r="E342" s="14" t="n">
        <f aca="false">E340/E341</f>
        <v>212.409492047059</v>
      </c>
      <c r="F342" s="14" t="n">
        <f aca="false">F340/F341</f>
        <v>218.004287144709</v>
      </c>
      <c r="G342" s="14" t="n">
        <f aca="false">G340/G341</f>
        <v>238.033538198782</v>
      </c>
    </row>
    <row r="343" customFormat="false" ht="17.15" hidden="false" customHeight="false" outlineLevel="0" collapsed="false">
      <c r="A343" s="0" t="s">
        <v>453</v>
      </c>
      <c r="B343" s="0" t="s">
        <v>42</v>
      </c>
      <c r="D343" s="13" t="n">
        <f aca="false">D342/C342-1</f>
        <v>0.312061711079944</v>
      </c>
      <c r="E343" s="13" t="n">
        <f aca="false">E342/D342-1</f>
        <v>0.419090673751063</v>
      </c>
      <c r="F343" s="13" t="n">
        <f aca="false">F342/E342-1</f>
        <v>0.0263396661031081</v>
      </c>
      <c r="G343" s="13" t="n">
        <f aca="false">G342/F342-1</f>
        <v>0.0918754916080056</v>
      </c>
    </row>
    <row r="346" customFormat="false" ht="17.15" hidden="false" customHeight="false" outlineLevel="0" collapsed="false">
      <c r="A346" s="3" t="s">
        <v>705</v>
      </c>
    </row>
    <row r="347" customFormat="false" ht="17.15" hidden="false" customHeight="false" outlineLevel="0" collapsed="false">
      <c r="A347" s="6" t="s">
        <v>19</v>
      </c>
      <c r="B347" s="6" t="s">
        <v>20</v>
      </c>
      <c r="C347" s="11" t="s">
        <v>361</v>
      </c>
      <c r="D347" s="11" t="s">
        <v>408</v>
      </c>
      <c r="E347" s="11" t="s">
        <v>384</v>
      </c>
      <c r="F347" s="11" t="s">
        <v>385</v>
      </c>
      <c r="G347" s="11" t="s">
        <v>386</v>
      </c>
      <c r="H347" s="6" t="s">
        <v>364</v>
      </c>
    </row>
    <row r="348" customFormat="false" ht="17.15" hidden="false" customHeight="false" outlineLevel="0" collapsed="false">
      <c r="A348" s="1" t="s">
        <v>422</v>
      </c>
    </row>
    <row r="349" customFormat="false" ht="17.15" hidden="false" customHeight="false" outlineLevel="0" collapsed="false">
      <c r="A349" s="0" t="s">
        <v>423</v>
      </c>
      <c r="B349" s="5" t="s">
        <v>30</v>
      </c>
      <c r="D349" s="14" t="n">
        <f aca="false">(u_bw_26+u_rb_26+u_ru_26+u_hp_26)*1</f>
        <v>7.6</v>
      </c>
      <c r="E349" s="14" t="n">
        <f aca="false">(u_bw_27+u_rb_27+u_ru_27+u_hp_27)*1</f>
        <v>9.7</v>
      </c>
      <c r="F349" s="14" t="n">
        <f aca="false">(u_bw_28+u_rb_28+u_ru_28+u_hp_28)*um28_A</f>
        <v>9.5</v>
      </c>
      <c r="G349" s="14" t="n">
        <f aca="false">(u_bw_28*(1+g29_bw)+u_rb_28*(1+g29_rb)+u_ru_28*(1+g29_ru)+u_hp_28*(1+g29_hp))*um29_A</f>
        <v>10.6</v>
      </c>
      <c r="H349" s="8" t="s">
        <v>424</v>
      </c>
    </row>
    <row r="350" customFormat="false" ht="17.15" hidden="false" customHeight="false" outlineLevel="0" collapsed="false">
      <c r="A350" s="5" t="s">
        <v>425</v>
      </c>
      <c r="B350" s="5" t="s">
        <v>30</v>
      </c>
      <c r="D350" s="14" t="n">
        <f aca="false">(u_amd_26+u_tpu_26+u_trn_26+u_oth_26)*1</f>
        <v>7.6</v>
      </c>
      <c r="E350" s="14" t="n">
        <f aca="false">(u_amd_27+u_tpu_27+u_trn_27+u_oth_27)*1</f>
        <v>14</v>
      </c>
      <c r="F350" s="14" t="n">
        <f aca="false">(u_amd_28+u_tpu_28+u_trn_28+u_oth_28)*um28_A</f>
        <v>17</v>
      </c>
      <c r="G350" s="14" t="n">
        <f aca="false">(u_amd_28*(1+g29_amd)+u_tpu_28*(1+g29_tpu)+u_trn_28*(1+g29_trn)+u_oth_28*(1+g29_oth))*um29_A</f>
        <v>19.55</v>
      </c>
      <c r="H350" s="8" t="s">
        <v>426</v>
      </c>
    </row>
    <row r="351" customFormat="false" ht="17.15" hidden="false" customHeight="false" outlineLevel="0" collapsed="false">
      <c r="A351" s="5" t="s">
        <v>427</v>
      </c>
      <c r="B351" s="5" t="s">
        <v>30</v>
      </c>
      <c r="D351" s="14" t="n">
        <f aca="false">D349+w_ot*D350</f>
        <v>10.64</v>
      </c>
      <c r="E351" s="14" t="n">
        <f aca="false">E349+w_ot*E350</f>
        <v>15.3</v>
      </c>
      <c r="F351" s="14" t="n">
        <f aca="false">F349+w_ot*F350</f>
        <v>16.3</v>
      </c>
      <c r="G351" s="14" t="n">
        <f aca="false">G349+w_ot*G350</f>
        <v>18.42</v>
      </c>
    </row>
    <row r="352" customFormat="false" ht="17.15" hidden="false" customHeight="false" outlineLevel="0" collapsed="false">
      <c r="A352" s="0" t="s">
        <v>428</v>
      </c>
      <c r="B352" s="0" t="s">
        <v>238</v>
      </c>
      <c r="D352" s="14" t="n">
        <f aca="false">q26_e*ai_e_hi</f>
        <v>281.25</v>
      </c>
      <c r="H352" s="8" t="s">
        <v>429</v>
      </c>
    </row>
    <row r="353" customFormat="false" ht="17.15" hidden="false" customHeight="false" outlineLevel="0" collapsed="false">
      <c r="A353" s="5" t="s">
        <v>430</v>
      </c>
      <c r="B353" s="5" t="s">
        <v>431</v>
      </c>
      <c r="D353" s="12" t="n">
        <f aca="false">D352/D351</f>
        <v>26.4332706766917</v>
      </c>
      <c r="H353" s="8" t="s">
        <v>432</v>
      </c>
    </row>
    <row r="354" customFormat="false" ht="17.15" hidden="false" customHeight="false" outlineLevel="0" collapsed="false">
      <c r="A354" s="5" t="s">
        <v>433</v>
      </c>
      <c r="B354" s="0" t="s">
        <v>142</v>
      </c>
      <c r="D354" s="18" t="n">
        <f aca="false">1</f>
        <v>1</v>
      </c>
      <c r="E354" s="18" t="n">
        <f aca="false">D354*(1+g_asp)</f>
        <v>1.18</v>
      </c>
      <c r="F354" s="18" t="n">
        <f aca="false">E354*(1+g_asp)</f>
        <v>1.3924</v>
      </c>
      <c r="G354" s="18" t="n">
        <f aca="false">F354*(1+g_asp)</f>
        <v>1.643032</v>
      </c>
    </row>
    <row r="355" customFormat="false" ht="17.15" hidden="false" customHeight="false" outlineLevel="0" collapsed="false">
      <c r="A355" s="0" t="s">
        <v>434</v>
      </c>
      <c r="B355" s="0" t="s">
        <v>142</v>
      </c>
      <c r="D355" s="19" t="n">
        <f aca="false">1</f>
        <v>1</v>
      </c>
      <c r="E355" s="19" t="n">
        <f aca="false">rel_27</f>
        <v>0.95</v>
      </c>
      <c r="F355" s="19" t="n">
        <f aca="false">rel_28</f>
        <v>0.88</v>
      </c>
      <c r="G355" s="19" t="n">
        <f aca="false">rel_29</f>
        <v>0.85</v>
      </c>
    </row>
    <row r="356" customFormat="false" ht="17.15" hidden="false" customHeight="false" outlineLevel="0" collapsed="false">
      <c r="A356" s="5" t="s">
        <v>435</v>
      </c>
      <c r="B356" s="0" t="s">
        <v>142</v>
      </c>
      <c r="D356" s="19" t="n">
        <f aca="false">1</f>
        <v>1</v>
      </c>
      <c r="E356" s="19" t="n">
        <f aca="false">pp_27</f>
        <v>1</v>
      </c>
      <c r="F356" s="19" t="n">
        <f aca="false">pp_28</f>
        <v>0.95</v>
      </c>
      <c r="G356" s="19" t="n">
        <f aca="false">pp_29</f>
        <v>0.9</v>
      </c>
    </row>
    <row r="357" customFormat="false" ht="17.15" hidden="false" customHeight="false" outlineLevel="0" collapsed="false">
      <c r="A357" s="0" t="s">
        <v>397</v>
      </c>
      <c r="B357" s="0" t="s">
        <v>238</v>
      </c>
      <c r="D357" s="14" t="n">
        <f aca="false">D352</f>
        <v>281.25</v>
      </c>
      <c r="E357" s="14" t="n">
        <f aca="false">E351*$D$353*E354*E355*E356</f>
        <v>453.364955357143</v>
      </c>
      <c r="F357" s="14" t="n">
        <f aca="false">F351*$D$353*F354*F355*F356</f>
        <v>501.543723214286</v>
      </c>
      <c r="G357" s="14" t="n">
        <f aca="false">G351*$D$353*G354*G355*G356</f>
        <v>611.995157995771</v>
      </c>
    </row>
    <row r="358" customFormat="false" ht="17.15" hidden="false" customHeight="false" outlineLevel="0" collapsed="false">
      <c r="A358" s="1" t="s">
        <v>436</v>
      </c>
    </row>
    <row r="359" customFormat="false" ht="17.15" hidden="false" customHeight="false" outlineLevel="0" collapsed="false">
      <c r="A359" s="5" t="s">
        <v>437</v>
      </c>
      <c r="B359" s="0" t="s">
        <v>238</v>
      </c>
      <c r="D359" s="14" t="n">
        <f aca="false">q26_e-D357</f>
        <v>93.75</v>
      </c>
      <c r="E359" s="14" t="n">
        <f aca="false">D359*(1+g_ne)</f>
        <v>98.4375</v>
      </c>
      <c r="F359" s="14" t="n">
        <f aca="false">E359*(1+g_ne)</f>
        <v>103.359375</v>
      </c>
      <c r="G359" s="14" t="n">
        <f aca="false">F359*(1+g_ne)</f>
        <v>108.52734375</v>
      </c>
    </row>
    <row r="360" customFormat="false" ht="15" hidden="false" customHeight="false" outlineLevel="0" collapsed="false">
      <c r="A360" s="5" t="s">
        <v>438</v>
      </c>
      <c r="B360" s="0" t="s">
        <v>238</v>
      </c>
      <c r="C360" s="14" t="n">
        <f aca="false">q25_e</f>
        <v>243.316</v>
      </c>
      <c r="D360" s="14" t="n">
        <f aca="false">D357+D359</f>
        <v>375</v>
      </c>
      <c r="E360" s="14" t="n">
        <f aca="false">E357+E359</f>
        <v>551.802455357143</v>
      </c>
      <c r="F360" s="14" t="n">
        <f aca="false">F357+F359</f>
        <v>604.903098214286</v>
      </c>
      <c r="G360" s="14" t="n">
        <f aca="false">G357+G359</f>
        <v>720.522501745771</v>
      </c>
    </row>
    <row r="361" customFormat="false" ht="17.15" hidden="false" customHeight="false" outlineLevel="0" collapsed="false">
      <c r="A361" s="0" t="s">
        <v>439</v>
      </c>
      <c r="B361" s="0" t="s">
        <v>42</v>
      </c>
      <c r="D361" s="13" t="n">
        <f aca="false">(q26_eoi-m_ne*D359)/D357</f>
        <v>0.341111111111111</v>
      </c>
      <c r="H361" s="8" t="s">
        <v>440</v>
      </c>
    </row>
    <row r="362" customFormat="false" ht="17.15" hidden="false" customHeight="false" outlineLevel="0" collapsed="false">
      <c r="A362" s="0" t="s">
        <v>441</v>
      </c>
      <c r="B362" s="0" t="s">
        <v>42</v>
      </c>
      <c r="D362" s="13" t="n">
        <f aca="false">D361</f>
        <v>0.341111111111111</v>
      </c>
      <c r="E362" s="13" t="n">
        <f aca="false">1-(1-$D$361)/E356</f>
        <v>0.341111111111111</v>
      </c>
      <c r="F362" s="13" t="n">
        <f aca="false">1-(1-$D$361)/F356</f>
        <v>0.306432748538012</v>
      </c>
      <c r="G362" s="13" t="n">
        <f aca="false">1-(1-$D$361)/G356</f>
        <v>0.267901234567901</v>
      </c>
      <c r="H362" s="8" t="s">
        <v>442</v>
      </c>
    </row>
    <row r="363" customFormat="false" ht="15" hidden="false" customHeight="false" outlineLevel="0" collapsed="false">
      <c r="A363" s="5" t="s">
        <v>443</v>
      </c>
      <c r="B363" s="0" t="s">
        <v>238</v>
      </c>
      <c r="C363" s="14" t="n">
        <f aca="false">q25_eoi</f>
        <v>45.248</v>
      </c>
      <c r="D363" s="14" t="n">
        <f aca="false">D357*D362+D359*m_ne</f>
        <v>110</v>
      </c>
      <c r="E363" s="14" t="n">
        <f aca="false">E357*E362+E359*m_ne</f>
        <v>169.413448660714</v>
      </c>
      <c r="F363" s="14" t="n">
        <f aca="false">F357*F362+F359*m_ne</f>
        <v>169.193327866541</v>
      </c>
      <c r="G363" s="14" t="n">
        <f aca="false">G357*G362+G359*m_ne</f>
        <v>180.233359939145</v>
      </c>
    </row>
    <row r="364" customFormat="false" ht="15" hidden="false" customHeight="false" outlineLevel="0" collapsed="false">
      <c r="A364" s="5" t="s">
        <v>376</v>
      </c>
      <c r="B364" s="0" t="s">
        <v>42</v>
      </c>
      <c r="C364" s="13" t="n">
        <f aca="false">C363/C360</f>
        <v>0.185963931677325</v>
      </c>
      <c r="D364" s="13" t="n">
        <f aca="false">D363/D360</f>
        <v>0.293333333333333</v>
      </c>
      <c r="E364" s="13" t="n">
        <f aca="false">E363/E360</f>
        <v>0.307018294347866</v>
      </c>
      <c r="F364" s="13" t="n">
        <f aca="false">F363/F360</f>
        <v>0.279703192736178</v>
      </c>
      <c r="G364" s="13" t="n">
        <f aca="false">G363/G360</f>
        <v>0.250142583337027</v>
      </c>
    </row>
    <row r="365" customFormat="false" ht="17.15" hidden="false" customHeight="false" outlineLevel="0" collapsed="false">
      <c r="A365" s="1" t="s">
        <v>444</v>
      </c>
    </row>
    <row r="366" customFormat="false" ht="15" hidden="false" customHeight="false" outlineLevel="0" collapsed="false">
      <c r="A366" s="5" t="s">
        <v>445</v>
      </c>
      <c r="B366" s="0" t="s">
        <v>238</v>
      </c>
      <c r="C366" s="14" t="n">
        <f aca="false">q25_cer</f>
        <v>82.554</v>
      </c>
      <c r="D366" s="14" t="n">
        <f aca="false">q26_cer</f>
        <v>84</v>
      </c>
      <c r="E366" s="14" t="n">
        <f aca="false">D366*(1+g_cer)</f>
        <v>84</v>
      </c>
      <c r="F366" s="14" t="n">
        <f aca="false">E366*(1+g_cer)</f>
        <v>84</v>
      </c>
      <c r="G366" s="14" t="n">
        <f aca="false">F366*(1+g_cer)</f>
        <v>84</v>
      </c>
    </row>
    <row r="367" customFormat="false" ht="15" hidden="false" customHeight="false" outlineLevel="0" collapsed="false">
      <c r="A367" s="5" t="s">
        <v>446</v>
      </c>
      <c r="B367" s="0" t="s">
        <v>238</v>
      </c>
      <c r="C367" s="14" t="n">
        <f aca="false">q25_oth</f>
        <v>90.33</v>
      </c>
      <c r="D367" s="14" t="n">
        <f aca="false">q26_oth</f>
        <v>91</v>
      </c>
      <c r="E367" s="14" t="n">
        <f aca="false">D367*(1+g_oth)</f>
        <v>93.73</v>
      </c>
      <c r="F367" s="14" t="n">
        <f aca="false">E367*(1+g_oth)</f>
        <v>96.5419</v>
      </c>
      <c r="G367" s="14" t="n">
        <f aca="false">F367*(1+g_oth)</f>
        <v>99.438157</v>
      </c>
    </row>
    <row r="368" customFormat="false" ht="15" hidden="false" customHeight="false" outlineLevel="0" collapsed="false">
      <c r="A368" s="5" t="s">
        <v>365</v>
      </c>
      <c r="B368" s="0" t="s">
        <v>238</v>
      </c>
      <c r="C368" s="14" t="n">
        <f aca="false">C360+C366+C367</f>
        <v>416.2</v>
      </c>
      <c r="D368" s="14" t="n">
        <f aca="false">D360+D366+D367</f>
        <v>550</v>
      </c>
      <c r="E368" s="14" t="n">
        <f aca="false">E360+E366+E367</f>
        <v>729.532455357143</v>
      </c>
      <c r="F368" s="14" t="n">
        <f aca="false">F360+F366+F367</f>
        <v>785.444998214286</v>
      </c>
      <c r="G368" s="14" t="n">
        <f aca="false">G360+G366+G367</f>
        <v>903.960658745771</v>
      </c>
    </row>
    <row r="369" customFormat="false" ht="15" hidden="false" customHeight="false" outlineLevel="0" collapsed="false">
      <c r="A369" s="5" t="s">
        <v>447</v>
      </c>
      <c r="B369" s="0" t="s">
        <v>42</v>
      </c>
      <c r="D369" s="13" t="n">
        <f aca="false">D368/C368-1</f>
        <v>0.321480057664584</v>
      </c>
      <c r="E369" s="13" t="n">
        <f aca="false">E368/D368-1</f>
        <v>0.326422646103896</v>
      </c>
      <c r="F369" s="13" t="n">
        <f aca="false">F368/E368-1</f>
        <v>0.076641611276596</v>
      </c>
      <c r="G369" s="13" t="n">
        <f aca="false">G368/F368-1</f>
        <v>0.150889827805806</v>
      </c>
    </row>
    <row r="370" customFormat="false" ht="17.15" hidden="false" customHeight="false" outlineLevel="0" collapsed="false">
      <c r="A370" s="0" t="s">
        <v>448</v>
      </c>
      <c r="B370" s="0" t="s">
        <v>42</v>
      </c>
      <c r="D370" s="13" t="n">
        <f aca="false">D357/D368</f>
        <v>0.511363636363636</v>
      </c>
      <c r="E370" s="13" t="n">
        <f aca="false">E357/E368</f>
        <v>0.621445902821689</v>
      </c>
      <c r="F370" s="13" t="n">
        <f aca="false">F357/F368</f>
        <v>0.638547223999833</v>
      </c>
      <c r="G370" s="13" t="n">
        <f aca="false">G357/G368</f>
        <v>0.67701525732868</v>
      </c>
    </row>
    <row r="371" customFormat="false" ht="15" hidden="false" customHeight="false" outlineLevel="0" collapsed="false">
      <c r="A371" s="5" t="s">
        <v>449</v>
      </c>
      <c r="B371" s="0" t="s">
        <v>238</v>
      </c>
      <c r="C371" s="14" t="n">
        <f aca="false">q25_oi-q25_eoi</f>
        <v>16.779</v>
      </c>
      <c r="D371" s="14" t="n">
        <f aca="false">q26_oi-q26_eoi</f>
        <v>17</v>
      </c>
      <c r="E371" s="14" t="n">
        <f aca="false">E366*m_cer+E367*m_oth+q26_adj</f>
        <v>17.24695</v>
      </c>
      <c r="F371" s="14" t="n">
        <f aca="false">F366*m_cer+F367*m_oth+q26_adj</f>
        <v>17.5703185</v>
      </c>
      <c r="G371" s="14" t="n">
        <f aca="false">G366*m_cer+G367*m_oth+q26_adj</f>
        <v>17.903388055</v>
      </c>
    </row>
    <row r="372" customFormat="false" ht="15" hidden="false" customHeight="false" outlineLevel="0" collapsed="false">
      <c r="A372" s="5" t="s">
        <v>370</v>
      </c>
      <c r="B372" s="0" t="s">
        <v>238</v>
      </c>
      <c r="C372" s="14" t="n">
        <f aca="false">C363+C371</f>
        <v>62.027</v>
      </c>
      <c r="D372" s="14" t="n">
        <f aca="false">D363+D371</f>
        <v>127</v>
      </c>
      <c r="E372" s="14" t="n">
        <f aca="false">E363+E371</f>
        <v>186.660398660714</v>
      </c>
      <c r="F372" s="14" t="n">
        <f aca="false">F363+F371</f>
        <v>186.763646366541</v>
      </c>
      <c r="G372" s="14" t="n">
        <f aca="false">G363+G371</f>
        <v>198.136747994145</v>
      </c>
    </row>
    <row r="373" customFormat="false" ht="15" hidden="false" customHeight="false" outlineLevel="0" collapsed="false">
      <c r="A373" s="5" t="s">
        <v>377</v>
      </c>
      <c r="B373" s="0" t="s">
        <v>42</v>
      </c>
      <c r="C373" s="13" t="n">
        <f aca="false">C372/C368</f>
        <v>0.149031715521384</v>
      </c>
      <c r="D373" s="13" t="n">
        <f aca="false">D372/D368</f>
        <v>0.230909090909091</v>
      </c>
      <c r="E373" s="13" t="n">
        <f aca="false">E372/E368</f>
        <v>0.255863049395568</v>
      </c>
      <c r="F373" s="13" t="n">
        <f aca="false">F372/F368</f>
        <v>0.23778068074932</v>
      </c>
      <c r="G373" s="13" t="n">
        <f aca="false">G372/G368</f>
        <v>0.219187357411169</v>
      </c>
    </row>
    <row r="374" customFormat="false" ht="15" hidden="false" customHeight="false" outlineLevel="0" collapsed="false">
      <c r="A374" s="5" t="s">
        <v>372</v>
      </c>
      <c r="B374" s="0" t="s">
        <v>238</v>
      </c>
      <c r="C374" s="14" t="n">
        <f aca="false">q25_ni</f>
        <v>63.713</v>
      </c>
      <c r="D374" s="14" t="n">
        <f aca="false">q26_ni</f>
        <v>84</v>
      </c>
      <c r="E374" s="14" t="n">
        <f aca="false">E372*ni_oi</f>
        <v>123.382523514732</v>
      </c>
      <c r="F374" s="14" t="n">
        <f aca="false">F372*ni_oi</f>
        <v>123.450770248284</v>
      </c>
      <c r="G374" s="14" t="n">
        <f aca="false">G372*ni_oi</f>
        <v>130.96839042413</v>
      </c>
    </row>
    <row r="375" customFormat="false" ht="15" hidden="false" customHeight="false" outlineLevel="0" collapsed="false">
      <c r="A375" s="5" t="s">
        <v>450</v>
      </c>
      <c r="B375" s="5" t="s">
        <v>451</v>
      </c>
      <c r="D375" s="15" t="n">
        <f aca="false">q26_sh</f>
        <v>0.561197220737574</v>
      </c>
      <c r="E375" s="15" t="n">
        <f aca="false">D375*(1+sh_g)</f>
        <v>0.561197220737574</v>
      </c>
      <c r="F375" s="15" t="n">
        <f aca="false">E375*(1+sh_g)</f>
        <v>0.561197220737574</v>
      </c>
      <c r="G375" s="15" t="n">
        <f aca="false">F375*(1+sh_g)</f>
        <v>0.561197220737574</v>
      </c>
    </row>
    <row r="376" customFormat="false" ht="17.15" hidden="false" customHeight="false" outlineLevel="0" collapsed="false">
      <c r="A376" s="0" t="s">
        <v>452</v>
      </c>
      <c r="B376" s="0" t="s">
        <v>263</v>
      </c>
      <c r="C376" s="14" t="n">
        <f aca="false">q25_eps</f>
        <v>114.08</v>
      </c>
      <c r="D376" s="14" t="n">
        <f aca="false">D374/D375</f>
        <v>149.68</v>
      </c>
      <c r="E376" s="14" t="n">
        <f aca="false">E374/E375</f>
        <v>219.855906186727</v>
      </c>
      <c r="F376" s="14" t="n">
        <f aca="false">F374/F375</f>
        <v>219.977515366228</v>
      </c>
      <c r="G376" s="14" t="n">
        <f aca="false">G374/G375</f>
        <v>233.373198555759</v>
      </c>
    </row>
    <row r="377" customFormat="false" ht="17.15" hidden="false" customHeight="false" outlineLevel="0" collapsed="false">
      <c r="A377" s="0" t="s">
        <v>453</v>
      </c>
      <c r="B377" s="0" t="s">
        <v>42</v>
      </c>
      <c r="D377" s="13" t="n">
        <f aca="false">D376/C376-1</f>
        <v>0.312061711079944</v>
      </c>
      <c r="E377" s="13" t="n">
        <f aca="false">E376/D376-1</f>
        <v>0.468839565651573</v>
      </c>
      <c r="F377" s="13" t="n">
        <f aca="false">F376/E376-1</f>
        <v>0.000553131283163699</v>
      </c>
      <c r="G377" s="13" t="n">
        <f aca="false">G376/F376-1</f>
        <v>0.0608956927585498</v>
      </c>
    </row>
    <row r="380" customFormat="false" ht="17.15" hidden="false" customHeight="false" outlineLevel="0" collapsed="false">
      <c r="A380" s="3" t="s">
        <v>706</v>
      </c>
    </row>
    <row r="381" customFormat="false" ht="17.15" hidden="false" customHeight="false" outlineLevel="0" collapsed="false">
      <c r="A381" s="6" t="s">
        <v>19</v>
      </c>
      <c r="B381" s="6" t="s">
        <v>20</v>
      </c>
      <c r="C381" s="11" t="s">
        <v>361</v>
      </c>
      <c r="D381" s="11" t="s">
        <v>408</v>
      </c>
      <c r="E381" s="11" t="s">
        <v>384</v>
      </c>
      <c r="F381" s="11" t="s">
        <v>385</v>
      </c>
      <c r="G381" s="11" t="s">
        <v>386</v>
      </c>
      <c r="H381" s="6" t="s">
        <v>364</v>
      </c>
    </row>
    <row r="382" customFormat="false" ht="17.15" hidden="false" customHeight="false" outlineLevel="0" collapsed="false">
      <c r="A382" s="1" t="s">
        <v>422</v>
      </c>
    </row>
    <row r="383" customFormat="false" ht="17.15" hidden="false" customHeight="false" outlineLevel="0" collapsed="false">
      <c r="A383" s="0" t="s">
        <v>423</v>
      </c>
      <c r="B383" s="5" t="s">
        <v>30</v>
      </c>
      <c r="D383" s="14" t="n">
        <f aca="false">(u_bw_26+u_rb_26+u_ru_26+u_hp_26)*1</f>
        <v>7.6</v>
      </c>
      <c r="E383" s="14" t="n">
        <f aca="false">(u_bw_27+u_rb_27+u_ru_27+u_hp_27)*1</f>
        <v>9.7</v>
      </c>
      <c r="F383" s="14" t="n">
        <f aca="false">(u_bw_28+u_rb_28+u_ru_28+u_hp_28)*um28_A</f>
        <v>9.5</v>
      </c>
      <c r="G383" s="14" t="n">
        <f aca="false">(u_bw_28*(1+g29_bw)+u_rb_28*(1+g29_rb)+u_ru_28*(1+g29_ru)+u_hp_28*(1+g29_hp))*um29_A</f>
        <v>10.6</v>
      </c>
      <c r="H383" s="8" t="s">
        <v>424</v>
      </c>
    </row>
    <row r="384" customFormat="false" ht="17.15" hidden="false" customHeight="false" outlineLevel="0" collapsed="false">
      <c r="A384" s="5" t="s">
        <v>425</v>
      </c>
      <c r="B384" s="5" t="s">
        <v>30</v>
      </c>
      <c r="D384" s="14" t="n">
        <f aca="false">(u_amd_26+u_tpu_26+u_trn_26+u_oth_26)*1</f>
        <v>7.6</v>
      </c>
      <c r="E384" s="14" t="n">
        <f aca="false">(u_amd_27+u_tpu_27+u_trn_27+u_oth_27)*1</f>
        <v>14</v>
      </c>
      <c r="F384" s="14" t="n">
        <f aca="false">(u_amd_28+u_tpu_28+u_trn_28+u_oth_28)*um28_A</f>
        <v>17</v>
      </c>
      <c r="G384" s="14" t="n">
        <f aca="false">(u_amd_28*(1+g29_amd)+u_tpu_28*(1+g29_tpu)+u_trn_28*(1+g29_trn)+u_oth_28*(1+g29_oth))*um29_A</f>
        <v>19.55</v>
      </c>
      <c r="H384" s="8" t="s">
        <v>426</v>
      </c>
    </row>
    <row r="385" customFormat="false" ht="17.15" hidden="false" customHeight="false" outlineLevel="0" collapsed="false">
      <c r="A385" s="5" t="s">
        <v>427</v>
      </c>
      <c r="B385" s="5" t="s">
        <v>30</v>
      </c>
      <c r="D385" s="14" t="n">
        <f aca="false">D383+w_ot*D384</f>
        <v>10.64</v>
      </c>
      <c r="E385" s="14" t="n">
        <f aca="false">E383+w_ot*E384</f>
        <v>15.3</v>
      </c>
      <c r="F385" s="14" t="n">
        <f aca="false">F383+w_ot*F384</f>
        <v>16.3</v>
      </c>
      <c r="G385" s="14" t="n">
        <f aca="false">G383+w_ot*G384</f>
        <v>18.42</v>
      </c>
    </row>
    <row r="386" customFormat="false" ht="17.15" hidden="false" customHeight="false" outlineLevel="0" collapsed="false">
      <c r="A386" s="0" t="s">
        <v>428</v>
      </c>
      <c r="B386" s="0" t="s">
        <v>238</v>
      </c>
      <c r="D386" s="14" t="n">
        <f aca="false">q26_e*ai_e</f>
        <v>243.75</v>
      </c>
      <c r="H386" s="8" t="s">
        <v>429</v>
      </c>
    </row>
    <row r="387" customFormat="false" ht="17.15" hidden="false" customHeight="false" outlineLevel="0" collapsed="false">
      <c r="A387" s="5" t="s">
        <v>430</v>
      </c>
      <c r="B387" s="5" t="s">
        <v>431</v>
      </c>
      <c r="D387" s="12" t="n">
        <f aca="false">D386/D385</f>
        <v>22.9088345864662</v>
      </c>
      <c r="H387" s="8" t="s">
        <v>432</v>
      </c>
    </row>
    <row r="388" customFormat="false" ht="17.15" hidden="false" customHeight="false" outlineLevel="0" collapsed="false">
      <c r="A388" s="5" t="s">
        <v>433</v>
      </c>
      <c r="B388" s="0" t="s">
        <v>142</v>
      </c>
      <c r="D388" s="18" t="n">
        <f aca="false">1</f>
        <v>1</v>
      </c>
      <c r="E388" s="18" t="n">
        <f aca="false">D388*(1+g_asp)</f>
        <v>1.18</v>
      </c>
      <c r="F388" s="18" t="n">
        <f aca="false">E388*(1+g_asp)</f>
        <v>1.3924</v>
      </c>
      <c r="G388" s="18" t="n">
        <f aca="false">F388*(1+g_asp)</f>
        <v>1.643032</v>
      </c>
    </row>
    <row r="389" customFormat="false" ht="17.15" hidden="false" customHeight="false" outlineLevel="0" collapsed="false">
      <c r="A389" s="0" t="s">
        <v>434</v>
      </c>
      <c r="B389" s="0" t="s">
        <v>142</v>
      </c>
      <c r="D389" s="19" t="n">
        <f aca="false">1</f>
        <v>1</v>
      </c>
      <c r="E389" s="19" t="n">
        <f aca="false">rel_27</f>
        <v>0.95</v>
      </c>
      <c r="F389" s="19" t="n">
        <f aca="false">rel_28</f>
        <v>0.88</v>
      </c>
      <c r="G389" s="19" t="n">
        <f aca="false">rel_29</f>
        <v>0.85</v>
      </c>
    </row>
    <row r="390" customFormat="false" ht="17.15" hidden="false" customHeight="false" outlineLevel="0" collapsed="false">
      <c r="A390" s="5" t="s">
        <v>435</v>
      </c>
      <c r="B390" s="0" t="s">
        <v>142</v>
      </c>
      <c r="D390" s="19" t="n">
        <f aca="false">1</f>
        <v>1</v>
      </c>
      <c r="E390" s="19" t="n">
        <f aca="false">pp_27</f>
        <v>1</v>
      </c>
      <c r="F390" s="19" t="n">
        <f aca="false">pp_28</f>
        <v>0.95</v>
      </c>
      <c r="G390" s="19" t="n">
        <f aca="false">pp_29</f>
        <v>0.9</v>
      </c>
    </row>
    <row r="391" customFormat="false" ht="17.15" hidden="false" customHeight="false" outlineLevel="0" collapsed="false">
      <c r="A391" s="0" t="s">
        <v>397</v>
      </c>
      <c r="B391" s="0" t="s">
        <v>238</v>
      </c>
      <c r="D391" s="14" t="n">
        <f aca="false">D386</f>
        <v>243.75</v>
      </c>
      <c r="E391" s="14" t="n">
        <f aca="false">E385*$D$387*E388*E389*E390</f>
        <v>392.916294642857</v>
      </c>
      <c r="F391" s="14" t="n">
        <f aca="false">F385*$D$387*F388*F389*F390</f>
        <v>434.671226785714</v>
      </c>
      <c r="G391" s="14" t="n">
        <f aca="false">G385*$D$387*G388*G389*G390</f>
        <v>530.395803596334</v>
      </c>
    </row>
    <row r="392" customFormat="false" ht="17.15" hidden="false" customHeight="false" outlineLevel="0" collapsed="false">
      <c r="A392" s="1" t="s">
        <v>436</v>
      </c>
    </row>
    <row r="393" customFormat="false" ht="17.15" hidden="false" customHeight="false" outlineLevel="0" collapsed="false">
      <c r="A393" s="5" t="s">
        <v>437</v>
      </c>
      <c r="B393" s="0" t="s">
        <v>238</v>
      </c>
      <c r="D393" s="14" t="n">
        <f aca="false">q26_e-D391</f>
        <v>131.25</v>
      </c>
      <c r="E393" s="14" t="n">
        <f aca="false">D393*(1+g_ne)</f>
        <v>137.8125</v>
      </c>
      <c r="F393" s="14" t="n">
        <f aca="false">E393*(1+g_ne)</f>
        <v>144.703125</v>
      </c>
      <c r="G393" s="14" t="n">
        <f aca="false">F393*(1+g_ne)</f>
        <v>151.93828125</v>
      </c>
    </row>
    <row r="394" customFormat="false" ht="15" hidden="false" customHeight="false" outlineLevel="0" collapsed="false">
      <c r="A394" s="5" t="s">
        <v>438</v>
      </c>
      <c r="B394" s="0" t="s">
        <v>238</v>
      </c>
      <c r="C394" s="14" t="n">
        <f aca="false">q25_e</f>
        <v>243.316</v>
      </c>
      <c r="D394" s="14" t="n">
        <f aca="false">D391+D393</f>
        <v>375</v>
      </c>
      <c r="E394" s="14" t="n">
        <f aca="false">E391+E393</f>
        <v>530.728794642857</v>
      </c>
      <c r="F394" s="14" t="n">
        <f aca="false">F391+F393</f>
        <v>579.374351785714</v>
      </c>
      <c r="G394" s="14" t="n">
        <f aca="false">G391+G393</f>
        <v>682.334084846335</v>
      </c>
    </row>
    <row r="395" customFormat="false" ht="17.15" hidden="false" customHeight="false" outlineLevel="0" collapsed="false">
      <c r="A395" s="0" t="s">
        <v>439</v>
      </c>
      <c r="B395" s="0" t="s">
        <v>42</v>
      </c>
      <c r="D395" s="13" t="n">
        <f aca="false">(q26_eoi-m_ne_lo*D393)/D391</f>
        <v>0.397435897435897</v>
      </c>
      <c r="H395" s="8" t="s">
        <v>440</v>
      </c>
    </row>
    <row r="396" customFormat="false" ht="17.15" hidden="false" customHeight="false" outlineLevel="0" collapsed="false">
      <c r="A396" s="0" t="s">
        <v>441</v>
      </c>
      <c r="B396" s="0" t="s">
        <v>42</v>
      </c>
      <c r="D396" s="13" t="n">
        <f aca="false">D395</f>
        <v>0.397435897435897</v>
      </c>
      <c r="E396" s="13" t="n">
        <f aca="false">1-(1-$D$395)/E390</f>
        <v>0.397435897435897</v>
      </c>
      <c r="F396" s="13" t="n">
        <f aca="false">1-(1-$D$395)/F390</f>
        <v>0.365721997300945</v>
      </c>
      <c r="G396" s="13" t="n">
        <f aca="false">1-(1-$D$395)/G390</f>
        <v>0.33048433048433</v>
      </c>
      <c r="H396" s="8" t="s">
        <v>442</v>
      </c>
    </row>
    <row r="397" customFormat="false" ht="15" hidden="false" customHeight="false" outlineLevel="0" collapsed="false">
      <c r="A397" s="5" t="s">
        <v>443</v>
      </c>
      <c r="B397" s="0" t="s">
        <v>238</v>
      </c>
      <c r="C397" s="14" t="n">
        <f aca="false">q25_eoi</f>
        <v>45.248</v>
      </c>
      <c r="D397" s="14" t="n">
        <f aca="false">D391*D396+D393*m_ne_lo</f>
        <v>110</v>
      </c>
      <c r="E397" s="14" t="n">
        <f aca="false">E391*E396+E393*m_ne_lo</f>
        <v>169.940290178571</v>
      </c>
      <c r="F397" s="14" t="n">
        <f aca="false">F391*F396+F393*m_ne_lo</f>
        <v>173.439141729323</v>
      </c>
      <c r="G397" s="14" t="n">
        <f aca="false">G391*G396+G393*m_ne_lo</f>
        <v>190.481330168233</v>
      </c>
    </row>
    <row r="398" customFormat="false" ht="15" hidden="false" customHeight="false" outlineLevel="0" collapsed="false">
      <c r="A398" s="5" t="s">
        <v>376</v>
      </c>
      <c r="B398" s="0" t="s">
        <v>42</v>
      </c>
      <c r="C398" s="13" t="n">
        <f aca="false">C397/C394</f>
        <v>0.185963931677325</v>
      </c>
      <c r="D398" s="13" t="n">
        <f aca="false">D397/D394</f>
        <v>0.293333333333333</v>
      </c>
      <c r="E398" s="13" t="n">
        <f aca="false">E397/E394</f>
        <v>0.320201752559759</v>
      </c>
      <c r="F398" s="13" t="n">
        <f aca="false">F397/F394</f>
        <v>0.299355919354661</v>
      </c>
      <c r="G398" s="13" t="n">
        <f aca="false">G397/G394</f>
        <v>0.279161387945511</v>
      </c>
    </row>
    <row r="399" customFormat="false" ht="17.15" hidden="false" customHeight="false" outlineLevel="0" collapsed="false">
      <c r="A399" s="1" t="s">
        <v>444</v>
      </c>
    </row>
    <row r="400" customFormat="false" ht="15" hidden="false" customHeight="false" outlineLevel="0" collapsed="false">
      <c r="A400" s="5" t="s">
        <v>445</v>
      </c>
      <c r="B400" s="0" t="s">
        <v>238</v>
      </c>
      <c r="C400" s="14" t="n">
        <f aca="false">q25_cer</f>
        <v>82.554</v>
      </c>
      <c r="D400" s="14" t="n">
        <f aca="false">q26_cer</f>
        <v>84</v>
      </c>
      <c r="E400" s="14" t="n">
        <f aca="false">D400*(1+g_cer)</f>
        <v>84</v>
      </c>
      <c r="F400" s="14" t="n">
        <f aca="false">E400*(1+g_cer)</f>
        <v>84</v>
      </c>
      <c r="G400" s="14" t="n">
        <f aca="false">F400*(1+g_cer)</f>
        <v>84</v>
      </c>
    </row>
    <row r="401" customFormat="false" ht="15" hidden="false" customHeight="false" outlineLevel="0" collapsed="false">
      <c r="A401" s="5" t="s">
        <v>446</v>
      </c>
      <c r="B401" s="0" t="s">
        <v>238</v>
      </c>
      <c r="C401" s="14" t="n">
        <f aca="false">q25_oth</f>
        <v>90.33</v>
      </c>
      <c r="D401" s="14" t="n">
        <f aca="false">q26_oth</f>
        <v>91</v>
      </c>
      <c r="E401" s="14" t="n">
        <f aca="false">D401*(1+g_oth)</f>
        <v>93.73</v>
      </c>
      <c r="F401" s="14" t="n">
        <f aca="false">E401*(1+g_oth)</f>
        <v>96.5419</v>
      </c>
      <c r="G401" s="14" t="n">
        <f aca="false">F401*(1+g_oth)</f>
        <v>99.438157</v>
      </c>
    </row>
    <row r="402" customFormat="false" ht="15" hidden="false" customHeight="false" outlineLevel="0" collapsed="false">
      <c r="A402" s="5" t="s">
        <v>365</v>
      </c>
      <c r="B402" s="0" t="s">
        <v>238</v>
      </c>
      <c r="C402" s="14" t="n">
        <f aca="false">C394+C400+C401</f>
        <v>416.2</v>
      </c>
      <c r="D402" s="14" t="n">
        <f aca="false">D394+D400+D401</f>
        <v>550</v>
      </c>
      <c r="E402" s="14" t="n">
        <f aca="false">E394+E400+E401</f>
        <v>708.458794642857</v>
      </c>
      <c r="F402" s="14" t="n">
        <f aca="false">F394+F400+F401</f>
        <v>759.916251785714</v>
      </c>
      <c r="G402" s="14" t="n">
        <f aca="false">G394+G400+G401</f>
        <v>865.772241846335</v>
      </c>
    </row>
    <row r="403" customFormat="false" ht="15" hidden="false" customHeight="false" outlineLevel="0" collapsed="false">
      <c r="A403" s="5" t="s">
        <v>447</v>
      </c>
      <c r="B403" s="0" t="s">
        <v>42</v>
      </c>
      <c r="D403" s="13" t="n">
        <f aca="false">D402/C402-1</f>
        <v>0.321480057664584</v>
      </c>
      <c r="E403" s="13" t="n">
        <f aca="false">E402/D402-1</f>
        <v>0.288106899350649</v>
      </c>
      <c r="F403" s="13" t="n">
        <f aca="false">F402/E402-1</f>
        <v>0.0726329569651225</v>
      </c>
      <c r="G403" s="13" t="n">
        <f aca="false">G402/F402-1</f>
        <v>0.139299547564447</v>
      </c>
    </row>
    <row r="404" customFormat="false" ht="17.15" hidden="false" customHeight="false" outlineLevel="0" collapsed="false">
      <c r="A404" s="0" t="s">
        <v>448</v>
      </c>
      <c r="B404" s="0" t="s">
        <v>42</v>
      </c>
      <c r="D404" s="13" t="n">
        <f aca="false">D391/D402</f>
        <v>0.443181818181818</v>
      </c>
      <c r="E404" s="13" t="n">
        <f aca="false">E391/E402</f>
        <v>0.554607124103712</v>
      </c>
      <c r="F404" s="13" t="n">
        <f aca="false">F391/F402</f>
        <v>0.57199885614275</v>
      </c>
      <c r="G404" s="13" t="n">
        <f aca="false">G391/G402</f>
        <v>0.612627407024761</v>
      </c>
    </row>
    <row r="405" customFormat="false" ht="15" hidden="false" customHeight="false" outlineLevel="0" collapsed="false">
      <c r="A405" s="5" t="s">
        <v>449</v>
      </c>
      <c r="B405" s="0" t="s">
        <v>238</v>
      </c>
      <c r="C405" s="14" t="n">
        <f aca="false">q25_oi-q25_eoi</f>
        <v>16.779</v>
      </c>
      <c r="D405" s="14" t="n">
        <f aca="false">q26_oi-q26_eoi</f>
        <v>17</v>
      </c>
      <c r="E405" s="14" t="n">
        <f aca="false">E400*m_cer+E401*m_oth+q26_adj</f>
        <v>17.24695</v>
      </c>
      <c r="F405" s="14" t="n">
        <f aca="false">F400*m_cer+F401*m_oth+q26_adj</f>
        <v>17.5703185</v>
      </c>
      <c r="G405" s="14" t="n">
        <f aca="false">G400*m_cer+G401*m_oth+q26_adj</f>
        <v>17.903388055</v>
      </c>
    </row>
    <row r="406" customFormat="false" ht="15" hidden="false" customHeight="false" outlineLevel="0" collapsed="false">
      <c r="A406" s="5" t="s">
        <v>370</v>
      </c>
      <c r="B406" s="0" t="s">
        <v>238</v>
      </c>
      <c r="C406" s="14" t="n">
        <f aca="false">C397+C405</f>
        <v>62.027</v>
      </c>
      <c r="D406" s="14" t="n">
        <f aca="false">D397+D405</f>
        <v>127</v>
      </c>
      <c r="E406" s="14" t="n">
        <f aca="false">E397+E405</f>
        <v>187.187240178571</v>
      </c>
      <c r="F406" s="14" t="n">
        <f aca="false">F397+F405</f>
        <v>191.009460229323</v>
      </c>
      <c r="G406" s="14" t="n">
        <f aca="false">G397+G405</f>
        <v>208.384718223233</v>
      </c>
    </row>
    <row r="407" customFormat="false" ht="15" hidden="false" customHeight="false" outlineLevel="0" collapsed="false">
      <c r="A407" s="5" t="s">
        <v>377</v>
      </c>
      <c r="B407" s="0" t="s">
        <v>42</v>
      </c>
      <c r="C407" s="13" t="n">
        <f aca="false">C406/C402</f>
        <v>0.149031715521384</v>
      </c>
      <c r="D407" s="13" t="n">
        <f aca="false">D406/D402</f>
        <v>0.230909090909091</v>
      </c>
      <c r="E407" s="13" t="n">
        <f aca="false">E406/E402</f>
        <v>0.264217540376409</v>
      </c>
      <c r="F407" s="13" t="n">
        <f aca="false">F406/F402</f>
        <v>0.251355935315863</v>
      </c>
      <c r="G407" s="13" t="n">
        <f aca="false">G406/G402</f>
        <v>0.240692306996162</v>
      </c>
    </row>
    <row r="408" customFormat="false" ht="15" hidden="false" customHeight="false" outlineLevel="0" collapsed="false">
      <c r="A408" s="5" t="s">
        <v>372</v>
      </c>
      <c r="B408" s="0" t="s">
        <v>238</v>
      </c>
      <c r="C408" s="14" t="n">
        <f aca="false">q25_ni</f>
        <v>63.713</v>
      </c>
      <c r="D408" s="14" t="n">
        <f aca="false">q26_ni</f>
        <v>84</v>
      </c>
      <c r="E408" s="14" t="n">
        <f aca="false">E406*ni_oi</f>
        <v>123.730765758036</v>
      </c>
      <c r="F408" s="14" t="n">
        <f aca="false">F406*ni_oi</f>
        <v>126.257253211583</v>
      </c>
      <c r="G408" s="14" t="n">
        <f aca="false">G406*ni_oi</f>
        <v>137.742298745557</v>
      </c>
    </row>
    <row r="409" customFormat="false" ht="15" hidden="false" customHeight="false" outlineLevel="0" collapsed="false">
      <c r="A409" s="5" t="s">
        <v>450</v>
      </c>
      <c r="B409" s="5" t="s">
        <v>451</v>
      </c>
      <c r="D409" s="15" t="n">
        <f aca="false">q26_sh</f>
        <v>0.561197220737574</v>
      </c>
      <c r="E409" s="15" t="n">
        <f aca="false">D409*(1+sh_g)</f>
        <v>0.561197220737574</v>
      </c>
      <c r="F409" s="15" t="n">
        <f aca="false">E409*(1+sh_g)</f>
        <v>0.561197220737574</v>
      </c>
      <c r="G409" s="15" t="n">
        <f aca="false">F409*(1+sh_g)</f>
        <v>0.561197220737574</v>
      </c>
    </row>
    <row r="410" customFormat="false" ht="17.15" hidden="false" customHeight="false" outlineLevel="0" collapsed="false">
      <c r="A410" s="0" t="s">
        <v>452</v>
      </c>
      <c r="B410" s="0" t="s">
        <v>263</v>
      </c>
      <c r="C410" s="14" t="n">
        <f aca="false">q25_eps</f>
        <v>114.08</v>
      </c>
      <c r="D410" s="14" t="n">
        <f aca="false">D408/D409</f>
        <v>149.68</v>
      </c>
      <c r="E410" s="14" t="n">
        <f aca="false">E408/E409</f>
        <v>220.476440698366</v>
      </c>
      <c r="F410" s="14" t="n">
        <f aca="false">F408/F409</f>
        <v>224.978400722734</v>
      </c>
      <c r="G410" s="14" t="n">
        <f aca="false">G408/G409</f>
        <v>245.443658050416</v>
      </c>
    </row>
    <row r="411" customFormat="false" ht="17.15" hidden="false" customHeight="false" outlineLevel="0" collapsed="false">
      <c r="A411" s="0" t="s">
        <v>453</v>
      </c>
      <c r="B411" s="0" t="s">
        <v>42</v>
      </c>
      <c r="D411" s="13" t="n">
        <f aca="false">D410/C410-1</f>
        <v>0.312061711079944</v>
      </c>
      <c r="E411" s="13" t="n">
        <f aca="false">E410/D410-1</f>
        <v>0.472985306643282</v>
      </c>
      <c r="F411" s="13" t="n">
        <f aca="false">F410/E410-1</f>
        <v>0.0204192339558273</v>
      </c>
      <c r="G411" s="13" t="n">
        <f aca="false">G410/F410-1</f>
        <v>0.0909654316233828</v>
      </c>
    </row>
    <row r="414" customFormat="false" ht="17.15" hidden="false" customHeight="false" outlineLevel="0" collapsed="false">
      <c r="A414" s="3" t="s">
        <v>707</v>
      </c>
    </row>
    <row r="415" customFormat="false" ht="17.15" hidden="false" customHeight="false" outlineLevel="0" collapsed="false">
      <c r="A415" s="6" t="s">
        <v>19</v>
      </c>
      <c r="B415" s="6" t="s">
        <v>20</v>
      </c>
      <c r="C415" s="11" t="s">
        <v>361</v>
      </c>
      <c r="D415" s="11" t="s">
        <v>408</v>
      </c>
      <c r="E415" s="11" t="s">
        <v>384</v>
      </c>
      <c r="F415" s="11" t="s">
        <v>385</v>
      </c>
      <c r="G415" s="11" t="s">
        <v>386</v>
      </c>
      <c r="H415" s="6" t="s">
        <v>364</v>
      </c>
    </row>
    <row r="416" customFormat="false" ht="17.15" hidden="false" customHeight="false" outlineLevel="0" collapsed="false">
      <c r="A416" s="1" t="s">
        <v>422</v>
      </c>
    </row>
    <row r="417" customFormat="false" ht="17.15" hidden="false" customHeight="false" outlineLevel="0" collapsed="false">
      <c r="A417" s="0" t="s">
        <v>423</v>
      </c>
      <c r="B417" s="5" t="s">
        <v>30</v>
      </c>
      <c r="D417" s="14" t="n">
        <f aca="false">(u_bw_26+u_rb_26+u_ru_26+u_hp_26)*1</f>
        <v>7.6</v>
      </c>
      <c r="E417" s="14" t="n">
        <f aca="false">(u_bw_27+u_rb_27+u_ru_27+u_hp_27)*1</f>
        <v>9.7</v>
      </c>
      <c r="F417" s="14" t="n">
        <f aca="false">(u_bw_28+u_rb_28+u_ru_28+u_hp_28)*um28_A</f>
        <v>9.5</v>
      </c>
      <c r="G417" s="14" t="n">
        <f aca="false">(u_bw_28*(1+g29_bw)+u_rb_28*(1+g29_rb)+u_ru_28*(1+g29_ru)+u_hp_28*(1+g29_hp))*um29_A</f>
        <v>10.6</v>
      </c>
      <c r="H417" s="8" t="s">
        <v>424</v>
      </c>
    </row>
    <row r="418" customFormat="false" ht="17.15" hidden="false" customHeight="false" outlineLevel="0" collapsed="false">
      <c r="A418" s="5" t="s">
        <v>425</v>
      </c>
      <c r="B418" s="5" t="s">
        <v>30</v>
      </c>
      <c r="D418" s="14" t="n">
        <f aca="false">(u_amd_26+u_tpu_26+u_trn_26+u_oth_26)*1</f>
        <v>7.6</v>
      </c>
      <c r="E418" s="14" t="n">
        <f aca="false">(u_amd_27+u_tpu_27+u_trn_27+u_oth_27)*1</f>
        <v>14</v>
      </c>
      <c r="F418" s="14" t="n">
        <f aca="false">(u_amd_28+u_tpu_28+u_trn_28+u_oth_28)*um28_A</f>
        <v>17</v>
      </c>
      <c r="G418" s="14" t="n">
        <f aca="false">(u_amd_28*(1+g29_amd)+u_tpu_28*(1+g29_tpu)+u_trn_28*(1+g29_trn)+u_oth_28*(1+g29_oth))*um29_A</f>
        <v>19.55</v>
      </c>
      <c r="H418" s="8" t="s">
        <v>426</v>
      </c>
    </row>
    <row r="419" customFormat="false" ht="17.15" hidden="false" customHeight="false" outlineLevel="0" collapsed="false">
      <c r="A419" s="5" t="s">
        <v>427</v>
      </c>
      <c r="B419" s="5" t="s">
        <v>30</v>
      </c>
      <c r="D419" s="14" t="n">
        <f aca="false">D417+w_ot*D418</f>
        <v>10.64</v>
      </c>
      <c r="E419" s="14" t="n">
        <f aca="false">E417+w_ot*E418</f>
        <v>15.3</v>
      </c>
      <c r="F419" s="14" t="n">
        <f aca="false">F417+w_ot*F418</f>
        <v>16.3</v>
      </c>
      <c r="G419" s="14" t="n">
        <f aca="false">G417+w_ot*G418</f>
        <v>18.42</v>
      </c>
    </row>
    <row r="420" customFormat="false" ht="17.15" hidden="false" customHeight="false" outlineLevel="0" collapsed="false">
      <c r="A420" s="0" t="s">
        <v>428</v>
      </c>
      <c r="B420" s="0" t="s">
        <v>238</v>
      </c>
      <c r="D420" s="14" t="n">
        <f aca="false">q26_e*ai_e</f>
        <v>243.75</v>
      </c>
      <c r="H420" s="8" t="s">
        <v>429</v>
      </c>
    </row>
    <row r="421" customFormat="false" ht="17.15" hidden="false" customHeight="false" outlineLevel="0" collapsed="false">
      <c r="A421" s="5" t="s">
        <v>430</v>
      </c>
      <c r="B421" s="5" t="s">
        <v>431</v>
      </c>
      <c r="D421" s="12" t="n">
        <f aca="false">D420/D419</f>
        <v>22.9088345864662</v>
      </c>
      <c r="H421" s="8" t="s">
        <v>432</v>
      </c>
    </row>
    <row r="422" customFormat="false" ht="17.15" hidden="false" customHeight="false" outlineLevel="0" collapsed="false">
      <c r="A422" s="5" t="s">
        <v>433</v>
      </c>
      <c r="B422" s="0" t="s">
        <v>142</v>
      </c>
      <c r="D422" s="18" t="n">
        <f aca="false">1</f>
        <v>1</v>
      </c>
      <c r="E422" s="18" t="n">
        <f aca="false">D422*(1+g_asp)</f>
        <v>1.18</v>
      </c>
      <c r="F422" s="18" t="n">
        <f aca="false">E422*(1+g_asp)</f>
        <v>1.3924</v>
      </c>
      <c r="G422" s="18" t="n">
        <f aca="false">F422*(1+g_asp)</f>
        <v>1.643032</v>
      </c>
    </row>
    <row r="423" customFormat="false" ht="17.15" hidden="false" customHeight="false" outlineLevel="0" collapsed="false">
      <c r="A423" s="0" t="s">
        <v>434</v>
      </c>
      <c r="B423" s="0" t="s">
        <v>142</v>
      </c>
      <c r="D423" s="19" t="n">
        <f aca="false">1</f>
        <v>1</v>
      </c>
      <c r="E423" s="19" t="n">
        <f aca="false">rel_27</f>
        <v>0.95</v>
      </c>
      <c r="F423" s="19" t="n">
        <f aca="false">rel_28</f>
        <v>0.88</v>
      </c>
      <c r="G423" s="19" t="n">
        <f aca="false">rel_29</f>
        <v>0.85</v>
      </c>
    </row>
    <row r="424" customFormat="false" ht="17.15" hidden="false" customHeight="false" outlineLevel="0" collapsed="false">
      <c r="A424" s="5" t="s">
        <v>435</v>
      </c>
      <c r="B424" s="0" t="s">
        <v>142</v>
      </c>
      <c r="D424" s="19" t="n">
        <f aca="false">1</f>
        <v>1</v>
      </c>
      <c r="E424" s="19" t="n">
        <f aca="false">pp_27</f>
        <v>1</v>
      </c>
      <c r="F424" s="19" t="n">
        <f aca="false">pp_28</f>
        <v>0.95</v>
      </c>
      <c r="G424" s="19" t="n">
        <f aca="false">pp_29</f>
        <v>0.9</v>
      </c>
    </row>
    <row r="425" customFormat="false" ht="17.15" hidden="false" customHeight="false" outlineLevel="0" collapsed="false">
      <c r="A425" s="0" t="s">
        <v>397</v>
      </c>
      <c r="B425" s="0" t="s">
        <v>238</v>
      </c>
      <c r="D425" s="14" t="n">
        <f aca="false">D420</f>
        <v>243.75</v>
      </c>
      <c r="E425" s="14" t="n">
        <f aca="false">E419*$D$421*E422*E423*E424</f>
        <v>392.916294642857</v>
      </c>
      <c r="F425" s="14" t="n">
        <f aca="false">F419*$D$421*F422*F423*F424</f>
        <v>434.671226785714</v>
      </c>
      <c r="G425" s="14" t="n">
        <f aca="false">G419*$D$421*G422*G423*G424</f>
        <v>530.395803596334</v>
      </c>
    </row>
    <row r="426" customFormat="false" ht="17.15" hidden="false" customHeight="false" outlineLevel="0" collapsed="false">
      <c r="A426" s="1" t="s">
        <v>436</v>
      </c>
    </row>
    <row r="427" customFormat="false" ht="17.15" hidden="false" customHeight="false" outlineLevel="0" collapsed="false">
      <c r="A427" s="5" t="s">
        <v>437</v>
      </c>
      <c r="B427" s="0" t="s">
        <v>238</v>
      </c>
      <c r="D427" s="14" t="n">
        <f aca="false">q26_e-D425</f>
        <v>131.25</v>
      </c>
      <c r="E427" s="14" t="n">
        <f aca="false">D427*(1+g_ne)</f>
        <v>137.8125</v>
      </c>
      <c r="F427" s="14" t="n">
        <f aca="false">E427*(1+g_ne)</f>
        <v>144.703125</v>
      </c>
      <c r="G427" s="14" t="n">
        <f aca="false">F427*(1+g_ne)</f>
        <v>151.93828125</v>
      </c>
    </row>
    <row r="428" customFormat="false" ht="15" hidden="false" customHeight="false" outlineLevel="0" collapsed="false">
      <c r="A428" s="5" t="s">
        <v>438</v>
      </c>
      <c r="B428" s="0" t="s">
        <v>238</v>
      </c>
      <c r="C428" s="14" t="n">
        <f aca="false">q25_e</f>
        <v>243.316</v>
      </c>
      <c r="D428" s="14" t="n">
        <f aca="false">D425+D427</f>
        <v>375</v>
      </c>
      <c r="E428" s="14" t="n">
        <f aca="false">E425+E427</f>
        <v>530.728794642857</v>
      </c>
      <c r="F428" s="14" t="n">
        <f aca="false">F425+F427</f>
        <v>579.374351785714</v>
      </c>
      <c r="G428" s="14" t="n">
        <f aca="false">G425+G427</f>
        <v>682.334084846335</v>
      </c>
    </row>
    <row r="429" customFormat="false" ht="17.15" hidden="false" customHeight="false" outlineLevel="0" collapsed="false">
      <c r="A429" s="0" t="s">
        <v>439</v>
      </c>
      <c r="B429" s="0" t="s">
        <v>42</v>
      </c>
      <c r="D429" s="13" t="n">
        <f aca="false">(q26_eoi-m_ne_hi*D427)/D425</f>
        <v>0.343589743589744</v>
      </c>
      <c r="H429" s="8" t="s">
        <v>440</v>
      </c>
    </row>
    <row r="430" customFormat="false" ht="17.15" hidden="false" customHeight="false" outlineLevel="0" collapsed="false">
      <c r="A430" s="0" t="s">
        <v>441</v>
      </c>
      <c r="B430" s="0" t="s">
        <v>42</v>
      </c>
      <c r="D430" s="13" t="n">
        <f aca="false">D429</f>
        <v>0.343589743589744</v>
      </c>
      <c r="E430" s="13" t="n">
        <f aca="false">1-(1-$D$429)/E424</f>
        <v>0.343589743589744</v>
      </c>
      <c r="F430" s="13" t="n">
        <f aca="false">1-(1-$D$429)/F424</f>
        <v>0.309041835357625</v>
      </c>
      <c r="G430" s="13" t="n">
        <f aca="false">1-(1-$D$429)/G424</f>
        <v>0.270655270655271</v>
      </c>
      <c r="H430" s="8" t="s">
        <v>442</v>
      </c>
    </row>
    <row r="431" customFormat="false" ht="15" hidden="false" customHeight="false" outlineLevel="0" collapsed="false">
      <c r="A431" s="5" t="s">
        <v>443</v>
      </c>
      <c r="B431" s="0" t="s">
        <v>238</v>
      </c>
      <c r="C431" s="14" t="n">
        <f aca="false">q25_eoi</f>
        <v>45.248</v>
      </c>
      <c r="D431" s="14" t="n">
        <f aca="false">D425*D430+D427*m_ne_hi</f>
        <v>110</v>
      </c>
      <c r="E431" s="14" t="n">
        <f aca="false">E425*E430+E427*m_ne_hi</f>
        <v>162.564508928571</v>
      </c>
      <c r="F431" s="14" t="n">
        <f aca="false">F425*F430+F427*m_ne_hi</f>
        <v>163.272218703007</v>
      </c>
      <c r="G431" s="14" t="n">
        <f aca="false">G425*G430+G427*m_ne_hi</f>
        <v>173.942076026786</v>
      </c>
    </row>
    <row r="432" customFormat="false" ht="15" hidden="false" customHeight="false" outlineLevel="0" collapsed="false">
      <c r="A432" s="5" t="s">
        <v>376</v>
      </c>
      <c r="B432" s="0" t="s">
        <v>42</v>
      </c>
      <c r="C432" s="13" t="n">
        <f aca="false">C431/C428</f>
        <v>0.185963931677325</v>
      </c>
      <c r="D432" s="13" t="n">
        <f aca="false">D431/D428</f>
        <v>0.293333333333333</v>
      </c>
      <c r="E432" s="13" t="n">
        <f aca="false">E431/E428</f>
        <v>0.306304294339194</v>
      </c>
      <c r="F432" s="13" t="n">
        <f aca="false">F431/F428</f>
        <v>0.281807812513238</v>
      </c>
      <c r="G432" s="13" t="n">
        <f aca="false">G431/G428</f>
        <v>0.254922156008018</v>
      </c>
    </row>
    <row r="433" customFormat="false" ht="17.15" hidden="false" customHeight="false" outlineLevel="0" collapsed="false">
      <c r="A433" s="1" t="s">
        <v>444</v>
      </c>
    </row>
    <row r="434" customFormat="false" ht="15" hidden="false" customHeight="false" outlineLevel="0" collapsed="false">
      <c r="A434" s="5" t="s">
        <v>445</v>
      </c>
      <c r="B434" s="0" t="s">
        <v>238</v>
      </c>
      <c r="C434" s="14" t="n">
        <f aca="false">q25_cer</f>
        <v>82.554</v>
      </c>
      <c r="D434" s="14" t="n">
        <f aca="false">q26_cer</f>
        <v>84</v>
      </c>
      <c r="E434" s="14" t="n">
        <f aca="false">D434*(1+g_cer)</f>
        <v>84</v>
      </c>
      <c r="F434" s="14" t="n">
        <f aca="false">E434*(1+g_cer)</f>
        <v>84</v>
      </c>
      <c r="G434" s="14" t="n">
        <f aca="false">F434*(1+g_cer)</f>
        <v>84</v>
      </c>
    </row>
    <row r="435" customFormat="false" ht="15" hidden="false" customHeight="false" outlineLevel="0" collapsed="false">
      <c r="A435" s="5" t="s">
        <v>446</v>
      </c>
      <c r="B435" s="0" t="s">
        <v>238</v>
      </c>
      <c r="C435" s="14" t="n">
        <f aca="false">q25_oth</f>
        <v>90.33</v>
      </c>
      <c r="D435" s="14" t="n">
        <f aca="false">q26_oth</f>
        <v>91</v>
      </c>
      <c r="E435" s="14" t="n">
        <f aca="false">D435*(1+g_oth)</f>
        <v>93.73</v>
      </c>
      <c r="F435" s="14" t="n">
        <f aca="false">E435*(1+g_oth)</f>
        <v>96.5419</v>
      </c>
      <c r="G435" s="14" t="n">
        <f aca="false">F435*(1+g_oth)</f>
        <v>99.438157</v>
      </c>
    </row>
    <row r="436" customFormat="false" ht="15" hidden="false" customHeight="false" outlineLevel="0" collapsed="false">
      <c r="A436" s="5" t="s">
        <v>365</v>
      </c>
      <c r="B436" s="0" t="s">
        <v>238</v>
      </c>
      <c r="C436" s="14" t="n">
        <f aca="false">C428+C434+C435</f>
        <v>416.2</v>
      </c>
      <c r="D436" s="14" t="n">
        <f aca="false">D428+D434+D435</f>
        <v>550</v>
      </c>
      <c r="E436" s="14" t="n">
        <f aca="false">E428+E434+E435</f>
        <v>708.458794642857</v>
      </c>
      <c r="F436" s="14" t="n">
        <f aca="false">F428+F434+F435</f>
        <v>759.916251785714</v>
      </c>
      <c r="G436" s="14" t="n">
        <f aca="false">G428+G434+G435</f>
        <v>865.772241846335</v>
      </c>
    </row>
    <row r="437" customFormat="false" ht="15" hidden="false" customHeight="false" outlineLevel="0" collapsed="false">
      <c r="A437" s="5" t="s">
        <v>447</v>
      </c>
      <c r="B437" s="0" t="s">
        <v>42</v>
      </c>
      <c r="D437" s="13" t="n">
        <f aca="false">D436/C436-1</f>
        <v>0.321480057664584</v>
      </c>
      <c r="E437" s="13" t="n">
        <f aca="false">E436/D436-1</f>
        <v>0.288106899350649</v>
      </c>
      <c r="F437" s="13" t="n">
        <f aca="false">F436/E436-1</f>
        <v>0.0726329569651225</v>
      </c>
      <c r="G437" s="13" t="n">
        <f aca="false">G436/F436-1</f>
        <v>0.139299547564447</v>
      </c>
    </row>
    <row r="438" customFormat="false" ht="17.15" hidden="false" customHeight="false" outlineLevel="0" collapsed="false">
      <c r="A438" s="0" t="s">
        <v>448</v>
      </c>
      <c r="B438" s="0" t="s">
        <v>42</v>
      </c>
      <c r="D438" s="13" t="n">
        <f aca="false">D425/D436</f>
        <v>0.443181818181818</v>
      </c>
      <c r="E438" s="13" t="n">
        <f aca="false">E425/E436</f>
        <v>0.554607124103712</v>
      </c>
      <c r="F438" s="13" t="n">
        <f aca="false">F425/F436</f>
        <v>0.57199885614275</v>
      </c>
      <c r="G438" s="13" t="n">
        <f aca="false">G425/G436</f>
        <v>0.612627407024761</v>
      </c>
    </row>
    <row r="439" customFormat="false" ht="15" hidden="false" customHeight="false" outlineLevel="0" collapsed="false">
      <c r="A439" s="5" t="s">
        <v>449</v>
      </c>
      <c r="B439" s="0" t="s">
        <v>238</v>
      </c>
      <c r="C439" s="14" t="n">
        <f aca="false">q25_oi-q25_eoi</f>
        <v>16.779</v>
      </c>
      <c r="D439" s="14" t="n">
        <f aca="false">q26_oi-q26_eoi</f>
        <v>17</v>
      </c>
      <c r="E439" s="14" t="n">
        <f aca="false">E434*m_cer+E435*m_oth+q26_adj</f>
        <v>17.24695</v>
      </c>
      <c r="F439" s="14" t="n">
        <f aca="false">F434*m_cer+F435*m_oth+q26_adj</f>
        <v>17.5703185</v>
      </c>
      <c r="G439" s="14" t="n">
        <f aca="false">G434*m_cer+G435*m_oth+q26_adj</f>
        <v>17.903388055</v>
      </c>
    </row>
    <row r="440" customFormat="false" ht="15" hidden="false" customHeight="false" outlineLevel="0" collapsed="false">
      <c r="A440" s="5" t="s">
        <v>370</v>
      </c>
      <c r="B440" s="0" t="s">
        <v>238</v>
      </c>
      <c r="C440" s="14" t="n">
        <f aca="false">C431+C439</f>
        <v>62.027</v>
      </c>
      <c r="D440" s="14" t="n">
        <f aca="false">D431+D439</f>
        <v>127</v>
      </c>
      <c r="E440" s="14" t="n">
        <f aca="false">E431+E439</f>
        <v>179.811458928571</v>
      </c>
      <c r="F440" s="14" t="n">
        <f aca="false">F431+F439</f>
        <v>180.842537203007</v>
      </c>
      <c r="G440" s="14" t="n">
        <f aca="false">G431+G439</f>
        <v>191.845464081786</v>
      </c>
    </row>
    <row r="441" customFormat="false" ht="15" hidden="false" customHeight="false" outlineLevel="0" collapsed="false">
      <c r="A441" s="5" t="s">
        <v>377</v>
      </c>
      <c r="B441" s="0" t="s">
        <v>42</v>
      </c>
      <c r="C441" s="13" t="n">
        <f aca="false">C440/C436</f>
        <v>0.149031715521384</v>
      </c>
      <c r="D441" s="13" t="n">
        <f aca="false">D440/D436</f>
        <v>0.230909090909091</v>
      </c>
      <c r="E441" s="13" t="n">
        <f aca="false">E440/E436</f>
        <v>0.253806516749103</v>
      </c>
      <c r="F441" s="13" t="n">
        <f aca="false">F440/F436</f>
        <v>0.237976930718416</v>
      </c>
      <c r="G441" s="13" t="n">
        <f aca="false">G440/G436</f>
        <v>0.221588836889317</v>
      </c>
    </row>
    <row r="442" customFormat="false" ht="15" hidden="false" customHeight="false" outlineLevel="0" collapsed="false">
      <c r="A442" s="5" t="s">
        <v>372</v>
      </c>
      <c r="B442" s="0" t="s">
        <v>238</v>
      </c>
      <c r="C442" s="14" t="n">
        <f aca="false">q25_ni</f>
        <v>63.713</v>
      </c>
      <c r="D442" s="14" t="n">
        <f aca="false">q26_ni</f>
        <v>84</v>
      </c>
      <c r="E442" s="14" t="n">
        <f aca="false">E440*ni_oi</f>
        <v>118.855374351786</v>
      </c>
      <c r="F442" s="14" t="n">
        <f aca="false">F440*ni_oi</f>
        <v>119.536917091188</v>
      </c>
      <c r="G442" s="14" t="n">
        <f aca="false">G440*ni_oi</f>
        <v>126.80985175806</v>
      </c>
    </row>
    <row r="443" customFormat="false" ht="15" hidden="false" customHeight="false" outlineLevel="0" collapsed="false">
      <c r="A443" s="5" t="s">
        <v>450</v>
      </c>
      <c r="B443" s="5" t="s">
        <v>451</v>
      </c>
      <c r="D443" s="15" t="n">
        <f aca="false">q26_sh</f>
        <v>0.561197220737574</v>
      </c>
      <c r="E443" s="15" t="n">
        <f aca="false">D443*(1+sh_g)</f>
        <v>0.561197220737574</v>
      </c>
      <c r="F443" s="15" t="n">
        <f aca="false">E443*(1+sh_g)</f>
        <v>0.561197220737574</v>
      </c>
      <c r="G443" s="15" t="n">
        <f aca="false">F443*(1+sh_g)</f>
        <v>0.561197220737574</v>
      </c>
    </row>
    <row r="444" customFormat="false" ht="17.15" hidden="false" customHeight="false" outlineLevel="0" collapsed="false">
      <c r="A444" s="0" t="s">
        <v>452</v>
      </c>
      <c r="B444" s="0" t="s">
        <v>263</v>
      </c>
      <c r="C444" s="14" t="n">
        <f aca="false">q25_eps</f>
        <v>114.08</v>
      </c>
      <c r="D444" s="14" t="n">
        <f aca="false">D442/D443</f>
        <v>149.68</v>
      </c>
      <c r="E444" s="14" t="n">
        <f aca="false">E442/E443</f>
        <v>211.78895753542</v>
      </c>
      <c r="F444" s="14" t="n">
        <f aca="false">F442/F443</f>
        <v>213.003401788203</v>
      </c>
      <c r="G444" s="14" t="n">
        <f aca="false">G442/G443</f>
        <v>225.963078704125</v>
      </c>
    </row>
    <row r="445" customFormat="false" ht="17.15" hidden="false" customHeight="false" outlineLevel="0" collapsed="false">
      <c r="A445" s="0" t="s">
        <v>453</v>
      </c>
      <c r="B445" s="0" t="s">
        <v>42</v>
      </c>
      <c r="D445" s="13" t="n">
        <f aca="false">D444/C444-1</f>
        <v>0.312061711079944</v>
      </c>
      <c r="E445" s="13" t="n">
        <f aca="false">E444/D444-1</f>
        <v>0.414944932759354</v>
      </c>
      <c r="F445" s="13" t="n">
        <f aca="false">F444/E444-1</f>
        <v>0.00573421894566617</v>
      </c>
      <c r="G445" s="13" t="n">
        <f aca="false">G444/F444-1</f>
        <v>0.0608425818889427</v>
      </c>
    </row>
    <row r="448" customFormat="false" ht="17.15" hidden="false" customHeight="false" outlineLevel="0" collapsed="false">
      <c r="A448" s="3" t="s">
        <v>708</v>
      </c>
    </row>
    <row r="449" customFormat="false" ht="17.15" hidden="false" customHeight="false" outlineLevel="0" collapsed="false">
      <c r="A449" s="6" t="s">
        <v>19</v>
      </c>
      <c r="B449" s="6" t="s">
        <v>20</v>
      </c>
      <c r="C449" s="11" t="s">
        <v>361</v>
      </c>
      <c r="D449" s="11" t="s">
        <v>408</v>
      </c>
      <c r="E449" s="11" t="s">
        <v>384</v>
      </c>
      <c r="F449" s="11" t="s">
        <v>385</v>
      </c>
      <c r="G449" s="11" t="s">
        <v>386</v>
      </c>
      <c r="H449" s="6" t="s">
        <v>364</v>
      </c>
    </row>
    <row r="450" customFormat="false" ht="17.15" hidden="false" customHeight="false" outlineLevel="0" collapsed="false">
      <c r="A450" s="1" t="s">
        <v>422</v>
      </c>
    </row>
    <row r="451" customFormat="false" ht="17.15" hidden="false" customHeight="false" outlineLevel="0" collapsed="false">
      <c r="A451" s="0" t="s">
        <v>423</v>
      </c>
      <c r="B451" s="5" t="s">
        <v>30</v>
      </c>
      <c r="D451" s="14" t="n">
        <f aca="false">(u_bw_26+u_rb_26+u_ru_26+u_hp_26)*1</f>
        <v>7.6</v>
      </c>
      <c r="E451" s="14" t="n">
        <f aca="false">(u_bw_27+u_rb_27+u_ru_27+u_hp_27)*1</f>
        <v>9.7</v>
      </c>
      <c r="F451" s="14" t="n">
        <f aca="false">(u_bw_28+u_rb_28+u_ru_28+u_hp_28)*um28_A</f>
        <v>9.5</v>
      </c>
      <c r="G451" s="14" t="n">
        <f aca="false">(u_bw_28*(1+g29_bw)+u_rb_28*(1+g29_rb)+u_ru_28*(1+g29_ru)+u_hp_28*(1+g29_hp))*um29_A</f>
        <v>10.6</v>
      </c>
      <c r="H451" s="8" t="s">
        <v>424</v>
      </c>
    </row>
    <row r="452" customFormat="false" ht="17.15" hidden="false" customHeight="false" outlineLevel="0" collapsed="false">
      <c r="A452" s="5" t="s">
        <v>425</v>
      </c>
      <c r="B452" s="5" t="s">
        <v>30</v>
      </c>
      <c r="D452" s="14" t="n">
        <f aca="false">(u_amd_26+u_tpu_26+u_trn_26+u_oth_26)*1</f>
        <v>7.6</v>
      </c>
      <c r="E452" s="14" t="n">
        <f aca="false">(u_amd_27+u_tpu_27+u_trn_27+u_oth_27)*1</f>
        <v>14</v>
      </c>
      <c r="F452" s="14" t="n">
        <f aca="false">(u_amd_28+u_tpu_28+u_trn_28+u_oth_28)*um28_A</f>
        <v>17</v>
      </c>
      <c r="G452" s="14" t="n">
        <f aca="false">(u_amd_28*(1+g29_amd)+u_tpu_28*(1+g29_tpu)+u_trn_28*(1+g29_trn)+u_oth_28*(1+g29_oth))*um29_A</f>
        <v>19.55</v>
      </c>
      <c r="H452" s="8" t="s">
        <v>426</v>
      </c>
    </row>
    <row r="453" customFormat="false" ht="17.15" hidden="false" customHeight="false" outlineLevel="0" collapsed="false">
      <c r="A453" s="5" t="s">
        <v>427</v>
      </c>
      <c r="B453" s="5" t="s">
        <v>30</v>
      </c>
      <c r="D453" s="14" t="n">
        <f aca="false">D451+w_ot*D452</f>
        <v>10.64</v>
      </c>
      <c r="E453" s="14" t="n">
        <f aca="false">E451+w_ot*E452</f>
        <v>15.3</v>
      </c>
      <c r="F453" s="14" t="n">
        <f aca="false">F451+w_ot*F452</f>
        <v>16.3</v>
      </c>
      <c r="G453" s="14" t="n">
        <f aca="false">G451+w_ot*G452</f>
        <v>18.42</v>
      </c>
    </row>
    <row r="454" customFormat="false" ht="17.15" hidden="false" customHeight="false" outlineLevel="0" collapsed="false">
      <c r="A454" s="0" t="s">
        <v>428</v>
      </c>
      <c r="B454" s="0" t="s">
        <v>238</v>
      </c>
      <c r="D454" s="14" t="n">
        <f aca="false">q26_e*ai_e</f>
        <v>243.75</v>
      </c>
      <c r="H454" s="8" t="s">
        <v>429</v>
      </c>
    </row>
    <row r="455" customFormat="false" ht="17.15" hidden="false" customHeight="false" outlineLevel="0" collapsed="false">
      <c r="A455" s="5" t="s">
        <v>430</v>
      </c>
      <c r="B455" s="5" t="s">
        <v>431</v>
      </c>
      <c r="D455" s="12" t="n">
        <f aca="false">D454/D453</f>
        <v>22.9088345864662</v>
      </c>
      <c r="H455" s="8" t="s">
        <v>432</v>
      </c>
    </row>
    <row r="456" customFormat="false" ht="17.15" hidden="false" customHeight="false" outlineLevel="0" collapsed="false">
      <c r="A456" s="5" t="s">
        <v>433</v>
      </c>
      <c r="B456" s="0" t="s">
        <v>142</v>
      </c>
      <c r="D456" s="18" t="n">
        <f aca="false">1</f>
        <v>1</v>
      </c>
      <c r="E456" s="18" t="n">
        <f aca="false">D456*(1+g_asp)</f>
        <v>1.18</v>
      </c>
      <c r="F456" s="18" t="n">
        <f aca="false">E456*(1+g_asp)</f>
        <v>1.3924</v>
      </c>
      <c r="G456" s="18" t="n">
        <f aca="false">F456*(1+g_asp)</f>
        <v>1.643032</v>
      </c>
    </row>
    <row r="457" customFormat="false" ht="17.15" hidden="false" customHeight="false" outlineLevel="0" collapsed="false">
      <c r="A457" s="0" t="s">
        <v>434</v>
      </c>
      <c r="B457" s="0" t="s">
        <v>142</v>
      </c>
      <c r="D457" s="19" t="n">
        <f aca="false">1</f>
        <v>1</v>
      </c>
      <c r="E457" s="19" t="n">
        <f aca="false">rel_27</f>
        <v>0.95</v>
      </c>
      <c r="F457" s="19" t="n">
        <f aca="false">rel_28</f>
        <v>0.88</v>
      </c>
      <c r="G457" s="19" t="n">
        <f aca="false">rel_29</f>
        <v>0.85</v>
      </c>
    </row>
    <row r="458" customFormat="false" ht="17.15" hidden="false" customHeight="false" outlineLevel="0" collapsed="false">
      <c r="A458" s="5" t="s">
        <v>435</v>
      </c>
      <c r="B458" s="0" t="s">
        <v>142</v>
      </c>
      <c r="D458" s="19" t="n">
        <f aca="false">1</f>
        <v>1</v>
      </c>
      <c r="E458" s="19" t="n">
        <f aca="false">pp_27</f>
        <v>1</v>
      </c>
      <c r="F458" s="19" t="n">
        <f aca="false">pp_28</f>
        <v>0.95</v>
      </c>
      <c r="G458" s="19" t="n">
        <f aca="false">pp_29</f>
        <v>0.9</v>
      </c>
    </row>
    <row r="459" customFormat="false" ht="17.15" hidden="false" customHeight="false" outlineLevel="0" collapsed="false">
      <c r="A459" s="0" t="s">
        <v>397</v>
      </c>
      <c r="B459" s="0" t="s">
        <v>238</v>
      </c>
      <c r="D459" s="14" t="n">
        <f aca="false">D454</f>
        <v>243.75</v>
      </c>
      <c r="E459" s="14" t="n">
        <f aca="false">E453*$D$455*E456*E457*E458</f>
        <v>392.916294642857</v>
      </c>
      <c r="F459" s="14" t="n">
        <f aca="false">F453*$D$455*F456*F457*F458</f>
        <v>434.671226785714</v>
      </c>
      <c r="G459" s="14" t="n">
        <f aca="false">G453*$D$455*G456*G457*G458</f>
        <v>530.395803596334</v>
      </c>
    </row>
    <row r="460" customFormat="false" ht="17.15" hidden="false" customHeight="false" outlineLevel="0" collapsed="false">
      <c r="A460" s="1" t="s">
        <v>436</v>
      </c>
    </row>
    <row r="461" customFormat="false" ht="17.15" hidden="false" customHeight="false" outlineLevel="0" collapsed="false">
      <c r="A461" s="5" t="s">
        <v>437</v>
      </c>
      <c r="B461" s="0" t="s">
        <v>238</v>
      </c>
      <c r="D461" s="14" t="n">
        <f aca="false">q26_e-D459</f>
        <v>131.25</v>
      </c>
      <c r="E461" s="14" t="n">
        <f aca="false">D461*(1+g_ne)</f>
        <v>137.8125</v>
      </c>
      <c r="F461" s="14" t="n">
        <f aca="false">E461*(1+g_ne)</f>
        <v>144.703125</v>
      </c>
      <c r="G461" s="14" t="n">
        <f aca="false">F461*(1+g_ne)</f>
        <v>151.93828125</v>
      </c>
    </row>
    <row r="462" customFormat="false" ht="15" hidden="false" customHeight="false" outlineLevel="0" collapsed="false">
      <c r="A462" s="5" t="s">
        <v>438</v>
      </c>
      <c r="B462" s="0" t="s">
        <v>238</v>
      </c>
      <c r="C462" s="14" t="n">
        <f aca="false">q25_e</f>
        <v>243.316</v>
      </c>
      <c r="D462" s="14" t="n">
        <f aca="false">D459+D461</f>
        <v>375</v>
      </c>
      <c r="E462" s="14" t="n">
        <f aca="false">E459+E461</f>
        <v>530.728794642857</v>
      </c>
      <c r="F462" s="14" t="n">
        <f aca="false">F459+F461</f>
        <v>579.374351785714</v>
      </c>
      <c r="G462" s="14" t="n">
        <f aca="false">G459+G461</f>
        <v>682.334084846335</v>
      </c>
    </row>
    <row r="463" customFormat="false" ht="17.15" hidden="false" customHeight="false" outlineLevel="0" collapsed="false">
      <c r="A463" s="0" t="s">
        <v>439</v>
      </c>
      <c r="B463" s="0" t="s">
        <v>42</v>
      </c>
      <c r="D463" s="13" t="n">
        <f aca="false">(q26_eoi-m_ne*D461)/D459</f>
        <v>0.370512820512821</v>
      </c>
      <c r="H463" s="8" t="s">
        <v>440</v>
      </c>
    </row>
    <row r="464" customFormat="false" ht="17.15" hidden="false" customHeight="false" outlineLevel="0" collapsed="false">
      <c r="A464" s="0" t="s">
        <v>441</v>
      </c>
      <c r="B464" s="0" t="s">
        <v>42</v>
      </c>
      <c r="D464" s="13" t="n">
        <f aca="false">D463</f>
        <v>0.370512820512821</v>
      </c>
      <c r="E464" s="13" t="n">
        <f aca="false">1-(1-$D$463)/E458</f>
        <v>0.370512820512821</v>
      </c>
      <c r="F464" s="13" t="n">
        <f aca="false">1-(1-$D$463)/F458</f>
        <v>0.337381916329285</v>
      </c>
      <c r="G464" s="13" t="n">
        <f aca="false">1-(1-$D$463)/G458</f>
        <v>0.300569800569801</v>
      </c>
      <c r="H464" s="8" t="s">
        <v>442</v>
      </c>
    </row>
    <row r="465" customFormat="false" ht="15" hidden="false" customHeight="false" outlineLevel="0" collapsed="false">
      <c r="A465" s="5" t="s">
        <v>443</v>
      </c>
      <c r="B465" s="0" t="s">
        <v>238</v>
      </c>
      <c r="C465" s="14" t="n">
        <f aca="false">q25_eoi</f>
        <v>45.248</v>
      </c>
      <c r="D465" s="14" t="n">
        <f aca="false">D459*D464+D461*m_ne</f>
        <v>110</v>
      </c>
      <c r="E465" s="14" t="n">
        <f aca="false">E459*E464+E461*m_ne</f>
        <v>166.252399553571</v>
      </c>
      <c r="F465" s="14" t="n">
        <f aca="false">F459*F464+F461*m_ne</f>
        <v>168.355680216165</v>
      </c>
      <c r="G465" s="14" t="n">
        <f aca="false">G459*G464+G461*m_ne</f>
        <v>182.211703097509</v>
      </c>
    </row>
    <row r="466" customFormat="false" ht="15" hidden="false" customHeight="false" outlineLevel="0" collapsed="false">
      <c r="A466" s="5" t="s">
        <v>376</v>
      </c>
      <c r="B466" s="0" t="s">
        <v>42</v>
      </c>
      <c r="C466" s="13" t="n">
        <f aca="false">C465/C462</f>
        <v>0.185963931677325</v>
      </c>
      <c r="D466" s="13" t="n">
        <f aca="false">D465/D462</f>
        <v>0.293333333333333</v>
      </c>
      <c r="E466" s="13" t="n">
        <f aca="false">E465/E462</f>
        <v>0.313253023449477</v>
      </c>
      <c r="F466" s="13" t="n">
        <f aca="false">F465/F462</f>
        <v>0.29058186593395</v>
      </c>
      <c r="G466" s="13" t="n">
        <f aca="false">G465/G462</f>
        <v>0.267041771976765</v>
      </c>
    </row>
    <row r="467" customFormat="false" ht="17.15" hidden="false" customHeight="false" outlineLevel="0" collapsed="false">
      <c r="A467" s="1" t="s">
        <v>444</v>
      </c>
    </row>
    <row r="468" customFormat="false" ht="15" hidden="false" customHeight="false" outlineLevel="0" collapsed="false">
      <c r="A468" s="5" t="s">
        <v>445</v>
      </c>
      <c r="B468" s="0" t="s">
        <v>238</v>
      </c>
      <c r="C468" s="14" t="n">
        <f aca="false">q25_cer</f>
        <v>82.554</v>
      </c>
      <c r="D468" s="14" t="n">
        <f aca="false">q26_cer</f>
        <v>84</v>
      </c>
      <c r="E468" s="14" t="n">
        <f aca="false">D468*(1+g_cer)</f>
        <v>84</v>
      </c>
      <c r="F468" s="14" t="n">
        <f aca="false">E468*(1+g_cer)</f>
        <v>84</v>
      </c>
      <c r="G468" s="14" t="n">
        <f aca="false">F468*(1+g_cer)</f>
        <v>84</v>
      </c>
    </row>
    <row r="469" customFormat="false" ht="15" hidden="false" customHeight="false" outlineLevel="0" collapsed="false">
      <c r="A469" s="5" t="s">
        <v>446</v>
      </c>
      <c r="B469" s="0" t="s">
        <v>238</v>
      </c>
      <c r="C469" s="14" t="n">
        <f aca="false">q25_oth</f>
        <v>90.33</v>
      </c>
      <c r="D469" s="14" t="n">
        <f aca="false">q26_oth</f>
        <v>91</v>
      </c>
      <c r="E469" s="14" t="n">
        <f aca="false">D469*(1+g_oth)</f>
        <v>93.73</v>
      </c>
      <c r="F469" s="14" t="n">
        <f aca="false">E469*(1+g_oth)</f>
        <v>96.5419</v>
      </c>
      <c r="G469" s="14" t="n">
        <f aca="false">F469*(1+g_oth)</f>
        <v>99.438157</v>
      </c>
    </row>
    <row r="470" customFormat="false" ht="15" hidden="false" customHeight="false" outlineLevel="0" collapsed="false">
      <c r="A470" s="5" t="s">
        <v>365</v>
      </c>
      <c r="B470" s="0" t="s">
        <v>238</v>
      </c>
      <c r="C470" s="14" t="n">
        <f aca="false">C462+C468+C469</f>
        <v>416.2</v>
      </c>
      <c r="D470" s="14" t="n">
        <f aca="false">D462+D468+D469</f>
        <v>550</v>
      </c>
      <c r="E470" s="14" t="n">
        <f aca="false">E462+E468+E469</f>
        <v>708.458794642857</v>
      </c>
      <c r="F470" s="14" t="n">
        <f aca="false">F462+F468+F469</f>
        <v>759.916251785714</v>
      </c>
      <c r="G470" s="14" t="n">
        <f aca="false">G462+G468+G469</f>
        <v>865.772241846335</v>
      </c>
    </row>
    <row r="471" customFormat="false" ht="15" hidden="false" customHeight="false" outlineLevel="0" collapsed="false">
      <c r="A471" s="5" t="s">
        <v>447</v>
      </c>
      <c r="B471" s="0" t="s">
        <v>42</v>
      </c>
      <c r="D471" s="13" t="n">
        <f aca="false">D470/C470-1</f>
        <v>0.321480057664584</v>
      </c>
      <c r="E471" s="13" t="n">
        <f aca="false">E470/D470-1</f>
        <v>0.288106899350649</v>
      </c>
      <c r="F471" s="13" t="n">
        <f aca="false">F470/E470-1</f>
        <v>0.0726329569651225</v>
      </c>
      <c r="G471" s="13" t="n">
        <f aca="false">G470/F470-1</f>
        <v>0.139299547564447</v>
      </c>
    </row>
    <row r="472" customFormat="false" ht="17.15" hidden="false" customHeight="false" outlineLevel="0" collapsed="false">
      <c r="A472" s="0" t="s">
        <v>448</v>
      </c>
      <c r="B472" s="0" t="s">
        <v>42</v>
      </c>
      <c r="D472" s="13" t="n">
        <f aca="false">D459/D470</f>
        <v>0.443181818181818</v>
      </c>
      <c r="E472" s="13" t="n">
        <f aca="false">E459/E470</f>
        <v>0.554607124103712</v>
      </c>
      <c r="F472" s="13" t="n">
        <f aca="false">F459/F470</f>
        <v>0.57199885614275</v>
      </c>
      <c r="G472" s="13" t="n">
        <f aca="false">G459/G470</f>
        <v>0.612627407024761</v>
      </c>
    </row>
    <row r="473" customFormat="false" ht="15" hidden="false" customHeight="false" outlineLevel="0" collapsed="false">
      <c r="A473" s="5" t="s">
        <v>449</v>
      </c>
      <c r="B473" s="0" t="s">
        <v>238</v>
      </c>
      <c r="C473" s="14" t="n">
        <f aca="false">q25_oi-q25_eoi</f>
        <v>16.779</v>
      </c>
      <c r="D473" s="14" t="n">
        <f aca="false">q26_oi-q26_eoi</f>
        <v>17</v>
      </c>
      <c r="E473" s="14" t="n">
        <f aca="false">E468*m_cer+E469*m_oth+q26_adj</f>
        <v>17.24695</v>
      </c>
      <c r="F473" s="14" t="n">
        <f aca="false">F468*m_cer+F469*m_oth+q26_adj</f>
        <v>17.5703185</v>
      </c>
      <c r="G473" s="14" t="n">
        <f aca="false">G468*m_cer+G469*m_oth+q26_adj</f>
        <v>17.903388055</v>
      </c>
    </row>
    <row r="474" customFormat="false" ht="15" hidden="false" customHeight="false" outlineLevel="0" collapsed="false">
      <c r="A474" s="5" t="s">
        <v>370</v>
      </c>
      <c r="B474" s="0" t="s">
        <v>238</v>
      </c>
      <c r="C474" s="14" t="n">
        <f aca="false">C465+C473</f>
        <v>62.027</v>
      </c>
      <c r="D474" s="14" t="n">
        <f aca="false">D465+D473</f>
        <v>127</v>
      </c>
      <c r="E474" s="14" t="n">
        <f aca="false">E465+E473</f>
        <v>183.499349553571</v>
      </c>
      <c r="F474" s="14" t="n">
        <f aca="false">F465+F473</f>
        <v>185.925998716165</v>
      </c>
      <c r="G474" s="14" t="n">
        <f aca="false">G465+G473</f>
        <v>200.115091152509</v>
      </c>
    </row>
    <row r="475" customFormat="false" ht="15" hidden="false" customHeight="false" outlineLevel="0" collapsed="false">
      <c r="A475" s="5" t="s">
        <v>377</v>
      </c>
      <c r="B475" s="0" t="s">
        <v>42</v>
      </c>
      <c r="C475" s="13" t="n">
        <f aca="false">C474/C470</f>
        <v>0.149031715521384</v>
      </c>
      <c r="D475" s="13" t="n">
        <f aca="false">D474/D470</f>
        <v>0.230909090909091</v>
      </c>
      <c r="E475" s="13" t="n">
        <f aca="false">E474/E470</f>
        <v>0.259012028562756</v>
      </c>
      <c r="F475" s="13" t="n">
        <f aca="false">F474/F470</f>
        <v>0.24466643301714</v>
      </c>
      <c r="G475" s="13" t="n">
        <f aca="false">G474/G470</f>
        <v>0.231140571942739</v>
      </c>
    </row>
    <row r="476" customFormat="false" ht="15" hidden="false" customHeight="false" outlineLevel="0" collapsed="false">
      <c r="A476" s="5" t="s">
        <v>372</v>
      </c>
      <c r="B476" s="0" t="s">
        <v>238</v>
      </c>
      <c r="C476" s="14" t="n">
        <f aca="false">q25_ni</f>
        <v>63.713</v>
      </c>
      <c r="D476" s="14" t="n">
        <f aca="false">q26_ni</f>
        <v>84</v>
      </c>
      <c r="E476" s="14" t="n">
        <f aca="false">E474*ni_oi_lo</f>
        <v>113.769596723214</v>
      </c>
      <c r="F476" s="14" t="n">
        <f aca="false">F474*ni_oi_lo</f>
        <v>115.274119204023</v>
      </c>
      <c r="G476" s="14" t="n">
        <f aca="false">G474*ni_oi_lo</f>
        <v>124.071356514556</v>
      </c>
    </row>
    <row r="477" customFormat="false" ht="15" hidden="false" customHeight="false" outlineLevel="0" collapsed="false">
      <c r="A477" s="5" t="s">
        <v>450</v>
      </c>
      <c r="B477" s="5" t="s">
        <v>451</v>
      </c>
      <c r="D477" s="15" t="n">
        <f aca="false">q26_sh</f>
        <v>0.561197220737574</v>
      </c>
      <c r="E477" s="15" t="n">
        <f aca="false">D477*(1+sh_g)</f>
        <v>0.561197220737574</v>
      </c>
      <c r="F477" s="15" t="n">
        <f aca="false">E477*(1+sh_g)</f>
        <v>0.561197220737574</v>
      </c>
      <c r="G477" s="15" t="n">
        <f aca="false">F477*(1+sh_g)</f>
        <v>0.561197220737574</v>
      </c>
    </row>
    <row r="478" customFormat="false" ht="17.15" hidden="false" customHeight="false" outlineLevel="0" collapsed="false">
      <c r="A478" s="0" t="s">
        <v>452</v>
      </c>
      <c r="B478" s="0" t="s">
        <v>263</v>
      </c>
      <c r="C478" s="14" t="n">
        <f aca="false">q25_eps</f>
        <v>114.08</v>
      </c>
      <c r="D478" s="14" t="n">
        <f aca="false">D476/D477</f>
        <v>149.68</v>
      </c>
      <c r="E478" s="14" t="n">
        <f aca="false">E476/E477</f>
        <v>202.72658616108</v>
      </c>
      <c r="F478" s="14" t="n">
        <f aca="false">F476/F477</f>
        <v>205.407501934025</v>
      </c>
      <c r="G478" s="14" t="n">
        <f aca="false">G476/G477</f>
        <v>221.08334098927</v>
      </c>
    </row>
    <row r="479" customFormat="false" ht="17.15" hidden="false" customHeight="false" outlineLevel="0" collapsed="false">
      <c r="A479" s="0" t="s">
        <v>453</v>
      </c>
      <c r="B479" s="0" t="s">
        <v>42</v>
      </c>
      <c r="D479" s="13" t="n">
        <f aca="false">D478/C478-1</f>
        <v>0.312061711079944</v>
      </c>
      <c r="E479" s="13" t="n">
        <f aca="false">E478/D478-1</f>
        <v>0.354399960990646</v>
      </c>
      <c r="F479" s="13" t="n">
        <f aca="false">F478/E478-1</f>
        <v>0.0132242929933957</v>
      </c>
      <c r="G479" s="13" t="n">
        <f aca="false">G478/F478-1</f>
        <v>0.0763158059352691</v>
      </c>
    </row>
    <row r="482" customFormat="false" ht="17.15" hidden="false" customHeight="false" outlineLevel="0" collapsed="false">
      <c r="A482" s="3" t="s">
        <v>709</v>
      </c>
    </row>
    <row r="483" customFormat="false" ht="17.15" hidden="false" customHeight="false" outlineLevel="0" collapsed="false">
      <c r="A483" s="6" t="s">
        <v>19</v>
      </c>
      <c r="B483" s="6" t="s">
        <v>20</v>
      </c>
      <c r="C483" s="11" t="s">
        <v>361</v>
      </c>
      <c r="D483" s="11" t="s">
        <v>408</v>
      </c>
      <c r="E483" s="11" t="s">
        <v>384</v>
      </c>
      <c r="F483" s="11" t="s">
        <v>385</v>
      </c>
      <c r="G483" s="11" t="s">
        <v>386</v>
      </c>
      <c r="H483" s="6" t="s">
        <v>364</v>
      </c>
    </row>
    <row r="484" customFormat="false" ht="17.15" hidden="false" customHeight="false" outlineLevel="0" collapsed="false">
      <c r="A484" s="1" t="s">
        <v>422</v>
      </c>
    </row>
    <row r="485" customFormat="false" ht="17.15" hidden="false" customHeight="false" outlineLevel="0" collapsed="false">
      <c r="A485" s="0" t="s">
        <v>423</v>
      </c>
      <c r="B485" s="5" t="s">
        <v>30</v>
      </c>
      <c r="D485" s="14" t="n">
        <f aca="false">(u_bw_26+u_rb_26+u_ru_26+u_hp_26)*1</f>
        <v>7.6</v>
      </c>
      <c r="E485" s="14" t="n">
        <f aca="false">(u_bw_27+u_rb_27+u_ru_27+u_hp_27)*1</f>
        <v>9.7</v>
      </c>
      <c r="F485" s="14" t="n">
        <f aca="false">(u_bw_28+u_rb_28+u_ru_28+u_hp_28)*um28_A</f>
        <v>9.5</v>
      </c>
      <c r="G485" s="14" t="n">
        <f aca="false">(u_bw_28*(1+g29_bw)+u_rb_28*(1+g29_rb)+u_ru_28*(1+g29_ru)+u_hp_28*(1+g29_hp))*um29_A</f>
        <v>10.6</v>
      </c>
      <c r="H485" s="8" t="s">
        <v>424</v>
      </c>
    </row>
    <row r="486" customFormat="false" ht="17.15" hidden="false" customHeight="false" outlineLevel="0" collapsed="false">
      <c r="A486" s="5" t="s">
        <v>425</v>
      </c>
      <c r="B486" s="5" t="s">
        <v>30</v>
      </c>
      <c r="D486" s="14" t="n">
        <f aca="false">(u_amd_26+u_tpu_26+u_trn_26+u_oth_26)*1</f>
        <v>7.6</v>
      </c>
      <c r="E486" s="14" t="n">
        <f aca="false">(u_amd_27+u_tpu_27+u_trn_27+u_oth_27)*1</f>
        <v>14</v>
      </c>
      <c r="F486" s="14" t="n">
        <f aca="false">(u_amd_28+u_tpu_28+u_trn_28+u_oth_28)*um28_A</f>
        <v>17</v>
      </c>
      <c r="G486" s="14" t="n">
        <f aca="false">(u_amd_28*(1+g29_amd)+u_tpu_28*(1+g29_tpu)+u_trn_28*(1+g29_trn)+u_oth_28*(1+g29_oth))*um29_A</f>
        <v>19.55</v>
      </c>
      <c r="H486" s="8" t="s">
        <v>426</v>
      </c>
    </row>
    <row r="487" customFormat="false" ht="17.15" hidden="false" customHeight="false" outlineLevel="0" collapsed="false">
      <c r="A487" s="5" t="s">
        <v>427</v>
      </c>
      <c r="B487" s="5" t="s">
        <v>30</v>
      </c>
      <c r="D487" s="14" t="n">
        <f aca="false">D485+w_ot*D486</f>
        <v>10.64</v>
      </c>
      <c r="E487" s="14" t="n">
        <f aca="false">E485+w_ot*E486</f>
        <v>15.3</v>
      </c>
      <c r="F487" s="14" t="n">
        <f aca="false">F485+w_ot*F486</f>
        <v>16.3</v>
      </c>
      <c r="G487" s="14" t="n">
        <f aca="false">G485+w_ot*G486</f>
        <v>18.42</v>
      </c>
    </row>
    <row r="488" customFormat="false" ht="17.15" hidden="false" customHeight="false" outlineLevel="0" collapsed="false">
      <c r="A488" s="0" t="s">
        <v>428</v>
      </c>
      <c r="B488" s="0" t="s">
        <v>238</v>
      </c>
      <c r="D488" s="14" t="n">
        <f aca="false">q26_e*ai_e</f>
        <v>243.75</v>
      </c>
      <c r="H488" s="8" t="s">
        <v>429</v>
      </c>
    </row>
    <row r="489" customFormat="false" ht="17.15" hidden="false" customHeight="false" outlineLevel="0" collapsed="false">
      <c r="A489" s="5" t="s">
        <v>430</v>
      </c>
      <c r="B489" s="5" t="s">
        <v>431</v>
      </c>
      <c r="D489" s="12" t="n">
        <f aca="false">D488/D487</f>
        <v>22.9088345864662</v>
      </c>
      <c r="H489" s="8" t="s">
        <v>432</v>
      </c>
    </row>
    <row r="490" customFormat="false" ht="17.15" hidden="false" customHeight="false" outlineLevel="0" collapsed="false">
      <c r="A490" s="5" t="s">
        <v>433</v>
      </c>
      <c r="B490" s="0" t="s">
        <v>142</v>
      </c>
      <c r="D490" s="18" t="n">
        <f aca="false">1</f>
        <v>1</v>
      </c>
      <c r="E490" s="18" t="n">
        <f aca="false">D490*(1+g_asp)</f>
        <v>1.18</v>
      </c>
      <c r="F490" s="18" t="n">
        <f aca="false">E490*(1+g_asp)</f>
        <v>1.3924</v>
      </c>
      <c r="G490" s="18" t="n">
        <f aca="false">F490*(1+g_asp)</f>
        <v>1.643032</v>
      </c>
    </row>
    <row r="491" customFormat="false" ht="17.15" hidden="false" customHeight="false" outlineLevel="0" collapsed="false">
      <c r="A491" s="0" t="s">
        <v>434</v>
      </c>
      <c r="B491" s="0" t="s">
        <v>142</v>
      </c>
      <c r="D491" s="19" t="n">
        <f aca="false">1</f>
        <v>1</v>
      </c>
      <c r="E491" s="19" t="n">
        <f aca="false">rel_27</f>
        <v>0.95</v>
      </c>
      <c r="F491" s="19" t="n">
        <f aca="false">rel_28</f>
        <v>0.88</v>
      </c>
      <c r="G491" s="19" t="n">
        <f aca="false">rel_29</f>
        <v>0.85</v>
      </c>
    </row>
    <row r="492" customFormat="false" ht="17.15" hidden="false" customHeight="false" outlineLevel="0" collapsed="false">
      <c r="A492" s="5" t="s">
        <v>435</v>
      </c>
      <c r="B492" s="0" t="s">
        <v>142</v>
      </c>
      <c r="D492" s="19" t="n">
        <f aca="false">1</f>
        <v>1</v>
      </c>
      <c r="E492" s="19" t="n">
        <f aca="false">pp_27</f>
        <v>1</v>
      </c>
      <c r="F492" s="19" t="n">
        <f aca="false">pp_28</f>
        <v>0.95</v>
      </c>
      <c r="G492" s="19" t="n">
        <f aca="false">pp_29</f>
        <v>0.9</v>
      </c>
    </row>
    <row r="493" customFormat="false" ht="17.15" hidden="false" customHeight="false" outlineLevel="0" collapsed="false">
      <c r="A493" s="0" t="s">
        <v>397</v>
      </c>
      <c r="B493" s="0" t="s">
        <v>238</v>
      </c>
      <c r="D493" s="14" t="n">
        <f aca="false">D488</f>
        <v>243.75</v>
      </c>
      <c r="E493" s="14" t="n">
        <f aca="false">E487*$D$489*E490*E491*E492</f>
        <v>392.916294642857</v>
      </c>
      <c r="F493" s="14" t="n">
        <f aca="false">F487*$D$489*F490*F491*F492</f>
        <v>434.671226785714</v>
      </c>
      <c r="G493" s="14" t="n">
        <f aca="false">G487*$D$489*G490*G491*G492</f>
        <v>530.395803596334</v>
      </c>
    </row>
    <row r="494" customFormat="false" ht="17.15" hidden="false" customHeight="false" outlineLevel="0" collapsed="false">
      <c r="A494" s="1" t="s">
        <v>436</v>
      </c>
    </row>
    <row r="495" customFormat="false" ht="17.15" hidden="false" customHeight="false" outlineLevel="0" collapsed="false">
      <c r="A495" s="5" t="s">
        <v>437</v>
      </c>
      <c r="B495" s="0" t="s">
        <v>238</v>
      </c>
      <c r="D495" s="14" t="n">
        <f aca="false">q26_e-D493</f>
        <v>131.25</v>
      </c>
      <c r="E495" s="14" t="n">
        <f aca="false">D495*(1+g_ne)</f>
        <v>137.8125</v>
      </c>
      <c r="F495" s="14" t="n">
        <f aca="false">E495*(1+g_ne)</f>
        <v>144.703125</v>
      </c>
      <c r="G495" s="14" t="n">
        <f aca="false">F495*(1+g_ne)</f>
        <v>151.93828125</v>
      </c>
    </row>
    <row r="496" customFormat="false" ht="15" hidden="false" customHeight="false" outlineLevel="0" collapsed="false">
      <c r="A496" s="5" t="s">
        <v>438</v>
      </c>
      <c r="B496" s="0" t="s">
        <v>238</v>
      </c>
      <c r="C496" s="14" t="n">
        <f aca="false">q25_e</f>
        <v>243.316</v>
      </c>
      <c r="D496" s="14" t="n">
        <f aca="false">D493+D495</f>
        <v>375</v>
      </c>
      <c r="E496" s="14" t="n">
        <f aca="false">E493+E495</f>
        <v>530.728794642857</v>
      </c>
      <c r="F496" s="14" t="n">
        <f aca="false">F493+F495</f>
        <v>579.374351785714</v>
      </c>
      <c r="G496" s="14" t="n">
        <f aca="false">G493+G495</f>
        <v>682.334084846335</v>
      </c>
    </row>
    <row r="497" customFormat="false" ht="17.15" hidden="false" customHeight="false" outlineLevel="0" collapsed="false">
      <c r="A497" s="0" t="s">
        <v>439</v>
      </c>
      <c r="B497" s="0" t="s">
        <v>42</v>
      </c>
      <c r="D497" s="13" t="n">
        <f aca="false">(q26_eoi-m_ne*D495)/D493</f>
        <v>0.370512820512821</v>
      </c>
      <c r="H497" s="8" t="s">
        <v>440</v>
      </c>
    </row>
    <row r="498" customFormat="false" ht="17.15" hidden="false" customHeight="false" outlineLevel="0" collapsed="false">
      <c r="A498" s="0" t="s">
        <v>441</v>
      </c>
      <c r="B498" s="0" t="s">
        <v>42</v>
      </c>
      <c r="D498" s="13" t="n">
        <f aca="false">D497</f>
        <v>0.370512820512821</v>
      </c>
      <c r="E498" s="13" t="n">
        <f aca="false">1-(1-$D$497)/E492</f>
        <v>0.370512820512821</v>
      </c>
      <c r="F498" s="13" t="n">
        <f aca="false">1-(1-$D$497)/F492</f>
        <v>0.337381916329285</v>
      </c>
      <c r="G498" s="13" t="n">
        <f aca="false">1-(1-$D$497)/G492</f>
        <v>0.300569800569801</v>
      </c>
      <c r="H498" s="8" t="s">
        <v>442</v>
      </c>
    </row>
    <row r="499" customFormat="false" ht="15" hidden="false" customHeight="false" outlineLevel="0" collapsed="false">
      <c r="A499" s="5" t="s">
        <v>443</v>
      </c>
      <c r="B499" s="0" t="s">
        <v>238</v>
      </c>
      <c r="C499" s="14" t="n">
        <f aca="false">q25_eoi</f>
        <v>45.248</v>
      </c>
      <c r="D499" s="14" t="n">
        <f aca="false">D493*D498+D495*m_ne</f>
        <v>110</v>
      </c>
      <c r="E499" s="14" t="n">
        <f aca="false">E493*E498+E495*m_ne</f>
        <v>166.252399553571</v>
      </c>
      <c r="F499" s="14" t="n">
        <f aca="false">F493*F498+F495*m_ne</f>
        <v>168.355680216165</v>
      </c>
      <c r="G499" s="14" t="n">
        <f aca="false">G493*G498+G495*m_ne</f>
        <v>182.211703097509</v>
      </c>
    </row>
    <row r="500" customFormat="false" ht="15" hidden="false" customHeight="false" outlineLevel="0" collapsed="false">
      <c r="A500" s="5" t="s">
        <v>376</v>
      </c>
      <c r="B500" s="0" t="s">
        <v>42</v>
      </c>
      <c r="C500" s="13" t="n">
        <f aca="false">C499/C496</f>
        <v>0.185963931677325</v>
      </c>
      <c r="D500" s="13" t="n">
        <f aca="false">D499/D496</f>
        <v>0.293333333333333</v>
      </c>
      <c r="E500" s="13" t="n">
        <f aca="false">E499/E496</f>
        <v>0.313253023449477</v>
      </c>
      <c r="F500" s="13" t="n">
        <f aca="false">F499/F496</f>
        <v>0.29058186593395</v>
      </c>
      <c r="G500" s="13" t="n">
        <f aca="false">G499/G496</f>
        <v>0.267041771976765</v>
      </c>
    </row>
    <row r="501" customFormat="false" ht="17.15" hidden="false" customHeight="false" outlineLevel="0" collapsed="false">
      <c r="A501" s="1" t="s">
        <v>444</v>
      </c>
    </row>
    <row r="502" customFormat="false" ht="15" hidden="false" customHeight="false" outlineLevel="0" collapsed="false">
      <c r="A502" s="5" t="s">
        <v>445</v>
      </c>
      <c r="B502" s="0" t="s">
        <v>238</v>
      </c>
      <c r="C502" s="14" t="n">
        <f aca="false">q25_cer</f>
        <v>82.554</v>
      </c>
      <c r="D502" s="14" t="n">
        <f aca="false">q26_cer</f>
        <v>84</v>
      </c>
      <c r="E502" s="14" t="n">
        <f aca="false">D502*(1+g_cer)</f>
        <v>84</v>
      </c>
      <c r="F502" s="14" t="n">
        <f aca="false">E502*(1+g_cer)</f>
        <v>84</v>
      </c>
      <c r="G502" s="14" t="n">
        <f aca="false">F502*(1+g_cer)</f>
        <v>84</v>
      </c>
    </row>
    <row r="503" customFormat="false" ht="15" hidden="false" customHeight="false" outlineLevel="0" collapsed="false">
      <c r="A503" s="5" t="s">
        <v>446</v>
      </c>
      <c r="B503" s="0" t="s">
        <v>238</v>
      </c>
      <c r="C503" s="14" t="n">
        <f aca="false">q25_oth</f>
        <v>90.33</v>
      </c>
      <c r="D503" s="14" t="n">
        <f aca="false">q26_oth</f>
        <v>91</v>
      </c>
      <c r="E503" s="14" t="n">
        <f aca="false">D503*(1+g_oth)</f>
        <v>93.73</v>
      </c>
      <c r="F503" s="14" t="n">
        <f aca="false">E503*(1+g_oth)</f>
        <v>96.5419</v>
      </c>
      <c r="G503" s="14" t="n">
        <f aca="false">F503*(1+g_oth)</f>
        <v>99.438157</v>
      </c>
    </row>
    <row r="504" customFormat="false" ht="15" hidden="false" customHeight="false" outlineLevel="0" collapsed="false">
      <c r="A504" s="5" t="s">
        <v>365</v>
      </c>
      <c r="B504" s="0" t="s">
        <v>238</v>
      </c>
      <c r="C504" s="14" t="n">
        <f aca="false">C496+C502+C503</f>
        <v>416.2</v>
      </c>
      <c r="D504" s="14" t="n">
        <f aca="false">D496+D502+D503</f>
        <v>550</v>
      </c>
      <c r="E504" s="14" t="n">
        <f aca="false">E496+E502+E503</f>
        <v>708.458794642857</v>
      </c>
      <c r="F504" s="14" t="n">
        <f aca="false">F496+F502+F503</f>
        <v>759.916251785714</v>
      </c>
      <c r="G504" s="14" t="n">
        <f aca="false">G496+G502+G503</f>
        <v>865.772241846335</v>
      </c>
    </row>
    <row r="505" customFormat="false" ht="15" hidden="false" customHeight="false" outlineLevel="0" collapsed="false">
      <c r="A505" s="5" t="s">
        <v>447</v>
      </c>
      <c r="B505" s="0" t="s">
        <v>42</v>
      </c>
      <c r="D505" s="13" t="n">
        <f aca="false">D504/C504-1</f>
        <v>0.321480057664584</v>
      </c>
      <c r="E505" s="13" t="n">
        <f aca="false">E504/D504-1</f>
        <v>0.288106899350649</v>
      </c>
      <c r="F505" s="13" t="n">
        <f aca="false">F504/E504-1</f>
        <v>0.0726329569651225</v>
      </c>
      <c r="G505" s="13" t="n">
        <f aca="false">G504/F504-1</f>
        <v>0.139299547564447</v>
      </c>
    </row>
    <row r="506" customFormat="false" ht="17.15" hidden="false" customHeight="false" outlineLevel="0" collapsed="false">
      <c r="A506" s="0" t="s">
        <v>448</v>
      </c>
      <c r="B506" s="0" t="s">
        <v>42</v>
      </c>
      <c r="D506" s="13" t="n">
        <f aca="false">D493/D504</f>
        <v>0.443181818181818</v>
      </c>
      <c r="E506" s="13" t="n">
        <f aca="false">E493/E504</f>
        <v>0.554607124103712</v>
      </c>
      <c r="F506" s="13" t="n">
        <f aca="false">F493/F504</f>
        <v>0.57199885614275</v>
      </c>
      <c r="G506" s="13" t="n">
        <f aca="false">G493/G504</f>
        <v>0.612627407024761</v>
      </c>
    </row>
    <row r="507" customFormat="false" ht="15" hidden="false" customHeight="false" outlineLevel="0" collapsed="false">
      <c r="A507" s="5" t="s">
        <v>449</v>
      </c>
      <c r="B507" s="0" t="s">
        <v>238</v>
      </c>
      <c r="C507" s="14" t="n">
        <f aca="false">q25_oi-q25_eoi</f>
        <v>16.779</v>
      </c>
      <c r="D507" s="14" t="n">
        <f aca="false">q26_oi-q26_eoi</f>
        <v>17</v>
      </c>
      <c r="E507" s="14" t="n">
        <f aca="false">E502*m_cer+E503*m_oth+q26_adj</f>
        <v>17.24695</v>
      </c>
      <c r="F507" s="14" t="n">
        <f aca="false">F502*m_cer+F503*m_oth+q26_adj</f>
        <v>17.5703185</v>
      </c>
      <c r="G507" s="14" t="n">
        <f aca="false">G502*m_cer+G503*m_oth+q26_adj</f>
        <v>17.903388055</v>
      </c>
    </row>
    <row r="508" customFormat="false" ht="15" hidden="false" customHeight="false" outlineLevel="0" collapsed="false">
      <c r="A508" s="5" t="s">
        <v>370</v>
      </c>
      <c r="B508" s="0" t="s">
        <v>238</v>
      </c>
      <c r="C508" s="14" t="n">
        <f aca="false">C499+C507</f>
        <v>62.027</v>
      </c>
      <c r="D508" s="14" t="n">
        <f aca="false">D499+D507</f>
        <v>127</v>
      </c>
      <c r="E508" s="14" t="n">
        <f aca="false">E499+E507</f>
        <v>183.499349553571</v>
      </c>
      <c r="F508" s="14" t="n">
        <f aca="false">F499+F507</f>
        <v>185.925998716165</v>
      </c>
      <c r="G508" s="14" t="n">
        <f aca="false">G499+G507</f>
        <v>200.115091152509</v>
      </c>
    </row>
    <row r="509" customFormat="false" ht="15" hidden="false" customHeight="false" outlineLevel="0" collapsed="false">
      <c r="A509" s="5" t="s">
        <v>377</v>
      </c>
      <c r="B509" s="0" t="s">
        <v>42</v>
      </c>
      <c r="C509" s="13" t="n">
        <f aca="false">C508/C504</f>
        <v>0.149031715521384</v>
      </c>
      <c r="D509" s="13" t="n">
        <f aca="false">D508/D504</f>
        <v>0.230909090909091</v>
      </c>
      <c r="E509" s="13" t="n">
        <f aca="false">E508/E504</f>
        <v>0.259012028562756</v>
      </c>
      <c r="F509" s="13" t="n">
        <f aca="false">F508/F504</f>
        <v>0.24466643301714</v>
      </c>
      <c r="G509" s="13" t="n">
        <f aca="false">G508/G504</f>
        <v>0.231140571942739</v>
      </c>
    </row>
    <row r="510" customFormat="false" ht="15" hidden="false" customHeight="false" outlineLevel="0" collapsed="false">
      <c r="A510" s="5" t="s">
        <v>372</v>
      </c>
      <c r="B510" s="0" t="s">
        <v>238</v>
      </c>
      <c r="C510" s="14" t="n">
        <f aca="false">q25_ni</f>
        <v>63.713</v>
      </c>
      <c r="D510" s="14" t="n">
        <f aca="false">q26_ni</f>
        <v>84</v>
      </c>
      <c r="E510" s="14" t="n">
        <f aca="false">E508*ni_oi</f>
        <v>121.293070054911</v>
      </c>
      <c r="F510" s="14" t="n">
        <f aca="false">F508*ni_oi</f>
        <v>122.897085151385</v>
      </c>
      <c r="G510" s="14" t="n">
        <f aca="false">G508*ni_oi</f>
        <v>132.276075251809</v>
      </c>
    </row>
    <row r="511" customFormat="false" ht="15" hidden="false" customHeight="false" outlineLevel="0" collapsed="false">
      <c r="A511" s="5" t="s">
        <v>450</v>
      </c>
      <c r="B511" s="5" t="s">
        <v>451</v>
      </c>
      <c r="D511" s="15" t="n">
        <f aca="false">q26_sh</f>
        <v>0.561197220737574</v>
      </c>
      <c r="E511" s="15" t="n">
        <f aca="false">D511*(1+sh_g_hi)</f>
        <v>0.578033137359701</v>
      </c>
      <c r="F511" s="15" t="n">
        <f aca="false">E511*(1+sh_g_hi)</f>
        <v>0.595374131480492</v>
      </c>
      <c r="G511" s="15" t="n">
        <f aca="false">F511*(1+sh_g_hi)</f>
        <v>0.613235355424907</v>
      </c>
    </row>
    <row r="512" customFormat="false" ht="17.15" hidden="false" customHeight="false" outlineLevel="0" collapsed="false">
      <c r="A512" s="0" t="s">
        <v>452</v>
      </c>
      <c r="B512" s="0" t="s">
        <v>263</v>
      </c>
      <c r="C512" s="14" t="n">
        <f aca="false">q25_eps</f>
        <v>114.08</v>
      </c>
      <c r="D512" s="14" t="n">
        <f aca="false">D510/D511</f>
        <v>149.68</v>
      </c>
      <c r="E512" s="14" t="n">
        <f aca="false">E510/E511</f>
        <v>209.837571958149</v>
      </c>
      <c r="F512" s="14" t="n">
        <f aca="false">F510/F511</f>
        <v>206.419927660919</v>
      </c>
      <c r="G512" s="14" t="n">
        <f aca="false">G510/G511</f>
        <v>215.701971651904</v>
      </c>
    </row>
    <row r="513" customFormat="false" ht="17.15" hidden="false" customHeight="false" outlineLevel="0" collapsed="false">
      <c r="A513" s="0" t="s">
        <v>453</v>
      </c>
      <c r="B513" s="0" t="s">
        <v>42</v>
      </c>
      <c r="D513" s="13" t="n">
        <f aca="false">D512/C512-1</f>
        <v>0.312061711079944</v>
      </c>
      <c r="E513" s="13" t="n">
        <f aca="false">E512/D512-1</f>
        <v>0.401907883205163</v>
      </c>
      <c r="F513" s="13" t="n">
        <f aca="false">F512/E512-1</f>
        <v>-0.0162870941811692</v>
      </c>
      <c r="G513" s="13" t="n">
        <f aca="false">G512/F512-1</f>
        <v>0.0449668018789022</v>
      </c>
    </row>
    <row r="516" customFormat="false" ht="17.15" hidden="false" customHeight="false" outlineLevel="0" collapsed="false">
      <c r="A516" s="3" t="s">
        <v>710</v>
      </c>
    </row>
    <row r="517" customFormat="false" ht="17.15" hidden="false" customHeight="false" outlineLevel="0" collapsed="false">
      <c r="A517" s="6" t="s">
        <v>651</v>
      </c>
      <c r="B517" s="6" t="s">
        <v>652</v>
      </c>
      <c r="C517" s="11" t="s">
        <v>711</v>
      </c>
      <c r="D517" s="11" t="s">
        <v>712</v>
      </c>
      <c r="E517" s="6" t="s">
        <v>713</v>
      </c>
      <c r="F517" s="6" t="s">
        <v>714</v>
      </c>
    </row>
    <row r="518" customFormat="false" ht="17.15" hidden="false" customHeight="false" outlineLevel="0" collapsed="false">
      <c r="A518" s="5" t="s">
        <v>22</v>
      </c>
      <c r="B518" s="0" t="s">
        <v>715</v>
      </c>
      <c r="C518" s="16" t="n">
        <f aca="false">(tp_wA*(Val!B65*(1-MIN(tp_g/tp_roe,0.8))/(1+tp_r)^1+Val!B66*(1-MIN(tp_g/tp_roe,0.8))/(1+tp_r)^2+Val!B67*(1-MIN(tp_g/tp_roe,0.8))/(1+tp_r)^3+Val!B68*(1-MIN(tp_g/tp_roe,0.8))/(1+tp_r)^4+Val!B69*(1-MIN(tp_g/tp_roe,0.8))/(1+tp_r)^5+Val!B70*(1-MIN(tp_g/tp_roe,0.8))/(1+tp_r)^6+Val!B70*(1-MIN(tp_g/tp_roe,0.8))*(1+tp_g)/(tp_r-tp_g)/(1+tp_r)^6)+tp_wB*(Val!C65*(1-MIN(tp_g/tp_roe,0.8))/(1+tp_r)^1+Val!C66*(1-MIN(tp_g/tp_roe,0.8))/(1+tp_r)^2+Val!C67*(1-MIN(tp_g/tp_roe,0.8))/(1+tp_r)^3+Val!C68*(1-MIN(tp_g/tp_roe,0.8))/(1+tp_r)^4+Val!C69*(1-MIN(tp_g/tp_roe,0.8))/(1+tp_r)^5+Val!C70*(1-MIN(tp_g/tp_roe,0.8))/(1+tp_r)^6+Val!C70*(1-MIN(tp_g/tp_roe,0.8))*(1+tp_g)/(tp_r-tp_g)/(1+tp_r)^6)+tp_wC*(Val!D65*(1-MIN(tp_g/tp_roe,0.8))/(1+tp_r)^1+Val!D66*(1-MIN(tp_g/tp_roe,0.8))/(1+tp_r)^2+Val!D67*(1-MIN(tp_g/tp_roe,0.8))/(1+tp_r)^3+Val!D68*(1-MIN(tp_g/tp_roe,0.8))/(1+tp_r)^4+Val!D69*(1-MIN(tp_g/tp_roe,0.8))/(1+tp_r)^5+Val!D70*(1-MIN(tp_g/tp_roe,0.8))/(1+tp_r)^6+Val!D70*(1-MIN(tp_g/tp_roe,0.8))*(1+tp_g)/(tp_r-tp_g)/(1+tp_r)^6))*(1+tp_r)</f>
        <v>1931.24288735174</v>
      </c>
      <c r="D518" s="16" t="n">
        <f aca="false">Val!B92</f>
        <v>8541.23940153114</v>
      </c>
      <c r="E518" s="16" t="n">
        <f aca="false">tp_w_dcf*C518+(1-tp_w_dcf)*D518</f>
        <v>5236.24114444144</v>
      </c>
      <c r="F518" s="13" t="n">
        <f aca="false">E518/E$518-1</f>
        <v>0</v>
      </c>
    </row>
    <row r="519" customFormat="false" ht="17.15" hidden="false" customHeight="false" outlineLevel="0" collapsed="false">
      <c r="A519" s="5" t="s">
        <v>716</v>
      </c>
      <c r="B519" s="0" t="s">
        <v>717</v>
      </c>
      <c r="C519" s="16" t="n">
        <f aca="false">(tp_wA*(Val!B65*(1-MIN(tp_g/tp_roe,0.8))/(1+(tp_r+0.01))^1+Val!B66*(1-MIN(tp_g/tp_roe,0.8))/(1+(tp_r+0.01))^2+Val!B67*(1-MIN(tp_g/tp_roe,0.8))/(1+(tp_r+0.01))^3+Val!B68*(1-MIN(tp_g/tp_roe,0.8))/(1+(tp_r+0.01))^4+Val!B69*(1-MIN(tp_g/tp_roe,0.8))/(1+(tp_r+0.01))^5+Val!B70*(1-MIN(tp_g/tp_roe,0.8))/(1+(tp_r+0.01))^6+Val!B70*(1-MIN(tp_g/tp_roe,0.8))*(1+tp_g)/((tp_r+0.01)-tp_g)/(1+(tp_r+0.01))^6)+tp_wB*(Val!C65*(1-MIN(tp_g/tp_roe,0.8))/(1+(tp_r+0.01))^1+Val!C66*(1-MIN(tp_g/tp_roe,0.8))/(1+(tp_r+0.01))^2+Val!C67*(1-MIN(tp_g/tp_roe,0.8))/(1+(tp_r+0.01))^3+Val!C68*(1-MIN(tp_g/tp_roe,0.8))/(1+(tp_r+0.01))^4+Val!C69*(1-MIN(tp_g/tp_roe,0.8))/(1+(tp_r+0.01))^5+Val!C70*(1-MIN(tp_g/tp_roe,0.8))/(1+(tp_r+0.01))^6+Val!C70*(1-MIN(tp_g/tp_roe,0.8))*(1+tp_g)/((tp_r+0.01)-tp_g)/(1+(tp_r+0.01))^6)+tp_wC*(Val!D65*(1-MIN(tp_g/tp_roe,0.8))/(1+(tp_r+0.01))^1+Val!D66*(1-MIN(tp_g/tp_roe,0.8))/(1+(tp_r+0.01))^2+Val!D67*(1-MIN(tp_g/tp_roe,0.8))/(1+(tp_r+0.01))^3+Val!D68*(1-MIN(tp_g/tp_roe,0.8))/(1+(tp_r+0.01))^4+Val!D69*(1-MIN(tp_g/tp_roe,0.8))/(1+(tp_r+0.01))^5+Val!D70*(1-MIN(tp_g/tp_roe,0.8))/(1+(tp_r+0.01))^6+Val!D70*(1-MIN(tp_g/tp_roe,0.8))*(1+tp_g)/((tp_r+0.01)-tp_g)/(1+(tp_r+0.01))^6))*(1+(tp_r+0.01))</f>
        <v>1670.88029262619</v>
      </c>
      <c r="D519" s="16" t="n">
        <f aca="false">Val!B92</f>
        <v>8541.23940153114</v>
      </c>
      <c r="E519" s="16" t="n">
        <f aca="false">tp_w_dcf*C519+(1-tp_w_dcf)*D519</f>
        <v>5106.05984707866</v>
      </c>
      <c r="F519" s="13" t="n">
        <f aca="false">E519/E$518-1</f>
        <v>-0.0248615932253178</v>
      </c>
    </row>
    <row r="520" customFormat="false" ht="17.15" hidden="false" customHeight="false" outlineLevel="0" collapsed="false">
      <c r="A520" s="5" t="s">
        <v>718</v>
      </c>
      <c r="B520" s="0" t="s">
        <v>719</v>
      </c>
      <c r="C520" s="16" t="n">
        <f aca="false">(tp_wA*(Val!B65*(1-MIN(tp_g/tp_roe,0.8))/(1+(tp_r-0.01))^1+Val!B66*(1-MIN(tp_g/tp_roe,0.8))/(1+(tp_r-0.01))^2+Val!B67*(1-MIN(tp_g/tp_roe,0.8))/(1+(tp_r-0.01))^3+Val!B68*(1-MIN(tp_g/tp_roe,0.8))/(1+(tp_r-0.01))^4+Val!B69*(1-MIN(tp_g/tp_roe,0.8))/(1+(tp_r-0.01))^5+Val!B70*(1-MIN(tp_g/tp_roe,0.8))/(1+(tp_r-0.01))^6+Val!B70*(1-MIN(tp_g/tp_roe,0.8))*(1+tp_g)/((tp_r-0.01)-tp_g)/(1+(tp_r-0.01))^6)+tp_wB*(Val!C65*(1-MIN(tp_g/tp_roe,0.8))/(1+(tp_r-0.01))^1+Val!C66*(1-MIN(tp_g/tp_roe,0.8))/(1+(tp_r-0.01))^2+Val!C67*(1-MIN(tp_g/tp_roe,0.8))/(1+(tp_r-0.01))^3+Val!C68*(1-MIN(tp_g/tp_roe,0.8))/(1+(tp_r-0.01))^4+Val!C69*(1-MIN(tp_g/tp_roe,0.8))/(1+(tp_r-0.01))^5+Val!C70*(1-MIN(tp_g/tp_roe,0.8))/(1+(tp_r-0.01))^6+Val!C70*(1-MIN(tp_g/tp_roe,0.8))*(1+tp_g)/((tp_r-0.01)-tp_g)/(1+(tp_r-0.01))^6)+tp_wC*(Val!D65*(1-MIN(tp_g/tp_roe,0.8))/(1+(tp_r-0.01))^1+Val!D66*(1-MIN(tp_g/tp_roe,0.8))/(1+(tp_r-0.01))^2+Val!D67*(1-MIN(tp_g/tp_roe,0.8))/(1+(tp_r-0.01))^3+Val!D68*(1-MIN(tp_g/tp_roe,0.8))/(1+(tp_r-0.01))^4+Val!D69*(1-MIN(tp_g/tp_roe,0.8))/(1+(tp_r-0.01))^5+Val!D70*(1-MIN(tp_g/tp_roe,0.8))/(1+(tp_r-0.01))^6+Val!D70*(1-MIN(tp_g/tp_roe,0.8))*(1+tp_g)/((tp_r-0.01)-tp_g)/(1+(tp_r-0.01))^6))*(1+(tp_r-0.01))</f>
        <v>2295.75644686694</v>
      </c>
      <c r="D520" s="16" t="n">
        <f aca="false">Val!B92</f>
        <v>8541.23940153114</v>
      </c>
      <c r="E520" s="16" t="n">
        <f aca="false">tp_w_dcf*C520+(1-tp_w_dcf)*D520</f>
        <v>5418.49792419904</v>
      </c>
      <c r="F520" s="13" t="n">
        <f aca="false">E520/E$518-1</f>
        <v>0.0348067964652619</v>
      </c>
    </row>
    <row r="521" customFormat="false" ht="17.15" hidden="false" customHeight="false" outlineLevel="0" collapsed="false">
      <c r="A521" s="5" t="s">
        <v>720</v>
      </c>
      <c r="B521" s="0" t="s">
        <v>721</v>
      </c>
      <c r="C521" s="16" t="n">
        <f aca="false">(tp_wA*(Val!B65*(1-MIN((tp_g+0.01)/tp_roe,0.8))/(1+tp_r)^1+Val!B66*(1-MIN((tp_g+0.01)/tp_roe,0.8))/(1+tp_r)^2+Val!B67*(1-MIN((tp_g+0.01)/tp_roe,0.8))/(1+tp_r)^3+Val!B68*(1-MIN((tp_g+0.01)/tp_roe,0.8))/(1+tp_r)^4+Val!B69*(1-MIN((tp_g+0.01)/tp_roe,0.8))/(1+tp_r)^5+Val!B70*(1-MIN((tp_g+0.01)/tp_roe,0.8))/(1+tp_r)^6+Val!B70*(1-MIN((tp_g+0.01)/tp_roe,0.8))*(1+(tp_g+0.01))/(tp_r-(tp_g+0.01))/(1+tp_r)^6)+tp_wB*(Val!C65*(1-MIN((tp_g+0.01)/tp_roe,0.8))/(1+tp_r)^1+Val!C66*(1-MIN((tp_g+0.01)/tp_roe,0.8))/(1+tp_r)^2+Val!C67*(1-MIN((tp_g+0.01)/tp_roe,0.8))/(1+tp_r)^3+Val!C68*(1-MIN((tp_g+0.01)/tp_roe,0.8))/(1+tp_r)^4+Val!C69*(1-MIN((tp_g+0.01)/tp_roe,0.8))/(1+tp_r)^5+Val!C70*(1-MIN((tp_g+0.01)/tp_roe,0.8))/(1+tp_r)^6+Val!C70*(1-MIN((tp_g+0.01)/tp_roe,0.8))*(1+(tp_g+0.01))/(tp_r-(tp_g+0.01))/(1+tp_r)^6)+tp_wC*(Val!D65*(1-MIN((tp_g+0.01)/tp_roe,0.8))/(1+tp_r)^1+Val!D66*(1-MIN((tp_g+0.01)/tp_roe,0.8))/(1+tp_r)^2+Val!D67*(1-MIN((tp_g+0.01)/tp_roe,0.8))/(1+tp_r)^3+Val!D68*(1-MIN((tp_g+0.01)/tp_roe,0.8))/(1+tp_r)^4+Val!D69*(1-MIN((tp_g+0.01)/tp_roe,0.8))/(1+tp_r)^5+Val!D70*(1-MIN((tp_g+0.01)/tp_roe,0.8))/(1+tp_r)^6+Val!D70*(1-MIN((tp_g+0.01)/tp_roe,0.8))*(1+(tp_g+0.01))/(tp_r-(tp_g+0.01))/(1+tp_r)^6))*(1+tp_r)</f>
        <v>1740.74878335702</v>
      </c>
      <c r="D521" s="16" t="n">
        <f aca="false">Val!B92</f>
        <v>8541.23940153114</v>
      </c>
      <c r="E521" s="16" t="n">
        <f aca="false">tp_w_dcf*C521+(1-tp_w_dcf)*D521</f>
        <v>5140.99409244408</v>
      </c>
      <c r="F521" s="13" t="n">
        <f aca="false">E521/E$518-1</f>
        <v>-0.0181899666898402</v>
      </c>
    </row>
    <row r="522" customFormat="false" ht="17.15" hidden="false" customHeight="false" outlineLevel="0" collapsed="false">
      <c r="A522" s="5" t="s">
        <v>722</v>
      </c>
      <c r="B522" s="0" t="s">
        <v>723</v>
      </c>
      <c r="C522" s="16" t="n">
        <f aca="false">(tp_wA*(Val!B65*(1-MIN((tp_g-0.01)/tp_roe,0.8))/(1+tp_r)^1+Val!B66*(1-MIN((tp_g-0.01)/tp_roe,0.8))/(1+tp_r)^2+Val!B67*(1-MIN((tp_g-0.01)/tp_roe,0.8))/(1+tp_r)^3+Val!B68*(1-MIN((tp_g-0.01)/tp_roe,0.8))/(1+tp_r)^4+Val!B69*(1-MIN((tp_g-0.01)/tp_roe,0.8))/(1+tp_r)^5+Val!B70*(1-MIN((tp_g-0.01)/tp_roe,0.8))/(1+tp_r)^6+Val!B70*(1-MIN((tp_g-0.01)/tp_roe,0.8))*(1+(tp_g-0.01))/(tp_r-(tp_g-0.01))/(1+tp_r)^6)+tp_wB*(Val!C65*(1-MIN((tp_g-0.01)/tp_roe,0.8))/(1+tp_r)^1+Val!C66*(1-MIN((tp_g-0.01)/tp_roe,0.8))/(1+tp_r)^2+Val!C67*(1-MIN((tp_g-0.01)/tp_roe,0.8))/(1+tp_r)^3+Val!C68*(1-MIN((tp_g-0.01)/tp_roe,0.8))/(1+tp_r)^4+Val!C69*(1-MIN((tp_g-0.01)/tp_roe,0.8))/(1+tp_r)^5+Val!C70*(1-MIN((tp_g-0.01)/tp_roe,0.8))/(1+tp_r)^6+Val!C70*(1-MIN((tp_g-0.01)/tp_roe,0.8))*(1+(tp_g-0.01))/(tp_r-(tp_g-0.01))/(1+tp_r)^6)+tp_wC*(Val!D65*(1-MIN((tp_g-0.01)/tp_roe,0.8))/(1+tp_r)^1+Val!D66*(1-MIN((tp_g-0.01)/tp_roe,0.8))/(1+tp_r)^2+Val!D67*(1-MIN((tp_g-0.01)/tp_roe,0.8))/(1+tp_r)^3+Val!D68*(1-MIN((tp_g-0.01)/tp_roe,0.8))/(1+tp_r)^4+Val!D69*(1-MIN((tp_g-0.01)/tp_roe,0.8))/(1+tp_r)^5+Val!D70*(1-MIN((tp_g-0.01)/tp_roe,0.8))/(1+tp_r)^6+Val!D70*(1-MIN((tp_g-0.01)/tp_roe,0.8))*(1+(tp_g-0.01))/(tp_r-(tp_g-0.01))/(1+tp_r)^6))*(1+tp_r)</f>
        <v>2096.72349366317</v>
      </c>
      <c r="D522" s="16" t="n">
        <f aca="false">Val!B92</f>
        <v>8541.23940153114</v>
      </c>
      <c r="E522" s="16" t="n">
        <f aca="false">tp_w_dcf*C522+(1-tp_w_dcf)*D522</f>
        <v>5318.98144759716</v>
      </c>
      <c r="F522" s="13" t="n">
        <f aca="false">E522/E$518-1</f>
        <v>0.0158014691977186</v>
      </c>
    </row>
    <row r="523" customFormat="false" ht="17.15" hidden="false" customHeight="false" outlineLevel="0" collapsed="false">
      <c r="A523" s="0" t="s">
        <v>724</v>
      </c>
      <c r="B523" s="0" t="s">
        <v>725</v>
      </c>
      <c r="C523" s="16" t="n">
        <f aca="false">(tp_wA*(Val!B65*(1-MIN(tp_g/tp_roe,0.8))/(1+tp_r)^1+Val!B66*(1-MIN(tp_g/tp_roe,0.8))/(1+tp_r)^2+Val!B67*(1-MIN(tp_g/tp_roe,0.8))/(1+tp_r)^3+Val!B68*(1-MIN(tp_g/tp_roe,0.8))/(1+tp_r)^4+Val!B69*(1-MIN(tp_g/tp_roe,0.8))/(1+tp_r)^5+Val!B70*(1-MIN(tp_g/tp_roe,0.8))/(1+tp_r)^6+Val!B70*(1-MIN(tp_g/tp_roe,0.8))*(1+tp_g)/(tp_r-tp_g)/(1+tp_r)^6)+tp_wB*(Val!C65*(1-MIN(tp_g/tp_roe,0.8))/(1+tp_r)^1+Val!C66*(1-MIN(tp_g/tp_roe,0.8))/(1+tp_r)^2+Val!C67*(1-MIN(tp_g/tp_roe,0.8))/(1+tp_r)^3+Val!C68*(1-MIN(tp_g/tp_roe,0.8))/(1+tp_r)^4+Val!C69*(1-MIN(tp_g/tp_roe,0.8))/(1+tp_r)^5+Val!C70*(1-MIN(tp_g/tp_roe,0.8))/(1+tp_r)^6+Val!C70*(1-MIN(tp_g/tp_roe,0.8))*(1+tp_g)/(tp_r-tp_g)/(1+tp_r)^6)+tp_wC*(Val!D65*(1-MIN(tp_g/tp_roe,0.8))/(1+tp_r)^1+Val!D66*(1-MIN(tp_g/tp_roe,0.8))/(1+tp_r)^2+Val!D67*(1-MIN(tp_g/tp_roe,0.8))/(1+tp_r)^3+Val!D68*(1-MIN(tp_g/tp_roe,0.8))/(1+tp_r)^4+Val!D69*(1-MIN(tp_g/tp_roe,0.8))/(1+tp_r)^5+Val!D70*(1-MIN(tp_g/tp_roe,0.8))/(1+tp_r)^6+Val!D70*(1-MIN(tp_g/tp_roe,0.8))*(1+tp_g)/(tp_r-tp_g)/(1+tp_r)^6))*(1+tp_r)</f>
        <v>1931.24288735174</v>
      </c>
      <c r="D523" s="16" t="n">
        <f aca="false">Val!B92</f>
        <v>8541.23940153114</v>
      </c>
      <c r="E523" s="16" t="n">
        <f aca="false">0.4*C523+(1-0.4)*D523</f>
        <v>5897.24079585938</v>
      </c>
      <c r="F523" s="13" t="n">
        <f aca="false">E523/E$518-1</f>
        <v>0.126235525290814</v>
      </c>
    </row>
    <row r="524" customFormat="false" ht="17.15" hidden="false" customHeight="false" outlineLevel="0" collapsed="false">
      <c r="A524" s="0" t="s">
        <v>726</v>
      </c>
      <c r="B524" s="0" t="s">
        <v>727</v>
      </c>
      <c r="C524" s="16" t="n">
        <f aca="false">(tp_wA*(Val!B65*(1-MIN(tp_g/tp_roe,0.8))/(1+tp_r)^1+Val!B66*(1-MIN(tp_g/tp_roe,0.8))/(1+tp_r)^2+Val!B67*(1-MIN(tp_g/tp_roe,0.8))/(1+tp_r)^3+Val!B68*(1-MIN(tp_g/tp_roe,0.8))/(1+tp_r)^4+Val!B69*(1-MIN(tp_g/tp_roe,0.8))/(1+tp_r)^5+Val!B70*(1-MIN(tp_g/tp_roe,0.8))/(1+tp_r)^6+Val!B70*(1-MIN(tp_g/tp_roe,0.8))*(1+tp_g)/(tp_r-tp_g)/(1+tp_r)^6)+tp_wB*(Val!C65*(1-MIN(tp_g/tp_roe,0.8))/(1+tp_r)^1+Val!C66*(1-MIN(tp_g/tp_roe,0.8))/(1+tp_r)^2+Val!C67*(1-MIN(tp_g/tp_roe,0.8))/(1+tp_r)^3+Val!C68*(1-MIN(tp_g/tp_roe,0.8))/(1+tp_r)^4+Val!C69*(1-MIN(tp_g/tp_roe,0.8))/(1+tp_r)^5+Val!C70*(1-MIN(tp_g/tp_roe,0.8))/(1+tp_r)^6+Val!C70*(1-MIN(tp_g/tp_roe,0.8))*(1+tp_g)/(tp_r-tp_g)/(1+tp_r)^6)+tp_wC*(Val!D65*(1-MIN(tp_g/tp_roe,0.8))/(1+tp_r)^1+Val!D66*(1-MIN(tp_g/tp_roe,0.8))/(1+tp_r)^2+Val!D67*(1-MIN(tp_g/tp_roe,0.8))/(1+tp_r)^3+Val!D68*(1-MIN(tp_g/tp_roe,0.8))/(1+tp_r)^4+Val!D69*(1-MIN(tp_g/tp_roe,0.8))/(1+tp_r)^5+Val!D70*(1-MIN(tp_g/tp_roe,0.8))/(1+tp_r)^6+Val!D70*(1-MIN(tp_g/tp_roe,0.8))*(1+tp_g)/(tp_r-tp_g)/(1+tp_r)^6))*(1+tp_r)</f>
        <v>1931.24288735174</v>
      </c>
      <c r="D524" s="16" t="n">
        <f aca="false">Val!B92</f>
        <v>8541.23940153114</v>
      </c>
      <c r="E524" s="16" t="n">
        <f aca="false">0.8*C524+(1-0.8)*D524</f>
        <v>3253.24219018762</v>
      </c>
      <c r="F524" s="13" t="n">
        <f aca="false">E524/E$518-1</f>
        <v>-0.378706575872444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  <col collapsed="false" customWidth="true" hidden="false" outlineLevel="0" max="2" min="2" style="0" width="140"/>
  </cols>
  <sheetData>
    <row r="1" customFormat="false" ht="17.15" hidden="false" customHeight="false" outlineLevel="0" collapsed="false">
      <c r="A1" s="3" t="s">
        <v>728</v>
      </c>
    </row>
    <row r="2" customFormat="false" ht="17.15" hidden="false" customHeight="false" outlineLevel="0" collapsed="false">
      <c r="A2" s="5" t="s">
        <v>729</v>
      </c>
      <c r="B2" s="0" t="s">
        <v>730</v>
      </c>
    </row>
    <row r="3" customFormat="false" ht="17.15" hidden="false" customHeight="false" outlineLevel="0" collapsed="false">
      <c r="A3" s="5" t="s">
        <v>731</v>
      </c>
      <c r="B3" s="0" t="s">
        <v>732</v>
      </c>
    </row>
    <row r="4" customFormat="false" ht="17.15" hidden="false" customHeight="false" outlineLevel="0" collapsed="false">
      <c r="A4" s="5" t="s">
        <v>733</v>
      </c>
      <c r="B4" s="0" t="s">
        <v>734</v>
      </c>
    </row>
    <row r="5" customFormat="false" ht="17.15" hidden="false" customHeight="false" outlineLevel="0" collapsed="false">
      <c r="A5" s="5" t="s">
        <v>735</v>
      </c>
      <c r="B5" s="0" t="s">
        <v>736</v>
      </c>
    </row>
    <row r="6" customFormat="false" ht="17.15" hidden="false" customHeight="false" outlineLevel="0" collapsed="false">
      <c r="A6" s="5" t="s">
        <v>737</v>
      </c>
      <c r="B6" s="0" t="s">
        <v>738</v>
      </c>
    </row>
    <row r="7" customFormat="false" ht="17.15" hidden="false" customHeight="false" outlineLevel="0" collapsed="false">
      <c r="A7" s="5" t="s">
        <v>739</v>
      </c>
      <c r="B7" s="0" t="s">
        <v>740</v>
      </c>
    </row>
    <row r="8" customFormat="false" ht="17.15" hidden="false" customHeight="false" outlineLevel="0" collapsed="false">
      <c r="A8" s="5" t="s">
        <v>741</v>
      </c>
      <c r="B8" s="0" t="s">
        <v>742</v>
      </c>
    </row>
    <row r="9" customFormat="false" ht="17.15" hidden="false" customHeight="false" outlineLevel="0" collapsed="false">
      <c r="A9" s="5" t="s">
        <v>743</v>
      </c>
      <c r="B9" s="0" t="s">
        <v>744</v>
      </c>
    </row>
    <row r="10" customFormat="false" ht="17.15" hidden="false" customHeight="false" outlineLevel="0" collapsed="false">
      <c r="A10" s="5" t="s">
        <v>745</v>
      </c>
      <c r="B10" s="0" t="s">
        <v>746</v>
      </c>
    </row>
    <row r="11" customFormat="false" ht="17.15" hidden="false" customHeight="false" outlineLevel="0" collapsed="false">
      <c r="A11" s="5" t="s">
        <v>747</v>
      </c>
      <c r="B11" s="0" t="s">
        <v>748</v>
      </c>
    </row>
    <row r="12" customFormat="false" ht="17.15" hidden="false" customHeight="false" outlineLevel="0" collapsed="false">
      <c r="A12" s="5" t="s">
        <v>749</v>
      </c>
      <c r="B12" s="0" t="s">
        <v>750</v>
      </c>
    </row>
    <row r="13" customFormat="false" ht="17.15" hidden="false" customHeight="false" outlineLevel="0" collapsed="false">
      <c r="A13" s="5" t="s">
        <v>751</v>
      </c>
      <c r="B13" s="0" t="s">
        <v>752</v>
      </c>
    </row>
    <row r="14" customFormat="false" ht="17.15" hidden="false" customHeight="false" outlineLevel="0" collapsed="false">
      <c r="A14" s="5" t="s">
        <v>753</v>
      </c>
      <c r="B14" s="0" t="s">
        <v>754</v>
      </c>
    </row>
    <row r="15" customFormat="false" ht="17.15" hidden="false" customHeight="false" outlineLevel="0" collapsed="false">
      <c r="A15" s="5" t="s">
        <v>755</v>
      </c>
    </row>
    <row r="16" customFormat="false" ht="17.15" hidden="false" customHeight="false" outlineLevel="0" collapsed="false">
      <c r="A16" s="5" t="s">
        <v>756</v>
      </c>
      <c r="B16" s="5" t="s">
        <v>757</v>
      </c>
    </row>
    <row r="17" customFormat="false" ht="15" hidden="false" customHeight="false" outlineLevel="0" collapsed="false">
      <c r="A17" s="0" t="s">
        <v>758</v>
      </c>
      <c r="B17" s="5" t="s">
        <v>759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2026-10-25T04:06:21Z</dcterms:created>
  <dc:creator>openpyxl</dc:creator>
  <dc:description/>
  <dc:language>en-US</dc:language>
  <cp:lastModifiedBy/>
  <dcterms:modified xsi:type="dcterms:W3CDTF">2026-10-25T04:06:22Z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