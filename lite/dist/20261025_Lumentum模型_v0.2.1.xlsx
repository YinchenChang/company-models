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Q!$B$13</definedName>
    <definedName function="false" hidden="false" name="a25_eps_in" vbProcedure="false">In!$E$79</definedName>
    <definedName function="false" hidden="false" name="a25_gm" vbProcedure="false">Q!$B$5</definedName>
    <definedName function="false" hidden="false" name="a25_gm_in" vbProcedure="false">In!$E$76</definedName>
    <definedName function="false" hidden="false" name="a25_ni" vbProcedure="false">Q!$B$10</definedName>
    <definedName function="false" hidden="false" name="a25_ni_in" vbProcedure="false">In!$E$78</definedName>
    <definedName function="false" hidden="false" name="a25_opx" vbProcedure="false">Q!$B$7</definedName>
    <definedName function="false" hidden="false" name="a25_opx_in" vbProcedure="false">In!$E$77</definedName>
    <definedName function="false" hidden="false" name="a25_rev" vbProcedure="false">Q!$B$4</definedName>
    <definedName function="false" hidden="false" name="a25_rev_in" vbProcedure="false">In!$E$75</definedName>
    <definedName function="false" hidden="false" name="a25_sh" vbProcedure="false">Q!$B$12</definedName>
    <definedName function="false" hidden="false" name="a26_eps" vbProcedure="false">Q!$C$13</definedName>
    <definedName function="false" hidden="false" name="a26_eps_in" vbProcedure="false">In!$E$84</definedName>
    <definedName function="false" hidden="false" name="a26_gm" vbProcedure="false">Q!$C$5</definedName>
    <definedName function="false" hidden="false" name="a26_gm_in" vbProcedure="false">In!$E$81</definedName>
    <definedName function="false" hidden="false" name="a26_ni" vbProcedure="false">Q!$C$10</definedName>
    <definedName function="false" hidden="false" name="a26_ni_in" vbProcedure="false">In!$E$83</definedName>
    <definedName function="false" hidden="false" name="a26_opx" vbProcedure="false">Q!$C$7</definedName>
    <definedName function="false" hidden="false" name="a26_opx_in" vbProcedure="false">In!$E$82</definedName>
    <definedName function="false" hidden="false" name="a26_rev" vbProcedure="false">Q!$C$4</definedName>
    <definedName function="false" hidden="false" name="a26_rev_in" vbProcedure="false">In!$E$80</definedName>
    <definedName function="false" hidden="false" name="a26_sh" vbProcedure="false">Q!$C$12</definedName>
    <definedName function="false" hidden="false" name="ASHI_27" vbProcedure="false">In!$F$29</definedName>
    <definedName function="false" hidden="false" name="ASHI_28" vbProcedure="false">In!$F$30</definedName>
    <definedName function="false" hidden="false" name="ASHI_29" vbProcedure="false">In!$F$31</definedName>
    <definedName function="false" hidden="false" name="asp_26" vbProcedure="false">In!$E$28</definedName>
    <definedName function="false" hidden="false" name="asp_26_hi" vbProcedure="false">In!$F$28</definedName>
    <definedName function="false" hidden="false" name="asp_26_lo" vbProcedure="false">In!$D$28</definedName>
    <definedName function="false" hidden="false" name="asp_27" vbProcedure="false">In!$E$29</definedName>
    <definedName function="false" hidden="false" name="asp_27_hi" vbProcedure="false">In!$F$29</definedName>
    <definedName function="false" hidden="false" name="asp_27_lo" vbProcedure="false">In!$D$29</definedName>
    <definedName function="false" hidden="false" name="asp_28" vbProcedure="false">In!$E$30</definedName>
    <definedName function="false" hidden="false" name="asp_28_hi" vbProcedure="false">In!$F$30</definedName>
    <definedName function="false" hidden="false" name="asp_28_lo" vbProcedure="false">In!$D$30</definedName>
    <definedName function="false" hidden="false" name="asp_29" vbProcedure="false">In!$E$31</definedName>
    <definedName function="false" hidden="false" name="asp_29_hi" vbProcedure="false">In!$F$31</definedName>
    <definedName function="false" hidden="false" name="asp_29_lo" vbProcedure="false">In!$D$31</definedName>
    <definedName function="false" hidden="false" name="c26_cpo" vbProcedure="false">Q!$H$15</definedName>
    <definedName function="false" hidden="false" name="c26_ind" vbProcedure="false">Q!$H$17</definedName>
    <definedName function="false" hidden="false" name="c26_las" vbProcedure="false">Q!$H$19</definedName>
    <definedName function="false" hidden="false" name="c26_ocs" vbProcedure="false">Q!$H$14</definedName>
    <definedName function="false" hidden="false" name="c26_rev" vbProcedure="false">Q!$H$4</definedName>
    <definedName function="false" hidden="false" name="c26_tel" vbProcedure="false">Q!$H$16</definedName>
    <definedName function="false" hidden="false" name="c26_xcvr" vbProcedure="false">Q!$H$18</definedName>
    <definedName function="false" hidden="false" name="cons_eps27" vbProcedure="false">In!$E$96</definedName>
    <definedName function="false" hidden="false" name="cons_eps28" vbProcedure="false">In!$E$97</definedName>
    <definedName function="false" hidden="false" name="cons_feps" vbProcedure="false">In!$E$124</definedName>
    <definedName function="false" hidden="false" name="cons_ni28" vbProcedure="false">In!$E$98</definedName>
    <definedName function="false" hidden="false" name="cons_rev27" vbProcedure="false">In!$E$95</definedName>
    <definedName function="false" hidden="false" name="cons_tp" vbProcedure="false">In!$E$123</definedName>
    <definedName function="false" hidden="false" name="CPHI_27" vbProcedure="false">In!$F$50</definedName>
    <definedName function="false" hidden="false" name="CPHI_28" vbProcedure="false">In!$F$51</definedName>
    <definedName function="false" hidden="false" name="CPHI_29" vbProcedure="false">In!$F$52</definedName>
    <definedName function="false" hidden="false" name="CPLO_27" vbProcedure="false">In!$D$50</definedName>
    <definedName function="false" hidden="false" name="CPLO_28" vbProcedure="false">In!$D$51</definedName>
    <definedName function="false" hidden="false" name="CPLO_29" vbProcedure="false">In!$D$52</definedName>
    <definedName function="false" hidden="false" name="cpo_27" vbProcedure="false">In!$E$50</definedName>
    <definedName function="false" hidden="false" name="cpo_27_hi" vbProcedure="false">In!$F$50</definedName>
    <definedName function="false" hidden="false" name="cpo_27_lo" vbProcedure="false">In!$D$50</definedName>
    <definedName function="false" hidden="false" name="cpo_28" vbProcedure="false">In!$E$51</definedName>
    <definedName function="false" hidden="false" name="cpo_28_hi" vbProcedure="false">In!$F$51</definedName>
    <definedName function="false" hidden="false" name="cpo_28_lo" vbProcedure="false">In!$D$51</definedName>
    <definedName function="false" hidden="false" name="cpo_29" vbProcedure="false">In!$E$52</definedName>
    <definedName function="false" hidden="false" name="cpo_29_hi" vbProcedure="false">In!$F$52</definedName>
    <definedName function="false" hidden="false" name="cpo_29_lo" vbProcedure="false">In!$D$52</definedName>
    <definedName function="false" hidden="false" name="cpo_a26" vbProcedure="false">In!$E$56</definedName>
    <definedName function="false" hidden="false" name="cpo_a26_hi" vbProcedure="false">In!$F$56</definedName>
    <definedName function="false" hidden="false" name="cpo_a26_lo" vbProcedure="false">In!$D$56</definedName>
    <definedName function="false" hidden="false" name="cust_a" vbProcedure="false">In!$E$103</definedName>
    <definedName function="false" hidden="false" name="eps_g" vbProcedure="false">In!$E$70</definedName>
    <definedName function="false" hidden="false" name="fade_gA" vbProcedure="false">In!$E$117</definedName>
    <definedName function="false" hidden="false" name="fade_gB" vbProcedure="false">In!$E$118</definedName>
    <definedName function="false" hidden="false" name="fade_gC" vbProcedure="false">In!$E$119</definedName>
    <definedName function="false" hidden="false" name="fade_mA" vbProcedure="false">In!$E$120</definedName>
    <definedName function="false" hidden="false" name="fade_mB" vbProcedure="false">In!$E$121</definedName>
    <definedName function="false" hidden="false" name="fade_mC" vbProcedure="false">In!$E$122</definedName>
    <definedName function="false" hidden="false" name="GMHI_27" vbProcedure="false">In!$F$86</definedName>
    <definedName function="false" hidden="false" name="GMHI_28" vbProcedure="false">In!$F$87</definedName>
    <definedName function="false" hidden="false" name="GMHI_29" vbProcedure="false">In!$F$88</definedName>
    <definedName function="false" hidden="false" name="GMLO_27" vbProcedure="false">In!$D$86</definedName>
    <definedName function="false" hidden="false" name="GMLO_28" vbProcedure="false">In!$D$87</definedName>
    <definedName function="false" hidden="false" name="GMLO_29" vbProcedure="false">In!$D$88</definedName>
    <definedName function="false" hidden="false" name="gm_27" vbProcedure="false">In!$E$86</definedName>
    <definedName function="false" hidden="false" name="gm_27_hi" vbProcedure="false">In!$F$86</definedName>
    <definedName function="false" hidden="false" name="gm_27_lo" vbProcedure="false">In!$D$86</definedName>
    <definedName function="false" hidden="false" name="gm_28" vbProcedure="false">In!$E$87</definedName>
    <definedName function="false" hidden="false" name="gm_28_hi" vbProcedure="false">In!$F$87</definedName>
    <definedName function="false" hidden="false" name="gm_28_lo" vbProcedure="false">In!$D$87</definedName>
    <definedName function="false" hidden="false" name="gm_29" vbProcedure="false">In!$E$88</definedName>
    <definedName function="false" hidden="false" name="gm_29_hi" vbProcedure="false">In!$F$88</definedName>
    <definedName function="false" hidden="false" name="gm_29_lo" vbProcedure="false">In!$D$88</definedName>
    <definedName function="false" hidden="false" name="g_ind" vbProcedure="false">In!$E$63</definedName>
    <definedName function="false" hidden="false" name="g_ind_hi" vbProcedure="false">In!$F$63</definedName>
    <definedName function="false" hidden="false" name="g_ind_lo" vbProcedure="false">In!$D$63</definedName>
    <definedName function="false" hidden="false" name="g_tel_27" vbProcedure="false">In!$E$60</definedName>
    <definedName function="false" hidden="false" name="g_tel_27_hi" vbProcedure="false">In!$F$60</definedName>
    <definedName function="false" hidden="false" name="g_tel_27_lo" vbProcedure="false">In!$D$60</definedName>
    <definedName function="false" hidden="false" name="g_tel_28" vbProcedure="false">In!$E$61</definedName>
    <definedName function="false" hidden="false" name="g_tel_28_hi" vbProcedure="false">In!$F$61</definedName>
    <definedName function="false" hidden="false" name="g_tel_28_lo" vbProcedure="false">In!$D$61</definedName>
    <definedName function="false" hidden="false" name="g_tel_29" vbProcedure="false">In!$E$62</definedName>
    <definedName function="false" hidden="false" name="g_tel_29_hi" vbProcedure="false">In!$F$62</definedName>
    <definedName function="false" hidden="false" name="g_tel_29_lo" vbProcedure="false">In!$D$62</definedName>
    <definedName function="false" hidden="false" name="h_1h" vbProcedure="false">In!$E$73</definedName>
    <definedName function="false" hidden="false" name="h_1h_hi" vbProcedure="false">In!$F$73</definedName>
    <definedName function="false" hidden="false" name="h_1h_lo" vbProcedure="false">In!$D$73</definedName>
    <definedName function="false" hidden="false" name="ind_a26" vbProcedure="false">In!$E$58</definedName>
    <definedName function="false" hidden="false" name="ind_a26_hi" vbProcedure="false">In!$F$58</definedName>
    <definedName function="false" hidden="false" name="ind_a26_lo" vbProcedure="false">In!$D$58</definedName>
    <definedName function="false" hidden="false" name="itc_26" vbProcedure="false">In!$E$17</definedName>
    <definedName function="false" hidden="false" name="itc_27" vbProcedure="false">In!$E$18</definedName>
    <definedName function="false" hidden="false" name="itc_28" vbProcedure="false">In!$E$19</definedName>
    <definedName function="false" hidden="false" name="itc_29" vbProcedure="false">In!$E$20</definedName>
    <definedName function="false" hidden="false" name="kgi_m26" vbProcedure="false">In!$E$99</definedName>
    <definedName function="false" hidden="false" name="kgi_m27" vbProcedure="false">In!$E$100</definedName>
    <definedName function="false" hidden="false" name="kgi_m28" vbProcedure="false">In!$E$101</definedName>
    <definedName function="false" hidden="false" name="kgi_pe" vbProcedure="false">In!$E$104</definedName>
    <definedName function="false" hidden="false" name="LAHI_27" vbProcedure="false">In!$F$37</definedName>
    <definedName function="false" hidden="false" name="LAHI_28" vbProcedure="false">In!$F$38</definedName>
    <definedName function="false" hidden="false" name="LAHI_29" vbProcedure="false">In!$F$39</definedName>
    <definedName function="false" hidden="false" name="LALO_27" vbProcedure="false">In!$D$37</definedName>
    <definedName function="false" hidden="false" name="LALO_28" vbProcedure="false">In!$D$38</definedName>
    <definedName function="false" hidden="false" name="LALO_29" vbProcedure="false">In!$D$39</definedName>
    <definedName function="false" hidden="false" name="lasp_26" vbProcedure="false">In!$E$36</definedName>
    <definedName function="false" hidden="false" name="lasp_27" vbProcedure="false">In!$E$37</definedName>
    <definedName function="false" hidden="false" name="lasp_27_hi" vbProcedure="false">In!$F$37</definedName>
    <definedName function="false" hidden="false" name="lasp_27_lo" vbProcedure="false">In!$D$37</definedName>
    <definedName function="false" hidden="false" name="lasp_28" vbProcedure="false">In!$E$38</definedName>
    <definedName function="false" hidden="false" name="lasp_28_hi" vbProcedure="false">In!$F$38</definedName>
    <definedName function="false" hidden="false" name="lasp_28_lo" vbProcedure="false">In!$D$38</definedName>
    <definedName function="false" hidden="false" name="lasp_29" vbProcedure="false">In!$E$39</definedName>
    <definedName function="false" hidden="false" name="lasp_29_hi" vbProcedure="false">In!$F$39</definedName>
    <definedName function="false" hidden="false" name="lasp_29_lo" vbProcedure="false">In!$D$39</definedName>
    <definedName function="false" hidden="false" name="LPLO_27" vbProcedure="false">In!$D$33</definedName>
    <definedName function="false" hidden="false" name="LPLO_28" vbProcedure="false">In!$D$34</definedName>
    <definedName function="false" hidden="false" name="LPLO_29" vbProcedure="false">In!$D$35</definedName>
    <definedName function="false" hidden="false" name="lpm_26" vbProcedure="false">In!$E$32</definedName>
    <definedName function="false" hidden="false" name="lpm_27" vbProcedure="false">In!$E$33</definedName>
    <definedName function="false" hidden="false" name="lpm_27_hi" vbProcedure="false">In!$F$33</definedName>
    <definedName function="false" hidden="false" name="lpm_27_lo" vbProcedure="false">In!$D$33</definedName>
    <definedName function="false" hidden="false" name="lpm_28" vbProcedure="false">In!$E$34</definedName>
    <definedName function="false" hidden="false" name="lpm_28_hi" vbProcedure="false">In!$F$34</definedName>
    <definedName function="false" hidden="false" name="lpm_28_lo" vbProcedure="false">In!$D$34</definedName>
    <definedName function="false" hidden="false" name="lpm_29" vbProcedure="false">In!$E$35</definedName>
    <definedName function="false" hidden="false" name="lpm_29_hi" vbProcedure="false">In!$F$35</definedName>
    <definedName function="false" hidden="false" name="lpm_29_lo" vbProcedure="false">In!$D$35</definedName>
    <definedName function="false" hidden="false" name="lrel_27" vbProcedure="false">In!$E$40</definedName>
    <definedName function="false" hidden="false" name="lrel_27_hi" vbProcedure="false">In!$F$40</definedName>
    <definedName function="false" hidden="false" name="lrel_27_lo" vbProcedure="false">In!$D$40</definedName>
    <definedName function="false" hidden="false" name="lrel_28" vbProcedure="false">In!$E$41</definedName>
    <definedName function="false" hidden="false" name="lrel_28_hi" vbProcedure="false">In!$F$41</definedName>
    <definedName function="false" hidden="false" name="lrel_28_lo" vbProcedure="false">In!$D$41</definedName>
    <definedName function="false" hidden="false" name="lrel_29" vbProcedure="false">In!$E$42</definedName>
    <definedName function="false" hidden="false" name="lrel_29_hi" vbProcedure="false">In!$F$42</definedName>
    <definedName function="false" hidden="false" name="lrel_29_lo" vbProcedure="false">In!$D$42</definedName>
    <definedName function="false" hidden="false" name="LRHI_27" vbProcedure="false">In!$F$40</definedName>
    <definedName function="false" hidden="false" name="LRHI_28" vbProcedure="false">In!$F$41</definedName>
    <definedName function="false" hidden="false" name="LRHI_29" vbProcedure="false">In!$F$42</definedName>
    <definedName function="false" hidden="false" name="LRLO_27" vbProcedure="false">In!$D$40</definedName>
    <definedName function="false" hidden="false" name="LRLO_28" vbProcedure="false">In!$D$41</definedName>
    <definedName function="false" hidden="false" name="LRLO_29" vbProcedure="false">In!$D$42</definedName>
    <definedName function="false" hidden="false" name="mcp_26" vbProcedure="false">In!$E$9</definedName>
    <definedName function="false" hidden="false" name="mcp_27" vbProcedure="false">In!$E$10</definedName>
    <definedName function="false" hidden="false" name="mcp_28" vbProcedure="false">In!$E$11</definedName>
    <definedName function="false" hidden="false" name="mcp_29" vbProcedure="false">In!$E$12</definedName>
    <definedName function="false" hidden="false" name="mf" vbProcedure="false">In!$E$93</definedName>
    <definedName function="false" hidden="false" name="mf_hi" vbProcedure="false">In!$F$93</definedName>
    <definedName function="false" hidden="false" name="mf_lo" vbProcedure="false">In!$D$93</definedName>
    <definedName function="false" hidden="false" name="mpl_26" vbProcedure="false">In!$E$5</definedName>
    <definedName function="false" hidden="false" name="mpl_27" vbProcedure="false">In!$E$6</definedName>
    <definedName function="false" hidden="false" name="mpl_28" vbProcedure="false">In!$E$7</definedName>
    <definedName function="false" hidden="false" name="mpl_29" vbProcedure="false">In!$E$8</definedName>
    <definedName function="false" hidden="false" name="mrel_27" vbProcedure="false">In!$E$44</definedName>
    <definedName function="false" hidden="false" name="mrel_27_hi" vbProcedure="false">In!$F$44</definedName>
    <definedName function="false" hidden="false" name="mrel_27_lo" vbProcedure="false">In!$D$44</definedName>
    <definedName function="false" hidden="false" name="mrel_28" vbProcedure="false">In!$E$45</definedName>
    <definedName function="false" hidden="false" name="mrel_28_hi" vbProcedure="false">In!$F$45</definedName>
    <definedName function="false" hidden="false" name="mrel_28_lo" vbProcedure="false">In!$D$45</definedName>
    <definedName function="false" hidden="false" name="mrel_29" vbProcedure="false">In!$E$46</definedName>
    <definedName function="false" hidden="false" name="mrel_29_hi" vbProcedure="false">In!$F$46</definedName>
    <definedName function="false" hidden="false" name="mrel_29_lo" vbProcedure="false">In!$D$46</definedName>
    <definedName function="false" hidden="false" name="MRHI_27" vbProcedure="false">In!$F$44</definedName>
    <definedName function="false" hidden="false" name="MRHI_28" vbProcedure="false">In!$F$45</definedName>
    <definedName function="false" hidden="false" name="MRHI_29" vbProcedure="false">In!$F$46</definedName>
    <definedName function="false" hidden="false" name="MRLO_27" vbProcedure="false">In!$D$44</definedName>
    <definedName function="false" hidden="false" name="MRLO_28" vbProcedure="false">In!$D$45</definedName>
    <definedName function="false" hidden="false" name="MRLO_29" vbProcedure="false">In!$D$46</definedName>
    <definedName function="false" hidden="false" name="ocsk_27" vbProcedure="false">In!$E$47</definedName>
    <definedName function="false" hidden="false" name="ocsk_27_hi" vbProcedure="false">In!$F$47</definedName>
    <definedName function="false" hidden="false" name="ocsk_27_lo" vbProcedure="false">In!$D$47</definedName>
    <definedName function="false" hidden="false" name="ocsk_28" vbProcedure="false">In!$E$48</definedName>
    <definedName function="false" hidden="false" name="ocsk_28_hi" vbProcedure="false">In!$F$48</definedName>
    <definedName function="false" hidden="false" name="ocsk_28_lo" vbProcedure="false">In!$D$48</definedName>
    <definedName function="false" hidden="false" name="ocsk_29" vbProcedure="false">In!$E$49</definedName>
    <definedName function="false" hidden="false" name="ocsk_29_hi" vbProcedure="false">In!$F$49</definedName>
    <definedName function="false" hidden="false" name="ocsk_29_lo" vbProcedure="false">In!$D$49</definedName>
    <definedName function="false" hidden="false" name="ocs_1h" vbProcedure="false">In!$E$54</definedName>
    <definedName function="false" hidden="false" name="ocs_1h_hi" vbProcedure="false">In!$F$54</definedName>
    <definedName function="false" hidden="false" name="ocs_1h_lo" vbProcedure="false">In!$D$54</definedName>
    <definedName function="false" hidden="false" name="ocs_2h" vbProcedure="false">In!$E$55</definedName>
    <definedName function="false" hidden="false" name="oi_oth" vbProcedure="false">In!$E$91</definedName>
    <definedName function="false" hidden="false" name="oi_oth_hi" vbProcedure="false">In!$F$91</definedName>
    <definedName function="false" hidden="false" name="oi_oth_lo" vbProcedure="false">In!$D$91</definedName>
    <definedName function="false" hidden="false" name="OKHI_27" vbProcedure="false">In!$F$47</definedName>
    <definedName function="false" hidden="false" name="OKHI_28" vbProcedure="false">In!$F$48</definedName>
    <definedName function="false" hidden="false" name="OKHI_29" vbProcedure="false">In!$F$49</definedName>
    <definedName function="false" hidden="false" name="OKLO_27" vbProcedure="false">In!$D$47</definedName>
    <definedName function="false" hidden="false" name="OKLO_28" vbProcedure="false">In!$D$48</definedName>
    <definedName function="false" hidden="false" name="OKLO_29" vbProcedure="false">In!$D$49</definedName>
    <definedName function="false" hidden="false" name="om_g" vbProcedure="false">In!$E$69</definedName>
    <definedName function="false" hidden="false" name="opx_adj" vbProcedure="false">In!$E$90</definedName>
    <definedName function="false" hidden="false" name="opx_adj_hi" vbProcedure="false">In!$F$90</definedName>
    <definedName function="false" hidden="false" name="opx_adj_lo" vbProcedure="false">In!$D$90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hi" vbProcedure="false">In!$E$89</definedName>
    <definedName function="false" hidden="false" name="phi_hi" vbProcedure="false">In!$F$89</definedName>
    <definedName function="false" hidden="false" name="phi_lo" vbProcedure="false">In!$D$89</definedName>
    <definedName function="false" hidden="false" name="px" vbProcedure="false">In!$E$106</definedName>
    <definedName function="false" hidden="false" name="px_hi" vbProcedure="false">In!$E$107</definedName>
    <definedName function="false" hidden="false" name="q1g" vbProcedure="false">In!$E$67</definedName>
    <definedName function="false" hidden="false" name="q3_26" vbProcedure="false">In!$E$65</definedName>
    <definedName function="false" hidden="false" name="q4_26" vbProcedure="false">In!$E$66</definedName>
    <definedName function="false" hidden="false" name="q_g" vbProcedure="false">In!$E$68</definedName>
    <definedName function="false" hidden="false" name="q_g_hi" vbProcedure="false">In!$F$68</definedName>
    <definedName function="false" hidden="false" name="q_g_lo" vbProcedure="false">In!$D$68</definedName>
    <definedName function="false" hidden="false" name="sh_basic" vbProcedure="false">In!$E$108</definedName>
    <definedName function="false" hidden="false" name="sh_g" vbProcedure="false">In!$E$92</definedName>
    <definedName function="false" hidden="false" name="sh_g_hi" vbProcedure="false">In!$F$92</definedName>
    <definedName function="false" hidden="false" name="sh_g_lo" vbProcedure="false">In!$D$92</definedName>
    <definedName function="false" hidden="false" name="sh_q1" vbProcedure="false">In!$E$71</definedName>
    <definedName function="false" hidden="false" name="tel_a26" vbProcedure="false">In!$E$57</definedName>
    <definedName function="false" hidden="false" name="tel_a26_hi" vbProcedure="false">In!$F$57</definedName>
    <definedName function="false" hidden="false" name="tel_a26_lo" vbProcedure="false">In!$D$57</definedName>
    <definedName function="false" hidden="false" name="tf_eml3" vbProcedure="false">In!$E$102</definedName>
    <definedName function="false" hidden="false" name="tpu_26" vbProcedure="false">In!$E$13</definedName>
    <definedName function="false" hidden="false" name="tpu_27" vbProcedure="false">In!$E$14</definedName>
    <definedName function="false" hidden="false" name="tpu_28" vbProcedure="false">In!$E$15</definedName>
    <definedName function="false" hidden="false" name="tpu_29" vbProcedure="false">In!$E$16</definedName>
    <definedName function="false" hidden="false" name="tp_g" vbProcedure="false">In!$E$114</definedName>
    <definedName function="false" hidden="false" name="tp_r" vbProcedure="false">In!$E$113</definedName>
    <definedName function="false" hidden="false" name="tp_roe" vbProcedure="false">In!$E$115</definedName>
    <definedName function="false" hidden="false" name="tp_wA" vbProcedure="false">In!$E$109</definedName>
    <definedName function="false" hidden="false" name="tp_wB" vbProcedure="false">In!$E$110</definedName>
    <definedName function="false" hidden="false" name="tp_wC" vbProcedure="false">In!$E$111</definedName>
    <definedName function="false" hidden="false" name="tp_w_dcf" vbProcedure="false">In!$E$116</definedName>
    <definedName function="false" hidden="false" name="tx" vbProcedure="false">In!$E$72</definedName>
    <definedName function="false" hidden="false" name="tx_hi" vbProcedure="false">In!$F$72</definedName>
    <definedName function="false" hidden="false" name="tx_lo" vbProcedure="false">In!$D$72</definedName>
    <definedName function="false" hidden="false" name="um28_A" vbProcedure="false">In!$E$21</definedName>
    <definedName function="false" hidden="false" name="um28_B" vbProcedure="false">In!$E$23</definedName>
    <definedName function="false" hidden="false" name="um28_C" vbProcedure="false">In!$E$25</definedName>
    <definedName function="false" hidden="false" name="um29_A" vbProcedure="false">In!$E$22</definedName>
    <definedName function="false" hidden="false" name="um29_B" vbProcedure="false">In!$E$24</definedName>
    <definedName function="false" hidden="false" name="um29_C" vbProcedure="false">In!$E$26</definedName>
    <definedName function="false" hidden="false" name="w2h_26" vbProcedure="false">Q!$B$25</definedName>
    <definedName function="false" hidden="false" name="xcvr_a26" vbProcedure="false">In!$E$59</definedName>
    <definedName function="false" hidden="false" name="xcvr_a26_hi" vbProcedure="false">In!$F$59</definedName>
    <definedName function="false" hidden="false" name="xcvr_a26_lo" vbProcedure="false">In!$D$59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<sst xmlns="http://schemas.openxmlformats.org/spreadsheetml/2006/main" count="3374" uniqueCount="880">
  <si>
    <r>
      <rPr>
        <b val="true"/>
        <sz val="11"/>
        <rFont val="Cambria"/>
        <family val="0"/>
        <charset val="1"/>
      </rPr>
      <t xml:space="preserve">Lumentum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LITE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：網通次產業內複製——雷射與光元件）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</si>
  <si>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：補上檔空間級距、投資建議、重點觀察，數值不變）；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、目標價＝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加權；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初版）。</t>
    </r>
    <r>
      <rPr>
        <sz val="11"/>
        <rFont val="Cambria"/>
        <family val="0"/>
        <charset val="1"/>
      </rPr>
      <t xml:space="preserve">Lumentum </t>
    </r>
    <r>
      <rPr>
        <sz val="11"/>
        <rFont val="Noto Sans CJK SC"/>
        <family val="2"/>
      </rPr>
      <t xml:space="preserve">的雷射有效份額（上游元件口徑）在本模型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頁建立；不可與中際旭創等光模組廠份額相加。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</si>
  <si>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Lumentum </t>
    </r>
    <r>
      <rPr>
        <sz val="11"/>
        <rFont val="Noto Sans CJK SC"/>
        <family val="2"/>
      </rPr>
      <t xml:space="preserve">的雷射晶片營收＝高速光模組數量（本專案網通模型金額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模組單價）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每模組 </t>
    </r>
    <r>
      <rPr>
        <sz val="11"/>
        <rFont val="Cambria"/>
        <family val="0"/>
        <charset val="1"/>
      </rPr>
      <t xml:space="preserve">EML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CW </t>
    </r>
    <r>
      <rPr>
        <sz val="11"/>
        <rFont val="Noto Sans CJK SC"/>
        <family val="2"/>
      </rPr>
      <t xml:space="preserve">雷射數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雷射單價 </t>
    </r>
    <r>
      <rPr>
        <sz val="11"/>
        <rFont val="Cambria"/>
        <family val="0"/>
        <charset val="1"/>
      </rPr>
      <t xml:space="preserve">× Lumentum </t>
    </r>
    <r>
      <rPr>
        <sz val="11"/>
        <rFont val="Noto Sans CJK SC"/>
        <family val="2"/>
      </rPr>
      <t xml:space="preserve">份額；光模組、</t>
    </r>
    <r>
      <rPr>
        <sz val="11"/>
        <rFont val="Cambria"/>
        <family val="0"/>
        <charset val="1"/>
      </rPr>
      <t xml:space="preserve">OCS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Google TPU</t>
    </r>
    <r>
      <rPr>
        <sz val="11"/>
        <rFont val="Noto Sans CJK SC"/>
        <family val="2"/>
      </rPr>
      <t xml:space="preserve">）、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外部光源另推；電信與 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、工業與 </t>
    </r>
    <r>
      <rPr>
        <sz val="11"/>
        <rFont val="Cambria"/>
        <family val="0"/>
        <charset val="1"/>
      </rPr>
      <t xml:space="preserve">3D </t>
    </r>
    <r>
      <rPr>
        <sz val="11"/>
        <rFont val="Noto Sans CJK SC"/>
        <family val="2"/>
      </rPr>
      <t xml:space="preserve">感測依成長率推。股價約 </t>
    </r>
    <r>
      <rPr>
        <sz val="11"/>
        <rFont val="Cambria"/>
        <family val="0"/>
        <charset val="1"/>
      </rPr>
      <t xml:space="preserve">35 </t>
    </r>
    <r>
      <rPr>
        <sz val="11"/>
        <rFont val="Noto Sans CJK SC"/>
        <family val="2"/>
      </rPr>
      <t xml:space="preserve">倍共識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，遠高於十年 </t>
    </r>
    <r>
      <rPr>
        <sz val="11"/>
        <rFont val="Cambria"/>
        <family val="0"/>
        <charset val="1"/>
      </rPr>
      <t xml:space="preserve">non-GAAP P/E </t>
    </r>
    <r>
      <rPr>
        <sz val="11"/>
        <rFont val="Noto Sans CJK SC"/>
        <family val="2"/>
      </rPr>
      <t xml:space="preserve">中位數。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</si>
  <si>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EML </t>
    </r>
    <r>
      <rPr>
        <sz val="11"/>
        <rFont val="Noto Sans CJK SC"/>
        <family val="2"/>
      </rPr>
      <t xml:space="preserve">供給缺口收斂、矽光以較少 </t>
    </r>
    <r>
      <rPr>
        <sz val="11"/>
        <rFont val="Cambria"/>
        <family val="0"/>
        <charset val="1"/>
      </rPr>
      <t xml:space="preserve">CW </t>
    </r>
    <r>
      <rPr>
        <sz val="11"/>
        <rFont val="Noto Sans CJK SC"/>
        <family val="2"/>
      </rPr>
      <t xml:space="preserve">雷射替代、</t>
    </r>
    <r>
      <rPr>
        <sz val="11"/>
        <rFont val="Cambria"/>
        <family val="0"/>
        <charset val="1"/>
      </rPr>
      <t xml:space="preserve">OCS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放量時程——哪一條路徑決定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獲利，現價隱含的倍數與獲利要多少才合理？</t>
    </r>
  </si>
  <si>
    <r>
      <rPr>
        <sz val="11"/>
        <rFont val="Noto Sans CJK SC"/>
        <family val="2"/>
      </rPr>
      <t xml:space="preserve">會計年度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月底結束：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後半年在日曆年 </t>
    </r>
    <r>
      <rPr>
        <sz val="11"/>
        <rFont val="Cambria"/>
        <family val="0"/>
        <charset val="1"/>
      </rPr>
      <t xml:space="preserve">t</t>
    </r>
    <r>
      <rPr>
        <sz val="11"/>
        <rFont val="Noto Sans CJK SC"/>
        <family val="2"/>
      </rPr>
      <t xml:space="preserve">）。市場層為日曆年，先算 </t>
    </r>
    <r>
      <rPr>
        <sz val="11"/>
        <rFont val="Cambria"/>
        <family val="0"/>
        <charset val="1"/>
      </rPr>
      <t xml:space="preserve">CY2026–CY2029 </t>
    </r>
    <r>
      <rPr>
        <sz val="11"/>
        <rFont val="Noto Sans CJK SC"/>
        <family val="2"/>
      </rPr>
      <t xml:space="preserve">產品營收，再換成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CY(t−1) </t>
    </r>
    <r>
      <rPr>
        <sz val="11"/>
        <rFont val="Noto Sans CJK SC"/>
        <family val="2"/>
      </rPr>
      <t xml:space="preserve">下半年＋</t>
    </r>
    <r>
      <rPr>
        <sz val="11"/>
        <rFont val="Cambria"/>
        <family val="0"/>
        <charset val="1"/>
      </rPr>
      <t xml:space="preserve">CY(t) </t>
    </r>
    <r>
      <rPr>
        <sz val="11"/>
        <rFont val="Noto Sans CJK SC"/>
        <family val="2"/>
      </rPr>
      <t xml:space="preserve">上半年，上半年占比 </t>
    </r>
    <r>
      <rPr>
        <sz val="11"/>
        <rFont val="Cambria"/>
        <family val="0"/>
        <charset val="1"/>
      </rPr>
      <t xml:space="preserve">h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47%</t>
    </r>
    <r>
      <rPr>
        <sz val="11"/>
        <rFont val="Noto Sans CJK SC"/>
        <family val="2"/>
      </rPr>
      <t xml:space="preserve">）。口徑：公司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non-GAAP </t>
    </r>
    <r>
      <rPr>
        <sz val="11"/>
        <rFont val="Noto Sans CJK SC"/>
        <family val="2"/>
      </rPr>
      <t xml:space="preserve">稀釋股數（含可轉債假設轉換）。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</si>
  <si>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</si>
  <si>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雷射晶片：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模組單價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每模組雷射數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雷射單價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以產品拆分殘差校準）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份額相對值。光模組：可插拔市場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份額。</t>
    </r>
    <r>
      <rPr>
        <sz val="11"/>
        <rFont val="Cambria"/>
        <family val="0"/>
        <charset val="1"/>
      </rPr>
      <t xml:space="preserve">OCS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Google TPU </t>
    </r>
    <r>
      <rPr>
        <sz val="11"/>
        <rFont val="Noto Sans CJK SC"/>
        <family val="2"/>
      </rPr>
      <t xml:space="preserve">顆數（網通模型 </t>
    </r>
    <r>
      <rPr>
        <sz val="11"/>
        <rFont val="Cambria"/>
        <family val="0"/>
        <charset val="1"/>
      </rPr>
      <t xml:space="preserve">Units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營收。</t>
    </r>
    <r>
      <rPr>
        <sz val="11"/>
        <rFont val="Cambria"/>
        <family val="0"/>
        <charset val="1"/>
      </rPr>
      <t xml:space="preserve">CPO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份額。</t>
    </r>
  </si>
  <si>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錨點＝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第三、四季實績＋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第一季指引中點＋第二季季增 </t>
    </r>
    <r>
      <rPr>
        <sz val="11"/>
        <rFont val="Cambria"/>
        <family val="0"/>
        <charset val="1"/>
      </rPr>
      <t xml:space="preserve">12%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）。產品拆分（</t>
    </r>
    <r>
      <rPr>
        <sz val="11"/>
        <rFont val="Cambria"/>
        <family val="0"/>
        <charset val="1"/>
      </rPr>
      <t xml:space="preserve">OCS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CPO</t>
    </r>
    <r>
      <rPr>
        <sz val="11"/>
        <rFont val="Noto Sans CJK SC"/>
        <family val="2"/>
      </rPr>
      <t xml:space="preserve">、電信與 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、工業與 </t>
    </r>
    <r>
      <rPr>
        <sz val="11"/>
        <rFont val="Cambria"/>
        <family val="0"/>
        <charset val="1"/>
      </rPr>
      <t xml:space="preserve">3D </t>
    </r>
    <r>
      <rPr>
        <sz val="11"/>
        <rFont val="Noto Sans CJK SC"/>
        <family val="2"/>
      </rPr>
      <t xml:space="preserve">感測、光模組）為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／公司展望，雷射晶片＝殘差。毛利率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起為輸入路徑；營業費用彈性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）；稅率 </t>
    </r>
    <r>
      <rPr>
        <sz val="11"/>
        <rFont val="Cambria"/>
        <family val="0"/>
        <charset val="1"/>
      </rPr>
      <t xml:space="preserve">16.5%</t>
    </r>
    <r>
      <rPr>
        <sz val="11"/>
        <rFont val="Noto Sans CJK SC"/>
        <family val="2"/>
      </rPr>
      <t xml:space="preserve">；營業外淨收入由第一季指引推導。</t>
    </r>
  </si>
  <si>
    <r>
      <rPr>
        <sz val="11"/>
        <rFont val="Noto Sans CJK SC"/>
        <family val="2"/>
      </rPr>
      <t xml:space="preserve">估值：目標價（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（美股光通訊同業前瞻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）。舊法規則值情境加權保留參考（不是目標價）；規則值＝</t>
    </r>
    <r>
      <rPr>
        <sz val="11"/>
        <rFont val="Cambria"/>
        <family val="0"/>
        <charset val="1"/>
      </rPr>
      <t xml:space="preserve">FY2027 EPS ×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依循環位置取分位（年底股價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近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non-GAAP EPS</t>
    </r>
    <r>
      <rPr>
        <sz val="11"/>
        <rFont val="Noto Sans CJK SC"/>
        <family val="2"/>
      </rPr>
      <t xml:space="preserve">，推導）。本版未做先驗，無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</si>
  <si>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未使用。公司不揭露產品別營收；法說內容多經第三方轉述。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</si>
  <si>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產品拆分、雷射單價、每模組雷射數皆為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，雷射份額由殘差推得；</t>
    </r>
    <r>
      <rPr>
        <sz val="11"/>
        <rFont val="Cambria"/>
        <family val="0"/>
        <charset val="1"/>
      </rPr>
      <t xml:space="preserve">(2) CY2026 </t>
    </r>
    <r>
      <rPr>
        <sz val="11"/>
        <rFont val="Noto Sans CJK SC"/>
        <family val="2"/>
      </rPr>
      <t xml:space="preserve">下半年第二季為假設，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第一季財報約 </t>
    </r>
    <r>
      <rPr>
        <sz val="11"/>
        <rFont val="Cambria"/>
        <family val="0"/>
        <charset val="1"/>
      </rPr>
      <t xml:space="preserve">11-05 </t>
    </r>
    <r>
      <rPr>
        <sz val="11"/>
        <rFont val="Noto Sans CJK SC"/>
        <family val="2"/>
      </rPr>
      <t xml:space="preserve">公布；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 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可插拔光模組只 </t>
    </r>
    <r>
      <rPr>
        <sz val="11"/>
        <rFont val="Cambria"/>
        <family val="0"/>
        <charset val="1"/>
      </rPr>
      <t xml:space="preserve">+12%</t>
    </r>
    <r>
      <rPr>
        <sz val="11"/>
        <rFont val="Noto Sans CJK SC"/>
        <family val="2"/>
      </rPr>
      <t xml:space="preserve">，比券商出貨預測保守；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未設 </t>
    </r>
    <r>
      <rPr>
        <sz val="11"/>
        <rFont val="Cambria"/>
        <family val="0"/>
        <charset val="1"/>
      </rPr>
      <t xml:space="preserve">EML </t>
    </r>
    <r>
      <rPr>
        <sz val="11"/>
        <rFont val="Noto Sans CJK SC"/>
        <family val="2"/>
      </rPr>
      <t xml:space="preserve">產能上限（公司 </t>
    </r>
    <r>
      <rPr>
        <sz val="11"/>
        <rFont val="Cambria"/>
        <family val="0"/>
        <charset val="1"/>
      </rPr>
      <t xml:space="preserve">EML </t>
    </r>
    <r>
      <rPr>
        <sz val="11"/>
        <rFont val="Noto Sans CJK SC"/>
        <family val="2"/>
      </rPr>
      <t xml:space="preserve">出貨年增約 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為推導序列、多數年份在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前，規則值偏低；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</si>
  <si>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頁最前面新增「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0.1 DCF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0.2 Comparable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0.3 </t>
    </r>
    <r>
      <rPr>
        <sz val="11"/>
        <rFont val="Noto Sans CJK SC"/>
        <family val="2"/>
      </rPr>
      <t xml:space="preserve">結論），既有內容整體下移；原「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目標價與上檔空間」改名「舊法：規則值情境加權（參考）」保留。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起為收斂法，非驅動因子推導；灰底），說明欄移到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欄。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頁新增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節（</t>
    </r>
    <r>
      <rPr>
        <sz val="11"/>
        <rFont val="Cambria"/>
        <family val="0"/>
        <charset val="1"/>
      </rPr>
      <t xml:space="preserve">tp_r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tp_g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tp_roe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tp_w_dcf</t>
    </r>
    <r>
      <rPr>
        <sz val="11"/>
        <rFont val="Noto Sans CJK SC"/>
        <family val="2"/>
      </rPr>
      <t xml:space="preserve">、收斂法參數、共識目標價）。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加目標價參數列。</t>
    </r>
    <r>
      <rPr>
        <sz val="11"/>
        <rFont val="Cambria"/>
        <family val="0"/>
        <charset val="1"/>
      </rPr>
      <t xml:space="preserve">FY2026–FY2029 </t>
    </r>
    <r>
      <rPr>
        <sz val="11"/>
        <rFont val="Noto Sans CJK SC"/>
        <family val="2"/>
      </rPr>
      <t xml:space="preserve">既有數字不變。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</si>
  <si>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結論加「上檔空間級距」「投資建議」兩列、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頁加重點觀察三點；數值不變，既有儲存格位置不變）。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</si>
  <si>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US$612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376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848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756.17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）低 </t>
    </r>
    <r>
      <rPr>
        <sz val="11"/>
        <color theme="1"/>
        <rFont val="Calibri"/>
        <family val="2"/>
        <charset val="1"/>
      </rPr>
      <t xml:space="preserve">19.1%</t>
    </r>
    <r>
      <rPr>
        <sz val="11"/>
        <color theme="1"/>
        <rFont val="Noto Sans CJK SC"/>
        <family val="2"/>
      </rPr>
      <t xml:space="preserve">，級距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+12.2%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拉低：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單獨 −</t>
    </r>
    <r>
      <rPr>
        <sz val="11"/>
        <color theme="1"/>
        <rFont val="Calibri"/>
        <family val="2"/>
        <charset val="1"/>
      </rPr>
      <t xml:space="preserve">50.3%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用預設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），而本模型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28.90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23.60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22.5%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只有單一來源）；共識目標價 </t>
    </r>
    <r>
      <rPr>
        <sz val="11"/>
        <color theme="1"/>
        <rFont val="Calibri"/>
        <family val="2"/>
        <charset val="1"/>
      </rPr>
      <t xml:space="preserve">1,165.03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49.4 </t>
    </r>
    <r>
      <rPr>
        <sz val="11"/>
        <color theme="1"/>
        <rFont val="Noto Sans CJK SC"/>
        <family val="2"/>
      </rPr>
      <t xml:space="preserve">倍，比同業中位數 </t>
    </r>
    <r>
      <rPr>
        <sz val="11"/>
        <color theme="1"/>
        <rFont val="Calibri"/>
        <family val="2"/>
        <charset val="1"/>
      </rPr>
      <t xml:space="preserve">29.3 </t>
    </r>
    <r>
      <rPr>
        <sz val="11"/>
        <color theme="1"/>
        <rFont val="Noto Sans CJK SC"/>
        <family val="2"/>
      </rPr>
      <t xml:space="preserve">倍高 </t>
    </r>
    <r>
      <rPr>
        <sz val="11"/>
        <color theme="1"/>
        <rFont val="Calibri"/>
        <family val="2"/>
        <charset val="1"/>
      </rPr>
      <t xml:space="preserve">68.3%</t>
    </r>
    <r>
      <rPr>
        <sz val="11"/>
        <color theme="1"/>
        <rFont val="Noto Sans CJK SC"/>
        <family val="2"/>
      </rPr>
      <t xml:space="preserve">，市場給 </t>
    </r>
    <r>
      <rPr>
        <sz val="11"/>
        <color theme="1"/>
        <rFont val="Calibri"/>
        <family val="2"/>
        <charset val="1"/>
      </rPr>
      <t xml:space="preserve">EML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雷射供給缺口的溢價，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未計入。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</si>
  <si>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：最敏感的是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市場與毛利率：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EPS −13.8%</t>
    </r>
    <r>
      <rPr>
        <sz val="11"/>
        <color theme="1"/>
        <rFont val="Noto Sans CJK SC"/>
        <family val="2"/>
      </rPr>
      <t xml:space="preserve">、毛利率低（</t>
    </r>
    <r>
      <rPr>
        <sz val="11"/>
        <color theme="1"/>
        <rFont val="Calibri"/>
        <family val="2"/>
        <charset val="1"/>
      </rPr>
      <t xml:space="preserve">FY2028 46%</t>
    </r>
    <r>
      <rPr>
        <sz val="11"/>
        <color theme="1"/>
        <rFont val="Noto Sans CJK SC"/>
        <family val="2"/>
      </rPr>
      <t xml:space="preserve">）−</t>
    </r>
    <r>
      <rPr>
        <sz val="11"/>
        <color theme="1"/>
        <rFont val="Calibri"/>
        <family val="2"/>
        <charset val="1"/>
      </rPr>
      <t xml:space="preserve">11.4%</t>
    </r>
    <r>
      <rPr>
        <sz val="11"/>
        <color theme="1"/>
        <rFont val="Noto Sans CJK SC"/>
        <family val="2"/>
      </rPr>
      <t xml:space="preserve">、雷射單價低 −</t>
    </r>
    <r>
      <rPr>
        <sz val="11"/>
        <color theme="1"/>
        <rFont val="Calibri"/>
        <family val="2"/>
        <charset val="1"/>
      </rPr>
      <t xml:space="preserve">10.3%</t>
    </r>
    <r>
      <rPr>
        <sz val="11"/>
        <color theme="1"/>
        <rFont val="Noto Sans CJK SC"/>
        <family val="2"/>
      </rPr>
      <t xml:space="preserve">、每模組雷射數低（矽光替代）−</t>
    </r>
    <r>
      <rPr>
        <sz val="11"/>
        <color theme="1"/>
        <rFont val="Calibri"/>
        <family val="2"/>
        <charset val="1"/>
      </rPr>
      <t xml:space="preserve">8.5%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 FY2028 EPS 25.45</t>
    </r>
    <r>
      <rPr>
        <sz val="11"/>
        <color theme="1"/>
        <rFont val="Noto Sans CJK SC"/>
        <family val="2"/>
      </rPr>
      <t xml:space="preserve">，比情境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31.43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19.0%</t>
    </r>
    <r>
      <rPr>
        <sz val="11"/>
        <color theme="1"/>
        <rFont val="Noto Sans CJK SC"/>
        <family val="2"/>
      </rPr>
      <t xml:space="preserve">。現價 </t>
    </r>
    <r>
      <rPr>
        <sz val="11"/>
        <color theme="1"/>
        <rFont val="Calibri"/>
        <family val="2"/>
        <charset val="1"/>
      </rPr>
      <t xml:space="preserve">÷ FY2028 EPS 24.1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29.7 </t>
    </r>
    <r>
      <rPr>
        <sz val="11"/>
        <color theme="1"/>
        <rFont val="Noto Sans CJK SC"/>
        <family val="2"/>
      </rPr>
      <t xml:space="preserve">倍，在十年分位 </t>
    </r>
    <r>
      <rPr>
        <sz val="11"/>
        <color theme="1"/>
        <rFont val="Calibri"/>
        <family val="2"/>
        <charset val="1"/>
      </rPr>
      <t xml:space="preserve">78%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</si>
  <si>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：追蹤 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2026-11-05</t>
    </r>
    <r>
      <rPr>
        <sz val="11"/>
        <color theme="1"/>
        <rFont val="Noto Sans CJK SC"/>
        <family val="2"/>
      </rPr>
      <t xml:space="preserve">）：產品別營收（雷射、光模組、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）公司不揭露，本版為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拆分。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外部光源份額低／高時 </t>
    </r>
    <r>
      <rPr>
        <sz val="11"/>
        <color theme="1"/>
        <rFont val="Calibri"/>
        <family val="2"/>
        <charset val="1"/>
      </rPr>
      <t xml:space="preserve">FY2028 EPS −4.5%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+3.0%</t>
    </r>
    <r>
      <rPr>
        <sz val="11"/>
        <color theme="1"/>
        <rFont val="Noto Sans CJK SC"/>
        <family val="2"/>
      </rPr>
      <t xml:space="preserve">；網通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目前只有一條路徑、三情境相同，待 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改版。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</si>
  <si>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）。公司金額：十億美元（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頁百萬美元）；比例：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</si>
  <si>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未使用。公司不揭露產品別營收（只有元件／系統兩個部門），產品拆分為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；口徑為公司 </t>
    </r>
    <r>
      <rPr>
        <sz val="11"/>
        <color theme="1"/>
        <rFont val="Calibri"/>
        <family val="2"/>
        <charset val="1"/>
      </rPr>
      <t xml:space="preserve">non-GAAP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</si>
  <si>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</si>
  <si>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</si>
  <si>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</si>
  <si>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</si>
  <si>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</si>
  <si>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</si>
  <si>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</si>
  <si>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</si>
  <si>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</si>
  <si>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光學市場與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顆數（讀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成品；日曆年；情境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</si>
  <si>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mpl_26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</si>
  <si>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</si>
  <si>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</si>
  <si>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</si>
  <si>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Mkt!C20:F20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</si>
  <si>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 − 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（網通模型；日曆年）</t>
    </r>
  </si>
  <si>
    <t xml:space="preserve">mpl_27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</si>
  <si>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</si>
  <si>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同上</t>
  </si>
  <si>
    <t xml:space="preserve">mpl_28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</si>
  <si>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</si>
  <si>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</si>
  <si>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</si>
  <si>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mcp_26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</si>
  <si>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</si>
  <si>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Mkt!C19:F19</t>
    </r>
  </si>
  <si>
    <r>
      <rPr>
        <sz val="11"/>
        <color theme="1"/>
        <rFont val="Noto Sans CJK SC"/>
        <family val="2"/>
      </rPr>
      <t xml:space="preserve">共同封裝光學；外部光源（</t>
    </r>
    <r>
      <rPr>
        <sz val="11"/>
        <color theme="1"/>
        <rFont val="Calibri"/>
        <family val="2"/>
        <charset val="1"/>
      </rPr>
      <t xml:space="preserve">ELS</t>
    </r>
    <r>
      <rPr>
        <sz val="11"/>
        <color theme="1"/>
        <rFont val="Noto Sans CJK SC"/>
        <family val="2"/>
      </rPr>
      <t xml:space="preserve">）與超高功率雷射屬此</t>
    </r>
  </si>
  <si>
    <t xml:space="preserve">mcp_27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</si>
  <si>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</si>
  <si>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mcp_28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</si>
  <si>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</si>
  <si>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mcp_29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</si>
  <si>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</si>
  <si>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</si>
  <si>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</si>
  <si>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t xml:space="preserve">百萬顆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</si>
  <si>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Units!B9:E9</t>
    </r>
  </si>
  <si>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（光路交換）的主要用戶是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叢集</t>
    </r>
  </si>
  <si>
    <t xml:space="preserve">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</si>
  <si>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</si>
  <si>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</si>
  <si>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</si>
  <si>
    <t xml:space="preserve">tpu_29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</si>
  <si>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</si>
  <si>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</si>
  <si>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</si>
  <si>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</si>
  <si>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Lumentum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</si>
  <si>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</si>
  <si>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</si>
  <si>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</si>
  <si>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</si>
  <si>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</si>
  <si>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</si>
  <si>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</si>
  <si>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</si>
  <si>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</si>
  <si>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</si>
  <si>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</si>
  <si>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、中際旭創模型相同）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</si>
  <si>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</si>
  <si>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</si>
  <si>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</si>
  <si>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</si>
  <si>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</si>
  <si>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</si>
  <si>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</si>
  <si>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</si>
  <si>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</si>
  <si>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</si>
  <si>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</si>
  <si>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</si>
  <si>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</si>
  <si>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</si>
  <si>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</si>
  <si>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雷射晶片（</t>
    </r>
    <r>
      <rPr>
        <b val="true"/>
        <sz val="11"/>
        <rFont val="Cambria"/>
        <family val="0"/>
        <charset val="1"/>
      </rPr>
      <t xml:space="preserve">EML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CW</t>
    </r>
    <r>
      <rPr>
        <b val="true"/>
        <sz val="11"/>
        <rFont val="Noto Sans CJK SC"/>
        <family val="2"/>
      </rPr>
      <t xml:space="preserve">）：高速光模組數量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每模組雷射數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雷射單價 </t>
    </r>
    <r>
      <rPr>
        <b val="true"/>
        <sz val="11"/>
        <rFont val="Cambria"/>
        <family val="0"/>
        <charset val="1"/>
      </rPr>
      <t xml:space="preserve">× Lumentum </t>
    </r>
    <r>
      <rPr>
        <b val="true"/>
        <sz val="11"/>
        <rFont val="Noto Sans CJK SC"/>
        <family val="2"/>
      </rPr>
      <t xml:space="preserve">份額（上游元件口徑，不可與光模組廠份額相加）</t>
    </r>
  </si>
  <si>
    <t xml:space="preserve">asp_26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</si>
  <si>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（把網通模型金額換成模組數）</t>
    </r>
  </si>
  <si>
    <r>
      <rPr>
        <sz val="11"/>
        <color theme="1"/>
        <rFont val="Calibri"/>
        <family val="2"/>
        <charset val="1"/>
      </rPr>
      <t xml:space="preserve">$/</t>
    </r>
    <r>
      <rPr>
        <sz val="11"/>
        <color theme="1"/>
        <rFont val="Noto Sans CJK SC"/>
        <family val="2"/>
      </rPr>
      <t xml:space="preserve">個</t>
    </r>
  </si>
  <si>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為主、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比重上升（每個模組單價上升）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降價（下壓）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</si>
  <si>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67.2M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107.5M</t>
    </r>
    <r>
      <rPr>
        <sz val="11"/>
        <color theme="1"/>
        <rFont val="Noto Sans CJK SC"/>
        <family val="2"/>
      </rPr>
      <t xml:space="preserve">（凱基；只在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對照）</t>
    </r>
  </si>
  <si>
    <t xml:space="preserve">asp_27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</si>
  <si>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（把網通模型金額換成模組數）</t>
    </r>
  </si>
  <si>
    <t xml:space="preserve">—</t>
  </si>
  <si>
    <t xml:space="preserve">asp_28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</si>
  <si>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（把網通模型金額換成模組數）</t>
    </r>
  </si>
  <si>
    <t xml:space="preserve">asp_29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</si>
  <si>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（把網通模型金額換成模組數）</t>
    </r>
  </si>
  <si>
    <t xml:space="preserve">lpm_26</t>
  </si>
  <si>
    <r>
      <rPr>
        <sz val="11"/>
        <color theme="1"/>
        <rFont val="Noto Sans CJK SC"/>
        <family val="2"/>
      </rPr>
      <t xml:space="preserve">每模組雷射數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</si>
  <si>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t xml:space="preserve">顆</t>
  </si>
  <si>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方案（</t>
    </r>
    <r>
      <rPr>
        <sz val="11"/>
        <color theme="1"/>
        <rFont val="Calibri"/>
        <family val="2"/>
        <charset val="1"/>
      </rPr>
      <t xml:space="preserve">DR8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2×FR4</t>
    </r>
    <r>
      <rPr>
        <sz val="11"/>
        <color theme="1"/>
        <rFont val="Noto Sans CJK SC"/>
        <family val="2"/>
      </rPr>
      <t xml:space="preserve">）每模組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顆；矽光方案每模組 </t>
    </r>
    <r>
      <rPr>
        <sz val="11"/>
        <color theme="1"/>
        <rFont val="Calibri"/>
        <family val="2"/>
        <charset val="1"/>
      </rPr>
      <t xml:space="preserve">1–4 </t>
    </r>
    <r>
      <rPr>
        <sz val="11"/>
        <color theme="1"/>
        <rFont val="Noto Sans CJK SC"/>
        <family val="2"/>
      </rPr>
      <t xml:space="preserve">顆高功率 </t>
    </r>
    <r>
      <rPr>
        <sz val="11"/>
        <color theme="1"/>
        <rFont val="Calibri"/>
        <family val="2"/>
        <charset val="1"/>
      </rPr>
      <t xml:space="preserve">CW</t>
    </r>
    <r>
      <rPr>
        <sz val="11"/>
        <color theme="1"/>
        <rFont val="Noto Sans CJK SC"/>
        <family val="2"/>
      </rPr>
      <t xml:space="preserve">（業界常識，未找到第一手來源）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</si>
  <si>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第四季約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光模組改用自製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雷射</t>
    </r>
  </si>
  <si>
    <t xml:space="preserve">lpm_27</t>
  </si>
  <si>
    <r>
      <rPr>
        <sz val="11"/>
        <color theme="1"/>
        <rFont val="Noto Sans CJK SC"/>
        <family val="2"/>
      </rPr>
      <t xml:space="preserve">每模組雷射數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</si>
  <si>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t xml:space="preserve">矽光比重上升使每模組雷射數下降</t>
  </si>
  <si>
    <t xml:space="preserve">lpm_28</t>
  </si>
  <si>
    <r>
      <rPr>
        <sz val="11"/>
        <color theme="1"/>
        <rFont val="Noto Sans CJK SC"/>
        <family val="2"/>
      </rPr>
      <t xml:space="preserve">每模組雷射數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</si>
  <si>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t xml:space="preserve">lpm_29</t>
  </si>
  <si>
    <r>
      <rPr>
        <sz val="11"/>
        <color theme="1"/>
        <rFont val="Noto Sans CJK SC"/>
        <family val="2"/>
      </rPr>
      <t xml:space="preserve">每模組雷射數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</si>
  <si>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t xml:space="preserve">lasp_26</t>
  </si>
  <si>
    <r>
      <rPr>
        <sz val="11"/>
        <color theme="1"/>
        <rFont val="Noto Sans CJK SC"/>
        <family val="2"/>
      </rPr>
      <t xml:space="preserve">雷射平均單價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</si>
  <si>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$/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</si>
  <si>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）：光學元件與雷射約占光模組成本 </t>
    </r>
    <r>
      <rPr>
        <sz val="11"/>
        <color theme="1"/>
        <rFont val="Calibri"/>
        <family val="2"/>
        <charset val="1"/>
      </rPr>
      <t xml:space="preserve">25–35%</t>
    </r>
    <r>
      <rPr>
        <sz val="11"/>
        <color theme="1"/>
        <rFont val="Noto Sans CJK SC"/>
        <family val="2"/>
      </rPr>
      <t xml:space="preserve">（次級來源）</t>
    </r>
  </si>
  <si>
    <r>
      <rPr>
        <sz val="11"/>
        <color theme="1"/>
        <rFont val="Noto Sans CJK SC"/>
        <family val="2"/>
      </rPr>
      <t xml:space="preserve">雷射單價：未找到；本列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每模組雷射數＝每模組雷射內容（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約占模組單價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）</t>
    </r>
  </si>
  <si>
    <t xml:space="preserve">lasp_27</t>
  </si>
  <si>
    <r>
      <rPr>
        <sz val="11"/>
        <color theme="1"/>
        <rFont val="Noto Sans CJK SC"/>
        <family val="2"/>
      </rPr>
      <t xml:space="preserve">雷射平均單價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</si>
  <si>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200G EML </t>
    </r>
    <r>
      <rPr>
        <sz val="11"/>
        <color theme="1"/>
        <rFont val="Noto Sans CJK SC"/>
        <family val="2"/>
      </rPr>
      <t xml:space="preserve">比重上升（公司：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年中占 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以上）</t>
    </r>
  </si>
  <si>
    <t xml:space="preserve">lasp_28</t>
  </si>
  <si>
    <r>
      <rPr>
        <sz val="11"/>
        <color theme="1"/>
        <rFont val="Noto Sans CJK SC"/>
        <family val="2"/>
      </rPr>
      <t xml:space="preserve">雷射平均單價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</si>
  <si>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t xml:space="preserve">lasp_29</t>
  </si>
  <si>
    <r>
      <rPr>
        <sz val="11"/>
        <color theme="1"/>
        <rFont val="Noto Sans CJK SC"/>
        <family val="2"/>
      </rPr>
      <t xml:space="preserve">雷射平均單價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</si>
  <si>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t xml:space="preserve">lrel_27</t>
  </si>
  <si>
    <r>
      <rPr>
        <sz val="11"/>
        <color theme="1"/>
        <rFont val="Noto Sans CJK SC"/>
        <family val="2"/>
      </rPr>
      <t xml:space="preserve">雷射份額 </t>
    </r>
    <r>
      <rPr>
        <sz val="11"/>
        <color theme="1"/>
        <rFont val="Calibri"/>
        <family val="2"/>
        <charset val="1"/>
      </rPr>
      <t xml:space="preserve">CY2027 ÷ CY2026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</si>
  <si>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https://www.trendforce.com/presscenter/news/20260603-13077.html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前三大（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、三菱電機）合計約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、住友電工領先（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</si>
  <si>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是唯一量產 </t>
    </r>
    <r>
      <rPr>
        <sz val="11"/>
        <color theme="1"/>
        <rFont val="Calibri"/>
        <family val="2"/>
        <charset val="1"/>
      </rPr>
      <t xml:space="preserve">200G EML </t>
    </r>
    <r>
      <rPr>
        <sz val="11"/>
        <color theme="1"/>
        <rFont val="Noto Sans CJK SC"/>
        <family val="2"/>
      </rPr>
      <t xml:space="preserve">的供應商；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供需缺口約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（凱基）</t>
    </r>
  </si>
  <si>
    <t xml:space="preserve">lrel_28</t>
  </si>
  <si>
    <r>
      <rPr>
        <sz val="11"/>
        <color theme="1"/>
        <rFont val="Noto Sans CJK SC"/>
        <family val="2"/>
      </rPr>
      <t xml:space="preserve">雷射份額 </t>
    </r>
    <r>
      <rPr>
        <sz val="11"/>
        <color theme="1"/>
        <rFont val="Calibri"/>
        <family val="2"/>
        <charset val="1"/>
      </rPr>
      <t xml:space="preserve">CY2028 ÷ CY2026</t>
    </r>
  </si>
  <si>
    <r>
      <rPr>
        <sz val="11"/>
        <color theme="1"/>
        <rFont val="Calibri"/>
        <family val="2"/>
        <charset val="1"/>
      </rPr>
      <t xml:space="preserve">Greensboro</t>
    </r>
    <r>
      <rPr>
        <sz val="11"/>
        <color theme="1"/>
        <rFont val="Noto Sans CJK SC"/>
        <family val="2"/>
      </rPr>
      <t xml:space="preserve">（第五座 </t>
    </r>
    <r>
      <rPr>
        <sz val="11"/>
        <color theme="1"/>
        <rFont val="Calibri"/>
        <family val="2"/>
        <charset val="1"/>
      </rPr>
      <t xml:space="preserve">InP </t>
    </r>
    <r>
      <rPr>
        <sz val="11"/>
        <color theme="1"/>
        <rFont val="Noto Sans CJK SC"/>
        <family val="2"/>
      </rPr>
      <t xml:space="preserve">廠）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年初量產（公司）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</si>
  <si>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吋 </t>
    </r>
    <r>
      <rPr>
        <sz val="11"/>
        <color theme="1"/>
        <rFont val="Calibri"/>
        <family val="2"/>
        <charset val="1"/>
      </rPr>
      <t xml:space="preserve">InP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廠追趕（下壓）</t>
    </r>
  </si>
  <si>
    <t xml:space="preserve">lrel_29</t>
  </si>
  <si>
    <r>
      <rPr>
        <sz val="11"/>
        <color theme="1"/>
        <rFont val="Noto Sans CJK SC"/>
        <family val="2"/>
      </rPr>
      <t xml:space="preserve">雷射份額 </t>
    </r>
    <r>
      <rPr>
        <sz val="11"/>
        <color theme="1"/>
        <rFont val="Calibri"/>
        <family val="2"/>
        <charset val="1"/>
      </rPr>
      <t xml:space="preserve">CY2029 ÷ CY2026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</si>
  <si>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光模組、</t>
    </r>
    <r>
      <rPr>
        <b val="true"/>
        <sz val="11"/>
        <rFont val="Cambria"/>
        <family val="0"/>
        <charset val="1"/>
      </rPr>
      <t xml:space="preserve">OCS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CPO</t>
    </r>
    <r>
      <rPr>
        <b val="true"/>
        <sz val="11"/>
        <rFont val="Noto Sans CJK SC"/>
        <family val="2"/>
      </rPr>
      <t xml:space="preserve">（另推）</t>
    </r>
  </si>
  <si>
    <t xml:space="preserve">mrel_27</t>
  </si>
  <si>
    <r>
      <rPr>
        <sz val="11"/>
        <color theme="1"/>
        <rFont val="Noto Sans CJK SC"/>
        <family val="2"/>
      </rPr>
      <t xml:space="preserve">光模組份額 </t>
    </r>
    <r>
      <rPr>
        <sz val="11"/>
        <color theme="1"/>
        <rFont val="Calibri"/>
        <family val="2"/>
        <charset val="1"/>
      </rPr>
      <t xml:space="preserve">CY2027 ÷ CY2026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</si>
  <si>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出貨創新高、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開始量產（公司）</t>
    </r>
  </si>
  <si>
    <r>
      <rPr>
        <sz val="11"/>
        <color theme="1"/>
        <rFont val="Noto Sans CJK SC"/>
        <family val="2"/>
      </rPr>
      <t xml:space="preserve">公司估光模組供給缺口約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vocus </t>
    </r>
    <r>
      <rPr>
        <sz val="11"/>
        <color theme="1"/>
        <rFont val="Noto Sans CJK SC"/>
        <family val="2"/>
      </rPr>
      <t xml:space="preserve">轉述法說，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</si>
  <si>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mrel_28</t>
  </si>
  <si>
    <r>
      <rPr>
        <sz val="11"/>
        <color theme="1"/>
        <rFont val="Noto Sans CJK SC"/>
        <family val="2"/>
      </rPr>
      <t xml:space="preserve">光模組份額 </t>
    </r>
    <r>
      <rPr>
        <sz val="11"/>
        <color theme="1"/>
        <rFont val="Calibri"/>
        <family val="2"/>
        <charset val="1"/>
      </rPr>
      <t xml:space="preserve">CY2028 ÷ CY2026</t>
    </r>
  </si>
  <si>
    <r>
      <rPr>
        <sz val="11"/>
        <color theme="1"/>
        <rFont val="Noto Sans CJK SC"/>
        <family val="2"/>
      </rPr>
      <t xml:space="preserve">中際旭創、新易盛、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為主要競爭者</t>
    </r>
  </si>
  <si>
    <t xml:space="preserve">mrel_29</t>
  </si>
  <si>
    <r>
      <rPr>
        <sz val="11"/>
        <color theme="1"/>
        <rFont val="Noto Sans CJK SC"/>
        <family val="2"/>
      </rPr>
      <t xml:space="preserve">光模組份額 </t>
    </r>
    <r>
      <rPr>
        <sz val="11"/>
        <color theme="1"/>
        <rFont val="Calibri"/>
        <family val="2"/>
        <charset val="1"/>
      </rPr>
      <t xml:space="preserve">CY2029 ÷ CY2026</t>
    </r>
  </si>
  <si>
    <t xml:space="preserve">ocsk_27</t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</si>
  <si>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CY2027 ÷ CY2026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</si>
  <si>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https://www.zacks.com/stock/news/2973530/lumentum-q4-earnings-call-focuses-on-ai-optics-ocs-npo-ramps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2H CY2026 OCS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億美元（追上原展望、未超前）；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第一季首度超過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億美元（公司）</t>
    </r>
  </si>
  <si>
    <r>
      <rPr>
        <sz val="11"/>
        <color theme="1"/>
        <rFont val="Calibri"/>
        <family val="2"/>
        <charset val="1"/>
      </rPr>
      <t xml:space="preserve">https://s21.q4cdn.com/377324469/files/doc_financials/2026/q4/Q4-FY26-Earnings-Presentation_final.pdf</t>
    </r>
    <r>
      <rPr>
        <sz val="11"/>
        <color theme="1"/>
        <rFont val="Noto Sans CJK SC"/>
        <family val="2"/>
      </rPr>
      <t xml:space="preserve">：多年期、數十億美元的 </t>
    </r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採購協議（公司）</t>
    </r>
  </si>
  <si>
    <t xml:space="preserve">ocsk_28</t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</si>
  <si>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CY2028 ÷ CY2026</t>
    </r>
  </si>
  <si>
    <r>
      <rPr>
        <sz val="11"/>
        <color theme="1"/>
        <rFont val="Calibri"/>
        <family val="2"/>
        <charset val="1"/>
      </rPr>
      <t xml:space="preserve">2H CY2026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÷ CY2026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億美元 ≈ </t>
    </r>
    <r>
      <rPr>
        <sz val="11"/>
        <color theme="1"/>
        <rFont val="Calibri"/>
        <family val="2"/>
        <charset val="1"/>
      </rPr>
      <t xml:space="preserve">1.6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</si>
  <si>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把 </t>
    </r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市場規模由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億上調到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</si>
  <si>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ocsk_29</t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</si>
  <si>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CY2029 ÷ CY2026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</si>
  <si>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等競爭者加入（下壓）</t>
    </r>
  </si>
  <si>
    <t xml:space="preserve">cpo_27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</si>
  <si>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</si>
  <si>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t xml:space="preserve">%</t>
  </si>
  <si>
    <r>
      <rPr>
        <sz val="11"/>
        <color theme="1"/>
        <rFont val="Calibri"/>
        <family val="2"/>
        <charset val="1"/>
      </rPr>
      <t xml:space="preserve">https://cruxcapitalgroup.substack.com/p/lite-earnings-breakdown</t>
    </r>
    <r>
      <rPr>
        <sz val="11"/>
        <color theme="1"/>
        <rFont val="Noto Sans CJK SC"/>
        <family val="2"/>
      </rPr>
      <t xml:space="preserve">：外部光源／超高功率雷射數億美元訂單 </t>
    </r>
    <r>
      <rPr>
        <sz val="11"/>
        <color theme="1"/>
        <rFont val="Calibri"/>
        <family val="2"/>
        <charset val="1"/>
      </rPr>
      <t xml:space="preserve">1H CY2027 </t>
    </r>
    <r>
      <rPr>
        <sz val="11"/>
        <color theme="1"/>
        <rFont val="Noto Sans CJK SC"/>
        <family val="2"/>
      </rPr>
      <t xml:space="preserve">交貨（公司）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</si>
  <si>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：超高功率雷射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千萬美元，目標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第三季單季逾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億美元（凱基轉述）</t>
    </r>
  </si>
  <si>
    <t xml:space="preserve">cpo_28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</si>
  <si>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</si>
  <si>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超高功率雷射 </t>
    </r>
    <r>
      <rPr>
        <sz val="11"/>
        <color theme="1"/>
        <rFont val="Calibri"/>
        <family val="2"/>
        <charset val="1"/>
      </rPr>
      <t xml:space="preserve">2H CY2027 </t>
    </r>
    <r>
      <rPr>
        <sz val="11"/>
        <color theme="1"/>
        <rFont val="Noto Sans CJK SC"/>
        <family val="2"/>
      </rPr>
      <t xml:space="preserve">大量出貨、供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年部署（公司）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</si>
  <si>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才開始（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可能早於此：低估風險</t>
    </r>
  </si>
  <si>
    <t xml:space="preserve">cpo_29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</si>
  <si>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</si>
  <si>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r>
      <rPr>
        <b val="true"/>
        <sz val="11"/>
        <rFont val="Cambria"/>
        <family val="0"/>
        <charset val="1"/>
      </rPr>
      <t xml:space="preserve">D. CY2026 </t>
    </r>
    <r>
      <rPr>
        <b val="true"/>
        <sz val="11"/>
        <rFont val="Noto Sans CJK SC"/>
        <family val="2"/>
      </rPr>
      <t xml:space="preserve">錨點的產品拆分（公司只揭露元件／系統；以下為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，雷射晶片＝殘差）</t>
    </r>
  </si>
  <si>
    <t xml:space="preserve">ocs_1h</t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</si>
  <si>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1H 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第三、四季）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</si>
  <si>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出貨較第三季倍增（公司）</t>
    </r>
  </si>
  <si>
    <t xml:space="preserve">金額：未找到</t>
  </si>
  <si>
    <t xml:space="preserve">ocs_2h</t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</si>
  <si>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2H CY2026</t>
    </r>
    <r>
      <rPr>
        <sz val="11"/>
        <color theme="1"/>
        <rFont val="Noto Sans CJK SC"/>
        <family val="2"/>
      </rPr>
      <t xml:space="preserve">（公司展望）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</si>
  <si>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</si>
  <si>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https://www.zacks.com/stock/news/2973530/lumentum-q4-earnings-call-focuses-on-ai-optics-ocs-npo-ramps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億美元（公司）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</si>
  <si>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：同值（凱基轉述）</t>
    </r>
  </si>
  <si>
    <t xml:space="preserve">cpo_a26</t>
  </si>
  <si>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／超高功率雷射營收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</si>
  <si>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千萬美元（凱基轉述公司）</t>
    </r>
  </si>
  <si>
    <t xml:space="preserve">tel_a26</t>
  </si>
  <si>
    <r>
      <rPr>
        <sz val="11"/>
        <color theme="1"/>
        <rFont val="Noto Sans CJK SC"/>
        <family val="2"/>
      </rPr>
      <t xml:space="preserve">電信與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元件營收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WSS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ROADM</t>
    </r>
    <r>
      <rPr>
        <sz val="11"/>
        <color theme="1"/>
        <rFont val="Noto Sans CJK SC"/>
        <family val="2"/>
      </rPr>
      <t xml:space="preserve">、泵浦、窄線寬雷射等）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</si>
  <si>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：窄線寬雷射 </t>
    </r>
    <r>
      <rPr>
        <sz val="11"/>
        <color theme="1"/>
        <rFont val="Calibri"/>
        <family val="2"/>
        <charset val="1"/>
      </rPr>
      <t xml:space="preserve">+130%</t>
    </r>
    <r>
      <rPr>
        <sz val="11"/>
        <color theme="1"/>
        <rFont val="Noto Sans CJK SC"/>
        <family val="2"/>
      </rPr>
      <t xml:space="preserve">、泵浦雷射 </t>
    </r>
    <r>
      <rPr>
        <sz val="11"/>
        <color theme="1"/>
        <rFont val="Calibri"/>
        <family val="2"/>
        <charset val="1"/>
      </rPr>
      <t xml:space="preserve">+80%</t>
    </r>
    <r>
      <rPr>
        <sz val="11"/>
        <color theme="1"/>
        <rFont val="Noto Sans CJK SC"/>
        <family val="2"/>
      </rPr>
      <t xml:space="preserve">（年增；公司）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</si>
  <si>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：泵浦雷射份額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（凱基）</t>
    </r>
  </si>
  <si>
    <t xml:space="preserve">ind_a26</t>
  </si>
  <si>
    <r>
      <rPr>
        <sz val="11"/>
        <color theme="1"/>
        <rFont val="Noto Sans CJK SC"/>
        <family val="2"/>
      </rPr>
      <t xml:space="preserve">工業雷射與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感測營收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</si>
  <si>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舊部門 </t>
    </r>
    <r>
      <rPr>
        <sz val="11"/>
        <color theme="1"/>
        <rFont val="Calibri"/>
        <family val="2"/>
        <charset val="1"/>
      </rPr>
      <t xml:space="preserve">Industrial Tech 2.743 </t>
    </r>
    <r>
      <rPr>
        <sz val="11"/>
        <color theme="1"/>
        <rFont val="Noto Sans CJK SC"/>
        <family val="2"/>
      </rPr>
      <t xml:space="preserve">億美元（公司）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</si>
  <si>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金額：未找到</t>
    </r>
  </si>
  <si>
    <t xml:space="preserve">xcvr_a26</t>
  </si>
  <si>
    <r>
      <rPr>
        <sz val="11"/>
        <color theme="1"/>
        <rFont val="Noto Sans CJK SC"/>
        <family val="2"/>
      </rPr>
      <t xml:space="preserve">光模組（收發器）營收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</si>
  <si>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）：系統部門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3.569 </t>
    </r>
    <r>
      <rPr>
        <sz val="11"/>
        <color theme="1"/>
        <rFont val="Noto Sans CJK SC"/>
        <family val="2"/>
      </rPr>
      <t xml:space="preserve">億美元（含光模組、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、工業雷射）</t>
    </r>
  </si>
  <si>
    <r>
      <rPr>
        <sz val="11"/>
        <color theme="1"/>
        <rFont val="Noto Sans CJK SC"/>
        <family val="2"/>
      </rPr>
      <t xml:space="preserve">光模組金額：未找到；系統部門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億 − </t>
    </r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億 − 工業雷射（推導）</t>
    </r>
  </si>
  <si>
    <t xml:space="preserve">g_tel_27</t>
  </si>
  <si>
    <r>
      <rPr>
        <sz val="11"/>
        <color theme="1"/>
        <rFont val="Noto Sans CJK SC"/>
        <family val="2"/>
      </rPr>
      <t xml:space="preserve">電信與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</si>
  <si>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泵浦雷射出貨未來數季約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倍（公司）；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scale-across</t>
    </r>
  </si>
  <si>
    <t xml:space="preserve">g_tel_28</t>
  </si>
  <si>
    <r>
      <rPr>
        <sz val="11"/>
        <color theme="1"/>
        <rFont val="Noto Sans CJK SC"/>
        <family val="2"/>
      </rPr>
      <t xml:space="preserve">電信與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CY2028</t>
    </r>
  </si>
  <si>
    <t xml:space="preserve">g_tel_29</t>
  </si>
  <si>
    <r>
      <rPr>
        <sz val="11"/>
        <color theme="1"/>
        <rFont val="Noto Sans CJK SC"/>
        <family val="2"/>
      </rPr>
      <t xml:space="preserve">電信與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CY2029</t>
    </r>
  </si>
  <si>
    <t xml:space="preserve">g_ind</t>
  </si>
  <si>
    <r>
      <rPr>
        <sz val="11"/>
        <color theme="1"/>
        <rFont val="Noto Sans CJK SC"/>
        <family val="2"/>
      </rPr>
      <t xml:space="preserve">工業雷射與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感測年增（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</si>
  <si>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FY2023 4.445 </t>
    </r>
    <r>
      <rPr>
        <sz val="11"/>
        <color theme="1"/>
        <rFont val="Noto Sans CJK SC"/>
        <family val="2"/>
      </rPr>
      <t xml:space="preserve">億 → </t>
    </r>
    <r>
      <rPr>
        <sz val="11"/>
        <color theme="1"/>
        <rFont val="Calibri"/>
        <family val="2"/>
        <charset val="1"/>
      </rPr>
      <t xml:space="preserve">FY2024 2.743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Industrial Tech</t>
    </r>
    <r>
      <rPr>
        <sz val="11"/>
        <color theme="1"/>
        <rFont val="Noto Sans CJK SC"/>
        <family val="2"/>
      </rPr>
      <t xml:space="preserve">；公司）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</si>
  <si>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；成長假設低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</si>
  <si>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季度實績與指引（百萬美元；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錨點）</t>
    </r>
  </si>
  <si>
    <t xml:space="preserve">q3_26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</si>
  <si>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第三季營收（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03</t>
    </r>
    <r>
      <rPr>
        <sz val="11"/>
        <color theme="1"/>
        <rFont val="Noto Sans CJK SC"/>
        <family val="2"/>
      </rPr>
      <t xml:space="preserve">）</t>
    </r>
  </si>
  <si>
    <t xml:space="preserve">US$M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</si>
  <si>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</si>
  <si>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808.4</t>
    </r>
  </si>
  <si>
    <r>
      <rPr>
        <sz val="11"/>
        <color theme="1"/>
        <rFont val="Calibri"/>
        <family val="2"/>
        <charset val="1"/>
      </rPr>
      <t xml:space="preserve">https://cruxcapitalgroup.substack.com/p/lite-earnings-breakdown</t>
    </r>
    <r>
      <rPr>
        <sz val="11"/>
        <color theme="1"/>
        <rFont val="Noto Sans CJK SC"/>
        <family val="2"/>
      </rPr>
      <t xml:space="preserve">：同值</t>
    </r>
  </si>
  <si>
    <t xml:space="preserve">q4_26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</si>
  <si>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</si>
  <si>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1,006.3</t>
    </r>
    <r>
      <rPr>
        <sz val="11"/>
        <color theme="1"/>
        <rFont val="Noto Sans CJK SC"/>
        <family val="2"/>
      </rPr>
      <t xml:space="preserve">（元件 </t>
    </r>
    <r>
      <rPr>
        <sz val="11"/>
        <color theme="1"/>
        <rFont val="Calibri"/>
        <family val="2"/>
        <charset val="1"/>
      </rPr>
      <t xml:space="preserve">649.4</t>
    </r>
    <r>
      <rPr>
        <sz val="11"/>
        <color theme="1"/>
        <rFont val="Noto Sans CJK SC"/>
        <family val="2"/>
      </rPr>
      <t xml:space="preserve">、系統 </t>
    </r>
    <r>
      <rPr>
        <sz val="11"/>
        <color theme="1"/>
        <rFont val="Calibri"/>
        <family val="2"/>
        <charset val="1"/>
      </rPr>
      <t xml:space="preserve">356.9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</si>
  <si>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https://s21.q4cdn.com/377324469/files/doc_financials/2026/q4/Q4-FY26-Earnings-Presentation_final.pdf</t>
    </r>
    <r>
      <rPr>
        <sz val="11"/>
        <color theme="1"/>
        <rFont val="Noto Sans CJK SC"/>
        <family val="2"/>
      </rPr>
      <t xml:space="preserve">：同值</t>
    </r>
  </si>
  <si>
    <t xml:space="preserve">q1g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</si>
  <si>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第一季營收指引中點（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</si>
  <si>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12.25–12.75 </t>
    </r>
    <r>
      <rPr>
        <sz val="11"/>
        <color theme="1"/>
        <rFont val="Noto Sans CJK SC"/>
        <family val="2"/>
      </rPr>
      <t xml:space="preserve">億美元（公司）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</si>
  <si>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：同值</t>
    </r>
  </si>
  <si>
    <t xml:space="preserve">q_g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</si>
  <si>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第二季營收季增（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</si>
  <si>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第三、四季、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第一季季增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</si>
  <si>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Noto Sans CJK SC"/>
        <family val="2"/>
      </rPr>
      <t xml:space="preserve">產能受限：</t>
    </r>
    <r>
      <rPr>
        <sz val="11"/>
        <color theme="1"/>
        <rFont val="Calibri"/>
        <family val="2"/>
        <charset val="1"/>
      </rPr>
      <t xml:space="preserve">EML</t>
    </r>
    <r>
      <rPr>
        <sz val="11"/>
        <color theme="1"/>
        <rFont val="Noto Sans CJK SC"/>
        <family val="2"/>
      </rPr>
      <t xml:space="preserve">、泵浦缺口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以上（公司）</t>
    </r>
  </si>
  <si>
    <t xml:space="preserve">om_g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</si>
  <si>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營業利益率指引中點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</si>
  <si>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39.5–40.5%</t>
    </r>
    <r>
      <rPr>
        <sz val="11"/>
        <color theme="1"/>
        <rFont val="Noto Sans CJK SC"/>
        <family val="2"/>
      </rPr>
      <t xml:space="preserve">（公司）</t>
    </r>
  </si>
  <si>
    <t xml:space="preserve">eps_g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</si>
  <si>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指引中點</t>
    </r>
  </si>
  <si>
    <t xml:space="preserve">US$</t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</si>
  <si>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4.05–4.35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</si>
  <si>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4.23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不用）</t>
    </r>
  </si>
  <si>
    <t xml:space="preserve">sh_q1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</si>
  <si>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稀釋股數指引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</si>
  <si>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</si>
  <si>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https://s21.q4cdn.com/377324469/files/doc_financials/2026/q4/Q4-FY26-Earnings-Presentation_final.pdf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1.02 </t>
    </r>
    <r>
      <rPr>
        <sz val="11"/>
        <color theme="1"/>
        <rFont val="Noto Sans CJK SC"/>
        <family val="2"/>
      </rPr>
      <t xml:space="preserve">億股（含可轉債假設轉換）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</si>
  <si>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https://www.sec.gov/Archives/edgar/data/0001633978/000162828026057358/lite-20260627.htm</t>
    </r>
    <r>
      <rPr>
        <sz val="11"/>
        <color theme="1"/>
        <rFont val="Noto Sans CJK SC"/>
        <family val="2"/>
      </rPr>
      <t xml:space="preserve">：普通股 </t>
    </r>
    <r>
      <rPr>
        <sz val="11"/>
        <color theme="1"/>
        <rFont val="Calibri"/>
        <family val="2"/>
        <charset val="1"/>
      </rPr>
      <t xml:space="preserve">8,970 </t>
    </r>
    <r>
      <rPr>
        <sz val="11"/>
        <color theme="1"/>
        <rFont val="Noto Sans CJK SC"/>
        <family val="2"/>
      </rPr>
      <t xml:space="preserve">萬股（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）</t>
    </r>
  </si>
  <si>
    <t xml:space="preserve">tx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</si>
  <si>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</si>
  <si>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https://s21.q4cdn.com/377324469/files/doc_financials/2026/q4/Q4-FY26-Earnings-Presentation_final.pdf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16.5%</t>
    </r>
    <r>
      <rPr>
        <sz val="11"/>
        <color theme="1"/>
        <rFont val="Noto Sans CJK SC"/>
        <family val="2"/>
      </rPr>
      <t xml:space="preserve">（公司指引）</t>
    </r>
  </si>
  <si>
    <t xml:space="preserve">h_1h</t>
  </si>
  <si>
    <r>
      <rPr>
        <sz val="11"/>
        <color theme="1"/>
        <rFont val="Noto Sans CJK SC"/>
        <family val="2"/>
      </rPr>
      <t xml:space="preserve">日曆年上半年營收占全年比（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起；換算會計年度用）</t>
    </r>
  </si>
  <si>
    <r>
      <rPr>
        <sz val="11"/>
        <color theme="1"/>
        <rFont val="Noto Sans CJK SC"/>
        <family val="2"/>
      </rPr>
      <t xml:space="preserve">成長期上半年小於一半；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上半年占 </t>
    </r>
    <r>
      <rPr>
        <sz val="11"/>
        <color theme="1"/>
        <rFont val="Calibri"/>
        <family val="2"/>
        <charset val="1"/>
      </rPr>
      <t xml:space="preserve">40.6%</t>
    </r>
    <r>
      <rPr>
        <sz val="11"/>
        <color theme="1"/>
        <rFont val="Noto Sans CJK SC"/>
        <family val="2"/>
      </rPr>
      <t xml:space="preserve">（推導，高成長）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</si>
  <si>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CY(t−1) </t>
    </r>
    <r>
      <rPr>
        <sz val="11"/>
        <color theme="1"/>
        <rFont val="Noto Sans CJK SC"/>
        <family val="2"/>
      </rPr>
      <t xml:space="preserve">下半年＋</t>
    </r>
    <r>
      <rPr>
        <sz val="11"/>
        <color theme="1"/>
        <rFont val="Calibri"/>
        <family val="2"/>
        <charset val="1"/>
      </rPr>
      <t xml:space="preserve">CY(t) </t>
    </r>
    <r>
      <rPr>
        <sz val="11"/>
        <color theme="1"/>
        <rFont val="Noto Sans CJK SC"/>
        <family val="2"/>
      </rPr>
      <t xml:space="preserve">上半年</t>
    </r>
  </si>
  <si>
    <r>
      <rPr>
        <b val="true"/>
        <sz val="11"/>
        <rFont val="Cambria"/>
        <family val="0"/>
        <charset val="1"/>
      </rPr>
      <t xml:space="preserve">F. 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；百萬美元）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</si>
  <si>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</si>
  <si>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</si>
  <si>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1,645.0</t>
    </r>
  </si>
  <si>
    <r>
      <rPr>
        <sz val="11"/>
        <color theme="1"/>
        <rFont val="Calibri"/>
        <family val="2"/>
        <charset val="1"/>
      </rPr>
      <t xml:space="preserve">https://www.01net.it/lumentum-announces-fourth-quarter-and-full-fiscal-year-2026-results/</t>
    </r>
    <r>
      <rPr>
        <sz val="11"/>
        <color theme="1"/>
        <rFont val="Noto Sans CJK SC"/>
        <family val="2"/>
      </rPr>
      <t xml:space="preserve">：同值（轉載）</t>
    </r>
  </si>
  <si>
    <t xml:space="preserve">a25_gm_in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</si>
  <si>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</si>
  <si>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34.7%</t>
    </r>
  </si>
  <si>
    <t xml:space="preserve">GAAP 28.0%</t>
  </si>
  <si>
    <t xml:space="preserve">a25_opx_in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</si>
  <si>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營業費用（研發＋銷管）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</si>
  <si>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：研發 </t>
    </r>
    <r>
      <rPr>
        <sz val="11"/>
        <color theme="1"/>
        <rFont val="Calibri"/>
        <family val="2"/>
        <charset val="1"/>
      </rPr>
      <t xml:space="preserve">256.0</t>
    </r>
    <r>
      <rPr>
        <sz val="11"/>
        <color theme="1"/>
        <rFont val="Noto Sans CJK SC"/>
        <family val="2"/>
      </rPr>
      <t xml:space="preserve">、銷管 </t>
    </r>
    <r>
      <rPr>
        <sz val="11"/>
        <color theme="1"/>
        <rFont val="Calibri"/>
        <family val="2"/>
        <charset val="1"/>
      </rPr>
      <t xml:space="preserve">155.4</t>
    </r>
  </si>
  <si>
    <t xml:space="preserve">a25_ni_in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</si>
  <si>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</si>
  <si>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146.4</t>
    </r>
  </si>
  <si>
    <t xml:space="preserve">GAAP 25.9</t>
  </si>
  <si>
    <t xml:space="preserve">a25_eps_in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</si>
  <si>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</si>
  <si>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2.06</t>
    </r>
  </si>
  <si>
    <t xml:space="preserve">GAAP 0.37</t>
  </si>
  <si>
    <t xml:space="preserve">a26_rev_in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</si>
  <si>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</si>
  <si>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3,014.0</t>
    </r>
    <r>
      <rPr>
        <sz val="11"/>
        <color theme="1"/>
        <rFont val="Noto Sans CJK SC"/>
        <family val="2"/>
      </rPr>
      <t xml:space="preserve">（元件 </t>
    </r>
    <r>
      <rPr>
        <sz val="11"/>
        <color theme="1"/>
        <rFont val="Calibri"/>
        <family val="2"/>
        <charset val="1"/>
      </rPr>
      <t xml:space="preserve">2,005.6</t>
    </r>
    <r>
      <rPr>
        <sz val="11"/>
        <color theme="1"/>
        <rFont val="Noto Sans CJK SC"/>
        <family val="2"/>
      </rPr>
      <t xml:space="preserve">、系統 </t>
    </r>
    <r>
      <rPr>
        <sz val="11"/>
        <color theme="1"/>
        <rFont val="Calibri"/>
        <family val="2"/>
        <charset val="1"/>
      </rPr>
      <t xml:space="preserve">1,008.4</t>
    </r>
    <r>
      <rPr>
        <sz val="11"/>
        <color theme="1"/>
        <rFont val="Noto Sans CJK SC"/>
        <family val="2"/>
      </rPr>
      <t xml:space="preserve">）</t>
    </r>
  </si>
  <si>
    <t xml:space="preserve">a26_gm_in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</si>
  <si>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</si>
  <si>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46.0%</t>
    </r>
    <r>
      <rPr>
        <sz val="11"/>
        <color theme="1"/>
        <rFont val="Noto Sans CJK SC"/>
        <family val="2"/>
      </rPr>
      <t xml:space="preserve">（第四季 </t>
    </r>
    <r>
      <rPr>
        <sz val="11"/>
        <color theme="1"/>
        <rFont val="Calibri"/>
        <family val="2"/>
        <charset val="1"/>
      </rPr>
      <t xml:space="preserve">50.4%</t>
    </r>
    <r>
      <rPr>
        <sz val="11"/>
        <color theme="1"/>
        <rFont val="Noto Sans CJK SC"/>
        <family val="2"/>
      </rPr>
      <t xml:space="preserve">）</t>
    </r>
  </si>
  <si>
    <t xml:space="preserve">GAAP 41.7%</t>
  </si>
  <si>
    <t xml:space="preserve">a26_opx_in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</si>
  <si>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營業費用（研發＋銷管）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</si>
  <si>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：研發 </t>
    </r>
    <r>
      <rPr>
        <sz val="11"/>
        <color theme="1"/>
        <rFont val="Calibri"/>
        <family val="2"/>
        <charset val="1"/>
      </rPr>
      <t xml:space="preserve">304.8</t>
    </r>
    <r>
      <rPr>
        <sz val="11"/>
        <color theme="1"/>
        <rFont val="Noto Sans CJK SC"/>
        <family val="2"/>
      </rPr>
      <t xml:space="preserve">、銷管 </t>
    </r>
    <r>
      <rPr>
        <sz val="11"/>
        <color theme="1"/>
        <rFont val="Calibri"/>
        <family val="2"/>
        <charset val="1"/>
      </rPr>
      <t xml:space="preserve">184.9</t>
    </r>
  </si>
  <si>
    <t xml:space="preserve">a26_ni_in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</si>
  <si>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</si>
  <si>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782.3</t>
    </r>
  </si>
  <si>
    <r>
      <rPr>
        <sz val="11"/>
        <color theme="1"/>
        <rFont val="Calibri"/>
        <family val="2"/>
        <charset val="1"/>
      </rPr>
      <t xml:space="preserve">GAAP −6,935.1</t>
    </r>
    <r>
      <rPr>
        <sz val="11"/>
        <color theme="1"/>
        <rFont val="Noto Sans CJK SC"/>
        <family val="2"/>
      </rPr>
      <t xml:space="preserve">（含可轉債清償損失 </t>
    </r>
    <r>
      <rPr>
        <sz val="11"/>
        <color theme="1"/>
        <rFont val="Calibri"/>
        <family val="2"/>
        <charset val="1"/>
      </rPr>
      <t xml:space="preserve">7,756.6</t>
    </r>
    <r>
      <rPr>
        <sz val="11"/>
        <color theme="1"/>
        <rFont val="Noto Sans CJK SC"/>
        <family val="2"/>
      </rPr>
      <t xml:space="preserve">，非現金）</t>
    </r>
  </si>
  <si>
    <t xml:space="preserve">a26_eps_in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</si>
  <si>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</si>
  <si>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8.67</t>
    </r>
  </si>
  <si>
    <t xml:space="preserve">GAAP −92.96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</si>
  <si>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損益參數（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</si>
  <si>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gm_27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</si>
  <si>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</si>
  <si>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https://s21.q4cdn.com/377324469/files/doc_financials/2026/q4/Q4-FY26-Earnings-Presentation_final.pdf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50.4%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第一季指引隱含約 </t>
    </r>
    <r>
      <rPr>
        <sz val="11"/>
        <color theme="1"/>
        <rFont val="Calibri"/>
        <family val="2"/>
        <charset val="1"/>
      </rPr>
      <t xml:space="preserve">51–52%</t>
    </r>
    <r>
      <rPr>
        <sz val="11"/>
        <color theme="1"/>
        <rFont val="Noto Sans CJK SC"/>
        <family val="2"/>
      </rPr>
      <t xml:space="preserve">（營業利益率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＋ 營業費用率約 </t>
    </r>
    <r>
      <rPr>
        <sz val="11"/>
        <color theme="1"/>
        <rFont val="Calibri"/>
        <family val="2"/>
        <charset val="1"/>
      </rPr>
      <t xml:space="preserve">11–12%</t>
    </r>
    <r>
      <rPr>
        <sz val="11"/>
        <color theme="1"/>
        <rFont val="Noto Sans CJK SC"/>
        <family val="2"/>
      </rPr>
      <t xml:space="preserve">，推導）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</si>
  <si>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：公司長期毛利率目標 </t>
    </r>
    <r>
      <rPr>
        <sz val="11"/>
        <color theme="1"/>
        <rFont val="Calibri"/>
        <family val="2"/>
        <charset val="1"/>
      </rPr>
      <t xml:space="preserve">42% </t>
    </r>
    <r>
      <rPr>
        <sz val="11"/>
        <color theme="1"/>
        <rFont val="Noto Sans CJK SC"/>
        <family val="2"/>
      </rPr>
      <t xml:space="preserve">以上（凱基轉述）</t>
    </r>
  </si>
  <si>
    <t xml:space="preserve">gm_28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</si>
  <si>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</si>
  <si>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200G EML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規模效益（上推）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光模組占比上升、降價（下壓）</t>
    </r>
  </si>
  <si>
    <t xml:space="preserve">gm_29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</si>
  <si>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FY2029</t>
    </r>
  </si>
  <si>
    <t xml:space="preserve">供給缺口收斂後價格回落</t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</si>
  <si>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</si>
  <si>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</si>
  <si>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</si>
  <si>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公司：營業利益率目標由 </t>
    </r>
    <r>
      <rPr>
        <sz val="11"/>
        <color theme="1"/>
        <rFont val="Calibri"/>
        <family val="2"/>
        <charset val="1"/>
      </rPr>
      <t xml:space="preserve">38–42% </t>
    </r>
    <r>
      <rPr>
        <sz val="11"/>
        <color theme="1"/>
        <rFont val="Noto Sans CJK SC"/>
        <family val="2"/>
      </rPr>
      <t xml:space="preserve">可再上調 </t>
    </r>
    <r>
      <rPr>
        <sz val="11"/>
        <color theme="1"/>
        <rFont val="Calibri"/>
        <family val="2"/>
        <charset val="1"/>
      </rPr>
      <t xml:space="preserve">100–200bp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轉述法說）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</si>
  <si>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</si>
  <si>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</si>
  <si>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</si>
  <si>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</si>
  <si>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</si>
  <si>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oi_oth</t>
  </si>
  <si>
    <r>
      <rPr>
        <sz val="11"/>
        <color theme="1"/>
        <rFont val="Noto Sans CJK SC"/>
        <family val="2"/>
      </rPr>
      <t xml:space="preserve">營業外淨收入（利息等，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起每年）</t>
    </r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</si>
  <si>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第一季指引推導：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股數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稅率）− 營業利益</t>
    </r>
  </si>
  <si>
    <r>
      <rPr>
        <sz val="11"/>
        <color theme="1"/>
        <rFont val="Noto Sans CJK SC"/>
        <family val="2"/>
      </rPr>
      <t xml:space="preserve">現金與短期投資 </t>
    </r>
    <r>
      <rPr>
        <sz val="11"/>
        <color theme="1"/>
        <rFont val="Calibri"/>
        <family val="2"/>
        <charset val="1"/>
      </rPr>
      <t xml:space="preserve">27.4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年底，公司）</t>
    </r>
  </si>
  <si>
    <t xml:space="preserve">sh_g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</si>
  <si>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稀釋股數年變動（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</si>
  <si>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股票報酬稀釋；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年可轉債已計入稀釋股數（公司）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</si>
  <si>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系列可轉換特別股 </t>
    </r>
    <r>
      <rPr>
        <sz val="11"/>
        <color theme="1"/>
        <rFont val="Calibri"/>
        <family val="2"/>
        <charset val="1"/>
      </rPr>
      <t xml:space="preserve">290 </t>
    </r>
    <r>
      <rPr>
        <sz val="11"/>
        <color theme="1"/>
        <rFont val="Noto Sans CJK SC"/>
        <family val="2"/>
      </rPr>
      <t xml:space="preserve">萬股（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發行；公司）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</si>
  <si>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</si>
  <si>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</si>
  <si>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可插拔光模組 </t>
    </r>
    <r>
      <rPr>
        <sz val="11"/>
        <color theme="1"/>
        <rFont val="Calibri"/>
        <family val="2"/>
        <charset val="1"/>
      </rPr>
      <t xml:space="preserve">+84%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</si>
  <si>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</si>
  <si>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共識、券商、研調（只作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</si>
  <si>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</si>
  <si>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</si>
  <si>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https://stockanalysis.com/stocks/lite/forecast/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63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56–72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</si>
  <si>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https://www.trefis.com/stock/lite/articles/617928/what-is-the-true-hidden-price-of-lumentum-stock/2026-10-08</t>
    </r>
    <r>
      <rPr>
        <sz val="11"/>
        <color theme="1"/>
        <rFont val="Noto Sans CJK SC"/>
        <family val="2"/>
      </rPr>
      <t xml:space="preserve">：同值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</si>
  <si>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</si>
  <si>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</si>
  <si>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Calibri"/>
        <family val="2"/>
        <charset val="1"/>
      </rPr>
      <t xml:space="preserve">https://stockanalysis.com/stocks/lite/forecast/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21.79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19.05–25.27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</si>
  <si>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https://www.tickflow.io/stock/LITE/forecast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家；該頁年度與季度數字不一致）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</si>
  <si>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</si>
  <si>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（單一來源、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</si>
  <si>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23.60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13.23–35.39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</si>
  <si>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需付費）</t>
    </r>
  </si>
  <si>
    <t xml:space="preserve">cons_ni28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</si>
  <si>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trefis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</si>
  <si>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https://www.trefis.com/stock/lite/articles/617928/what-is-the-true-hidden-price-of-lumentum-stock/2026-10-08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）：約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億美元；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55.5%</t>
    </r>
  </si>
  <si>
    <t xml:space="preserve">口徑未說明</t>
  </si>
  <si>
    <t xml:space="preserve">kgi_m26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</si>
  <si>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光模組出貨 </t>
    </r>
    <r>
      <rPr>
        <sz val="11"/>
        <color theme="1"/>
        <rFont val="Calibri"/>
        <family val="2"/>
        <charset val="1"/>
      </rPr>
      <t xml:space="preserve">2026</t>
    </r>
  </si>
  <si>
    <t xml:space="preserve">百萬個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</si>
  <si>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 54.2M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13.0M</t>
    </r>
  </si>
  <si>
    <t xml:space="preserve">券商；只作對照</t>
  </si>
  <si>
    <t xml:space="preserve">kgi_m27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</si>
  <si>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光模組出貨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</si>
  <si>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 76.7M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30.8M</t>
    </r>
  </si>
  <si>
    <t xml:space="preserve">kgi_m28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</si>
  <si>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光模組出貨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</si>
  <si>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 90.9M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60.2M</t>
    </r>
  </si>
  <si>
    <t xml:space="preserve">tf_eml3</t>
  </si>
  <si>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前三大合計份額（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、三菱電機）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</si>
  <si>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TrendForce 2026-06-03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</si>
  <si>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個別份額：未找到</t>
    </r>
  </si>
  <si>
    <t xml:space="preserve">cust_a</t>
  </si>
  <si>
    <r>
      <rPr>
        <sz val="11"/>
        <color theme="1"/>
        <rFont val="Noto Sans CJK SC"/>
        <family val="2"/>
      </rPr>
      <t xml:space="preserve">最大客戶占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</si>
  <si>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https://www.sec.gov/Archives/edgar/data/0001633978/000162828026057358/lite-20260627.htm</t>
    </r>
    <r>
      <rPr>
        <sz val="11"/>
        <color theme="1"/>
        <rFont val="Noto Sans CJK SC"/>
        <family val="2"/>
      </rPr>
      <t xml:space="preserve">：客戶 </t>
    </r>
    <r>
      <rPr>
        <sz val="11"/>
        <color theme="1"/>
        <rFont val="Calibri"/>
        <family val="2"/>
        <charset val="1"/>
      </rPr>
      <t xml:space="preserve">A 26.6%</t>
    </r>
    <r>
      <rPr>
        <sz val="11"/>
        <color theme="1"/>
        <rFont val="Noto Sans CJK SC"/>
        <family val="2"/>
      </rPr>
      <t xml:space="preserve">、客戶 </t>
    </r>
    <r>
      <rPr>
        <sz val="11"/>
        <color theme="1"/>
        <rFont val="Calibri"/>
        <family val="2"/>
        <charset val="1"/>
      </rPr>
      <t xml:space="preserve">B 15.0%</t>
    </r>
  </si>
  <si>
    <t xml:space="preserve">客戶名稱：未揭露</t>
  </si>
  <si>
    <t xml:space="preserve">kgi_pe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</si>
  <si>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LITE </t>
    </r>
    <r>
      <rPr>
        <sz val="11"/>
        <color theme="1"/>
        <rFont val="Noto Sans CJK SC"/>
        <family val="2"/>
      </rPr>
      <t xml:space="preserve">歷史平均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</si>
  <si>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2026-08-17</t>
    </r>
    <r>
      <rPr>
        <sz val="11"/>
        <color theme="1"/>
        <rFont val="Noto Sans CJK SC"/>
        <family val="2"/>
      </rPr>
      <t xml:space="preserve">）：歷史平均 </t>
    </r>
    <r>
      <rPr>
        <sz val="11"/>
        <color theme="1"/>
        <rFont val="Calibri"/>
        <family val="2"/>
        <charset val="1"/>
      </rPr>
      <t xml:space="preserve">45.0x</t>
    </r>
    <r>
      <rPr>
        <sz val="11"/>
        <color theme="1"/>
        <rFont val="Noto Sans CJK SC"/>
        <family val="2"/>
      </rPr>
      <t xml:space="preserve">、高點 </t>
    </r>
    <r>
      <rPr>
        <sz val="11"/>
        <color theme="1"/>
        <rFont val="Calibri"/>
        <family val="2"/>
        <charset val="1"/>
      </rPr>
      <t xml:space="preserve">66.2x</t>
    </r>
    <r>
      <rPr>
        <sz val="11"/>
        <color theme="1"/>
        <rFont val="Noto Sans CJK SC"/>
        <family val="2"/>
      </rPr>
      <t xml:space="preserve">、最新 </t>
    </r>
    <r>
      <rPr>
        <sz val="11"/>
        <color theme="1"/>
        <rFont val="Calibri"/>
        <family val="2"/>
        <charset val="1"/>
      </rPr>
      <t xml:space="preserve">42.7x</t>
    </r>
  </si>
  <si>
    <t xml:space="preserve">計算口徑未說明；只作對照</t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</si>
  <si>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</si>
  <si>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</si>
  <si>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</si>
  <si>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https://www.vcpscanner.com/valuation/lite/estimates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756.17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</si>
  <si>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https://www.investsmart.com.au/security/nasdaq/lite/lumentum-holdings/share-price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756.24</t>
    </r>
    <r>
      <rPr>
        <sz val="11"/>
        <color theme="1"/>
        <rFont val="Noto Sans CJK SC"/>
        <family val="2"/>
      </rPr>
      <t xml:space="preserve">（頁面標 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，應為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</t>
    </r>
  </si>
  <si>
    <t xml:space="preserve">px_hi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</si>
  <si>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年內高點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</si>
  <si>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年內低點 </t>
    </r>
    <r>
      <rPr>
        <sz val="11"/>
        <color theme="1"/>
        <rFont val="Calibri"/>
        <family val="2"/>
        <charset val="1"/>
      </rPr>
      <t xml:space="preserve">317.61</t>
    </r>
    <r>
      <rPr>
        <sz val="11"/>
        <color theme="1"/>
        <rFont val="Noto Sans CJK SC"/>
        <family val="2"/>
      </rPr>
      <t xml:space="preserve">、高點 </t>
    </r>
    <r>
      <rPr>
        <sz val="11"/>
        <color theme="1"/>
        <rFont val="Calibri"/>
        <family val="2"/>
        <charset val="1"/>
      </rPr>
      <t xml:space="preserve">1,143</t>
    </r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</si>
  <si>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週高點：未找到（以年內高點代用）</t>
    </r>
  </si>
  <si>
    <t xml:space="preserve">sh_basic</t>
  </si>
  <si>
    <r>
      <rPr>
        <sz val="11"/>
        <color theme="1"/>
        <rFont val="Noto Sans CJK SC"/>
        <family val="2"/>
      </rPr>
      <t xml:space="preserve">普通股股數（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</si>
  <si>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https://www.sec.gov/Archives/edgar/data/0001633978/000162828026057358/lite-20260627.htm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8,970 </t>
    </r>
    <r>
      <rPr>
        <sz val="11"/>
        <color theme="1"/>
        <rFont val="Noto Sans CJK SC"/>
        <family val="2"/>
      </rPr>
      <t xml:space="preserve">萬股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</si>
  <si>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</si>
  <si>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</si>
  <si>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</si>
  <si>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</si>
  <si>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</si>
  <si>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</si>
  <si>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</si>
  <si>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</si>
  <si>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</si>
  <si>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</si>
  <si>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</si>
  <si>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</si>
  <si>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</si>
  <si>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</si>
  <si>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永續；收斂法情境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</si>
  <si>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</si>
  <si>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</si>
  <si>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平均股東權益，近三年平均；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</si>
  <si>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本模型沒有股東權益（資產負債表未建），</t>
    </r>
    <r>
      <rPr>
        <sz val="11"/>
        <color theme="1"/>
        <rFont val="Calibri"/>
        <family val="2"/>
        <charset val="1"/>
      </rPr>
      <t xml:space="preserve">non-GAAP ROE </t>
    </r>
    <r>
      <rPr>
        <sz val="11"/>
        <color theme="1"/>
        <rFont val="Noto Sans CJK SC"/>
        <family val="2"/>
      </rPr>
      <t xml:space="preserve">算不出；依主串規則（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）取 </t>
    </r>
    <r>
      <rPr>
        <sz val="11"/>
        <color theme="1"/>
        <rFont val="Calibri"/>
        <family val="2"/>
        <charset val="1"/>
      </rPr>
      <t xml:space="preserve">0.20</t>
    </r>
  </si>
  <si>
    <r>
      <rPr>
        <sz val="11"/>
        <color theme="1"/>
        <rFont val="Noto Sans CJK SC"/>
        <family val="2"/>
      </rPr>
      <t xml:space="preserve">參考（不採）：</t>
    </r>
    <r>
      <rPr>
        <sz val="11"/>
        <color theme="1"/>
        <rFont val="Calibri"/>
        <family val="2"/>
        <charset val="1"/>
      </rPr>
      <t xml:space="preserve">GAAP ROE stockanalysis FY2024 −47.25%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2.48%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FY2026 −240.03%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GAAP </t>
    </r>
    <r>
      <rPr>
        <sz val="11"/>
        <color theme="1"/>
        <rFont val="Noto Sans CJK SC"/>
        <family val="2"/>
      </rPr>
      <t xml:space="preserve">淨損含可轉債公允價值損失）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</si>
  <si>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</si>
  <si>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</si>
  <si>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</si>
  <si>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</si>
  <si>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</si>
  <si>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</si>
  <si>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</si>
  <si>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</si>
  <si>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</si>
  <si>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</si>
  <si>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</si>
  <si>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</si>
  <si>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</si>
  <si>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</si>
  <si>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</si>
  <si>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與十年平均的中點；十年平均以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</si>
  <si>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，與本模型同口徑）：未找到，依工作單以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</si>
  <si>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</si>
  <si>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</si>
  <si>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的中段淨利率（＝十年平均；以情境 </t>
    </r>
    <r>
      <rPr>
        <sz val="11"/>
        <color theme="1"/>
        <rFont val="Calibri"/>
        <family val="2"/>
        <charset val="1"/>
      </rPr>
      <t xml:space="preserve">C 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</si>
  <si>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十年平均淨利率：未找到，依工作單以情境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</si>
  <si>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</si>
  <si>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</si>
  <si>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統計頁：</t>
    </r>
    <r>
      <rPr>
        <sz val="11"/>
        <color theme="1"/>
        <rFont val="Calibri"/>
        <family val="2"/>
        <charset val="1"/>
      </rPr>
      <t xml:space="preserve">27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1,165.03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</si>
  <si>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第二來源：未找到</t>
  </si>
  <si>
    <t xml:space="preserve">cons_feps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</si>
  <si>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共識未找到）</t>
    </r>
  </si>
  <si>
    <r>
      <rPr>
        <sz val="11"/>
        <color theme="1"/>
        <rFont val="Calibri"/>
        <family val="2"/>
        <charset val="1"/>
      </rPr>
      <t xml:space="preserve">tickflow FY2028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23.60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；單一來源，可信度低）；本模型前瞻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</si>
  <si>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共識只放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與本列，不作校準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</si>
  <si>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實績與錨點（百萬美元；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為美元；股數為百萬股）。藍字＝輸入；黑字＝公式。口徑：公司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可轉債清償損失 </t>
    </r>
    <r>
      <rPr>
        <sz val="11"/>
        <color theme="1"/>
        <rFont val="Calibri"/>
        <family val="2"/>
        <charset val="1"/>
      </rPr>
      <t xml:space="preserve">77.6 </t>
    </r>
    <r>
      <rPr>
        <sz val="11"/>
        <color theme="1"/>
        <rFont val="Noto Sans CJK SC"/>
        <family val="2"/>
      </rPr>
      <t xml:space="preserve">億美元等非現金項目，不用於預測）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</si>
  <si>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第三季（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03</t>
    </r>
    <r>
      <rPr>
        <sz val="11"/>
        <color theme="1"/>
        <rFont val="Noto Sans CJK SC"/>
        <family val="2"/>
      </rPr>
      <t xml:space="preserve">）＋第四季（</t>
    </r>
    <r>
      <rPr>
        <sz val="11"/>
        <color theme="1"/>
        <rFont val="Calibri"/>
        <family val="2"/>
        <charset val="1"/>
      </rPr>
      <t xml:space="preserve">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）實績＋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第一季（</t>
    </r>
    <r>
      <rPr>
        <sz val="11"/>
        <color theme="1"/>
        <rFont val="Calibri"/>
        <family val="2"/>
        <charset val="1"/>
      </rPr>
      <t xml:space="preserve">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）指引中點＋第二季（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，季增假設）。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第一季財報（約 </t>
    </r>
    <r>
      <rPr>
        <sz val="11"/>
        <color theme="1"/>
        <rFont val="Calibri"/>
        <family val="2"/>
        <charset val="1"/>
      </rPr>
      <t xml:space="preserve">2026-11-05</t>
    </r>
    <r>
      <rPr>
        <sz val="11"/>
        <color theme="1"/>
        <rFont val="Noto Sans CJK SC"/>
        <family val="2"/>
      </rPr>
      <t xml:space="preserve">）公布後以實績取代第一季、並以新指引取代第二季</t>
    </r>
  </si>
  <si>
    <t xml:space="preserve">FY2025A</t>
  </si>
  <si>
    <t xml:space="preserve">FY2026A</t>
  </si>
  <si>
    <r>
      <rPr>
        <b val="true"/>
        <sz val="11"/>
        <rFont val="Cambria"/>
        <family val="0"/>
        <charset val="1"/>
      </rPr>
      <t xml:space="preserve">FY26 Q3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</si>
  <si>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FY26 Q4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</si>
  <si>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FY27 Q1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</si>
  <si>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FY27 Q2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</si>
  <si>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錨點</t>
    </r>
  </si>
  <si>
    <t xml:space="preserve">2H CY2026</t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</si>
  <si>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</si>
  <si>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</si>
  <si>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</si>
  <si>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CY(t−1) 7 </t>
    </r>
    <r>
      <rPr>
        <sz val="11"/>
        <color theme="1"/>
        <rFont val="Noto Sans CJK SC"/>
        <family val="2"/>
      </rPr>
      <t xml:space="preserve">月起算；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後兩季＋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前兩季</t>
    </r>
  </si>
  <si>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</si>
  <si>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</si>
  <si>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Noto Sans CJK SC"/>
        <family val="2"/>
      </rPr>
      <t xml:space="preserve">營業費用（研發＋銷管，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</si>
  <si>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</si>
  <si>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公司揭露營業利益率 </t>
    </r>
    <r>
      <rPr>
        <sz val="11"/>
        <color theme="1"/>
        <rFont val="Calibri"/>
        <family val="2"/>
        <charset val="1"/>
      </rPr>
      <t xml:space="preserve">29.8%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第一季＝指引營業利益率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</si>
  <si>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t xml:space="preserve">營業利益率</t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</si>
  <si>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</si>
  <si>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</si>
  <si>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營業利益（營業外與稅）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</si>
  <si>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起＝（營業利益＋營業外）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</si>
  <si>
    <r>
      <rPr>
        <sz val="11"/>
        <color theme="1"/>
        <rFont val="Noto Sans CJK SC"/>
        <family val="2"/>
      </rPr>
      <t xml:space="preserve">稀釋股數（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</si>
  <si>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；公司揭露 </t>
    </r>
    <r>
      <rPr>
        <sz val="11"/>
        <color theme="1"/>
        <rFont val="Calibri"/>
        <family val="2"/>
        <charset val="1"/>
      </rPr>
      <t xml:space="preserve">FY2025 71.2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90.2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</si>
  <si>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</si>
  <si>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產品拆分：</t>
    </r>
    <r>
      <rPr>
        <sz val="11"/>
        <color theme="1"/>
        <rFont val="Calibri"/>
        <family val="2"/>
        <charset val="1"/>
      </rPr>
      <t xml:space="preserve">OCS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</si>
  <si>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</si>
  <si>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2H CY2026 </t>
    </r>
    <r>
      <rPr>
        <sz val="11"/>
        <color theme="1"/>
        <rFont val="Noto Sans CJK SC"/>
        <family val="2"/>
      </rPr>
      <t xml:space="preserve">公司展望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億美元＋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假設</t>
    </r>
  </si>
  <si>
    <r>
      <rPr>
        <sz val="11"/>
        <color theme="1"/>
        <rFont val="Noto Sans CJK SC"/>
        <family val="2"/>
      </rPr>
      <t xml:space="preserve">產品拆分：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／超高功率雷射</t>
    </r>
  </si>
  <si>
    <r>
      <rPr>
        <sz val="11"/>
        <color theme="1"/>
        <rFont val="Noto Sans CJK SC"/>
        <family val="2"/>
      </rPr>
      <t xml:space="preserve">產品拆分：電信與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元件</t>
    </r>
  </si>
  <si>
    <r>
      <rPr>
        <sz val="11"/>
        <color theme="1"/>
        <rFont val="Noto Sans CJK SC"/>
        <family val="2"/>
      </rPr>
      <t xml:space="preserve">產品拆分：工業雷射與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</t>
    </r>
  </si>
  <si>
    <t xml:space="preserve">產品拆分：光模組（收發器）</t>
  </si>
  <si>
    <r>
      <rPr>
        <sz val="11"/>
        <color theme="1"/>
        <rFont val="Noto Sans CJK SC"/>
        <family val="2"/>
      </rPr>
      <t xml:space="preserve">產品拆分：雷射晶片（</t>
    </r>
    <r>
      <rPr>
        <sz val="11"/>
        <color theme="1"/>
        <rFont val="Calibri"/>
        <family val="2"/>
        <charset val="1"/>
      </rPr>
      <t xml:space="preserve">EML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CW</t>
    </r>
    <r>
      <rPr>
        <sz val="11"/>
        <color theme="1"/>
        <rFont val="Noto Sans CJK SC"/>
        <family val="2"/>
      </rPr>
      <t xml:space="preserve">；殘差）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</si>
  <si>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（殘差）</t>
    </r>
  </si>
  <si>
    <r>
      <rPr>
        <sz val="11"/>
        <color theme="1"/>
        <rFont val="Noto Sans CJK SC"/>
        <family val="2"/>
      </rPr>
      <t xml:space="preserve">元件部門（約 </t>
    </r>
    <r>
      <rPr>
        <sz val="11"/>
        <color theme="1"/>
        <rFont val="Calibri"/>
        <family val="2"/>
        <charset val="1"/>
      </rPr>
      <t xml:space="preserve">64.5%</t>
    </r>
    <r>
      <rPr>
        <sz val="11"/>
        <color theme="1"/>
        <rFont val="Noto Sans CJK SC"/>
        <family val="2"/>
      </rPr>
      <t xml:space="preserve">）≈ 雷射晶片＋電信與 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感測＋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雷射（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對照）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</si>
  <si>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相關（雷射晶片＋光模組＋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</si>
  <si>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參考與推導（校準未使用共識）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</si>
  <si>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</si>
  <si>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</si>
  <si>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Calibri"/>
        <family val="2"/>
        <charset val="1"/>
      </rPr>
      <t xml:space="preserve">2H CY2026 ÷ 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換算用）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</si>
  <si>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</si>
  <si>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Noto Sans CJK SC"/>
        <family val="2"/>
      </rPr>
      <t xml:space="preserve">元件部門占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第四季營收（公司揭露 </t>
    </r>
    <r>
      <rPr>
        <sz val="11"/>
        <color theme="1"/>
        <rFont val="Calibri"/>
        <family val="2"/>
        <charset val="1"/>
      </rPr>
      <t xml:space="preserve">64.5%</t>
    </r>
    <r>
      <rPr>
        <sz val="11"/>
        <color theme="1"/>
        <rFont val="Noto Sans CJK SC"/>
        <family val="2"/>
      </rPr>
      <t xml:space="preserve">）</t>
    </r>
  </si>
  <si>
    <t xml:space="preserve">1H CY2026 ÷ CY2026</t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</si>
  <si>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高速光模組數量、每模組雷射數與 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份額（日曆年；情境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）。雷射份額是上游元件口徑（占光模組內雷射金額），不可與中際旭創等光模組廠份額相加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</si>
  <si>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</si>
  <si>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</si>
  <si>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</si>
  <si>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</si>
  <si>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Noto Sans CJK SC"/>
        <family val="2"/>
      </rPr>
      <t xml:space="preserve">高速光模組數量（情境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</si>
  <si>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網通模型可插拔金額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平均單價（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</si>
  <si>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每模組雷射數</t>
  </si>
  <si>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方案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顆、矽光 </t>
    </r>
    <r>
      <rPr>
        <sz val="11"/>
        <color theme="1"/>
        <rFont val="Calibri"/>
        <family val="2"/>
        <charset val="1"/>
      </rPr>
      <t xml:space="preserve">1–4 </t>
    </r>
    <r>
      <rPr>
        <sz val="11"/>
        <color theme="1"/>
        <rFont val="Noto Sans CJK SC"/>
        <family val="2"/>
      </rPr>
      <t xml:space="preserve">顆</t>
    </r>
  </si>
  <si>
    <t xml:space="preserve">光模組雷射市場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</si>
  <si>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雷射有效份額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</si>
  <si>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以錨點殘差校準</t>
    </r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</si>
  <si>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雷射晶片營收</t>
    </r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</si>
  <si>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光模組份額（模組廠口徑）</t>
    </r>
  </si>
  <si>
    <t xml:space="preserve">與中際旭創份額同口徑</t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</si>
  <si>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</si>
  <si>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</si>
  <si>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</t>
    </r>
  </si>
  <si>
    <r>
      <rPr>
        <sz val="11"/>
        <color theme="1"/>
        <rFont val="Calibri"/>
        <family val="2"/>
        <charset val="1"/>
      </rPr>
      <t xml:space="preserve">Lumentum 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</si>
  <si>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</si>
  <si>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讀法：雷射有效份額由 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產品拆分的殘差推得（拆分為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），是最需要每季檢查的輸入；每模組雷射數隨矽光比重上升而下降，單價隨 </t>
    </r>
    <r>
      <rPr>
        <b val="true"/>
        <sz val="11"/>
        <rFont val="Cambria"/>
        <family val="0"/>
        <charset val="1"/>
      </rPr>
      <t xml:space="preserve">200G EML </t>
    </r>
    <r>
      <rPr>
        <b val="true"/>
        <sz val="11"/>
        <rFont val="Noto Sans CJK SC"/>
        <family val="2"/>
      </rPr>
      <t xml:space="preserve">比重上升而上升。</t>
    </r>
  </si>
  <si>
    <r>
      <rPr>
        <sz val="11"/>
        <color theme="1"/>
        <rFont val="Calibri"/>
        <family val="2"/>
        <charset val="1"/>
      </rPr>
      <t xml:space="preserve">PL — Lumentum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FY2026A </t>
    </r>
    <r>
      <rPr>
        <sz val="11"/>
        <color theme="1"/>
        <rFont val="Noto Sans CJK SC"/>
        <family val="2"/>
      </rPr>
      <t xml:space="preserve">實績，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起為模型（會計年度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2027-06</t>
    </r>
    <r>
      <rPr>
        <sz val="11"/>
        <color theme="1"/>
        <rFont val="Noto Sans CJK SC"/>
        <family val="2"/>
      </rPr>
      <t xml:space="preserve">）。三情境各一個完整推導區塊（本頁下方），頂端為摘要。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</si>
  <si>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節），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達到；股數依 </t>
    </r>
    <r>
      <rPr>
        <sz val="11"/>
        <color theme="1"/>
        <rFont val="Calibri"/>
        <family val="2"/>
        <charset val="1"/>
      </rPr>
      <t xml:space="preserve">sh_g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</si>
  <si>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</si>
  <si>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</si>
  <si>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</si>
  <si>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</si>
  <si>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</si>
  <si>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</si>
  <si>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</si>
  <si>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</si>
  <si>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</si>
  <si>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</si>
  <si>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相關營收</t>
    </r>
  </si>
  <si>
    <r>
      <rPr>
        <sz val="11"/>
        <color theme="1"/>
        <rFont val="Noto Sans CJK SC"/>
        <family val="2"/>
      </rPr>
      <t xml:space="preserve">  電信、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、工業與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</si>
  <si>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</si>
  <si>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毛利率</t>
  </si>
  <si>
    <t xml:space="preserve">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</si>
  <si>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</si>
  <si>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</si>
  <si>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</si>
  <si>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模型營收 − 錨點；雷射晶片營收 − 殘差（校準恆等式）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</si>
  <si>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</si>
  <si>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雷射晶片營收差（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</si>
  <si>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2H CY2026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</si>
  <si>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</si>
  <si>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日曆年產品營收（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錨點；</t>
    </r>
    <r>
      <rPr>
        <b val="true"/>
        <sz val="11"/>
        <rFont val="Cambria"/>
        <family val="0"/>
        <charset val="1"/>
      </rPr>
      <t xml:space="preserve">D–F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CY2027–CY2029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</si>
  <si>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</si>
  <si>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</si>
  <si>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t xml:space="preserve">光模組平均單價</t>
  </si>
  <si>
    <r>
      <rPr>
        <sz val="11"/>
        <color theme="1"/>
        <rFont val="Noto Sans CJK SC"/>
        <family val="2"/>
      </rPr>
      <t xml:space="preserve">高速光模組數量 ＝ 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</si>
  <si>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每模組雷射數（</t>
    </r>
    <r>
      <rPr>
        <sz val="11"/>
        <color theme="1"/>
        <rFont val="Calibri"/>
        <family val="2"/>
        <charset val="1"/>
      </rPr>
      <t xml:space="preserve">EML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CW</t>
    </r>
    <r>
      <rPr>
        <sz val="11"/>
        <color theme="1"/>
        <rFont val="Noto Sans CJK SC"/>
        <family val="2"/>
      </rPr>
      <t xml:space="preserve">）</t>
    </r>
  </si>
  <si>
    <t xml:space="preserve">雷射平均單價</t>
  </si>
  <si>
    <r>
      <rPr>
        <sz val="11"/>
        <color theme="1"/>
        <rFont val="Noto Sans CJK SC"/>
        <family val="2"/>
      </rPr>
      <t xml:space="preserve">光模組雷射市場 ＝ 數量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每模組雷射數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</si>
  <si>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雷射有效份額（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校準）＝ 雷射晶片營收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雷射市場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</si>
  <si>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：雷射晶片營收為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錨點殘差</t>
    </r>
  </si>
  <si>
    <r>
      <rPr>
        <sz val="11"/>
        <color theme="1"/>
        <rFont val="Noto Sans CJK SC"/>
        <family val="2"/>
      </rPr>
      <t xml:space="preserve">雷射份額相對值（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</t>
    </r>
  </si>
  <si>
    <t xml:space="preserve">雷射有效份額</t>
  </si>
  <si>
    <r>
      <rPr>
        <sz val="11"/>
        <color theme="1"/>
        <rFont val="Noto Sans CJK SC"/>
        <family val="2"/>
      </rPr>
      <t xml:space="preserve">雷射晶片營收（</t>
    </r>
    <r>
      <rPr>
        <sz val="11"/>
        <color theme="1"/>
        <rFont val="Calibri"/>
        <family val="2"/>
        <charset val="1"/>
      </rPr>
      <t xml:space="preserve">EML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</si>
  <si>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光模組份額（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校準）＝ 光模組營收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</t>
    </r>
  </si>
  <si>
    <t xml:space="preserve">光模組份額</t>
  </si>
  <si>
    <t xml:space="preserve">光模組營收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</si>
  <si>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</si>
  <si>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相對值）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</si>
  <si>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</si>
  <si>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／外部光源營收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</si>
  <si>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相關營收（雷射晶片＋光模組＋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</si>
  <si>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電信與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元件</t>
    </r>
  </si>
  <si>
    <r>
      <rPr>
        <sz val="11"/>
        <color theme="1"/>
        <rFont val="Noto Sans CJK SC"/>
        <family val="2"/>
      </rPr>
      <t xml:space="preserve">工業雷射與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</t>
    </r>
  </si>
  <si>
    <t xml:space="preserve">營收（日曆年）</t>
  </si>
  <si>
    <t xml:space="preserve">營收年增（日曆年）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</si>
  <si>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會計年度損益（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CY(t−1) </t>
    </r>
    <r>
      <rPr>
        <b val="true"/>
        <sz val="11"/>
        <rFont val="Noto Sans CJK SC"/>
        <family val="2"/>
      </rPr>
      <t xml:space="preserve">下半年＋</t>
    </r>
    <r>
      <rPr>
        <b val="true"/>
        <sz val="11"/>
        <rFont val="Cambria"/>
        <family val="0"/>
        <charset val="1"/>
      </rPr>
      <t xml:space="preserve">CY(t) </t>
    </r>
    <r>
      <rPr>
        <b val="true"/>
        <sz val="11"/>
        <rFont val="Noto Sans CJK SC"/>
        <family val="2"/>
      </rPr>
      <t xml:space="preserve">上半年；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</si>
  <si>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相關營收（會計年度）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</si>
  <si>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頁）＋ </t>
    </r>
    <r>
      <rPr>
        <sz val="11"/>
        <color theme="1"/>
        <rFont val="Calibri"/>
        <family val="2"/>
        <charset val="1"/>
      </rPr>
      <t xml:space="preserve">h × CY2027</t>
    </r>
  </si>
  <si>
    <r>
      <rPr>
        <sz val="11"/>
        <color theme="1"/>
        <rFont val="Noto Sans CJK SC"/>
        <family val="2"/>
      </rPr>
      <t xml:space="preserve">電信、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、工業與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感測（會計年度）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</si>
  <si>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</si>
  <si>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</si>
  <si>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營業費用（基準路徑）</t>
  </si>
  <si>
    <t xml:space="preserve">營業費用（研發＋銷管）</t>
  </si>
  <si>
    <t xml:space="preserve">營業利益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</si>
  <si>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</si>
  <si>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</si>
  <si>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</si>
  <si>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節）；舊法規則值情境加權保留參考；另列「現價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（模型）」、市場隱含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用年底股價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（推導；與模型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同口徑）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</si>
  <si>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不是設備股，不套設備市場見頂年；以本模型營收最高的會計年度為見頂年（比照中際旭創）。營收到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</si>
  <si>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</si>
  <si>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</si>
  <si>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</si>
  <si>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</si>
  <si>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</si>
  <si>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</si>
  <si>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</si>
  <si>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</si>
  <si>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</si>
  <si>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</si>
  <si>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</si>
  <si>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</si>
  <si>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</si>
  <si>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</si>
  <si>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</si>
  <si>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tp_roe ≤ tp_g </t>
    </r>
    <r>
      <rPr>
        <sz val="11"/>
        <color theme="1"/>
        <rFont val="Noto Sans CJK SC"/>
        <family val="2"/>
      </rPr>
      <t xml:space="preserve">時取上限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</si>
  <si>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</si>
  <si>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</si>
  <si>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</si>
  <si>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</si>
  <si>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</si>
  <si>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</si>
  <si>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</si>
  <si>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</si>
  <si>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</si>
  <si>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</si>
  <si>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</si>
  <si>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Coherent</t>
  </si>
  <si>
    <t xml:space="preserve">COHR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</si>
  <si>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</si>
  <si>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</si>
  <si>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Fabrinet</t>
  </si>
  <si>
    <t xml:space="preserve">FN</t>
  </si>
  <si>
    <t xml:space="preserve">Applied Optoelectronics</t>
  </si>
  <si>
    <t xml:space="preserve">AAOI</t>
  </si>
  <si>
    <t xml:space="preserve">Ciena</t>
  </si>
  <si>
    <t xml:space="preserve">CIEN</t>
  </si>
  <si>
    <t xml:space="preserve">Corning</t>
  </si>
  <si>
    <t xml:space="preserve">GLW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</si>
  <si>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</si>
  <si>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美股光通訊同業（不放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</si>
  <si>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</si>
  <si>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</si>
  <si>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</si>
  <si>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</si>
  <si>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</si>
  <si>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</si>
  <si>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</si>
  <si>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</si>
  <si>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</si>
  <si>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</si>
  <si>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27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1,165.03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</si>
  <si>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</si>
  <si>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</si>
  <si>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</si>
  <si>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</si>
  <si>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</si>
  <si>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</si>
  <si>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</si>
  <si>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</si>
  <si>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</si>
  <si>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節採用來源）的分位；高於十年最大值＝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</si>
  <si>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</si>
  <si>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需與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同口徑，本模型無股東權益、算不出，取 </t>
    </r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；再投資率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：美股光通訊同業（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AAOI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Ciena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Corning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2027-06</t>
    </r>
    <r>
      <rPr>
        <sz val="11"/>
        <color theme="1"/>
        <rFont val="Noto Sans CJK SC"/>
        <family val="2"/>
      </rPr>
      <t xml:space="preserve">），偏高估。情境對應：顆數情境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</si>
  <si>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</si>
  <si>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</si>
  <si>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</si>
  <si>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</si>
  <si>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</si>
  <si>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</si>
  <si>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</si>
  <si>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</si>
  <si>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</si>
  <si>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</si>
  <si>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</si>
  <si>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</si>
  <si>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</si>
  <si>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</si>
  <si>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non-GAAP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依循環位置取分位（本模型營收到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仍增加，三情境皆中段＝中位數）；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為年底股價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（推導）。十年倍數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年落在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前的電信、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感測期（約 </t>
    </r>
    <r>
      <rPr>
        <sz val="11"/>
        <color theme="1"/>
        <rFont val="Calibri"/>
        <family val="2"/>
        <charset val="1"/>
      </rPr>
      <t xml:space="preserve">10–24x</t>
    </r>
    <r>
      <rPr>
        <sz val="11"/>
        <color theme="1"/>
        <rFont val="Noto Sans CJK SC"/>
        <family val="2"/>
      </rPr>
      <t xml:space="preserve">），偏誤方向為低估；另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三情境相同、且低於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，用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也偏低。對照：凱基歷史平均 </t>
    </r>
    <r>
      <rPr>
        <sz val="11"/>
        <color theme="1"/>
        <rFont val="Calibri"/>
        <family val="2"/>
        <charset val="1"/>
      </rPr>
      <t xml:space="preserve">45x</t>
    </r>
    <r>
      <rPr>
        <sz val="11"/>
        <color theme="1"/>
        <rFont val="Noto Sans CJK SC"/>
        <family val="2"/>
      </rPr>
      <t xml:space="preserve">（口徑未說明）、現價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35x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</si>
  <si>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</si>
  <si>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</si>
  <si>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</si>
  <si>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</si>
  <si>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</si>
  <si>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</si>
  <si>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</si>
  <si>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</si>
  <si>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</si>
  <si>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</si>
  <si>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</si>
  <si>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21.79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</si>
  <si>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2026 </t>
    </r>
    <r>
      <rPr>
        <sz val="11"/>
        <color theme="1"/>
        <rFont val="Noto Sans CJK SC"/>
        <family val="2"/>
      </rPr>
      <t xml:space="preserve">年內高點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</si>
  <si>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市值（普通股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現價；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</si>
  <si>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循環位置（本模型營收最高的會計年度）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</si>
  <si>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</si>
  <si>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</si>
  <si>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</si>
  <si>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</si>
  <si>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</si>
  <si>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</si>
  <si>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年底＝</t>
    </r>
    <r>
      <rPr>
        <b val="true"/>
        <sz val="11"/>
        <rFont val="Cambria"/>
        <family val="0"/>
        <charset val="1"/>
      </rPr>
      <t xml:space="preserve">2027-06</t>
    </r>
    <r>
      <rPr>
        <b val="true"/>
        <sz val="11"/>
        <rFont val="Noto Sans CJK SC"/>
        <family val="2"/>
      </rPr>
      <t xml:space="preserve">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</si>
  <si>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</si>
  <si>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</si>
  <si>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</si>
  <si>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</si>
  <si>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</si>
  <si>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</si>
  <si>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</si>
  <si>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</si>
  <si>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</si>
  <si>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</si>
  <si>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</si>
  <si>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</si>
  <si>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讀法：第四列＝十年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中位數（規則中段倍數）。若市場對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只給歷史中位數倍數，現價隱含的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遠高於模型——現價定價的是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時代的較高倍數或比模型更高的獲利（見第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節目標價方法）。</t>
    </r>
  </si>
  <si>
    <r>
      <rPr>
        <sz val="11"/>
        <color theme="1"/>
        <rFont val="Noto Sans CJK SC"/>
        <family val="2"/>
      </rPr>
      <t xml:space="preserve">本版未做先驗：無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</si>
  <si>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</si>
  <si>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推導序列（與模型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序列（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）只列參考。</t>
    </r>
    <r>
      <rPr>
        <sz val="11"/>
        <color theme="1"/>
        <rFont val="Calibri"/>
        <family val="2"/>
        <charset val="1"/>
      </rPr>
      <t xml:space="preserve">2016–2023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以電信、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感測為主（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前），倍數約 </t>
    </r>
    <r>
      <rPr>
        <sz val="11"/>
        <color theme="1"/>
        <rFont val="Calibri"/>
        <family val="2"/>
        <charset val="1"/>
      </rPr>
      <t xml:space="preserve">10–24x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2024–2025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轉型期倍數 </t>
    </r>
    <r>
      <rPr>
        <sz val="11"/>
        <color theme="1"/>
        <rFont val="Calibri"/>
        <family val="2"/>
        <charset val="1"/>
      </rPr>
      <t xml:space="preserve">55–69x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</si>
  <si>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</si>
  <si>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</si>
  <si>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年底股價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近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non-GAAP EPS</t>
    </r>
    <r>
      <rPr>
        <b val="true"/>
        <sz val="11"/>
        <rFont val="Noto Sans CJK SC"/>
        <family val="2"/>
      </rPr>
      <t xml:space="preserve">（推導）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</si>
  <si>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</si>
  <si>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</si>
  <si>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</si>
  <si>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年底股價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（推導）：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（股價：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：公司新聞稿 </t>
    </r>
    <r>
      <rPr>
        <sz val="11"/>
        <color theme="1"/>
        <rFont val="Calibri"/>
        <family val="2"/>
        <charset val="1"/>
      </rPr>
      <t xml:space="preserve">FY2016–FY2026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月＝年底前後兩個會計年度平均）；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口徑含併購攤銷、可轉債損失，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為負不列；只作參考、不採用）</t>
    </r>
  </si>
  <si>
    <t xml:space="preserve">2017</t>
  </si>
  <si>
    <r>
      <rPr>
        <sz val="11"/>
        <color theme="1"/>
        <rFont val="Calibri"/>
        <family val="2"/>
        <charset val="1"/>
      </rPr>
      <t xml:space="preserve">FY2018 non-GAAP EPS 3.82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同值（新聞稿擷取結果，待人工複核）；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Noto Sans CJK SC"/>
        <family val="2"/>
      </rPr>
      <t xml:space="preserve">起為公司新口徑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</si>
  <si>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</si>
  <si>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</si>
  <si>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</si>
  <si>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</si>
  <si>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</si>
  <si>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</si>
  <si>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</si>
  <si>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</si>
  <si>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</si>
  <si>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</si>
  <si>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</si>
  <si>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</si>
  <si>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</si>
  <si>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</si>
  <si>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</si>
  <si>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</si>
  <si>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</si>
  <si>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</si>
  <si>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參考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；不採用的來源）</t>
    </r>
  </si>
  <si>
    <r>
      <rPr>
        <sz val="11"/>
        <color theme="1"/>
        <rFont val="Noto Sans CJK SC"/>
        <family val="2"/>
      </rPr>
      <t xml:space="preserve">參考 中位數（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；不採用的來源）</t>
    </r>
  </si>
  <si>
    <r>
      <rPr>
        <sz val="11"/>
        <color theme="1"/>
        <rFont val="Noto Sans CJK SC"/>
        <family val="2"/>
      </rPr>
      <t xml:space="preserve">參考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；不採用的來源）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</si>
  <si>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</si>
  <si>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</si>
  <si>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</si>
  <si>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</si>
  <si>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</si>
  <si>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</si>
  <si>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</si>
  <si>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</si>
  <si>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</si>
  <si>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</si>
  <si>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</si>
  <si>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</si>
  <si>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</si>
  <si>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</si>
  <si>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公司指引、共識、券商與研調。只作事後對照，不為對上數字而調參數。共識區間寬（</t>
    </r>
    <r>
      <rPr>
        <sz val="11"/>
        <color theme="1"/>
        <rFont val="Calibri"/>
        <family val="2"/>
        <charset val="1"/>
      </rPr>
      <t xml:space="preserve">FY2027 EPS 19.05–25.27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共識只有單一來源、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家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</si>
  <si>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</si>
  <si>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</si>
  <si>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</si>
  <si>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</si>
  <si>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</si>
  <si>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</si>
  <si>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</si>
  <si>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</si>
  <si>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共識與券商（校準未使用）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</si>
  <si>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</si>
  <si>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56–72 </t>
    </r>
    <r>
      <rPr>
        <sz val="11"/>
        <color theme="1"/>
        <rFont val="Noto Sans CJK SC"/>
        <family val="2"/>
      </rPr>
      <t xml:space="preserve">億美元）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</si>
  <si>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上半年＝指引＋季增假設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</si>
  <si>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</si>
  <si>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19.05–25.27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</si>
  <si>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共識（單一來源）</t>
    </r>
  </si>
  <si>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13.23–35.39</t>
    </r>
    <r>
      <rPr>
        <sz val="11"/>
        <color theme="1"/>
        <rFont val="Noto Sans CJK SC"/>
        <family val="2"/>
      </rPr>
      <t xml:space="preserve">）</t>
    </r>
  </si>
  <si>
    <t xml:space="preserve">該頁年度與季度數字不一致；可信度低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</si>
  <si>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trefis </t>
    </r>
    <r>
      <rPr>
        <sz val="11"/>
        <color theme="1"/>
        <rFont val="Noto Sans CJK SC"/>
        <family val="2"/>
      </rPr>
      <t xml:space="preserve">轉述共識</t>
    </r>
  </si>
  <si>
    <r>
      <rPr>
        <sz val="11"/>
        <color theme="1"/>
        <rFont val="Calibri"/>
        <family val="2"/>
        <charset val="1"/>
      </rPr>
      <t xml:space="preserve">trefis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</si>
  <si>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數量、份額與產品（機制檢查）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</si>
  <si>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高速光模組數量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出貨（百萬個）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</si>
  <si>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2026-08-18</t>
    </r>
  </si>
  <si>
    <r>
      <rPr>
        <sz val="11"/>
        <color theme="1"/>
        <rFont val="Noto Sans CJK SC"/>
        <family val="2"/>
      </rPr>
      <t xml:space="preserve">差距＝網通模型金額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本模型單價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券商數量；凱基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年遠高於網通模型（網通模型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年保守）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</si>
  <si>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高速光模組數量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出貨（百萬個）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</si>
  <si>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高速光模組數量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出貨（百萬個）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</si>
  <si>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雷射有效份額 </t>
    </r>
    <r>
      <rPr>
        <sz val="11"/>
        <color theme="1"/>
        <rFont val="Calibri"/>
        <family val="2"/>
        <charset val="1"/>
      </rPr>
      <t xml:space="preserve">vs EML </t>
    </r>
    <r>
      <rPr>
        <sz val="11"/>
        <color theme="1"/>
        <rFont val="Noto Sans CJK SC"/>
        <family val="2"/>
      </rPr>
      <t xml:space="preserve">前三大合計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（百分點）</t>
    </r>
  </si>
  <si>
    <t xml:space="preserve">TrendForce</t>
  </si>
  <si>
    <r>
      <rPr>
        <sz val="11"/>
        <color theme="1"/>
        <rFont val="Noto Sans CJK SC"/>
        <family val="2"/>
      </rPr>
      <t xml:space="preserve">有效份額含 </t>
    </r>
    <r>
      <rPr>
        <sz val="11"/>
        <color theme="1"/>
        <rFont val="Calibri"/>
        <family val="2"/>
        <charset val="1"/>
      </rPr>
      <t xml:space="preserve">CW</t>
    </r>
    <r>
      <rPr>
        <sz val="11"/>
        <color theme="1"/>
        <rFont val="Noto Sans CJK SC"/>
        <family val="2"/>
      </rPr>
      <t xml:space="preserve">、以金額計；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前三大合計的三分之一約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第一、</t>
    </r>
    <r>
      <rPr>
        <sz val="11"/>
        <color theme="1"/>
        <rFont val="Calibri"/>
        <family val="2"/>
        <charset val="1"/>
      </rPr>
      <t xml:space="preserve">200G </t>
    </r>
    <r>
      <rPr>
        <sz val="11"/>
        <color theme="1"/>
        <rFont val="Noto Sans CJK SC"/>
        <family val="2"/>
      </rPr>
      <t xml:space="preserve">唯一量產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</si>
  <si>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雷射晶片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</si>
  <si>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頁殘差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</si>
  <si>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元件類（雷射＋電信與 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感測一半）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元件部門 </t>
    </r>
    <r>
      <rPr>
        <sz val="11"/>
        <color theme="1"/>
        <rFont val="Calibri"/>
        <family val="2"/>
        <charset val="1"/>
      </rPr>
      <t xml:space="preserve">64.5%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</si>
  <si>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第四季部門</t>
    </r>
  </si>
  <si>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感測（元件）與工業雷射（系統）各半，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</si>
  <si>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CY2027 OCS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Coherent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億美元（占比）</t>
    </r>
  </si>
  <si>
    <r>
      <rPr>
        <sz val="11"/>
        <color theme="1"/>
        <rFont val="Noto Sans CJK SC"/>
        <family val="2"/>
      </rPr>
      <t xml:space="preserve">凱基轉述 </t>
    </r>
    <r>
      <rPr>
        <sz val="11"/>
        <color theme="1"/>
        <rFont val="Calibri"/>
        <family val="2"/>
        <charset val="1"/>
      </rPr>
      <t xml:space="preserve">Coherent</t>
    </r>
  </si>
  <si>
    <r>
      <rPr>
        <sz val="11"/>
        <color theme="1"/>
        <rFont val="Calibri"/>
        <family val="2"/>
        <charset val="1"/>
      </rPr>
      <t xml:space="preserve">CY2027 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</si>
  <si>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</si>
  <si>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 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</si>
  <si>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雷射有效份額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</si>
  <si>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</si>
  <si>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Calibri"/>
        <family val="2"/>
        <charset val="1"/>
      </rPr>
      <t xml:space="preserve">FY2025 EPS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推導股數）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公司揭露（股數由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推導，恆等）</t>
    </r>
  </si>
  <si>
    <t xml:space="preserve">公司</t>
  </si>
  <si>
    <r>
      <rPr>
        <sz val="11"/>
        <color theme="1"/>
        <rFont val="Noto Sans CJK SC"/>
        <family val="2"/>
      </rPr>
      <t xml:space="preserve">公司揭露稀釋股數 </t>
    </r>
    <r>
      <rPr>
        <sz val="11"/>
        <color theme="1"/>
        <rFont val="Calibri"/>
        <family val="2"/>
        <charset val="1"/>
      </rPr>
      <t xml:space="preserve">71.2</t>
    </r>
    <r>
      <rPr>
        <sz val="11"/>
        <color theme="1"/>
        <rFont val="Noto Sans CJK SC"/>
        <family val="2"/>
      </rPr>
      <t xml:space="preserve">（推導 </t>
    </r>
    <r>
      <rPr>
        <sz val="11"/>
        <color theme="1"/>
        <rFont val="Calibri"/>
        <family val="2"/>
        <charset val="1"/>
      </rPr>
      <t xml:space="preserve">71.1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</si>
  <si>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8.67</t>
    </r>
  </si>
  <si>
    <r>
      <rPr>
        <sz val="11"/>
        <color theme="1"/>
        <rFont val="Noto Sans CJK SC"/>
        <family val="2"/>
      </rPr>
      <t xml:space="preserve">公司揭露稀釋股數 </t>
    </r>
    <r>
      <rPr>
        <sz val="11"/>
        <color theme="1"/>
        <rFont val="Calibri"/>
        <family val="2"/>
        <charset val="1"/>
      </rPr>
      <t xml:space="preserve">90.2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</si>
  <si>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第一季營業外淨收入（推導，年化 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</si>
  <si>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</si>
  <si>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</si>
  <si>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Lumentum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</si>
  <si>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</si>
  <si>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第一季財報（約 </t>
    </r>
    <r>
      <rPr>
        <sz val="11"/>
        <color theme="1"/>
        <rFont val="Calibri"/>
        <family val="2"/>
        <charset val="1"/>
      </rPr>
      <t xml:space="preserve">2026-11-05</t>
    </r>
    <r>
      <rPr>
        <sz val="11"/>
        <color theme="1"/>
        <rFont val="Noto Sans CJK SC"/>
        <family val="2"/>
      </rPr>
      <t xml:space="preserve">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頁第一季、以新指引取代第二季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</si>
  <si>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；份額在每個案例內依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</si>
  <si>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</si>
  <si>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</si>
  <si>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</si>
  <si>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相關營收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</si>
  <si>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</si>
  <si>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</si>
  <si>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</si>
  <si>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相關營收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</si>
  <si>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</si>
  <si>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</si>
  <si>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</si>
  <si>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</si>
  <si>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</si>
  <si>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雷射份額流失（低）</t>
  </si>
  <si>
    <r>
      <rPr>
        <sz val="11"/>
        <color theme="1"/>
        <rFont val="Noto Sans CJK SC"/>
        <family val="2"/>
      </rPr>
      <t xml:space="preserve">雷射份額相對值 </t>
    </r>
    <r>
      <rPr>
        <sz val="11"/>
        <color theme="1"/>
        <rFont val="Calibri"/>
        <family val="2"/>
        <charset val="1"/>
      </rPr>
      <t xml:space="preserve">CY2027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0.70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追趕）</t>
    </r>
  </si>
  <si>
    <t xml:space="preserve">雷射份額 高</t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</si>
  <si>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Greensboro </t>
    </r>
    <r>
      <rPr>
        <sz val="11"/>
        <color theme="1"/>
        <rFont val="Noto Sans CJK SC"/>
        <family val="2"/>
      </rPr>
      <t xml:space="preserve">擴產）</t>
    </r>
  </si>
  <si>
    <t xml:space="preserve">每模組雷射數 低（矽光替代）</t>
  </si>
  <si>
    <r>
      <rPr>
        <sz val="11"/>
        <color theme="1"/>
        <rFont val="Calibri"/>
        <family val="2"/>
        <charset val="1"/>
      </rPr>
      <t xml:space="preserve">CY2027 4.5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4.0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3.5 </t>
    </r>
    <r>
      <rPr>
        <sz val="11"/>
        <color theme="1"/>
        <rFont val="Noto Sans CJK SC"/>
        <family val="2"/>
      </rPr>
      <t xml:space="preserve">顆</t>
    </r>
  </si>
  <si>
    <t xml:space="preserve">雷射單價 低</t>
  </si>
  <si>
    <r>
      <rPr>
        <sz val="11"/>
        <color theme="1"/>
        <rFont val="Calibri"/>
        <family val="2"/>
        <charset val="1"/>
      </rPr>
      <t xml:space="preserve">CY2027 $12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CY2028 $11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CY2029 $10</t>
    </r>
  </si>
  <si>
    <t xml:space="preserve">雷射單價 高</t>
  </si>
  <si>
    <r>
      <rPr>
        <sz val="11"/>
        <color theme="1"/>
        <rFont val="Calibri"/>
        <family val="2"/>
        <charset val="1"/>
      </rPr>
      <t xml:space="preserve">$17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$18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$18</t>
    </r>
  </si>
  <si>
    <t xml:space="preserve">光模組單價 高（模組數少）</t>
  </si>
  <si>
    <r>
      <rPr>
        <sz val="11"/>
        <color theme="1"/>
        <rFont val="Calibri"/>
        <family val="2"/>
        <charset val="1"/>
      </rPr>
      <t xml:space="preserve">CY2027 $640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CY2028 $680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CY2029 $720</t>
    </r>
  </si>
  <si>
    <t xml:space="preserve">光模組份額 低</t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</si>
  <si>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0.80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0.60</t>
    </r>
  </si>
  <si>
    <t xml:space="preserve">光模組份額 高</t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</si>
  <si>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1.20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1.30</t>
    </r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</si>
  <si>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</si>
  <si>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營收相對值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</si>
  <si>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</si>
  <si>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2.4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</si>
  <si>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低</t>
    </r>
  </si>
  <si>
    <t xml:space="preserve">10%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</si>
  <si>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</si>
  <si>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30%</t>
    </r>
  </si>
  <si>
    <t xml:space="preserve">毛利率 低</t>
  </si>
  <si>
    <r>
      <rPr>
        <sz val="11"/>
        <color theme="1"/>
        <rFont val="Calibri"/>
        <family val="2"/>
        <charset val="1"/>
      </rPr>
      <t xml:space="preserve">FY2027 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46%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42%</t>
    </r>
  </si>
  <si>
    <t xml:space="preserve">毛利率 高</t>
  </si>
  <si>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53%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</si>
  <si>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</si>
  <si>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起可插拔光模組市場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</si>
  <si>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</si>
  <si>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</si>
  <si>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上半年占比 </t>
    </r>
    <r>
      <rPr>
        <sz val="11"/>
        <color theme="1"/>
        <rFont val="Calibri"/>
        <family val="2"/>
        <charset val="1"/>
      </rPr>
      <t xml:space="preserve">44%</t>
    </r>
  </si>
  <si>
    <r>
      <rPr>
        <sz val="11"/>
        <color theme="1"/>
        <rFont val="Noto Sans CJK SC"/>
        <family val="2"/>
      </rPr>
      <t xml:space="preserve">日曆年上半年占 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Noto Sans CJK SC"/>
        <family val="2"/>
      </rPr>
      <t xml:space="preserve">（會計年度換算）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</si>
  <si>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</si>
  <si>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</si>
  <si>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</si>
  <si>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</si>
  <si>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</si>
  <si>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</si>
  <si>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有一半來自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下半年（指引＋假設），所以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對各輸入的敏感度約只有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的一半；顆數情境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起。雷射份額、單價、每模組雷射數三者相乘，是雷射晶片營收的三條路徑。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</si>
  <si>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</si>
  <si>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</si>
  <si>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</si>
  <si>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</si>
  <si>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</si>
  <si>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</si>
  <si>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</si>
  <si>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</si>
  <si>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</si>
  <si>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</si>
  <si>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</si>
  <si>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</si>
  <si>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</si>
  <si>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</si>
  <si>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</si>
  <si>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</si>
  <si>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</si>
  <si>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</si>
  <si>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案例區塊：雷射份額流失（低）（情境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</si>
  <si>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案例區塊：雷射份額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</si>
  <si>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案例區塊：每模組雷射數 低（矽光替代）（情境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</si>
  <si>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案例區塊：雷射單價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</si>
  <si>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案例區塊：雷射單價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</si>
  <si>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案例區塊：光模組單價 高（模組數少）（情境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</si>
  <si>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案例區塊：光模組份額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</si>
  <si>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案例區塊：光模組份額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</si>
  <si>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OCS </t>
    </r>
    <r>
      <rPr>
        <b val="true"/>
        <sz val="11"/>
        <rFont val="Noto Sans CJK SC"/>
        <family val="2"/>
      </rPr>
      <t xml:space="preserve">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</si>
  <si>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OCS </t>
    </r>
    <r>
      <rPr>
        <b val="true"/>
        <sz val="11"/>
        <rFont val="Noto Sans CJK SC"/>
        <family val="2"/>
      </rPr>
      <t xml:space="preserve">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</si>
  <si>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</si>
  <si>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</si>
  <si>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</si>
  <si>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</si>
  <si>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</si>
  <si>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</si>
  <si>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案例區塊：上半年占比 </t>
    </r>
    <r>
      <rPr>
        <b val="true"/>
        <sz val="11"/>
        <rFont val="Cambria"/>
        <family val="0"/>
        <charset val="1"/>
      </rPr>
      <t xml:space="preserve">44%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</si>
  <si>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</si>
  <si>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SEC 8-K </t>
    </r>
    <r>
      <rPr>
        <b val="true"/>
        <sz val="11"/>
        <rFont val="Noto Sans CJK SC"/>
        <family val="2"/>
      </rPr>
      <t xml:space="preserve">新聞稿、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、法說簡報；法說內容經第三方轉述者待人工複核）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</si>
  <si>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第四季與全年新聞稿（</t>
    </r>
    <r>
      <rPr>
        <sz val="11"/>
        <color theme="1"/>
        <rFont val="Calibri"/>
        <family val="2"/>
        <charset val="1"/>
      </rPr>
      <t xml:space="preserve">SEC 8-K EX-99.1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</si>
  <si>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https://www.sec.gov/Archives/edgar/data/0001633978/000162828026055726/lite_ex991xq4fy26.htm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</si>
  <si>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第四季法說簡報</t>
    </r>
  </si>
  <si>
    <t xml:space="preserve">https://s21.q4cdn.com/377324469/files/doc_financials/2026/q4/Q4-FY26-Earnings-Presentation_final.pdf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</si>
  <si>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（部門定義、客戶集中度、股數）</t>
    </r>
  </si>
  <si>
    <t xml:space="preserve">https://www.sec.gov/Archives/edgar/data/0001633978/000162828026057358/lite-20260627.htm</t>
  </si>
  <si>
    <r>
      <rPr>
        <sz val="11"/>
        <color theme="1"/>
        <rFont val="Noto Sans CJK SC"/>
        <family val="2"/>
      </rPr>
      <t xml:space="preserve">公司：歷年新聞稿（</t>
    </r>
    <r>
      <rPr>
        <sz val="11"/>
        <color theme="1"/>
        <rFont val="Calibri"/>
        <family val="2"/>
        <charset val="1"/>
      </rPr>
      <t xml:space="preserve">FY2016–FY2024 non-GAAP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</si>
  <si>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https://www.sec.gov/Archives/edgar/data/1633978/000162828024037191/lite_ex991xq4fy24.htm</t>
    </r>
    <r>
      <rPr>
        <sz val="11"/>
        <color theme="1"/>
        <rFont val="Noto Sans CJK SC"/>
        <family val="2"/>
      </rPr>
      <t xml:space="preserve">；…</t>
    </r>
    <r>
      <rPr>
        <sz val="11"/>
        <color theme="1"/>
        <rFont val="Calibri"/>
        <family val="2"/>
        <charset val="1"/>
      </rPr>
      <t xml:space="preserve">/000162828022022980/lite_ex991xq4fy22.htm</t>
    </r>
    <r>
      <rPr>
        <sz val="11"/>
        <color theme="1"/>
        <rFont val="Noto Sans CJK SC"/>
        <family val="2"/>
      </rPr>
      <t xml:space="preserve">；…</t>
    </r>
    <r>
      <rPr>
        <sz val="11"/>
        <color theme="1"/>
        <rFont val="Calibri"/>
        <family val="2"/>
        <charset val="1"/>
      </rPr>
      <t xml:space="preserve">/000162828021017219/lite_ex991xq4fy21.htm</t>
    </r>
    <r>
      <rPr>
        <sz val="11"/>
        <color theme="1"/>
        <rFont val="Noto Sans CJK SC"/>
        <family val="2"/>
      </rPr>
      <t xml:space="preserve">；…</t>
    </r>
    <r>
      <rPr>
        <sz val="11"/>
        <color theme="1"/>
        <rFont val="Calibri"/>
        <family val="2"/>
        <charset val="1"/>
      </rPr>
      <t xml:space="preserve">/000163397819000068/lite_ex991xq4fy19.htm</t>
    </r>
    <r>
      <rPr>
        <sz val="11"/>
        <color theme="1"/>
        <rFont val="Noto Sans CJK SC"/>
        <family val="2"/>
      </rPr>
      <t xml:space="preserve">；…</t>
    </r>
    <r>
      <rPr>
        <sz val="11"/>
        <color theme="1"/>
        <rFont val="Calibri"/>
        <family val="2"/>
        <charset val="1"/>
      </rPr>
      <t xml:space="preserve">/000163397818000056/lite_ex991xq4fy18.htm</t>
    </r>
    <r>
      <rPr>
        <sz val="11"/>
        <color theme="1"/>
        <rFont val="Noto Sans CJK SC"/>
        <family val="2"/>
      </rPr>
      <t xml:space="preserve">；…</t>
    </r>
    <r>
      <rPr>
        <sz val="11"/>
        <color theme="1"/>
        <rFont val="Calibri"/>
        <family val="2"/>
        <charset val="1"/>
      </rPr>
      <t xml:space="preserve">/000163397817000058/lite_ex991xq4fy17.htm</t>
    </r>
  </si>
  <si>
    <r>
      <rPr>
        <sz val="11"/>
        <color theme="1"/>
        <rFont val="Noto Sans CJK SC"/>
        <family val="2"/>
      </rPr>
      <t xml:space="preserve">二手：法說重點（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Crux Capital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PhotonCap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vocus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</si>
  <si>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https://www.zacks.com/stock/news/2973530/lumentum-q4-earnings-call-focuses-on-ai-optics-ocs-npo-ramps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https://cruxcapitalgroup.substack.com/p/lite-earnings-breakdown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https://photoncap.net/p/the-8-companies-behind-lumentums</t>
    </r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</si>
  <si>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2026-08-18 </t>
    </r>
    <r>
      <rPr>
        <sz val="11"/>
        <color theme="1"/>
        <rFont val="Noto Sans CJK SC"/>
        <family val="2"/>
      </rPr>
      <t xml:space="preserve">光通訊產業報告（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、超高功率雷射、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出貨、歷史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</si>
  <si>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https://www.kgi.com.hk/en/-/media/files/kgishk/research-reports/us-daily/optical-networking-industry_20260818_tc.pdf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</si>
  <si>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TrendForce 2026-06-03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產能與份額）</t>
    </r>
  </si>
  <si>
    <t xml:space="preserve">https://www.trendforce.com/presscenter/news/20260603-13077.html</t>
  </si>
  <si>
    <r>
      <rPr>
        <sz val="11"/>
        <color theme="1"/>
        <rFont val="Noto Sans CJK SC"/>
        <family val="2"/>
      </rPr>
      <t xml:space="preserve">券商：愛建證券 </t>
    </r>
    <r>
      <rPr>
        <sz val="11"/>
        <color theme="1"/>
        <rFont val="Calibri"/>
        <family val="2"/>
        <charset val="1"/>
      </rPr>
      <t xml:space="preserve">10-12 </t>
    </r>
    <r>
      <rPr>
        <sz val="11"/>
        <color theme="1"/>
        <rFont val="Noto Sans CJK SC"/>
        <family val="2"/>
      </rPr>
      <t xml:space="preserve">通信行業報告（光模組成本結構）</t>
    </r>
  </si>
  <si>
    <t xml:space="preserve">https://pdf.dfcfw.com/pdf/H3_AP202610121830372080_1.pdf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</si>
  <si>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trefis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</si>
  <si>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https://stockanalysis.com/stocks/lite/forecast/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https://www.tickflow.io/stock/LITE/forecast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https://www.trefis.com/stock/lite/articles/617928/what-is-the-true-hidden-price-of-lumentum-stock/2026-10-08</t>
    </r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</si>
  <si>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vcpscanner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investsmart</t>
    </r>
    <r>
      <rPr>
        <sz val="11"/>
        <color theme="1"/>
        <rFont val="Noto Sans CJK SC"/>
        <family val="2"/>
      </rPr>
      <t xml:space="preserve">（年內高低點）、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（年底股價）</t>
    </r>
  </si>
  <si>
    <r>
      <rPr>
        <sz val="11"/>
        <color theme="1"/>
        <rFont val="Calibri"/>
        <family val="2"/>
        <charset val="1"/>
      </rPr>
      <t xml:space="preserve">https://www.vcpscanner.com/valuation/lite/estimates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https://www.investsmart.com.au/security/nasdaq/lite/lumentum-holdings/share-price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https://www.digrin.com/stocks/detail/LITE/price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</si>
  <si>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GAAP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</si>
  <si>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https://companiesmarketcap.com/lumentum/pe-ratio/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</si>
  <si>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</si>
  <si>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第一季財報（約 </t>
    </r>
    <r>
      <rPr>
        <sz val="11"/>
        <color theme="1"/>
        <rFont val="Calibri"/>
        <family val="2"/>
        <charset val="1"/>
      </rPr>
      <t xml:space="preserve">11-05</t>
    </r>
    <r>
      <rPr>
        <sz val="11"/>
        <color theme="1"/>
        <rFont val="Noto Sans CJK SC"/>
        <family val="2"/>
      </rPr>
      <t xml:space="preserve">）；產品別營收（雷射、光模組、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個別 </t>
    </r>
    <r>
      <rPr>
        <sz val="11"/>
        <color theme="1"/>
        <rFont val="Calibri"/>
        <family val="2"/>
        <charset val="1"/>
      </rPr>
      <t xml:space="preserve">EML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份額；雷射單價；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共識第二來源；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週高點；</t>
    </r>
    <r>
      <rPr>
        <sz val="11"/>
        <color theme="1"/>
        <rFont val="Calibri"/>
        <family val="2"/>
        <charset val="1"/>
      </rPr>
      <t xml:space="preserve">FY2018 non-GAAP EPS </t>
    </r>
    <r>
      <rPr>
        <sz val="11"/>
        <color theme="1"/>
        <rFont val="Noto Sans CJK SC"/>
        <family val="2"/>
      </rPr>
      <t xml:space="preserve">複核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</si>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</sst>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"/>
    <numFmt numFmtId="166" formatCode="0.0%"/>
    <numFmt numFmtId="167" formatCode="#,##0.0"/>
    <numFmt numFmtId="168" formatCode="0.000"/>
    <numFmt numFmtId="169" formatCode="0.0"/>
    <numFmt numFmtId="170" formatCode="#,##0.00"/>
    <numFmt numFmtId="171" formatCode="#,##0"/>
    <numFmt numFmtId="172" formatCode="0.00%"/>
    <numFmt numFmtId="173" formatCode="0.0000"/>
    <numFmt numFmtId="174" formatCode="#,##0.000"/>
    <numFmt numFmtId="175" formatCode="@"/>
    <numFmt numFmtId="17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4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2" t="s">
        <v>10</v>
      </c>
    </row>
    <row r="15" customFormat="false" ht="17.15" hidden="false" customHeight="false" outlineLevel="0" collapsed="false">
      <c r="A15" s="4" t="s">
        <v>11</v>
      </c>
    </row>
    <row r="16" customFormat="false" ht="17.15" hidden="false" customHeight="false" outlineLevel="0" collapsed="false">
      <c r="A16" s="0" t="s">
        <v>12</v>
      </c>
    </row>
    <row r="17" customFormat="false" ht="15" hidden="false" customHeight="false" outlineLevel="0" collapsed="false">
      <c r="A17" s="1" t="str">
        <f aca="false">"投資建議："&amp;Val!B50&amp;"（依上檔空間固定規則）"</f>
        <v>投資建議：中立（依上檔空間固定規則）</v>
      </c>
    </row>
    <row r="18" customFormat="false" ht="17.15" hidden="false" customHeight="false" outlineLevel="0" collapsed="false">
      <c r="A18" s="5" t="s">
        <v>13</v>
      </c>
    </row>
    <row r="19" customFormat="false" ht="17.15" hidden="false" customHeight="false" outlineLevel="0" collapsed="false">
      <c r="A19" s="5" t="s">
        <v>14</v>
      </c>
    </row>
    <row r="20" customFormat="false" ht="17.15" hidden="false" customHeight="false" outlineLevel="0" collapsed="false">
      <c r="A20" s="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16</v>
      </c>
    </row>
    <row r="2" customFormat="false" ht="17.15" hidden="false" customHeight="false" outlineLevel="0" collapsed="false">
      <c r="A2" s="5" t="s">
        <v>17</v>
      </c>
    </row>
    <row r="3" customFormat="false" ht="17.15" hidden="false" customHeight="false" outlineLevel="0" collapsed="false">
      <c r="A3" s="6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</row>
    <row r="4" customFormat="false" ht="17.15" hidden="false" customHeight="false" outlineLevel="0" collapsed="false">
      <c r="A4" s="1" t="s">
        <v>27</v>
      </c>
    </row>
    <row r="5" customFormat="false" ht="17.15" hidden="false" customHeight="false" outlineLevel="0" collapsed="false">
      <c r="A5" s="0" t="s">
        <v>28</v>
      </c>
      <c r="B5" s="0" t="s">
        <v>29</v>
      </c>
      <c r="C5" s="0" t="s">
        <v>30</v>
      </c>
      <c r="E5" s="7" t="n">
        <v>29.753262</v>
      </c>
      <c r="G5" s="8" t="s">
        <v>31</v>
      </c>
      <c r="H5" s="8" t="s">
        <v>32</v>
      </c>
      <c r="I5" s="5" t="s">
        <v>33</v>
      </c>
    </row>
    <row r="6" customFormat="false" ht="17.15" hidden="false" customHeight="false" outlineLevel="0" collapsed="false">
      <c r="A6" s="0" t="s">
        <v>34</v>
      </c>
      <c r="B6" s="0" t="s">
        <v>35</v>
      </c>
      <c r="C6" s="0" t="s">
        <v>30</v>
      </c>
      <c r="E6" s="7" t="n">
        <v>54.688309</v>
      </c>
      <c r="G6" s="8" t="s">
        <v>31</v>
      </c>
      <c r="H6" s="8" t="s">
        <v>32</v>
      </c>
      <c r="I6" s="5" t="s">
        <v>36</v>
      </c>
    </row>
    <row r="7" customFormat="false" ht="17.15" hidden="false" customHeight="false" outlineLevel="0" collapsed="false">
      <c r="A7" s="0" t="s">
        <v>37</v>
      </c>
      <c r="B7" s="0" t="s">
        <v>38</v>
      </c>
      <c r="C7" s="0" t="s">
        <v>30</v>
      </c>
      <c r="E7" s="7" t="n">
        <v>61.21325</v>
      </c>
      <c r="G7" s="8" t="s">
        <v>31</v>
      </c>
      <c r="H7" s="8" t="s">
        <v>32</v>
      </c>
      <c r="I7" s="5" t="s">
        <v>36</v>
      </c>
    </row>
    <row r="8" customFormat="false" ht="17.15" hidden="false" customHeight="false" outlineLevel="0" collapsed="false">
      <c r="A8" s="0" t="s">
        <v>39</v>
      </c>
      <c r="B8" s="0" t="s">
        <v>40</v>
      </c>
      <c r="C8" s="0" t="s">
        <v>30</v>
      </c>
      <c r="E8" s="7" t="n">
        <v>78.80848</v>
      </c>
      <c r="G8" s="8" t="s">
        <v>31</v>
      </c>
      <c r="H8" s="8" t="s">
        <v>32</v>
      </c>
      <c r="I8" s="5" t="s">
        <v>36</v>
      </c>
    </row>
    <row r="9" customFormat="false" ht="17.15" hidden="false" customHeight="false" outlineLevel="0" collapsed="false">
      <c r="A9" s="0" t="s">
        <v>41</v>
      </c>
      <c r="B9" s="0" t="s">
        <v>42</v>
      </c>
      <c r="C9" s="0" t="s">
        <v>30</v>
      </c>
      <c r="E9" s="7" t="n">
        <v>0.300538</v>
      </c>
      <c r="G9" s="8" t="s">
        <v>31</v>
      </c>
      <c r="H9" s="8" t="s">
        <v>43</v>
      </c>
      <c r="I9" s="5" t="s">
        <v>44</v>
      </c>
    </row>
    <row r="10" customFormat="false" ht="17.15" hidden="false" customHeight="false" outlineLevel="0" collapsed="false">
      <c r="A10" s="0" t="s">
        <v>45</v>
      </c>
      <c r="B10" s="0" t="s">
        <v>46</v>
      </c>
      <c r="C10" s="0" t="s">
        <v>30</v>
      </c>
      <c r="E10" s="7" t="n">
        <v>1.691391</v>
      </c>
      <c r="G10" s="8" t="s">
        <v>31</v>
      </c>
      <c r="H10" s="8" t="s">
        <v>43</v>
      </c>
      <c r="I10" s="5" t="s">
        <v>36</v>
      </c>
    </row>
    <row r="11" customFormat="false" ht="17.15" hidden="false" customHeight="false" outlineLevel="0" collapsed="false">
      <c r="A11" s="0" t="s">
        <v>47</v>
      </c>
      <c r="B11" s="0" t="s">
        <v>48</v>
      </c>
      <c r="C11" s="0" t="s">
        <v>30</v>
      </c>
      <c r="E11" s="7" t="n">
        <v>3.22175</v>
      </c>
      <c r="G11" s="8" t="s">
        <v>31</v>
      </c>
      <c r="H11" s="8" t="s">
        <v>43</v>
      </c>
      <c r="I11" s="5" t="s">
        <v>36</v>
      </c>
    </row>
    <row r="12" customFormat="false" ht="17.15" hidden="false" customHeight="false" outlineLevel="0" collapsed="false">
      <c r="A12" s="0" t="s">
        <v>49</v>
      </c>
      <c r="B12" s="0" t="s">
        <v>50</v>
      </c>
      <c r="C12" s="0" t="s">
        <v>30</v>
      </c>
      <c r="E12" s="7" t="n">
        <v>5.87368</v>
      </c>
      <c r="G12" s="8" t="s">
        <v>31</v>
      </c>
      <c r="H12" s="8" t="s">
        <v>43</v>
      </c>
      <c r="I12" s="5" t="s">
        <v>36</v>
      </c>
    </row>
    <row r="13" customFormat="false" ht="17.15" hidden="false" customHeight="false" outlineLevel="0" collapsed="false">
      <c r="A13" s="0" t="s">
        <v>51</v>
      </c>
      <c r="B13" s="0" t="s">
        <v>52</v>
      </c>
      <c r="C13" s="5" t="s">
        <v>53</v>
      </c>
      <c r="E13" s="7" t="n">
        <v>3.85</v>
      </c>
      <c r="G13" s="8" t="s">
        <v>31</v>
      </c>
      <c r="H13" s="8" t="s">
        <v>54</v>
      </c>
      <c r="I13" s="8" t="s">
        <v>55</v>
      </c>
    </row>
    <row r="14" customFormat="false" ht="17.15" hidden="false" customHeight="false" outlineLevel="0" collapsed="false">
      <c r="A14" s="0" t="s">
        <v>56</v>
      </c>
      <c r="B14" s="0" t="s">
        <v>57</v>
      </c>
      <c r="C14" s="5" t="s">
        <v>53</v>
      </c>
      <c r="E14" s="7" t="n">
        <v>5.5</v>
      </c>
      <c r="G14" s="8" t="s">
        <v>31</v>
      </c>
      <c r="H14" s="8" t="s">
        <v>54</v>
      </c>
      <c r="I14" s="5" t="s">
        <v>36</v>
      </c>
    </row>
    <row r="15" customFormat="false" ht="17.15" hidden="false" customHeight="false" outlineLevel="0" collapsed="false">
      <c r="A15" s="0" t="s">
        <v>58</v>
      </c>
      <c r="B15" s="0" t="s">
        <v>59</v>
      </c>
      <c r="C15" s="5" t="s">
        <v>53</v>
      </c>
      <c r="E15" s="7" t="n">
        <v>7</v>
      </c>
      <c r="G15" s="8" t="s">
        <v>31</v>
      </c>
      <c r="H15" s="8" t="s">
        <v>54</v>
      </c>
      <c r="I15" s="5" t="s">
        <v>36</v>
      </c>
    </row>
    <row r="16" customFormat="false" ht="17.15" hidden="false" customHeight="false" outlineLevel="0" collapsed="false">
      <c r="A16" s="0" t="s">
        <v>60</v>
      </c>
      <c r="B16" s="0" t="s">
        <v>61</v>
      </c>
      <c r="C16" s="5" t="s">
        <v>53</v>
      </c>
      <c r="E16" s="7" t="n">
        <v>8.05</v>
      </c>
      <c r="G16" s="8" t="s">
        <v>31</v>
      </c>
      <c r="H16" s="8" t="s">
        <v>54</v>
      </c>
      <c r="I16" s="5" t="s">
        <v>36</v>
      </c>
    </row>
    <row r="17" customFormat="false" ht="17.15" hidden="false" customHeight="false" outlineLevel="0" collapsed="false">
      <c r="A17" s="0" t="s">
        <v>62</v>
      </c>
      <c r="B17" s="0" t="s">
        <v>63</v>
      </c>
      <c r="C17" s="0" t="s">
        <v>30</v>
      </c>
      <c r="E17" s="7" t="n">
        <v>781.872916666667</v>
      </c>
      <c r="G17" s="8" t="s">
        <v>31</v>
      </c>
      <c r="H17" s="8" t="s">
        <v>64</v>
      </c>
      <c r="I17" s="8" t="s">
        <v>65</v>
      </c>
    </row>
    <row r="18" customFormat="false" ht="17.15" hidden="false" customHeight="false" outlineLevel="0" collapsed="false">
      <c r="A18" s="0" t="s">
        <v>66</v>
      </c>
      <c r="B18" s="0" t="s">
        <v>67</v>
      </c>
      <c r="C18" s="0" t="s">
        <v>30</v>
      </c>
      <c r="E18" s="7" t="n">
        <v>1565.35</v>
      </c>
      <c r="G18" s="8" t="s">
        <v>31</v>
      </c>
      <c r="H18" s="8" t="s">
        <v>64</v>
      </c>
      <c r="I18" s="5" t="s">
        <v>36</v>
      </c>
    </row>
    <row r="19" customFormat="false" ht="17.15" hidden="false" customHeight="false" outlineLevel="0" collapsed="false">
      <c r="A19" s="0" t="s">
        <v>68</v>
      </c>
      <c r="B19" s="0" t="s">
        <v>69</v>
      </c>
      <c r="C19" s="0" t="s">
        <v>30</v>
      </c>
      <c r="E19" s="7" t="n">
        <v>1984.26388888889</v>
      </c>
      <c r="G19" s="8" t="s">
        <v>31</v>
      </c>
      <c r="H19" s="8" t="s">
        <v>64</v>
      </c>
      <c r="I19" s="5" t="s">
        <v>36</v>
      </c>
    </row>
    <row r="20" customFormat="false" ht="17.15" hidden="false" customHeight="false" outlineLevel="0" collapsed="false">
      <c r="A20" s="0" t="s">
        <v>70</v>
      </c>
      <c r="B20" s="0" t="s">
        <v>71</v>
      </c>
      <c r="C20" s="0" t="s">
        <v>30</v>
      </c>
      <c r="E20" s="7" t="n">
        <v>2260.39027777778</v>
      </c>
      <c r="G20" s="8" t="s">
        <v>31</v>
      </c>
      <c r="H20" s="8" t="s">
        <v>64</v>
      </c>
      <c r="I20" s="5" t="s">
        <v>36</v>
      </c>
    </row>
    <row r="21" customFormat="false" ht="17.15" hidden="false" customHeight="false" outlineLevel="0" collapsed="false">
      <c r="A21" s="0" t="s">
        <v>72</v>
      </c>
      <c r="B21" s="5" t="s">
        <v>73</v>
      </c>
      <c r="C21" s="0" t="s">
        <v>74</v>
      </c>
      <c r="E21" s="7" t="n">
        <v>1</v>
      </c>
      <c r="G21" s="8" t="s">
        <v>75</v>
      </c>
      <c r="H21" s="8" t="s">
        <v>76</v>
      </c>
      <c r="I21" s="8" t="s">
        <v>77</v>
      </c>
    </row>
    <row r="22" customFormat="false" ht="17.15" hidden="false" customHeight="false" outlineLevel="0" collapsed="false">
      <c r="A22" s="0" t="s">
        <v>78</v>
      </c>
      <c r="B22" s="5" t="s">
        <v>79</v>
      </c>
      <c r="C22" s="0" t="s">
        <v>74</v>
      </c>
      <c r="E22" s="7" t="n">
        <v>1</v>
      </c>
      <c r="G22" s="8" t="s">
        <v>75</v>
      </c>
      <c r="H22" s="8" t="s">
        <v>80</v>
      </c>
      <c r="I22" s="5" t="s">
        <v>36</v>
      </c>
    </row>
    <row r="23" customFormat="false" ht="17.15" hidden="false" customHeight="false" outlineLevel="0" collapsed="false">
      <c r="A23" s="0" t="s">
        <v>81</v>
      </c>
      <c r="B23" s="5" t="s">
        <v>82</v>
      </c>
      <c r="C23" s="0" t="s">
        <v>74</v>
      </c>
      <c r="E23" s="7" t="n">
        <v>0.8</v>
      </c>
      <c r="G23" s="8" t="s">
        <v>75</v>
      </c>
      <c r="H23" s="8" t="s">
        <v>83</v>
      </c>
      <c r="I23" s="8" t="s">
        <v>77</v>
      </c>
    </row>
    <row r="24" customFormat="false" ht="17.15" hidden="false" customHeight="false" outlineLevel="0" collapsed="false">
      <c r="A24" s="0" t="s">
        <v>84</v>
      </c>
      <c r="B24" s="5" t="s">
        <v>85</v>
      </c>
      <c r="C24" s="0" t="s">
        <v>74</v>
      </c>
      <c r="E24" s="7" t="n">
        <v>0.85</v>
      </c>
      <c r="G24" s="8" t="s">
        <v>75</v>
      </c>
      <c r="H24" s="8" t="s">
        <v>86</v>
      </c>
      <c r="I24" s="5" t="s">
        <v>36</v>
      </c>
    </row>
    <row r="25" customFormat="false" ht="17.15" hidden="false" customHeight="false" outlineLevel="0" collapsed="false">
      <c r="A25" s="0" t="s">
        <v>87</v>
      </c>
      <c r="B25" s="5" t="s">
        <v>88</v>
      </c>
      <c r="C25" s="0" t="s">
        <v>74</v>
      </c>
      <c r="E25" s="7" t="n">
        <v>0.6</v>
      </c>
      <c r="G25" s="8" t="s">
        <v>75</v>
      </c>
      <c r="H25" s="8" t="s">
        <v>89</v>
      </c>
      <c r="I25" s="8" t="s">
        <v>77</v>
      </c>
    </row>
    <row r="26" customFormat="false" ht="17.15" hidden="false" customHeight="false" outlineLevel="0" collapsed="false">
      <c r="A26" s="0" t="s">
        <v>90</v>
      </c>
      <c r="B26" s="5" t="s">
        <v>91</v>
      </c>
      <c r="C26" s="0" t="s">
        <v>74</v>
      </c>
      <c r="E26" s="7" t="n">
        <v>0.6</v>
      </c>
      <c r="G26" s="8" t="s">
        <v>75</v>
      </c>
      <c r="H26" s="8" t="s">
        <v>92</v>
      </c>
      <c r="I26" s="5" t="s">
        <v>36</v>
      </c>
    </row>
    <row r="27" customFormat="false" ht="17.15" hidden="false" customHeight="false" outlineLevel="0" collapsed="false">
      <c r="A27" s="1" t="s">
        <v>93</v>
      </c>
    </row>
    <row r="28" customFormat="false" ht="17.15" hidden="false" customHeight="false" outlineLevel="0" collapsed="false">
      <c r="A28" s="0" t="s">
        <v>94</v>
      </c>
      <c r="B28" s="5" t="s">
        <v>95</v>
      </c>
      <c r="C28" s="0" t="s">
        <v>96</v>
      </c>
      <c r="D28" s="7" t="n">
        <v>420</v>
      </c>
      <c r="E28" s="7" t="n">
        <v>500</v>
      </c>
      <c r="F28" s="7" t="n">
        <v>600</v>
      </c>
      <c r="G28" s="8" t="s">
        <v>75</v>
      </c>
      <c r="H28" s="8" t="s">
        <v>97</v>
      </c>
      <c r="I28" s="8" t="s">
        <v>98</v>
      </c>
    </row>
    <row r="29" customFormat="false" ht="17.15" hidden="false" customHeight="false" outlineLevel="0" collapsed="false">
      <c r="A29" s="0" t="s">
        <v>99</v>
      </c>
      <c r="B29" s="5" t="s">
        <v>100</v>
      </c>
      <c r="C29" s="0" t="s">
        <v>96</v>
      </c>
      <c r="D29" s="7" t="n">
        <v>440</v>
      </c>
      <c r="E29" s="7" t="n">
        <v>520</v>
      </c>
      <c r="F29" s="7" t="n">
        <v>640</v>
      </c>
      <c r="G29" s="8" t="s">
        <v>75</v>
      </c>
      <c r="H29" s="5" t="s">
        <v>36</v>
      </c>
      <c r="I29" s="8" t="s">
        <v>101</v>
      </c>
    </row>
    <row r="30" customFormat="false" ht="17.15" hidden="false" customHeight="false" outlineLevel="0" collapsed="false">
      <c r="A30" s="0" t="s">
        <v>102</v>
      </c>
      <c r="B30" s="5" t="s">
        <v>103</v>
      </c>
      <c r="C30" s="0" t="s">
        <v>96</v>
      </c>
      <c r="D30" s="7" t="n">
        <v>450</v>
      </c>
      <c r="E30" s="7" t="n">
        <v>540</v>
      </c>
      <c r="F30" s="7" t="n">
        <v>680</v>
      </c>
      <c r="G30" s="8" t="s">
        <v>75</v>
      </c>
      <c r="H30" s="5" t="s">
        <v>36</v>
      </c>
      <c r="I30" s="8" t="s">
        <v>101</v>
      </c>
    </row>
    <row r="31" customFormat="false" ht="17.15" hidden="false" customHeight="false" outlineLevel="0" collapsed="false">
      <c r="A31" s="0" t="s">
        <v>104</v>
      </c>
      <c r="B31" s="5" t="s">
        <v>105</v>
      </c>
      <c r="C31" s="0" t="s">
        <v>96</v>
      </c>
      <c r="D31" s="7" t="n">
        <v>450</v>
      </c>
      <c r="E31" s="7" t="n">
        <v>560</v>
      </c>
      <c r="F31" s="7" t="n">
        <v>720</v>
      </c>
      <c r="G31" s="8" t="s">
        <v>75</v>
      </c>
      <c r="H31" s="5" t="s">
        <v>36</v>
      </c>
      <c r="I31" s="8" t="s">
        <v>101</v>
      </c>
    </row>
    <row r="32" customFormat="false" ht="17.15" hidden="false" customHeight="false" outlineLevel="0" collapsed="false">
      <c r="A32" s="0" t="s">
        <v>106</v>
      </c>
      <c r="B32" s="5" t="s">
        <v>107</v>
      </c>
      <c r="C32" s="5" t="s">
        <v>108</v>
      </c>
      <c r="E32" s="7" t="n">
        <v>5.5</v>
      </c>
      <c r="G32" s="8" t="s">
        <v>75</v>
      </c>
      <c r="H32" s="8" t="s">
        <v>109</v>
      </c>
      <c r="I32" s="5" t="s">
        <v>110</v>
      </c>
    </row>
    <row r="33" customFormat="false" ht="17.15" hidden="false" customHeight="false" outlineLevel="0" collapsed="false">
      <c r="A33" s="0" t="s">
        <v>111</v>
      </c>
      <c r="B33" s="5" t="s">
        <v>112</v>
      </c>
      <c r="C33" s="5" t="s">
        <v>108</v>
      </c>
      <c r="D33" s="7" t="n">
        <v>4.5</v>
      </c>
      <c r="E33" s="7" t="n">
        <v>5.5</v>
      </c>
      <c r="F33" s="7" t="n">
        <v>6</v>
      </c>
      <c r="G33" s="8" t="s">
        <v>75</v>
      </c>
      <c r="H33" s="5" t="s">
        <v>113</v>
      </c>
      <c r="I33" s="8" t="s">
        <v>101</v>
      </c>
    </row>
    <row r="34" customFormat="false" ht="17.15" hidden="false" customHeight="false" outlineLevel="0" collapsed="false">
      <c r="A34" s="0" t="s">
        <v>114</v>
      </c>
      <c r="B34" s="5" t="s">
        <v>115</v>
      </c>
      <c r="C34" s="5" t="s">
        <v>108</v>
      </c>
      <c r="D34" s="7" t="n">
        <v>4</v>
      </c>
      <c r="E34" s="7" t="n">
        <v>5</v>
      </c>
      <c r="F34" s="7" t="n">
        <v>6</v>
      </c>
      <c r="G34" s="8" t="s">
        <v>75</v>
      </c>
      <c r="H34" s="5" t="s">
        <v>113</v>
      </c>
      <c r="I34" s="8" t="s">
        <v>101</v>
      </c>
    </row>
    <row r="35" customFormat="false" ht="17.15" hidden="false" customHeight="false" outlineLevel="0" collapsed="false">
      <c r="A35" s="0" t="s">
        <v>116</v>
      </c>
      <c r="B35" s="5" t="s">
        <v>117</v>
      </c>
      <c r="C35" s="5" t="s">
        <v>108</v>
      </c>
      <c r="D35" s="7" t="n">
        <v>3.5</v>
      </c>
      <c r="E35" s="7" t="n">
        <v>4.8</v>
      </c>
      <c r="F35" s="7" t="n">
        <v>6</v>
      </c>
      <c r="G35" s="8" t="s">
        <v>75</v>
      </c>
      <c r="H35" s="5" t="s">
        <v>113</v>
      </c>
      <c r="I35" s="8" t="s">
        <v>101</v>
      </c>
    </row>
    <row r="36" customFormat="false" ht="17.15" hidden="false" customHeight="false" outlineLevel="0" collapsed="false">
      <c r="A36" s="0" t="s">
        <v>118</v>
      </c>
      <c r="B36" s="5" t="s">
        <v>119</v>
      </c>
      <c r="C36" s="0" t="s">
        <v>120</v>
      </c>
      <c r="E36" s="7" t="n">
        <v>13</v>
      </c>
      <c r="G36" s="8" t="s">
        <v>75</v>
      </c>
      <c r="H36" s="5" t="s">
        <v>121</v>
      </c>
      <c r="I36" s="5" t="s">
        <v>122</v>
      </c>
    </row>
    <row r="37" customFormat="false" ht="17.15" hidden="false" customHeight="false" outlineLevel="0" collapsed="false">
      <c r="A37" s="0" t="s">
        <v>123</v>
      </c>
      <c r="B37" s="5" t="s">
        <v>124</v>
      </c>
      <c r="C37" s="0" t="s">
        <v>120</v>
      </c>
      <c r="D37" s="7" t="n">
        <v>12</v>
      </c>
      <c r="E37" s="7" t="n">
        <v>15</v>
      </c>
      <c r="F37" s="7" t="n">
        <v>17</v>
      </c>
      <c r="G37" s="8" t="s">
        <v>75</v>
      </c>
      <c r="H37" s="8" t="s">
        <v>125</v>
      </c>
      <c r="I37" s="8" t="s">
        <v>101</v>
      </c>
    </row>
    <row r="38" customFormat="false" ht="17.15" hidden="false" customHeight="false" outlineLevel="0" collapsed="false">
      <c r="A38" s="0" t="s">
        <v>126</v>
      </c>
      <c r="B38" s="5" t="s">
        <v>127</v>
      </c>
      <c r="C38" s="0" t="s">
        <v>120</v>
      </c>
      <c r="D38" s="7" t="n">
        <v>11</v>
      </c>
      <c r="E38" s="7" t="n">
        <v>15</v>
      </c>
      <c r="F38" s="7" t="n">
        <v>18</v>
      </c>
      <c r="G38" s="8" t="s">
        <v>75</v>
      </c>
      <c r="H38" s="8" t="s">
        <v>125</v>
      </c>
      <c r="I38" s="8" t="s">
        <v>101</v>
      </c>
    </row>
    <row r="39" customFormat="false" ht="17.15" hidden="false" customHeight="false" outlineLevel="0" collapsed="false">
      <c r="A39" s="0" t="s">
        <v>128</v>
      </c>
      <c r="B39" s="5" t="s">
        <v>129</v>
      </c>
      <c r="C39" s="0" t="s">
        <v>120</v>
      </c>
      <c r="D39" s="7" t="n">
        <v>10</v>
      </c>
      <c r="E39" s="7" t="n">
        <v>14</v>
      </c>
      <c r="F39" s="7" t="n">
        <v>18</v>
      </c>
      <c r="G39" s="8" t="s">
        <v>75</v>
      </c>
      <c r="H39" s="8" t="s">
        <v>125</v>
      </c>
      <c r="I39" s="8" t="s">
        <v>101</v>
      </c>
    </row>
    <row r="40" customFormat="false" ht="17.15" hidden="false" customHeight="false" outlineLevel="0" collapsed="false">
      <c r="A40" s="0" t="s">
        <v>130</v>
      </c>
      <c r="B40" s="5" t="s">
        <v>131</v>
      </c>
      <c r="C40" s="0" t="s">
        <v>74</v>
      </c>
      <c r="D40" s="7" t="n">
        <v>0.85</v>
      </c>
      <c r="E40" s="7" t="n">
        <v>0.95</v>
      </c>
      <c r="F40" s="7" t="n">
        <v>1</v>
      </c>
      <c r="G40" s="8" t="s">
        <v>75</v>
      </c>
      <c r="H40" s="8" t="s">
        <v>132</v>
      </c>
      <c r="I40" s="8" t="s">
        <v>133</v>
      </c>
    </row>
    <row r="41" customFormat="false" ht="17.15" hidden="false" customHeight="false" outlineLevel="0" collapsed="false">
      <c r="A41" s="0" t="s">
        <v>134</v>
      </c>
      <c r="B41" s="5" t="s">
        <v>135</v>
      </c>
      <c r="C41" s="0" t="s">
        <v>74</v>
      </c>
      <c r="D41" s="7" t="n">
        <v>0.8</v>
      </c>
      <c r="E41" s="7" t="n">
        <v>0.95</v>
      </c>
      <c r="F41" s="7" t="n">
        <v>1.05</v>
      </c>
      <c r="G41" s="8" t="s">
        <v>75</v>
      </c>
      <c r="H41" s="8" t="s">
        <v>136</v>
      </c>
      <c r="I41" s="8" t="s">
        <v>137</v>
      </c>
    </row>
    <row r="42" customFormat="false" ht="17.15" hidden="false" customHeight="false" outlineLevel="0" collapsed="false">
      <c r="A42" s="0" t="s">
        <v>138</v>
      </c>
      <c r="B42" s="5" t="s">
        <v>139</v>
      </c>
      <c r="C42" s="0" t="s">
        <v>74</v>
      </c>
      <c r="D42" s="7" t="n">
        <v>0.7</v>
      </c>
      <c r="E42" s="7" t="n">
        <v>0.9</v>
      </c>
      <c r="F42" s="7" t="n">
        <v>1.05</v>
      </c>
      <c r="G42" s="8" t="s">
        <v>75</v>
      </c>
      <c r="H42" s="5" t="s">
        <v>36</v>
      </c>
      <c r="I42" s="8" t="s">
        <v>101</v>
      </c>
    </row>
    <row r="43" customFormat="false" ht="17.15" hidden="false" customHeight="false" outlineLevel="0" collapsed="false">
      <c r="A43" s="1" t="s">
        <v>140</v>
      </c>
    </row>
    <row r="44" customFormat="false" ht="17.15" hidden="false" customHeight="false" outlineLevel="0" collapsed="false">
      <c r="A44" s="0" t="s">
        <v>141</v>
      </c>
      <c r="B44" s="5" t="s">
        <v>142</v>
      </c>
      <c r="C44" s="0" t="s">
        <v>74</v>
      </c>
      <c r="D44" s="7" t="n">
        <v>0.8</v>
      </c>
      <c r="E44" s="7" t="n">
        <v>1</v>
      </c>
      <c r="F44" s="7" t="n">
        <v>1.2</v>
      </c>
      <c r="G44" s="8" t="s">
        <v>75</v>
      </c>
      <c r="H44" s="8" t="s">
        <v>143</v>
      </c>
      <c r="I44" s="5" t="s">
        <v>144</v>
      </c>
    </row>
    <row r="45" customFormat="false" ht="17.15" hidden="false" customHeight="false" outlineLevel="0" collapsed="false">
      <c r="A45" s="0" t="s">
        <v>145</v>
      </c>
      <c r="B45" s="5" t="s">
        <v>146</v>
      </c>
      <c r="C45" s="0" t="s">
        <v>74</v>
      </c>
      <c r="D45" s="7" t="n">
        <v>0.7</v>
      </c>
      <c r="E45" s="7" t="n">
        <v>1</v>
      </c>
      <c r="F45" s="7" t="n">
        <v>1.3</v>
      </c>
      <c r="G45" s="8" t="s">
        <v>75</v>
      </c>
      <c r="H45" s="5" t="s">
        <v>147</v>
      </c>
      <c r="I45" s="8" t="s">
        <v>101</v>
      </c>
    </row>
    <row r="46" customFormat="false" ht="17.15" hidden="false" customHeight="false" outlineLevel="0" collapsed="false">
      <c r="A46" s="0" t="s">
        <v>148</v>
      </c>
      <c r="B46" s="5" t="s">
        <v>149</v>
      </c>
      <c r="C46" s="0" t="s">
        <v>74</v>
      </c>
      <c r="D46" s="7" t="n">
        <v>0.6</v>
      </c>
      <c r="E46" s="7" t="n">
        <v>1</v>
      </c>
      <c r="F46" s="7" t="n">
        <v>1.3</v>
      </c>
      <c r="G46" s="8" t="s">
        <v>75</v>
      </c>
      <c r="H46" s="5" t="s">
        <v>36</v>
      </c>
      <c r="I46" s="8" t="s">
        <v>101</v>
      </c>
    </row>
    <row r="47" customFormat="false" ht="17.15" hidden="false" customHeight="false" outlineLevel="0" collapsed="false">
      <c r="A47" s="0" t="s">
        <v>150</v>
      </c>
      <c r="B47" s="0" t="s">
        <v>151</v>
      </c>
      <c r="C47" s="0" t="s">
        <v>74</v>
      </c>
      <c r="D47" s="7" t="n">
        <v>1.2</v>
      </c>
      <c r="E47" s="7" t="n">
        <v>1.6</v>
      </c>
      <c r="F47" s="7" t="n">
        <v>2</v>
      </c>
      <c r="G47" s="8" t="s">
        <v>75</v>
      </c>
      <c r="H47" s="8" t="s">
        <v>152</v>
      </c>
      <c r="I47" s="8" t="s">
        <v>153</v>
      </c>
    </row>
    <row r="48" customFormat="false" ht="17.15" hidden="false" customHeight="false" outlineLevel="0" collapsed="false">
      <c r="A48" s="0" t="s">
        <v>154</v>
      </c>
      <c r="B48" s="0" t="s">
        <v>155</v>
      </c>
      <c r="C48" s="0" t="s">
        <v>74</v>
      </c>
      <c r="D48" s="7" t="n">
        <v>1.2</v>
      </c>
      <c r="E48" s="7" t="n">
        <v>1.8</v>
      </c>
      <c r="F48" s="7" t="n">
        <v>2.4</v>
      </c>
      <c r="G48" s="8" t="s">
        <v>75</v>
      </c>
      <c r="H48" s="8" t="s">
        <v>156</v>
      </c>
      <c r="I48" s="8" t="s">
        <v>157</v>
      </c>
    </row>
    <row r="49" customFormat="false" ht="17.15" hidden="false" customHeight="false" outlineLevel="0" collapsed="false">
      <c r="A49" s="0" t="s">
        <v>158</v>
      </c>
      <c r="B49" s="0" t="s">
        <v>159</v>
      </c>
      <c r="C49" s="0" t="s">
        <v>74</v>
      </c>
      <c r="D49" s="7" t="n">
        <v>1</v>
      </c>
      <c r="E49" s="7" t="n">
        <v>1.8</v>
      </c>
      <c r="F49" s="7" t="n">
        <v>2.4</v>
      </c>
      <c r="G49" s="8" t="s">
        <v>75</v>
      </c>
      <c r="H49" s="5" t="s">
        <v>160</v>
      </c>
      <c r="I49" s="8" t="s">
        <v>101</v>
      </c>
    </row>
    <row r="50" customFormat="false" ht="17.15" hidden="false" customHeight="false" outlineLevel="0" collapsed="false">
      <c r="A50" s="0" t="s">
        <v>161</v>
      </c>
      <c r="B50" s="0" t="s">
        <v>162</v>
      </c>
      <c r="C50" s="0" t="s">
        <v>163</v>
      </c>
      <c r="D50" s="7" t="n">
        <v>0.1</v>
      </c>
      <c r="E50" s="7" t="n">
        <v>0.25</v>
      </c>
      <c r="F50" s="7" t="n">
        <v>0.35</v>
      </c>
      <c r="G50" s="8" t="s">
        <v>75</v>
      </c>
      <c r="H50" s="8" t="s">
        <v>164</v>
      </c>
      <c r="I50" s="8" t="s">
        <v>165</v>
      </c>
    </row>
    <row r="51" customFormat="false" ht="17.15" hidden="false" customHeight="false" outlineLevel="0" collapsed="false">
      <c r="A51" s="0" t="s">
        <v>166</v>
      </c>
      <c r="B51" s="0" t="s">
        <v>167</v>
      </c>
      <c r="C51" s="0" t="s">
        <v>163</v>
      </c>
      <c r="D51" s="7" t="n">
        <v>0.1</v>
      </c>
      <c r="E51" s="7" t="n">
        <v>0.25</v>
      </c>
      <c r="F51" s="7" t="n">
        <v>0.35</v>
      </c>
      <c r="G51" s="8" t="s">
        <v>75</v>
      </c>
      <c r="H51" s="8" t="s">
        <v>168</v>
      </c>
      <c r="I51" s="5" t="s">
        <v>169</v>
      </c>
    </row>
    <row r="52" customFormat="false" ht="17.15" hidden="false" customHeight="false" outlineLevel="0" collapsed="false">
      <c r="A52" s="0" t="s">
        <v>170</v>
      </c>
      <c r="B52" s="0" t="s">
        <v>171</v>
      </c>
      <c r="C52" s="0" t="s">
        <v>163</v>
      </c>
      <c r="D52" s="7" t="n">
        <v>0.1</v>
      </c>
      <c r="E52" s="7" t="n">
        <v>0.2</v>
      </c>
      <c r="F52" s="7" t="n">
        <v>0.3</v>
      </c>
      <c r="G52" s="8" t="s">
        <v>75</v>
      </c>
      <c r="H52" s="5" t="s">
        <v>36</v>
      </c>
      <c r="I52" s="8" t="s">
        <v>101</v>
      </c>
    </row>
    <row r="53" customFormat="false" ht="17.15" hidden="false" customHeight="false" outlineLevel="0" collapsed="false">
      <c r="A53" s="1" t="s">
        <v>172</v>
      </c>
    </row>
    <row r="54" customFormat="false" ht="17.15" hidden="false" customHeight="false" outlineLevel="0" collapsed="false">
      <c r="A54" s="0" t="s">
        <v>173</v>
      </c>
      <c r="B54" s="0" t="s">
        <v>174</v>
      </c>
      <c r="C54" s="0" t="s">
        <v>30</v>
      </c>
      <c r="D54" s="7" t="n">
        <v>0.06</v>
      </c>
      <c r="E54" s="7" t="n">
        <v>0.1</v>
      </c>
      <c r="F54" s="7" t="n">
        <v>0.14</v>
      </c>
      <c r="G54" s="8" t="s">
        <v>75</v>
      </c>
      <c r="H54" s="5" t="s">
        <v>175</v>
      </c>
      <c r="I54" s="5" t="s">
        <v>176</v>
      </c>
    </row>
    <row r="55" customFormat="false" ht="17.15" hidden="false" customHeight="false" outlineLevel="0" collapsed="false">
      <c r="A55" s="0" t="s">
        <v>177</v>
      </c>
      <c r="B55" s="0" t="s">
        <v>178</v>
      </c>
      <c r="C55" s="0" t="s">
        <v>30</v>
      </c>
      <c r="E55" s="7" t="n">
        <v>0.4</v>
      </c>
      <c r="G55" s="8" t="s">
        <v>179</v>
      </c>
      <c r="H55" s="8" t="s">
        <v>180</v>
      </c>
      <c r="I55" s="8" t="s">
        <v>181</v>
      </c>
    </row>
    <row r="56" customFormat="false" ht="17.15" hidden="false" customHeight="false" outlineLevel="0" collapsed="false">
      <c r="A56" s="0" t="s">
        <v>182</v>
      </c>
      <c r="B56" s="0" t="s">
        <v>183</v>
      </c>
      <c r="C56" s="0" t="s">
        <v>30</v>
      </c>
      <c r="D56" s="7" t="n">
        <v>0.03</v>
      </c>
      <c r="E56" s="7" t="n">
        <v>0.05</v>
      </c>
      <c r="F56" s="7" t="n">
        <v>0.08</v>
      </c>
      <c r="G56" s="8" t="s">
        <v>179</v>
      </c>
      <c r="H56" s="8" t="s">
        <v>184</v>
      </c>
      <c r="I56" s="8" t="s">
        <v>101</v>
      </c>
    </row>
    <row r="57" customFormat="false" ht="17.15" hidden="false" customHeight="false" outlineLevel="0" collapsed="false">
      <c r="A57" s="0" t="s">
        <v>185</v>
      </c>
      <c r="B57" s="5" t="s">
        <v>186</v>
      </c>
      <c r="C57" s="0" t="s">
        <v>30</v>
      </c>
      <c r="D57" s="7" t="n">
        <v>0.55</v>
      </c>
      <c r="E57" s="7" t="n">
        <v>0.75</v>
      </c>
      <c r="F57" s="7" t="n">
        <v>0.95</v>
      </c>
      <c r="G57" s="8" t="s">
        <v>75</v>
      </c>
      <c r="H57" s="8" t="s">
        <v>187</v>
      </c>
      <c r="I57" s="8" t="s">
        <v>188</v>
      </c>
    </row>
    <row r="58" customFormat="false" ht="17.15" hidden="false" customHeight="false" outlineLevel="0" collapsed="false">
      <c r="A58" s="0" t="s">
        <v>189</v>
      </c>
      <c r="B58" s="5" t="s">
        <v>190</v>
      </c>
      <c r="C58" s="0" t="s">
        <v>30</v>
      </c>
      <c r="D58" s="7" t="n">
        <v>0.25</v>
      </c>
      <c r="E58" s="7" t="n">
        <v>0.3</v>
      </c>
      <c r="F58" s="7" t="n">
        <v>0.4</v>
      </c>
      <c r="G58" s="8" t="s">
        <v>75</v>
      </c>
      <c r="H58" s="5" t="s">
        <v>191</v>
      </c>
      <c r="I58" s="8" t="s">
        <v>192</v>
      </c>
    </row>
    <row r="59" customFormat="false" ht="17.15" hidden="false" customHeight="false" outlineLevel="0" collapsed="false">
      <c r="A59" s="0" t="s">
        <v>193</v>
      </c>
      <c r="B59" s="5" t="s">
        <v>194</v>
      </c>
      <c r="C59" s="0" t="s">
        <v>30</v>
      </c>
      <c r="D59" s="7" t="n">
        <v>0.7</v>
      </c>
      <c r="E59" s="7" t="n">
        <v>1</v>
      </c>
      <c r="F59" s="7" t="n">
        <v>1.3</v>
      </c>
      <c r="G59" s="8" t="s">
        <v>75</v>
      </c>
      <c r="H59" s="5" t="s">
        <v>195</v>
      </c>
      <c r="I59" s="5" t="s">
        <v>196</v>
      </c>
    </row>
    <row r="60" customFormat="false" ht="17.15" hidden="false" customHeight="false" outlineLevel="0" collapsed="false">
      <c r="A60" s="0" t="s">
        <v>197</v>
      </c>
      <c r="B60" s="5" t="s">
        <v>198</v>
      </c>
      <c r="C60" s="0" t="s">
        <v>163</v>
      </c>
      <c r="D60" s="7" t="n">
        <v>0.1</v>
      </c>
      <c r="E60" s="7" t="n">
        <v>0.25</v>
      </c>
      <c r="F60" s="7" t="n">
        <v>0.4</v>
      </c>
      <c r="G60" s="8" t="s">
        <v>75</v>
      </c>
      <c r="H60" s="5" t="s">
        <v>199</v>
      </c>
      <c r="I60" s="8" t="s">
        <v>101</v>
      </c>
    </row>
    <row r="61" customFormat="false" ht="17.15" hidden="false" customHeight="false" outlineLevel="0" collapsed="false">
      <c r="A61" s="0" t="s">
        <v>200</v>
      </c>
      <c r="B61" s="5" t="s">
        <v>201</v>
      </c>
      <c r="C61" s="0" t="s">
        <v>163</v>
      </c>
      <c r="D61" s="7" t="n">
        <v>0</v>
      </c>
      <c r="E61" s="7" t="n">
        <v>0.15</v>
      </c>
      <c r="F61" s="7" t="n">
        <v>0.3</v>
      </c>
      <c r="G61" s="8" t="s">
        <v>75</v>
      </c>
      <c r="H61" s="5" t="s">
        <v>36</v>
      </c>
      <c r="I61" s="8" t="s">
        <v>101</v>
      </c>
    </row>
    <row r="62" customFormat="false" ht="17.15" hidden="false" customHeight="false" outlineLevel="0" collapsed="false">
      <c r="A62" s="0" t="s">
        <v>202</v>
      </c>
      <c r="B62" s="5" t="s">
        <v>203</v>
      </c>
      <c r="C62" s="0" t="s">
        <v>163</v>
      </c>
      <c r="D62" s="7" t="n">
        <v>-0.05</v>
      </c>
      <c r="E62" s="7" t="n">
        <v>0.1</v>
      </c>
      <c r="F62" s="7" t="n">
        <v>0.2</v>
      </c>
      <c r="G62" s="8" t="s">
        <v>75</v>
      </c>
      <c r="H62" s="5" t="s">
        <v>36</v>
      </c>
      <c r="I62" s="8" t="s">
        <v>101</v>
      </c>
    </row>
    <row r="63" customFormat="false" ht="17.15" hidden="false" customHeight="false" outlineLevel="0" collapsed="false">
      <c r="A63" s="0" t="s">
        <v>204</v>
      </c>
      <c r="B63" s="5" t="s">
        <v>205</v>
      </c>
      <c r="C63" s="0" t="s">
        <v>163</v>
      </c>
      <c r="D63" s="7" t="n">
        <v>-0.05</v>
      </c>
      <c r="E63" s="7" t="n">
        <v>0.03</v>
      </c>
      <c r="F63" s="7" t="n">
        <v>0.1</v>
      </c>
      <c r="G63" s="8" t="s">
        <v>75</v>
      </c>
      <c r="H63" s="8" t="s">
        <v>206</v>
      </c>
      <c r="I63" s="5" t="s">
        <v>207</v>
      </c>
    </row>
    <row r="64" customFormat="false" ht="17.15" hidden="false" customHeight="false" outlineLevel="0" collapsed="false">
      <c r="A64" s="1" t="s">
        <v>208</v>
      </c>
    </row>
    <row r="65" customFormat="false" ht="17.15" hidden="false" customHeight="false" outlineLevel="0" collapsed="false">
      <c r="A65" s="0" t="s">
        <v>209</v>
      </c>
      <c r="B65" s="0" t="s">
        <v>210</v>
      </c>
      <c r="C65" s="0" t="s">
        <v>211</v>
      </c>
      <c r="E65" s="7" t="n">
        <v>808.4</v>
      </c>
      <c r="G65" s="8" t="s">
        <v>212</v>
      </c>
      <c r="H65" s="8" t="s">
        <v>213</v>
      </c>
      <c r="I65" s="8" t="s">
        <v>214</v>
      </c>
    </row>
    <row r="66" customFormat="false" ht="17.15" hidden="false" customHeight="false" outlineLevel="0" collapsed="false">
      <c r="A66" s="0" t="s">
        <v>215</v>
      </c>
      <c r="B66" s="0" t="s">
        <v>216</v>
      </c>
      <c r="C66" s="0" t="s">
        <v>211</v>
      </c>
      <c r="E66" s="7" t="n">
        <v>1006.3</v>
      </c>
      <c r="G66" s="8" t="s">
        <v>212</v>
      </c>
      <c r="H66" s="8" t="s">
        <v>217</v>
      </c>
      <c r="I66" s="8" t="s">
        <v>218</v>
      </c>
    </row>
    <row r="67" customFormat="false" ht="17.15" hidden="false" customHeight="false" outlineLevel="0" collapsed="false">
      <c r="A67" s="0" t="s">
        <v>219</v>
      </c>
      <c r="B67" s="0" t="s">
        <v>220</v>
      </c>
      <c r="C67" s="0" t="s">
        <v>211</v>
      </c>
      <c r="E67" s="7" t="n">
        <v>1250</v>
      </c>
      <c r="G67" s="8" t="s">
        <v>179</v>
      </c>
      <c r="H67" s="8" t="s">
        <v>221</v>
      </c>
      <c r="I67" s="8" t="s">
        <v>222</v>
      </c>
    </row>
    <row r="68" customFormat="false" ht="17.15" hidden="false" customHeight="false" outlineLevel="0" collapsed="false">
      <c r="A68" s="0" t="s">
        <v>223</v>
      </c>
      <c r="B68" s="0" t="s">
        <v>224</v>
      </c>
      <c r="C68" s="0" t="s">
        <v>163</v>
      </c>
      <c r="D68" s="7" t="n">
        <v>0.05</v>
      </c>
      <c r="E68" s="7" t="n">
        <v>0.12</v>
      </c>
      <c r="F68" s="7" t="n">
        <v>0.2</v>
      </c>
      <c r="G68" s="8" t="s">
        <v>75</v>
      </c>
      <c r="H68" s="8" t="s">
        <v>225</v>
      </c>
      <c r="I68" s="5" t="s">
        <v>226</v>
      </c>
    </row>
    <row r="69" customFormat="false" ht="17.15" hidden="false" customHeight="false" outlineLevel="0" collapsed="false">
      <c r="A69" s="0" t="s">
        <v>227</v>
      </c>
      <c r="B69" s="0" t="s">
        <v>228</v>
      </c>
      <c r="C69" s="0" t="s">
        <v>163</v>
      </c>
      <c r="E69" s="7" t="n">
        <v>0.4</v>
      </c>
      <c r="G69" s="8" t="s">
        <v>179</v>
      </c>
      <c r="H69" s="8" t="s">
        <v>229</v>
      </c>
      <c r="I69" s="8" t="s">
        <v>101</v>
      </c>
    </row>
    <row r="70" customFormat="false" ht="17.15" hidden="false" customHeight="false" outlineLevel="0" collapsed="false">
      <c r="A70" s="0" t="s">
        <v>230</v>
      </c>
      <c r="B70" s="0" t="s">
        <v>231</v>
      </c>
      <c r="C70" s="0" t="s">
        <v>232</v>
      </c>
      <c r="E70" s="7" t="n">
        <v>4.2</v>
      </c>
      <c r="G70" s="8" t="s">
        <v>179</v>
      </c>
      <c r="H70" s="8" t="s">
        <v>233</v>
      </c>
      <c r="I70" s="8" t="s">
        <v>234</v>
      </c>
    </row>
    <row r="71" customFormat="false" ht="17.15" hidden="false" customHeight="false" outlineLevel="0" collapsed="false">
      <c r="A71" s="0" t="s">
        <v>235</v>
      </c>
      <c r="B71" s="0" t="s">
        <v>236</v>
      </c>
      <c r="C71" s="5" t="s">
        <v>237</v>
      </c>
      <c r="E71" s="7" t="n">
        <v>102</v>
      </c>
      <c r="G71" s="8" t="s">
        <v>179</v>
      </c>
      <c r="H71" s="8" t="s">
        <v>238</v>
      </c>
      <c r="I71" s="8" t="s">
        <v>239</v>
      </c>
    </row>
    <row r="72" customFormat="false" ht="17.15" hidden="false" customHeight="false" outlineLevel="0" collapsed="false">
      <c r="A72" s="0" t="s">
        <v>240</v>
      </c>
      <c r="B72" s="0" t="s">
        <v>241</v>
      </c>
      <c r="C72" s="0" t="s">
        <v>163</v>
      </c>
      <c r="D72" s="7" t="n">
        <v>0.14</v>
      </c>
      <c r="E72" s="7" t="n">
        <v>0.165</v>
      </c>
      <c r="F72" s="7" t="n">
        <v>0.19</v>
      </c>
      <c r="G72" s="8" t="s">
        <v>179</v>
      </c>
      <c r="H72" s="8" t="s">
        <v>242</v>
      </c>
      <c r="I72" s="8" t="s">
        <v>101</v>
      </c>
    </row>
    <row r="73" customFormat="false" ht="17.15" hidden="false" customHeight="false" outlineLevel="0" collapsed="false">
      <c r="A73" s="0" t="s">
        <v>243</v>
      </c>
      <c r="B73" s="5" t="s">
        <v>244</v>
      </c>
      <c r="C73" s="0" t="s">
        <v>163</v>
      </c>
      <c r="D73" s="7" t="n">
        <v>0.44</v>
      </c>
      <c r="E73" s="7" t="n">
        <v>0.47</v>
      </c>
      <c r="F73" s="7" t="n">
        <v>0.5</v>
      </c>
      <c r="G73" s="8" t="s">
        <v>75</v>
      </c>
      <c r="H73" s="5" t="s">
        <v>245</v>
      </c>
      <c r="I73" s="5" t="s">
        <v>246</v>
      </c>
    </row>
    <row r="74" customFormat="false" ht="17.15" hidden="false" customHeight="false" outlineLevel="0" collapsed="false">
      <c r="A74" s="1" t="s">
        <v>247</v>
      </c>
    </row>
    <row r="75" customFormat="false" ht="17.15" hidden="false" customHeight="false" outlineLevel="0" collapsed="false">
      <c r="A75" s="0" t="s">
        <v>248</v>
      </c>
      <c r="B75" s="0" t="s">
        <v>249</v>
      </c>
      <c r="C75" s="0" t="s">
        <v>211</v>
      </c>
      <c r="E75" s="7" t="n">
        <v>1645</v>
      </c>
      <c r="G75" s="8" t="s">
        <v>212</v>
      </c>
      <c r="H75" s="8" t="s">
        <v>250</v>
      </c>
      <c r="I75" s="8" t="s">
        <v>251</v>
      </c>
    </row>
    <row r="76" customFormat="false" ht="17.15" hidden="false" customHeight="false" outlineLevel="0" collapsed="false">
      <c r="A76" s="0" t="s">
        <v>252</v>
      </c>
      <c r="B76" s="0" t="s">
        <v>253</v>
      </c>
      <c r="C76" s="0" t="s">
        <v>163</v>
      </c>
      <c r="E76" s="7" t="n">
        <v>0.347</v>
      </c>
      <c r="G76" s="8" t="s">
        <v>212</v>
      </c>
      <c r="H76" s="8" t="s">
        <v>254</v>
      </c>
      <c r="I76" s="8" t="s">
        <v>255</v>
      </c>
    </row>
    <row r="77" customFormat="false" ht="17.15" hidden="false" customHeight="false" outlineLevel="0" collapsed="false">
      <c r="A77" s="0" t="s">
        <v>256</v>
      </c>
      <c r="B77" s="0" t="s">
        <v>257</v>
      </c>
      <c r="C77" s="0" t="s">
        <v>211</v>
      </c>
      <c r="E77" s="0" t="n">
        <f aca="false">256+155.4</f>
        <v>411.4</v>
      </c>
      <c r="G77" s="0" t="s">
        <v>212</v>
      </c>
      <c r="H77" s="0" t="s">
        <v>258</v>
      </c>
      <c r="I77" s="0" t="s">
        <v>101</v>
      </c>
    </row>
    <row r="78" customFormat="false" ht="17.15" hidden="false" customHeight="false" outlineLevel="0" collapsed="false">
      <c r="A78" s="0" t="s">
        <v>259</v>
      </c>
      <c r="B78" s="0" t="s">
        <v>260</v>
      </c>
      <c r="C78" s="0" t="s">
        <v>211</v>
      </c>
      <c r="E78" s="7" t="n">
        <v>146.4</v>
      </c>
      <c r="G78" s="8" t="s">
        <v>212</v>
      </c>
      <c r="H78" s="8" t="s">
        <v>261</v>
      </c>
      <c r="I78" s="8" t="s">
        <v>262</v>
      </c>
    </row>
    <row r="79" customFormat="false" ht="17.15" hidden="false" customHeight="false" outlineLevel="0" collapsed="false">
      <c r="A79" s="0" t="s">
        <v>263</v>
      </c>
      <c r="B79" s="0" t="s">
        <v>264</v>
      </c>
      <c r="C79" s="0" t="s">
        <v>232</v>
      </c>
      <c r="E79" s="7" t="n">
        <v>2.06</v>
      </c>
      <c r="G79" s="8" t="s">
        <v>212</v>
      </c>
      <c r="H79" s="8" t="s">
        <v>265</v>
      </c>
      <c r="I79" s="8" t="s">
        <v>266</v>
      </c>
    </row>
    <row r="80" customFormat="false" ht="17.15" hidden="false" customHeight="false" outlineLevel="0" collapsed="false">
      <c r="A80" s="0" t="s">
        <v>267</v>
      </c>
      <c r="B80" s="0" t="s">
        <v>268</v>
      </c>
      <c r="C80" s="0" t="s">
        <v>211</v>
      </c>
      <c r="E80" s="7" t="n">
        <v>3014</v>
      </c>
      <c r="G80" s="8" t="s">
        <v>212</v>
      </c>
      <c r="H80" s="8" t="s">
        <v>269</v>
      </c>
      <c r="I80" s="8" t="s">
        <v>251</v>
      </c>
    </row>
    <row r="81" customFormat="false" ht="17.15" hidden="false" customHeight="false" outlineLevel="0" collapsed="false">
      <c r="A81" s="0" t="s">
        <v>270</v>
      </c>
      <c r="B81" s="0" t="s">
        <v>271</v>
      </c>
      <c r="C81" s="0" t="s">
        <v>163</v>
      </c>
      <c r="E81" s="7" t="n">
        <v>0.46</v>
      </c>
      <c r="G81" s="8" t="s">
        <v>212</v>
      </c>
      <c r="H81" s="8" t="s">
        <v>272</v>
      </c>
      <c r="I81" s="8" t="s">
        <v>273</v>
      </c>
    </row>
    <row r="82" customFormat="false" ht="17.15" hidden="false" customHeight="false" outlineLevel="0" collapsed="false">
      <c r="A82" s="0" t="s">
        <v>274</v>
      </c>
      <c r="B82" s="0" t="s">
        <v>275</v>
      </c>
      <c r="C82" s="0" t="s">
        <v>211</v>
      </c>
      <c r="E82" s="0" t="n">
        <f aca="false">304.8+184.9</f>
        <v>489.7</v>
      </c>
      <c r="G82" s="0" t="s">
        <v>212</v>
      </c>
      <c r="H82" s="0" t="s">
        <v>276</v>
      </c>
      <c r="I82" s="0" t="s">
        <v>101</v>
      </c>
    </row>
    <row r="83" customFormat="false" ht="17.15" hidden="false" customHeight="false" outlineLevel="0" collapsed="false">
      <c r="A83" s="0" t="s">
        <v>277</v>
      </c>
      <c r="B83" s="0" t="s">
        <v>278</v>
      </c>
      <c r="C83" s="0" t="s">
        <v>211</v>
      </c>
      <c r="E83" s="7" t="n">
        <v>782.3</v>
      </c>
      <c r="G83" s="8" t="s">
        <v>212</v>
      </c>
      <c r="H83" s="8" t="s">
        <v>279</v>
      </c>
      <c r="I83" s="8" t="s">
        <v>280</v>
      </c>
    </row>
    <row r="84" customFormat="false" ht="17.15" hidden="false" customHeight="false" outlineLevel="0" collapsed="false">
      <c r="A84" s="0" t="s">
        <v>281</v>
      </c>
      <c r="B84" s="0" t="s">
        <v>282</v>
      </c>
      <c r="C84" s="0" t="s">
        <v>232</v>
      </c>
      <c r="E84" s="7" t="n">
        <v>8.67</v>
      </c>
      <c r="G84" s="8" t="s">
        <v>212</v>
      </c>
      <c r="H84" s="8" t="s">
        <v>283</v>
      </c>
      <c r="I84" s="8" t="s">
        <v>284</v>
      </c>
    </row>
    <row r="85" customFormat="false" ht="17.15" hidden="false" customHeight="false" outlineLevel="0" collapsed="false">
      <c r="A85" s="1" t="s">
        <v>285</v>
      </c>
    </row>
    <row r="86" customFormat="false" ht="17.15" hidden="false" customHeight="false" outlineLevel="0" collapsed="false">
      <c r="A86" s="0" t="s">
        <v>286</v>
      </c>
      <c r="B86" s="0" t="s">
        <v>287</v>
      </c>
      <c r="C86" s="0" t="s">
        <v>163</v>
      </c>
      <c r="D86" s="7" t="n">
        <v>0.49</v>
      </c>
      <c r="E86" s="7" t="n">
        <v>0.52</v>
      </c>
      <c r="F86" s="7" t="n">
        <v>0.54</v>
      </c>
      <c r="G86" s="8" t="s">
        <v>75</v>
      </c>
      <c r="H86" s="8" t="s">
        <v>288</v>
      </c>
      <c r="I86" s="8" t="s">
        <v>289</v>
      </c>
    </row>
    <row r="87" customFormat="false" ht="17.15" hidden="false" customHeight="false" outlineLevel="0" collapsed="false">
      <c r="A87" s="0" t="s">
        <v>290</v>
      </c>
      <c r="B87" s="0" t="s">
        <v>291</v>
      </c>
      <c r="C87" s="0" t="s">
        <v>163</v>
      </c>
      <c r="D87" s="7" t="n">
        <v>0.46</v>
      </c>
      <c r="E87" s="7" t="n">
        <v>0.51</v>
      </c>
      <c r="F87" s="7" t="n">
        <v>0.54</v>
      </c>
      <c r="G87" s="8" t="s">
        <v>75</v>
      </c>
      <c r="H87" s="8" t="s">
        <v>292</v>
      </c>
      <c r="I87" s="8" t="s">
        <v>101</v>
      </c>
    </row>
    <row r="88" customFormat="false" ht="17.15" hidden="false" customHeight="false" outlineLevel="0" collapsed="false">
      <c r="A88" s="0" t="s">
        <v>293</v>
      </c>
      <c r="B88" s="0" t="s">
        <v>294</v>
      </c>
      <c r="C88" s="0" t="s">
        <v>163</v>
      </c>
      <c r="D88" s="7" t="n">
        <v>0.42</v>
      </c>
      <c r="E88" s="7" t="n">
        <v>0.49</v>
      </c>
      <c r="F88" s="7" t="n">
        <v>0.53</v>
      </c>
      <c r="G88" s="8" t="s">
        <v>75</v>
      </c>
      <c r="H88" s="5" t="s">
        <v>295</v>
      </c>
      <c r="I88" s="8" t="s">
        <v>101</v>
      </c>
    </row>
    <row r="89" customFormat="false" ht="17.15" hidden="false" customHeight="false" outlineLevel="0" collapsed="false">
      <c r="A89" s="0" t="s">
        <v>296</v>
      </c>
      <c r="B89" s="5" t="s">
        <v>297</v>
      </c>
      <c r="C89" s="0" t="s">
        <v>74</v>
      </c>
      <c r="D89" s="7" t="n">
        <v>0.1</v>
      </c>
      <c r="E89" s="9" t="n">
        <f aca="false">Q!B26</f>
        <v>0.228696716267175</v>
      </c>
      <c r="F89" s="7" t="n">
        <v>0.6</v>
      </c>
      <c r="G89" s="8" t="s">
        <v>31</v>
      </c>
      <c r="H89" s="8" t="s">
        <v>298</v>
      </c>
      <c r="I89" s="5" t="s">
        <v>299</v>
      </c>
    </row>
    <row r="90" customFormat="false" ht="17.15" hidden="false" customHeight="false" outlineLevel="0" collapsed="false">
      <c r="A90" s="0" t="s">
        <v>300</v>
      </c>
      <c r="B90" s="5" t="s">
        <v>301</v>
      </c>
      <c r="C90" s="0" t="s">
        <v>302</v>
      </c>
      <c r="D90" s="7" t="n">
        <v>-0.01</v>
      </c>
      <c r="E90" s="7" t="n">
        <v>0</v>
      </c>
      <c r="F90" s="7" t="n">
        <v>0.02</v>
      </c>
      <c r="G90" s="8" t="s">
        <v>75</v>
      </c>
      <c r="H90" s="5" t="s">
        <v>303</v>
      </c>
      <c r="I90" s="8" t="s">
        <v>304</v>
      </c>
    </row>
    <row r="91" customFormat="false" ht="17.15" hidden="false" customHeight="false" outlineLevel="0" collapsed="false">
      <c r="A91" s="0" t="s">
        <v>305</v>
      </c>
      <c r="B91" s="5" t="s">
        <v>306</v>
      </c>
      <c r="C91" s="0" t="s">
        <v>30</v>
      </c>
      <c r="D91" s="7" t="n">
        <v>0</v>
      </c>
      <c r="E91" s="8" t="n">
        <f aca="false">4*(eps_g*sh_q1/(1-tx)-om_g*q1g)/1000</f>
        <v>0.0522155688622756</v>
      </c>
      <c r="F91" s="7" t="n">
        <v>0.08</v>
      </c>
      <c r="G91" s="8" t="s">
        <v>31</v>
      </c>
      <c r="H91" s="5" t="s">
        <v>307</v>
      </c>
      <c r="I91" s="5" t="s">
        <v>308</v>
      </c>
    </row>
    <row r="92" customFormat="false" ht="17.15" hidden="false" customHeight="false" outlineLevel="0" collapsed="false">
      <c r="A92" s="0" t="s">
        <v>309</v>
      </c>
      <c r="B92" s="0" t="s">
        <v>310</v>
      </c>
      <c r="C92" s="0" t="s">
        <v>163</v>
      </c>
      <c r="D92" s="7" t="n">
        <v>0</v>
      </c>
      <c r="E92" s="7" t="n">
        <v>0.01</v>
      </c>
      <c r="F92" s="7" t="n">
        <v>0.03</v>
      </c>
      <c r="G92" s="8" t="s">
        <v>75</v>
      </c>
      <c r="H92" s="5" t="s">
        <v>311</v>
      </c>
      <c r="I92" s="8" t="s">
        <v>312</v>
      </c>
    </row>
    <row r="93" customFormat="false" ht="17.15" hidden="false" customHeight="false" outlineLevel="0" collapsed="false">
      <c r="A93" s="0" t="s">
        <v>313</v>
      </c>
      <c r="B93" s="0" t="s">
        <v>314</v>
      </c>
      <c r="C93" s="0" t="s">
        <v>74</v>
      </c>
      <c r="D93" s="7" t="n">
        <v>0.8</v>
      </c>
      <c r="E93" s="7" t="n">
        <v>1</v>
      </c>
      <c r="F93" s="7" t="n">
        <v>1.2</v>
      </c>
      <c r="G93" s="8" t="s">
        <v>75</v>
      </c>
      <c r="H93" s="5" t="s">
        <v>315</v>
      </c>
      <c r="I93" s="8" t="s">
        <v>316</v>
      </c>
    </row>
    <row r="94" customFormat="false" ht="17.15" hidden="false" customHeight="false" outlineLevel="0" collapsed="false">
      <c r="A94" s="1" t="s">
        <v>317</v>
      </c>
    </row>
    <row r="95" customFormat="false" ht="17.15" hidden="false" customHeight="false" outlineLevel="0" collapsed="false">
      <c r="A95" s="0" t="s">
        <v>318</v>
      </c>
      <c r="B95" s="5" t="s">
        <v>319</v>
      </c>
      <c r="C95" s="0" t="s">
        <v>30</v>
      </c>
      <c r="E95" s="7" t="n">
        <v>6.3</v>
      </c>
      <c r="G95" s="8" t="s">
        <v>179</v>
      </c>
      <c r="H95" s="8" t="s">
        <v>320</v>
      </c>
      <c r="I95" s="8" t="s">
        <v>321</v>
      </c>
    </row>
    <row r="96" customFormat="false" ht="17.15" hidden="false" customHeight="false" outlineLevel="0" collapsed="false">
      <c r="A96" s="0" t="s">
        <v>322</v>
      </c>
      <c r="B96" s="5" t="s">
        <v>323</v>
      </c>
      <c r="C96" s="0" t="s">
        <v>232</v>
      </c>
      <c r="E96" s="7" t="n">
        <v>21.79</v>
      </c>
      <c r="G96" s="8" t="s">
        <v>179</v>
      </c>
      <c r="H96" s="8" t="s">
        <v>324</v>
      </c>
      <c r="I96" s="8" t="s">
        <v>325</v>
      </c>
    </row>
    <row r="97" customFormat="false" ht="17.15" hidden="false" customHeight="false" outlineLevel="0" collapsed="false">
      <c r="A97" s="0" t="s">
        <v>326</v>
      </c>
      <c r="B97" s="5" t="s">
        <v>327</v>
      </c>
      <c r="C97" s="0" t="s">
        <v>232</v>
      </c>
      <c r="E97" s="7" t="n">
        <v>23.6</v>
      </c>
      <c r="G97" s="8" t="s">
        <v>179</v>
      </c>
      <c r="H97" s="5" t="s">
        <v>328</v>
      </c>
      <c r="I97" s="5" t="s">
        <v>329</v>
      </c>
    </row>
    <row r="98" customFormat="false" ht="17.15" hidden="false" customHeight="false" outlineLevel="0" collapsed="false">
      <c r="A98" s="0" t="s">
        <v>330</v>
      </c>
      <c r="B98" s="5" t="s">
        <v>331</v>
      </c>
      <c r="C98" s="0" t="s">
        <v>30</v>
      </c>
      <c r="E98" s="7" t="n">
        <v>2.4</v>
      </c>
      <c r="G98" s="8" t="s">
        <v>179</v>
      </c>
      <c r="H98" s="8" t="s">
        <v>332</v>
      </c>
      <c r="I98" s="5" t="s">
        <v>333</v>
      </c>
    </row>
    <row r="99" customFormat="false" ht="17.15" hidden="false" customHeight="false" outlineLevel="0" collapsed="false">
      <c r="A99" s="0" t="s">
        <v>334</v>
      </c>
      <c r="B99" s="5" t="s">
        <v>335</v>
      </c>
      <c r="C99" s="5" t="s">
        <v>336</v>
      </c>
      <c r="E99" s="0" t="n">
        <f aca="false">54.2+13</f>
        <v>67.2</v>
      </c>
      <c r="G99" s="0" t="s">
        <v>179</v>
      </c>
      <c r="H99" s="0" t="s">
        <v>337</v>
      </c>
      <c r="I99" s="5" t="s">
        <v>338</v>
      </c>
    </row>
    <row r="100" customFormat="false" ht="17.15" hidden="false" customHeight="false" outlineLevel="0" collapsed="false">
      <c r="A100" s="0" t="s">
        <v>339</v>
      </c>
      <c r="B100" s="5" t="s">
        <v>340</v>
      </c>
      <c r="C100" s="5" t="s">
        <v>336</v>
      </c>
      <c r="E100" s="0" t="n">
        <f aca="false">76.7+30.8</f>
        <v>107.5</v>
      </c>
      <c r="G100" s="0" t="s">
        <v>179</v>
      </c>
      <c r="H100" s="0" t="s">
        <v>341</v>
      </c>
      <c r="I100" s="5" t="s">
        <v>338</v>
      </c>
    </row>
    <row r="101" customFormat="false" ht="17.15" hidden="false" customHeight="false" outlineLevel="0" collapsed="false">
      <c r="A101" s="0" t="s">
        <v>342</v>
      </c>
      <c r="B101" s="5" t="s">
        <v>343</v>
      </c>
      <c r="C101" s="5" t="s">
        <v>336</v>
      </c>
      <c r="E101" s="0" t="n">
        <f aca="false">90.9+60.2</f>
        <v>151.1</v>
      </c>
      <c r="G101" s="0" t="s">
        <v>179</v>
      </c>
      <c r="H101" s="0" t="s">
        <v>344</v>
      </c>
      <c r="I101" s="5" t="s">
        <v>338</v>
      </c>
    </row>
    <row r="102" customFormat="false" ht="17.15" hidden="false" customHeight="false" outlineLevel="0" collapsed="false">
      <c r="A102" s="0" t="s">
        <v>345</v>
      </c>
      <c r="B102" s="0" t="s">
        <v>346</v>
      </c>
      <c r="C102" s="0" t="s">
        <v>163</v>
      </c>
      <c r="E102" s="7" t="n">
        <v>0.72</v>
      </c>
      <c r="G102" s="8" t="s">
        <v>179</v>
      </c>
      <c r="H102" s="5" t="s">
        <v>347</v>
      </c>
      <c r="I102" s="8" t="s">
        <v>348</v>
      </c>
    </row>
    <row r="103" customFormat="false" ht="17.15" hidden="false" customHeight="false" outlineLevel="0" collapsed="false">
      <c r="A103" s="0" t="s">
        <v>349</v>
      </c>
      <c r="B103" s="5" t="s">
        <v>350</v>
      </c>
      <c r="C103" s="0" t="s">
        <v>163</v>
      </c>
      <c r="E103" s="7" t="n">
        <v>0.266</v>
      </c>
      <c r="G103" s="8" t="s">
        <v>212</v>
      </c>
      <c r="H103" s="8" t="s">
        <v>351</v>
      </c>
      <c r="I103" s="5" t="s">
        <v>352</v>
      </c>
    </row>
    <row r="104" customFormat="false" ht="17.15" hidden="false" customHeight="false" outlineLevel="0" collapsed="false">
      <c r="A104" s="0" t="s">
        <v>353</v>
      </c>
      <c r="B104" s="5" t="s">
        <v>354</v>
      </c>
      <c r="C104" s="0" t="s">
        <v>74</v>
      </c>
      <c r="E104" s="7" t="n">
        <v>45</v>
      </c>
      <c r="G104" s="8" t="s">
        <v>179</v>
      </c>
      <c r="H104" s="8" t="s">
        <v>355</v>
      </c>
      <c r="I104" s="5" t="s">
        <v>356</v>
      </c>
    </row>
    <row r="105" customFormat="false" ht="17.15" hidden="false" customHeight="false" outlineLevel="0" collapsed="false">
      <c r="A105" s="1" t="s">
        <v>357</v>
      </c>
    </row>
    <row r="106" customFormat="false" ht="17.15" hidden="false" customHeight="false" outlineLevel="0" collapsed="false">
      <c r="A106" s="0" t="s">
        <v>358</v>
      </c>
      <c r="B106" s="5" t="s">
        <v>359</v>
      </c>
      <c r="C106" s="0" t="s">
        <v>232</v>
      </c>
      <c r="E106" s="7" t="n">
        <v>756.17</v>
      </c>
      <c r="G106" s="8" t="s">
        <v>179</v>
      </c>
      <c r="H106" s="8" t="s">
        <v>360</v>
      </c>
      <c r="I106" s="8" t="s">
        <v>361</v>
      </c>
    </row>
    <row r="107" customFormat="false" ht="17.15" hidden="false" customHeight="false" outlineLevel="0" collapsed="false">
      <c r="A107" s="0" t="s">
        <v>362</v>
      </c>
      <c r="B107" s="0" t="s">
        <v>363</v>
      </c>
      <c r="C107" s="0" t="s">
        <v>232</v>
      </c>
      <c r="E107" s="7" t="n">
        <v>1143</v>
      </c>
      <c r="G107" s="8" t="s">
        <v>179</v>
      </c>
      <c r="H107" s="5" t="s">
        <v>364</v>
      </c>
      <c r="I107" s="8" t="s">
        <v>365</v>
      </c>
    </row>
    <row r="108" customFormat="false" ht="17.15" hidden="false" customHeight="false" outlineLevel="0" collapsed="false">
      <c r="A108" s="0" t="s">
        <v>366</v>
      </c>
      <c r="B108" s="5" t="s">
        <v>367</v>
      </c>
      <c r="C108" s="5" t="s">
        <v>237</v>
      </c>
      <c r="E108" s="7" t="n">
        <v>89.7</v>
      </c>
      <c r="G108" s="8" t="s">
        <v>212</v>
      </c>
      <c r="H108" s="8" t="s">
        <v>368</v>
      </c>
      <c r="I108" s="8" t="s">
        <v>101</v>
      </c>
    </row>
    <row r="109" customFormat="false" ht="17.15" hidden="false" customHeight="false" outlineLevel="0" collapsed="false">
      <c r="A109" s="10" t="s">
        <v>369</v>
      </c>
      <c r="B109" s="11" t="s">
        <v>370</v>
      </c>
      <c r="C109" s="10" t="s">
        <v>163</v>
      </c>
      <c r="D109" s="10"/>
      <c r="E109" s="12" t="n">
        <v>0.3</v>
      </c>
      <c r="F109" s="10"/>
      <c r="G109" s="10" t="s">
        <v>75</v>
      </c>
      <c r="H109" s="10" t="s">
        <v>371</v>
      </c>
      <c r="I109" s="11" t="s">
        <v>372</v>
      </c>
    </row>
    <row r="110" customFormat="false" ht="17.15" hidden="false" customHeight="false" outlineLevel="0" collapsed="false">
      <c r="A110" s="10" t="s">
        <v>373</v>
      </c>
      <c r="B110" s="11" t="s">
        <v>374</v>
      </c>
      <c r="C110" s="10" t="s">
        <v>163</v>
      </c>
      <c r="D110" s="10"/>
      <c r="E110" s="12" t="n">
        <v>0.5</v>
      </c>
      <c r="F110" s="10"/>
      <c r="G110" s="10" t="s">
        <v>75</v>
      </c>
      <c r="H110" s="10" t="s">
        <v>371</v>
      </c>
      <c r="I110" s="11" t="s">
        <v>372</v>
      </c>
    </row>
    <row r="111" customFormat="false" ht="17.15" hidden="false" customHeight="false" outlineLevel="0" collapsed="false">
      <c r="A111" s="10" t="s">
        <v>375</v>
      </c>
      <c r="B111" s="11" t="s">
        <v>376</v>
      </c>
      <c r="C111" s="10" t="s">
        <v>163</v>
      </c>
      <c r="D111" s="10"/>
      <c r="E111" s="12" t="n">
        <v>0.2</v>
      </c>
      <c r="F111" s="10"/>
      <c r="G111" s="10" t="s">
        <v>75</v>
      </c>
      <c r="H111" s="10" t="s">
        <v>371</v>
      </c>
      <c r="I111" s="11" t="s">
        <v>372</v>
      </c>
    </row>
    <row r="112" customFormat="false" ht="17.15" hidden="false" customHeight="false" outlineLevel="0" collapsed="false">
      <c r="A112" s="1" t="s">
        <v>377</v>
      </c>
    </row>
    <row r="113" customFormat="false" ht="17.15" hidden="false" customHeight="false" outlineLevel="0" collapsed="false">
      <c r="A113" s="10" t="s">
        <v>378</v>
      </c>
      <c r="B113" s="11" t="s">
        <v>379</v>
      </c>
      <c r="C113" s="10" t="s">
        <v>163</v>
      </c>
      <c r="D113" s="10"/>
      <c r="E113" s="12" t="n">
        <v>0.1</v>
      </c>
      <c r="F113" s="10"/>
      <c r="G113" s="10" t="s">
        <v>75</v>
      </c>
      <c r="H113" s="10" t="s">
        <v>380</v>
      </c>
      <c r="I113" s="10" t="s">
        <v>381</v>
      </c>
    </row>
    <row r="114" customFormat="false" ht="17.15" hidden="false" customHeight="false" outlineLevel="0" collapsed="false">
      <c r="A114" s="10" t="s">
        <v>382</v>
      </c>
      <c r="B114" s="11" t="s">
        <v>383</v>
      </c>
      <c r="C114" s="10" t="s">
        <v>163</v>
      </c>
      <c r="D114" s="10"/>
      <c r="E114" s="12" t="n">
        <v>0.04</v>
      </c>
      <c r="F114" s="10"/>
      <c r="G114" s="10" t="s">
        <v>75</v>
      </c>
      <c r="H114" s="10" t="s">
        <v>384</v>
      </c>
      <c r="I114" s="10" t="s">
        <v>101</v>
      </c>
    </row>
    <row r="115" customFormat="false" ht="17.15" hidden="false" customHeight="false" outlineLevel="0" collapsed="false">
      <c r="A115" s="10" t="s">
        <v>385</v>
      </c>
      <c r="B115" s="10" t="s">
        <v>386</v>
      </c>
      <c r="C115" s="10" t="s">
        <v>163</v>
      </c>
      <c r="D115" s="10"/>
      <c r="E115" s="12" t="n">
        <v>0.2</v>
      </c>
      <c r="F115" s="10"/>
      <c r="G115" s="10" t="s">
        <v>75</v>
      </c>
      <c r="H115" s="11" t="s">
        <v>387</v>
      </c>
      <c r="I115" s="11" t="s">
        <v>388</v>
      </c>
    </row>
    <row r="116" customFormat="false" ht="17.15" hidden="false" customHeight="false" outlineLevel="0" collapsed="false">
      <c r="A116" s="10" t="s">
        <v>389</v>
      </c>
      <c r="B116" s="11" t="s">
        <v>390</v>
      </c>
      <c r="C116" s="10" t="s">
        <v>163</v>
      </c>
      <c r="D116" s="10"/>
      <c r="E116" s="12" t="n">
        <v>0.5</v>
      </c>
      <c r="F116" s="10"/>
      <c r="G116" s="10" t="s">
        <v>75</v>
      </c>
      <c r="H116" s="10" t="s">
        <v>391</v>
      </c>
      <c r="I116" s="10" t="s">
        <v>101</v>
      </c>
    </row>
    <row r="117" customFormat="false" ht="17.15" hidden="false" customHeight="false" outlineLevel="0" collapsed="false">
      <c r="A117" s="10" t="s">
        <v>392</v>
      </c>
      <c r="B117" s="11" t="s">
        <v>393</v>
      </c>
      <c r="C117" s="10" t="s">
        <v>163</v>
      </c>
      <c r="D117" s="10"/>
      <c r="E117" s="10" t="n">
        <f aca="false">tp_g+0.02</f>
        <v>0.06</v>
      </c>
      <c r="F117" s="10"/>
      <c r="G117" s="10" t="s">
        <v>75</v>
      </c>
      <c r="H117" s="11" t="s">
        <v>394</v>
      </c>
      <c r="I117" s="10" t="s">
        <v>395</v>
      </c>
    </row>
    <row r="118" customFormat="false" ht="17.15" hidden="false" customHeight="false" outlineLevel="0" collapsed="false">
      <c r="A118" s="10" t="s">
        <v>396</v>
      </c>
      <c r="B118" s="11" t="s">
        <v>397</v>
      </c>
      <c r="C118" s="10" t="s">
        <v>163</v>
      </c>
      <c r="D118" s="10"/>
      <c r="E118" s="10" t="n">
        <f aca="false">tp_g</f>
        <v>0.04</v>
      </c>
      <c r="F118" s="10"/>
      <c r="G118" s="10" t="s">
        <v>75</v>
      </c>
      <c r="H118" s="11" t="s">
        <v>36</v>
      </c>
      <c r="I118" s="10" t="s">
        <v>101</v>
      </c>
    </row>
    <row r="119" customFormat="false" ht="17.15" hidden="false" customHeight="false" outlineLevel="0" collapsed="false">
      <c r="A119" s="10" t="s">
        <v>398</v>
      </c>
      <c r="B119" s="11" t="s">
        <v>399</v>
      </c>
      <c r="C119" s="10" t="s">
        <v>163</v>
      </c>
      <c r="D119" s="10"/>
      <c r="E119" s="10" t="n">
        <f aca="false">tp_g-0.02</f>
        <v>0.02</v>
      </c>
      <c r="F119" s="10"/>
      <c r="G119" s="10" t="s">
        <v>75</v>
      </c>
      <c r="H119" s="11" t="s">
        <v>36</v>
      </c>
      <c r="I119" s="10" t="s">
        <v>101</v>
      </c>
    </row>
    <row r="120" customFormat="false" ht="17.15" hidden="false" customHeight="false" outlineLevel="0" collapsed="false">
      <c r="A120" s="10" t="s">
        <v>400</v>
      </c>
      <c r="B120" s="11" t="s">
        <v>401</v>
      </c>
      <c r="C120" s="10" t="s">
        <v>163</v>
      </c>
      <c r="D120" s="10"/>
      <c r="E120" s="13" t="n">
        <f aca="false">PL!$G$101</f>
        <v>0.356404426160928</v>
      </c>
      <c r="F120" s="10"/>
      <c r="G120" s="10" t="s">
        <v>31</v>
      </c>
      <c r="H120" s="10" t="s">
        <v>402</v>
      </c>
      <c r="I120" s="10" t="s">
        <v>101</v>
      </c>
    </row>
    <row r="121" customFormat="false" ht="17.15" hidden="false" customHeight="false" outlineLevel="0" collapsed="false">
      <c r="A121" s="10" t="s">
        <v>403</v>
      </c>
      <c r="B121" s="11" t="s">
        <v>404</v>
      </c>
      <c r="C121" s="10" t="s">
        <v>163</v>
      </c>
      <c r="D121" s="10"/>
      <c r="E121" s="10" t="n">
        <f aca="false">(PL!$G$148+PL!$G$148*0.8)/2</f>
        <v>0.314941607162835</v>
      </c>
      <c r="F121" s="10"/>
      <c r="G121" s="10" t="s">
        <v>75</v>
      </c>
      <c r="H121" s="11" t="s">
        <v>405</v>
      </c>
      <c r="I121" s="10" t="s">
        <v>406</v>
      </c>
    </row>
    <row r="122" customFormat="false" ht="17.15" hidden="false" customHeight="false" outlineLevel="0" collapsed="false">
      <c r="A122" s="10" t="s">
        <v>407</v>
      </c>
      <c r="B122" s="11" t="s">
        <v>408</v>
      </c>
      <c r="C122" s="10" t="s">
        <v>163</v>
      </c>
      <c r="D122" s="10"/>
      <c r="E122" s="10" t="n">
        <f aca="false">PL!$G$195*0.8</f>
        <v>0.268724997346692</v>
      </c>
      <c r="F122" s="10"/>
      <c r="G122" s="10" t="s">
        <v>75</v>
      </c>
      <c r="H122" s="11" t="s">
        <v>409</v>
      </c>
      <c r="I122" s="10" t="s">
        <v>406</v>
      </c>
    </row>
    <row r="123" customFormat="false" ht="17.15" hidden="false" customHeight="false" outlineLevel="0" collapsed="false">
      <c r="A123" s="10" t="s">
        <v>410</v>
      </c>
      <c r="B123" s="11" t="s">
        <v>411</v>
      </c>
      <c r="C123" s="10" t="s">
        <v>232</v>
      </c>
      <c r="D123" s="10"/>
      <c r="E123" s="12" t="n">
        <v>1165.03</v>
      </c>
      <c r="F123" s="10"/>
      <c r="G123" s="10" t="s">
        <v>179</v>
      </c>
      <c r="H123" s="10" t="s">
        <v>412</v>
      </c>
      <c r="I123" s="11" t="s">
        <v>413</v>
      </c>
    </row>
    <row r="124" customFormat="false" ht="17.15" hidden="false" customHeight="false" outlineLevel="0" collapsed="false">
      <c r="A124" s="10" t="s">
        <v>414</v>
      </c>
      <c r="B124" s="11" t="s">
        <v>415</v>
      </c>
      <c r="C124" s="10" t="s">
        <v>232</v>
      </c>
      <c r="D124" s="10"/>
      <c r="E124" s="10" t="n">
        <f aca="false">cons_eps28</f>
        <v>23.6</v>
      </c>
      <c r="F124" s="10"/>
      <c r="G124" s="10" t="s">
        <v>31</v>
      </c>
      <c r="H124" s="10" t="s">
        <v>416</v>
      </c>
      <c r="I124" s="11" t="s">
        <v>417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3"/>
    <col collapsed="false" customWidth="true" hidden="false" outlineLevel="0" max="10" min="10" style="0" width="26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0" t="s">
        <v>418</v>
      </c>
    </row>
    <row r="2" customFormat="false" ht="17.15" hidden="false" customHeight="false" outlineLevel="0" collapsed="false">
      <c r="A2" s="0" t="s">
        <v>419</v>
      </c>
    </row>
    <row r="3" customFormat="false" ht="17.15" hidden="false" customHeight="false" outlineLevel="0" collapsed="false">
      <c r="A3" s="6" t="s">
        <v>19</v>
      </c>
      <c r="B3" s="14" t="s">
        <v>420</v>
      </c>
      <c r="C3" s="14" t="s">
        <v>421</v>
      </c>
      <c r="D3" s="14" t="s">
        <v>422</v>
      </c>
      <c r="E3" s="14" t="s">
        <v>423</v>
      </c>
      <c r="F3" s="14" t="s">
        <v>424</v>
      </c>
      <c r="G3" s="14" t="s">
        <v>425</v>
      </c>
      <c r="H3" s="14" t="s">
        <v>426</v>
      </c>
      <c r="I3" s="14" t="s">
        <v>427</v>
      </c>
      <c r="J3" s="6" t="s">
        <v>24</v>
      </c>
      <c r="K3" s="6" t="s">
        <v>428</v>
      </c>
    </row>
    <row r="4" customFormat="false" ht="17.15" hidden="false" customHeight="false" outlineLevel="0" collapsed="false">
      <c r="A4" s="5" t="s">
        <v>429</v>
      </c>
      <c r="B4" s="15" t="n">
        <f aca="false">a25_rev_in</f>
        <v>1645</v>
      </c>
      <c r="C4" s="15" t="n">
        <f aca="false">a26_rev_in</f>
        <v>3014</v>
      </c>
      <c r="D4" s="15" t="n">
        <f aca="false">q3_26</f>
        <v>808.4</v>
      </c>
      <c r="E4" s="15" t="n">
        <f aca="false">q4_26</f>
        <v>1006.3</v>
      </c>
      <c r="F4" s="15" t="n">
        <f aca="false">q1g</f>
        <v>1250</v>
      </c>
      <c r="G4" s="15" t="n">
        <f aca="false">F4*(1+q_g)</f>
        <v>1400</v>
      </c>
      <c r="H4" s="15" t="n">
        <f aca="false">D4+E4+F4+G4</f>
        <v>4464.7</v>
      </c>
      <c r="I4" s="15" t="n">
        <f aca="false">F4+G4</f>
        <v>2650</v>
      </c>
      <c r="J4" s="8" t="s">
        <v>430</v>
      </c>
      <c r="K4" s="8" t="s">
        <v>431</v>
      </c>
    </row>
    <row r="5" customFormat="false" ht="17.15" hidden="false" customHeight="false" outlineLevel="0" collapsed="false">
      <c r="A5" s="5" t="s">
        <v>432</v>
      </c>
      <c r="B5" s="16" t="n">
        <f aca="false">a25_gm_in</f>
        <v>0.347</v>
      </c>
      <c r="C5" s="16" t="n">
        <f aca="false">a26_gm_in</f>
        <v>0.46</v>
      </c>
      <c r="J5" s="8" t="s">
        <v>212</v>
      </c>
    </row>
    <row r="6" customFormat="false" ht="15" hidden="false" customHeight="false" outlineLevel="0" collapsed="false">
      <c r="A6" s="5" t="s">
        <v>433</v>
      </c>
      <c r="B6" s="15" t="n">
        <f aca="false">B4*B5</f>
        <v>570.815</v>
      </c>
      <c r="C6" s="15" t="n">
        <f aca="false">C4*C5</f>
        <v>1386.44</v>
      </c>
      <c r="J6" s="8" t="s">
        <v>31</v>
      </c>
    </row>
    <row r="7" customFormat="false" ht="17.15" hidden="false" customHeight="false" outlineLevel="0" collapsed="false">
      <c r="A7" s="5" t="s">
        <v>434</v>
      </c>
      <c r="B7" s="15" t="n">
        <f aca="false">a25_opx_in</f>
        <v>411.4</v>
      </c>
      <c r="C7" s="15" t="n">
        <f aca="false">a26_opx_in</f>
        <v>489.7</v>
      </c>
      <c r="J7" s="8" t="s">
        <v>212</v>
      </c>
    </row>
    <row r="8" customFormat="false" ht="17.15" hidden="false" customHeight="false" outlineLevel="0" collapsed="false">
      <c r="A8" s="5" t="s">
        <v>435</v>
      </c>
      <c r="B8" s="15" t="n">
        <f aca="false">B6-B7</f>
        <v>159.415</v>
      </c>
      <c r="C8" s="15" t="n">
        <f aca="false">C6-C7</f>
        <v>896.74</v>
      </c>
      <c r="F8" s="15" t="n">
        <f aca="false">F4*om_g</f>
        <v>500</v>
      </c>
      <c r="J8" s="8" t="s">
        <v>31</v>
      </c>
      <c r="K8" s="8" t="s">
        <v>436</v>
      </c>
    </row>
    <row r="9" customFormat="false" ht="15" hidden="false" customHeight="false" outlineLevel="0" collapsed="false">
      <c r="A9" s="5" t="s">
        <v>437</v>
      </c>
      <c r="B9" s="16" t="n">
        <f aca="false">B8/B4</f>
        <v>0.0969088145896656</v>
      </c>
      <c r="C9" s="16" t="n">
        <f aca="false">C8/C4</f>
        <v>0.297524883875249</v>
      </c>
      <c r="F9" s="16" t="n">
        <f aca="false">F8/F4</f>
        <v>0.4</v>
      </c>
      <c r="J9" s="8" t="s">
        <v>31</v>
      </c>
    </row>
    <row r="10" customFormat="false" ht="17.15" hidden="false" customHeight="false" outlineLevel="0" collapsed="false">
      <c r="A10" s="5" t="s">
        <v>438</v>
      </c>
      <c r="B10" s="15" t="n">
        <f aca="false">a25_ni_in</f>
        <v>146.4</v>
      </c>
      <c r="C10" s="15" t="n">
        <f aca="false">a26_ni_in</f>
        <v>782.3</v>
      </c>
      <c r="F10" s="15" t="n">
        <f aca="false">eps_g*sh_q1</f>
        <v>428.4</v>
      </c>
      <c r="J10" s="8" t="s">
        <v>439</v>
      </c>
    </row>
    <row r="11" customFormat="false" ht="17.15" hidden="false" customHeight="false" outlineLevel="0" collapsed="false">
      <c r="A11" s="5" t="s">
        <v>440</v>
      </c>
      <c r="B11" s="17" t="n">
        <f aca="false">B10/B8</f>
        <v>0.91835774550701</v>
      </c>
      <c r="C11" s="17" t="n">
        <f aca="false">C10/C8</f>
        <v>0.87238218435667</v>
      </c>
      <c r="F11" s="17" t="n">
        <f aca="false">F10/F8</f>
        <v>0.8568</v>
      </c>
      <c r="J11" s="8" t="s">
        <v>31</v>
      </c>
      <c r="K11" s="8" t="s">
        <v>441</v>
      </c>
    </row>
    <row r="12" customFormat="false" ht="17.15" hidden="false" customHeight="false" outlineLevel="0" collapsed="false">
      <c r="A12" s="5" t="s">
        <v>442</v>
      </c>
      <c r="B12" s="15" t="n">
        <f aca="false">B10/B13</f>
        <v>71.0679611650485</v>
      </c>
      <c r="C12" s="15" t="n">
        <f aca="false">C10/C13</f>
        <v>90.2306805074971</v>
      </c>
      <c r="F12" s="15" t="n">
        <f aca="false">sh_q1</f>
        <v>102</v>
      </c>
      <c r="J12" s="8" t="s">
        <v>31</v>
      </c>
      <c r="K12" s="5" t="s">
        <v>443</v>
      </c>
    </row>
    <row r="13" customFormat="false" ht="17.15" hidden="false" customHeight="false" outlineLevel="0" collapsed="false">
      <c r="A13" s="0" t="s">
        <v>444</v>
      </c>
      <c r="B13" s="9" t="n">
        <f aca="false">a25_eps_in</f>
        <v>2.06</v>
      </c>
      <c r="C13" s="9" t="n">
        <f aca="false">a26_eps_in</f>
        <v>8.67</v>
      </c>
      <c r="F13" s="9" t="n">
        <f aca="false">eps_g</f>
        <v>4.2</v>
      </c>
      <c r="J13" s="8" t="s">
        <v>212</v>
      </c>
    </row>
    <row r="14" customFormat="false" ht="17.15" hidden="false" customHeight="false" outlineLevel="0" collapsed="false">
      <c r="A14" s="5" t="s">
        <v>445</v>
      </c>
      <c r="H14" s="15" t="n">
        <f aca="false">(ocs_1h+ocs_2h)*1000</f>
        <v>500</v>
      </c>
      <c r="J14" s="8" t="s">
        <v>446</v>
      </c>
      <c r="K14" s="8" t="s">
        <v>447</v>
      </c>
    </row>
    <row r="15" customFormat="false" ht="17.15" hidden="false" customHeight="false" outlineLevel="0" collapsed="false">
      <c r="A15" s="5" t="s">
        <v>448</v>
      </c>
      <c r="H15" s="15" t="n">
        <f aca="false">cpo_a26*1000</f>
        <v>50</v>
      </c>
      <c r="J15" s="8" t="s">
        <v>179</v>
      </c>
    </row>
    <row r="16" customFormat="false" ht="17.15" hidden="false" customHeight="false" outlineLevel="0" collapsed="false">
      <c r="A16" s="5" t="s">
        <v>449</v>
      </c>
      <c r="H16" s="15" t="n">
        <f aca="false">tel_a26*1000</f>
        <v>750</v>
      </c>
      <c r="J16" s="8" t="s">
        <v>75</v>
      </c>
    </row>
    <row r="17" customFormat="false" ht="17.15" hidden="false" customHeight="false" outlineLevel="0" collapsed="false">
      <c r="A17" s="5" t="s">
        <v>450</v>
      </c>
      <c r="H17" s="15" t="n">
        <f aca="false">ind_a26*1000</f>
        <v>300</v>
      </c>
      <c r="J17" s="8" t="s">
        <v>75</v>
      </c>
    </row>
    <row r="18" customFormat="false" ht="15" hidden="false" customHeight="false" outlineLevel="0" collapsed="false">
      <c r="A18" s="5" t="s">
        <v>451</v>
      </c>
      <c r="H18" s="15" t="n">
        <f aca="false">xcvr_a26*1000</f>
        <v>1000</v>
      </c>
      <c r="J18" s="8" t="s">
        <v>75</v>
      </c>
    </row>
    <row r="19" customFormat="false" ht="17.15" hidden="false" customHeight="false" outlineLevel="0" collapsed="false">
      <c r="A19" s="5" t="s">
        <v>452</v>
      </c>
      <c r="H19" s="15" t="n">
        <f aca="false">H4-SUM(H14:H18)</f>
        <v>1864.7</v>
      </c>
      <c r="J19" s="8" t="s">
        <v>453</v>
      </c>
      <c r="K19" s="5" t="s">
        <v>454</v>
      </c>
    </row>
    <row r="20" customFormat="false" ht="17.15" hidden="false" customHeight="false" outlineLevel="0" collapsed="false">
      <c r="A20" s="0" t="s">
        <v>455</v>
      </c>
      <c r="H20" s="16" t="n">
        <f aca="false">(H19+H18+H14+H15)/H4</f>
        <v>0.764821824534683</v>
      </c>
      <c r="J20" s="8" t="s">
        <v>31</v>
      </c>
    </row>
    <row r="22" customFormat="false" ht="15" hidden="false" customHeight="false" outlineLevel="0" collapsed="false">
      <c r="A22" s="3" t="s">
        <v>456</v>
      </c>
    </row>
    <row r="23" customFormat="false" ht="17.15" hidden="false" customHeight="false" outlineLevel="0" collapsed="false">
      <c r="A23" s="0" t="s">
        <v>457</v>
      </c>
      <c r="B23" s="16" t="n">
        <f aca="false">C4/B4-1</f>
        <v>0.832218844984803</v>
      </c>
    </row>
    <row r="24" customFormat="false" ht="17.15" hidden="false" customHeight="false" outlineLevel="0" collapsed="false">
      <c r="A24" s="0" t="s">
        <v>458</v>
      </c>
      <c r="B24" s="16" t="n">
        <f aca="false">C7/B7-1</f>
        <v>0.190325717063685</v>
      </c>
    </row>
    <row r="25" customFormat="false" ht="17.15" hidden="false" customHeight="false" outlineLevel="0" collapsed="false">
      <c r="A25" s="0" t="s">
        <v>459</v>
      </c>
      <c r="B25" s="16" t="n">
        <f aca="false">I4/H4</f>
        <v>0.593544919031514</v>
      </c>
    </row>
    <row r="26" customFormat="false" ht="17.15" hidden="false" customHeight="false" outlineLevel="0" collapsed="false">
      <c r="A26" s="5" t="s">
        <v>460</v>
      </c>
      <c r="B26" s="9" t="n">
        <f aca="false">B24/B23</f>
        <v>0.228696716267175</v>
      </c>
    </row>
    <row r="27" customFormat="false" ht="17.15" hidden="false" customHeight="false" outlineLevel="0" collapsed="false">
      <c r="A27" s="5" t="s">
        <v>461</v>
      </c>
      <c r="B27" s="16" t="n">
        <f aca="false">649.4/1006.3</f>
        <v>0.645334393322071</v>
      </c>
    </row>
    <row r="28" customFormat="false" ht="15" hidden="false" customHeight="false" outlineLevel="0" collapsed="false">
      <c r="A28" s="0" t="s">
        <v>462</v>
      </c>
      <c r="B28" s="16" t="n">
        <f aca="false">(D4+E4)/H4</f>
        <v>0.406455080968486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0" t="s">
        <v>463</v>
      </c>
    </row>
    <row r="3" customFormat="false" ht="15" hidden="false" customHeight="false" outlineLevel="0" collapsed="false">
      <c r="A3" s="6" t="s">
        <v>19</v>
      </c>
      <c r="B3" s="6" t="s">
        <v>20</v>
      </c>
      <c r="C3" s="14" t="s">
        <v>464</v>
      </c>
      <c r="D3" s="14" t="s">
        <v>465</v>
      </c>
      <c r="E3" s="14" t="s">
        <v>466</v>
      </c>
      <c r="F3" s="14" t="s">
        <v>467</v>
      </c>
      <c r="G3" s="6" t="s">
        <v>428</v>
      </c>
    </row>
    <row r="4" customFormat="false" ht="17.15" hidden="false" customHeight="false" outlineLevel="0" collapsed="false">
      <c r="A4" s="5" t="s">
        <v>468</v>
      </c>
      <c r="B4" s="5" t="s">
        <v>336</v>
      </c>
      <c r="C4" s="15" t="n">
        <f aca="false">PL!C65</f>
        <v>59.506524</v>
      </c>
      <c r="D4" s="15" t="n">
        <f aca="false">PL!D65</f>
        <v>105.169825</v>
      </c>
      <c r="E4" s="15" t="n">
        <f aca="false">PL!E65</f>
        <v>113.35787037037</v>
      </c>
      <c r="F4" s="15" t="n">
        <f aca="false">PL!F65</f>
        <v>140.729428571429</v>
      </c>
      <c r="G4" s="5" t="s">
        <v>469</v>
      </c>
    </row>
    <row r="5" customFormat="false" ht="17.15" hidden="false" customHeight="false" outlineLevel="0" collapsed="false">
      <c r="A5" s="5" t="s">
        <v>470</v>
      </c>
      <c r="B5" s="5" t="s">
        <v>108</v>
      </c>
      <c r="C5" s="18" t="n">
        <f aca="false">PL!C66</f>
        <v>5.5</v>
      </c>
      <c r="D5" s="18" t="n">
        <f aca="false">PL!D66</f>
        <v>5.5</v>
      </c>
      <c r="E5" s="18" t="n">
        <f aca="false">PL!E66</f>
        <v>5</v>
      </c>
      <c r="F5" s="18" t="n">
        <f aca="false">PL!F66</f>
        <v>4.8</v>
      </c>
      <c r="G5" s="8" t="s">
        <v>471</v>
      </c>
    </row>
    <row r="6" customFormat="false" ht="15" hidden="false" customHeight="false" outlineLevel="0" collapsed="false">
      <c r="A6" s="5" t="s">
        <v>472</v>
      </c>
      <c r="B6" s="0" t="s">
        <v>30</v>
      </c>
      <c r="C6" s="19" t="n">
        <f aca="false">PL!C68</f>
        <v>4.254716466</v>
      </c>
      <c r="D6" s="19" t="n">
        <f aca="false">PL!D68</f>
        <v>8.6765105625</v>
      </c>
      <c r="E6" s="19" t="n">
        <f aca="false">PL!E68</f>
        <v>8.50184027777778</v>
      </c>
      <c r="F6" s="19" t="n">
        <f aca="false">PL!F68</f>
        <v>9.4570176</v>
      </c>
    </row>
    <row r="7" customFormat="false" ht="17.15" hidden="false" customHeight="false" outlineLevel="0" collapsed="false">
      <c r="A7" s="0" t="s">
        <v>473</v>
      </c>
      <c r="B7" s="0" t="s">
        <v>163</v>
      </c>
      <c r="C7" s="16" t="n">
        <f aca="false">PL!C71</f>
        <v>0.43826657190933</v>
      </c>
      <c r="D7" s="16" t="n">
        <f aca="false">PL!D71</f>
        <v>0.416353243313864</v>
      </c>
      <c r="E7" s="16" t="n">
        <f aca="false">PL!E71</f>
        <v>0.416353243313864</v>
      </c>
      <c r="F7" s="16" t="n">
        <f aca="false">PL!F71</f>
        <v>0.394439914718397</v>
      </c>
      <c r="G7" s="8" t="s">
        <v>474</v>
      </c>
    </row>
    <row r="8" customFormat="false" ht="17.15" hidden="false" customHeight="false" outlineLevel="0" collapsed="false">
      <c r="A8" s="0" t="s">
        <v>475</v>
      </c>
      <c r="B8" s="0" t="s">
        <v>30</v>
      </c>
      <c r="C8" s="19" t="n">
        <f aca="false">PL!C72</f>
        <v>1.8647</v>
      </c>
      <c r="D8" s="19" t="n">
        <f aca="false">PL!D72</f>
        <v>3.61249331334387</v>
      </c>
      <c r="E8" s="19" t="n">
        <f aca="false">PL!E72</f>
        <v>3.53976877378922</v>
      </c>
      <c r="F8" s="19" t="n">
        <f aca="false">PL!F72</f>
        <v>3.73022521563438</v>
      </c>
    </row>
    <row r="9" customFormat="false" ht="17.15" hidden="false" customHeight="false" outlineLevel="0" collapsed="false">
      <c r="A9" s="0" t="s">
        <v>476</v>
      </c>
      <c r="B9" s="0" t="s">
        <v>163</v>
      </c>
      <c r="C9" s="16" t="n">
        <f aca="false">PL!C74</f>
        <v>0.0336097601668012</v>
      </c>
      <c r="D9" s="16" t="n">
        <f aca="false">PL!D74</f>
        <v>0.0336097601668012</v>
      </c>
      <c r="E9" s="16" t="n">
        <f aca="false">PL!E74</f>
        <v>0.0336097601668012</v>
      </c>
      <c r="F9" s="16" t="n">
        <f aca="false">PL!F74</f>
        <v>0.0336097601668012</v>
      </c>
      <c r="G9" s="5" t="s">
        <v>477</v>
      </c>
    </row>
    <row r="10" customFormat="false" ht="17.15" hidden="false" customHeight="false" outlineLevel="0" collapsed="false">
      <c r="A10" s="0" t="s">
        <v>478</v>
      </c>
      <c r="B10" s="0" t="s">
        <v>120</v>
      </c>
      <c r="C10" s="20" t="n">
        <f aca="false">PL!C77</f>
        <v>129.87012987013</v>
      </c>
      <c r="D10" s="20" t="n">
        <f aca="false">PL!D77</f>
        <v>207.792207792208</v>
      </c>
      <c r="E10" s="20" t="n">
        <f aca="false">PL!E77</f>
        <v>233.766233766234</v>
      </c>
      <c r="F10" s="20" t="n">
        <f aca="false">PL!F77</f>
        <v>233.766233766234</v>
      </c>
    </row>
    <row r="11" customFormat="false" ht="17.15" hidden="false" customHeight="false" outlineLevel="0" collapsed="false">
      <c r="A11" s="0" t="s">
        <v>479</v>
      </c>
      <c r="B11" s="0" t="s">
        <v>30</v>
      </c>
      <c r="C11" s="19" t="n">
        <f aca="false">PL!C78</f>
        <v>0.5</v>
      </c>
      <c r="D11" s="19" t="n">
        <f aca="false">PL!D78</f>
        <v>1.14285714285714</v>
      </c>
      <c r="E11" s="19" t="n">
        <f aca="false">PL!E78</f>
        <v>1.63636363636364</v>
      </c>
      <c r="F11" s="19" t="n">
        <f aca="false">PL!F78</f>
        <v>1.88181818181818</v>
      </c>
    </row>
    <row r="12" customFormat="false" ht="17.15" hidden="false" customHeight="false" outlineLevel="0" collapsed="false">
      <c r="A12" s="0" t="s">
        <v>480</v>
      </c>
      <c r="B12" s="0" t="s">
        <v>163</v>
      </c>
      <c r="C12" s="16" t="n">
        <f aca="false">PL!C80</f>
        <v>0.166368312825666</v>
      </c>
      <c r="D12" s="16" t="n">
        <f aca="false">PL!D80</f>
        <v>0.25</v>
      </c>
      <c r="E12" s="16" t="n">
        <f aca="false">PL!E80</f>
        <v>0.25</v>
      </c>
      <c r="F12" s="16" t="n">
        <f aca="false">PL!F80</f>
        <v>0.2</v>
      </c>
    </row>
    <row r="13" customFormat="false" ht="17.15" hidden="false" customHeight="false" outlineLevel="0" collapsed="false">
      <c r="A13" s="0" t="s">
        <v>481</v>
      </c>
      <c r="B13" s="0" t="s">
        <v>163</v>
      </c>
      <c r="C13" s="21" t="n">
        <f aca="false">PL!C82/itc_26</f>
        <v>0.00436733377920005</v>
      </c>
      <c r="D13" s="21" t="n">
        <f aca="false">PL!D82/itc_27</f>
        <v>0.00448223027158075</v>
      </c>
      <c r="E13" s="21" t="n">
        <f aca="false">PL!E82/itc_28</f>
        <v>0.00405134246845806</v>
      </c>
      <c r="F13" s="21" t="n">
        <f aca="false">PL!F82/itc_29</f>
        <v>0.00417428512329247</v>
      </c>
      <c r="G13" s="8" t="s">
        <v>482</v>
      </c>
    </row>
    <row r="15" customFormat="false" ht="17.15" hidden="false" customHeight="false" outlineLevel="0" collapsed="false">
      <c r="A15" s="3" t="s">
        <v>483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484</v>
      </c>
    </row>
    <row r="2" customFormat="false" ht="17.15" hidden="false" customHeight="false" outlineLevel="0" collapsed="false">
      <c r="A2" s="5" t="s">
        <v>485</v>
      </c>
    </row>
    <row r="3" customFormat="false" ht="17.15" hidden="false" customHeight="false" outlineLevel="0" collapsed="false">
      <c r="A3" s="6" t="s">
        <v>486</v>
      </c>
      <c r="B3" s="6" t="s">
        <v>20</v>
      </c>
      <c r="C3" s="14" t="s">
        <v>420</v>
      </c>
      <c r="D3" s="14" t="s">
        <v>487</v>
      </c>
      <c r="E3" s="14" t="s">
        <v>488</v>
      </c>
      <c r="F3" s="14" t="s">
        <v>489</v>
      </c>
      <c r="G3" s="14" t="s">
        <v>490</v>
      </c>
      <c r="H3" s="14" t="s">
        <v>491</v>
      </c>
      <c r="I3" s="14" t="s">
        <v>492</v>
      </c>
      <c r="J3" s="14" t="s">
        <v>493</v>
      </c>
      <c r="K3" s="6" t="s">
        <v>428</v>
      </c>
    </row>
    <row r="4" customFormat="false" ht="17.15" hidden="false" customHeight="false" outlineLevel="0" collapsed="false">
      <c r="A4" s="3" t="s">
        <v>494</v>
      </c>
    </row>
    <row r="5" customFormat="false" ht="15" hidden="false" customHeight="false" outlineLevel="0" collapsed="false">
      <c r="A5" s="5" t="s">
        <v>429</v>
      </c>
      <c r="B5" s="0" t="s">
        <v>30</v>
      </c>
      <c r="C5" s="19" t="n">
        <f aca="false">C91</f>
        <v>1.645</v>
      </c>
      <c r="D5" s="19" t="n">
        <f aca="false">D91</f>
        <v>3.014</v>
      </c>
      <c r="E5" s="19" t="n">
        <f aca="false">E91</f>
        <v>6.5334968031409</v>
      </c>
      <c r="F5" s="19" t="n">
        <f aca="false">F91</f>
        <v>8.81386630646918</v>
      </c>
      <c r="G5" s="19" t="n">
        <f aca="false">G91</f>
        <v>10.1468800890926</v>
      </c>
      <c r="H5" s="22" t="n">
        <f aca="false">H91</f>
        <v>11.3728973503621</v>
      </c>
      <c r="I5" s="22" t="n">
        <f aca="false">I91</f>
        <v>12.4011609062408</v>
      </c>
      <c r="J5" s="22" t="n">
        <f aca="false">J91</f>
        <v>13.1452305606153</v>
      </c>
    </row>
    <row r="6" customFormat="false" ht="15" hidden="false" customHeight="false" outlineLevel="0" collapsed="false">
      <c r="A6" s="5" t="s">
        <v>495</v>
      </c>
      <c r="B6" s="0" t="s">
        <v>163</v>
      </c>
      <c r="D6" s="16" t="n">
        <f aca="false">D92</f>
        <v>0.832218844984802</v>
      </c>
      <c r="E6" s="16" t="n">
        <f aca="false">E92</f>
        <v>1.16771625850727</v>
      </c>
      <c r="F6" s="16" t="n">
        <f aca="false">F92</f>
        <v>0.349027415492425</v>
      </c>
      <c r="G6" s="16" t="n">
        <f aca="false">G92</f>
        <v>0.151240526719249</v>
      </c>
      <c r="H6" s="23" t="n">
        <f aca="false">H92</f>
        <v>0.120827017812833</v>
      </c>
      <c r="I6" s="23" t="n">
        <f aca="false">I92</f>
        <v>0.0904135089064163</v>
      </c>
      <c r="J6" s="23" t="n">
        <f aca="false">J92</f>
        <v>0.06</v>
      </c>
    </row>
    <row r="7" customFormat="false" ht="17.15" hidden="false" customHeight="false" outlineLevel="0" collapsed="false">
      <c r="A7" s="0" t="s">
        <v>496</v>
      </c>
      <c r="B7" s="0" t="s">
        <v>30</v>
      </c>
      <c r="E7" s="19" t="n">
        <f aca="false">E89</f>
        <v>5.32441963815781</v>
      </c>
      <c r="F7" s="19" t="n">
        <f aca="false">F89</f>
        <v>7.49691565646918</v>
      </c>
      <c r="G7" s="19" t="n">
        <f aca="false">G89</f>
        <v>8.69532560709262</v>
      </c>
    </row>
    <row r="8" customFormat="false" ht="17.15" hidden="false" customHeight="false" outlineLevel="0" collapsed="false">
      <c r="A8" s="5" t="s">
        <v>497</v>
      </c>
      <c r="B8" s="0" t="s">
        <v>30</v>
      </c>
      <c r="E8" s="19" t="n">
        <f aca="false">E90</f>
        <v>1.20907716498309</v>
      </c>
      <c r="F8" s="19" t="n">
        <f aca="false">F90</f>
        <v>1.31695065</v>
      </c>
      <c r="G8" s="19" t="n">
        <f aca="false">G90</f>
        <v>1.451554482</v>
      </c>
    </row>
    <row r="9" customFormat="false" ht="17.15" hidden="false" customHeight="false" outlineLevel="0" collapsed="false">
      <c r="A9" s="0" t="s">
        <v>498</v>
      </c>
      <c r="B9" s="0" t="s">
        <v>163</v>
      </c>
      <c r="E9" s="16" t="n">
        <f aca="false">E93</f>
        <v>0.814941798945728</v>
      </c>
      <c r="F9" s="16" t="n">
        <f aca="false">F93</f>
        <v>0.850581957541903</v>
      </c>
      <c r="G9" s="16" t="n">
        <f aca="false">G93</f>
        <v>0.856945734131583</v>
      </c>
    </row>
    <row r="10" customFormat="false" ht="15" hidden="false" customHeight="false" outlineLevel="0" collapsed="false">
      <c r="A10" s="5" t="s">
        <v>499</v>
      </c>
      <c r="B10" s="0" t="s">
        <v>163</v>
      </c>
      <c r="C10" s="16" t="n">
        <f aca="false">C94</f>
        <v>0.347</v>
      </c>
      <c r="D10" s="16" t="n">
        <f aca="false">D94</f>
        <v>0.46</v>
      </c>
      <c r="E10" s="16" t="n">
        <f aca="false">E94</f>
        <v>0.52</v>
      </c>
      <c r="F10" s="16" t="n">
        <f aca="false">F94</f>
        <v>0.51</v>
      </c>
      <c r="G10" s="16" t="n">
        <f aca="false">G94</f>
        <v>0.49</v>
      </c>
    </row>
    <row r="11" customFormat="false" ht="15" hidden="false" customHeight="false" outlineLevel="0" collapsed="false">
      <c r="A11" s="5" t="s">
        <v>437</v>
      </c>
      <c r="B11" s="0" t="s">
        <v>163</v>
      </c>
      <c r="C11" s="16" t="n">
        <f aca="false">C99</f>
        <v>0.0969088145896656</v>
      </c>
      <c r="D11" s="16" t="n">
        <f aca="false">D99</f>
        <v>0.297524883875249</v>
      </c>
      <c r="E11" s="16" t="n">
        <f aca="false">E99</f>
        <v>0.425031591654375</v>
      </c>
      <c r="F11" s="16" t="n">
        <f aca="false">F99</f>
        <v>0.433983070515033</v>
      </c>
      <c r="G11" s="16" t="n">
        <f aca="false">G99</f>
        <v>0.421685675304909</v>
      </c>
    </row>
    <row r="12" customFormat="false" ht="15" hidden="false" customHeight="false" outlineLevel="0" collapsed="false">
      <c r="A12" s="5" t="s">
        <v>500</v>
      </c>
      <c r="B12" s="0" t="s">
        <v>163</v>
      </c>
      <c r="C12" s="16" t="n">
        <f aca="false">C101</f>
        <v>0.0889969604863222</v>
      </c>
      <c r="D12" s="16" t="n">
        <f aca="false">D101</f>
        <v>0.259555408095554</v>
      </c>
      <c r="E12" s="16" t="n">
        <f aca="false">E101</f>
        <v>0.3615746814472</v>
      </c>
      <c r="F12" s="16" t="n">
        <f aca="false">F101</f>
        <v>0.367322614657064</v>
      </c>
      <c r="G12" s="16" t="n">
        <f aca="false">G101</f>
        <v>0.356404426160928</v>
      </c>
      <c r="H12" s="23" t="n">
        <f aca="false">H101</f>
        <v>0.356404426160928</v>
      </c>
      <c r="I12" s="23" t="n">
        <f aca="false">I101</f>
        <v>0.356404426160928</v>
      </c>
      <c r="J12" s="23" t="n">
        <f aca="false">J101</f>
        <v>0.356404426160928</v>
      </c>
    </row>
    <row r="13" customFormat="false" ht="17.15" hidden="false" customHeight="false" outlineLevel="0" collapsed="false">
      <c r="A13" s="5" t="s">
        <v>438</v>
      </c>
      <c r="B13" s="0" t="s">
        <v>30</v>
      </c>
      <c r="C13" s="19" t="n">
        <f aca="false">C100</f>
        <v>0.1464</v>
      </c>
      <c r="D13" s="19" t="n">
        <f aca="false">D100</f>
        <v>0.7823</v>
      </c>
      <c r="E13" s="19" t="n">
        <f aca="false">E100</f>
        <v>2.36234702533197</v>
      </c>
      <c r="F13" s="19" t="n">
        <f aca="false">F100</f>
        <v>3.23753241693006</v>
      </c>
      <c r="G13" s="19" t="n">
        <f aca="false">G100</f>
        <v>3.61639297547681</v>
      </c>
      <c r="H13" s="22" t="n">
        <f aca="false">H100</f>
        <v>4.05335095394294</v>
      </c>
      <c r="I13" s="22" t="n">
        <f aca="false">I100</f>
        <v>4.4198286365181</v>
      </c>
      <c r="J13" s="22" t="n">
        <f aca="false">J100</f>
        <v>4.68501835470918</v>
      </c>
    </row>
    <row r="14" customFormat="false" ht="17.15" hidden="false" customHeight="false" outlineLevel="0" collapsed="false">
      <c r="A14" s="0" t="s">
        <v>444</v>
      </c>
      <c r="B14" s="0" t="s">
        <v>232</v>
      </c>
      <c r="C14" s="9" t="n">
        <f aca="false">C103</f>
        <v>2.06</v>
      </c>
      <c r="D14" s="9" t="n">
        <f aca="false">D103</f>
        <v>8.67</v>
      </c>
      <c r="E14" s="9" t="n">
        <f aca="false">E103</f>
        <v>23.160264954235</v>
      </c>
      <c r="F14" s="9" t="n">
        <f aca="false">F103</f>
        <v>31.4262513776942</v>
      </c>
      <c r="G14" s="9" t="n">
        <f aca="false">G103</f>
        <v>34.7562328133613</v>
      </c>
      <c r="H14" s="24" t="n">
        <f aca="false">H103</f>
        <v>38.5700245293151</v>
      </c>
      <c r="I14" s="24" t="n">
        <f aca="false">I103</f>
        <v>41.6408671144723</v>
      </c>
      <c r="J14" s="24" t="n">
        <f aca="false">J103</f>
        <v>43.7022961795452</v>
      </c>
    </row>
    <row r="15" customFormat="false" ht="17.15" hidden="false" customHeight="false" outlineLevel="0" collapsed="false">
      <c r="A15" s="0" t="s">
        <v>501</v>
      </c>
      <c r="B15" s="0" t="s">
        <v>163</v>
      </c>
      <c r="D15" s="16" t="n">
        <f aca="false">D104</f>
        <v>3.20873786407767</v>
      </c>
      <c r="E15" s="16" t="n">
        <f aca="false">E104</f>
        <v>1.6713108367053</v>
      </c>
      <c r="F15" s="16" t="n">
        <f aca="false">F104</f>
        <v>0.356903793622093</v>
      </c>
      <c r="G15" s="16" t="n">
        <f aca="false">G104</f>
        <v>0.105961776848467</v>
      </c>
      <c r="H15" s="23" t="n">
        <f aca="false">H104</f>
        <v>0.109729720606765</v>
      </c>
      <c r="I15" s="23" t="n">
        <f aca="false">I104</f>
        <v>0.0796173355509071</v>
      </c>
      <c r="J15" s="23" t="n">
        <f aca="false">J104</f>
        <v>0.0495049504950498</v>
      </c>
    </row>
    <row r="17" customFormat="false" ht="17.15" hidden="false" customHeight="false" outlineLevel="0" collapsed="false">
      <c r="A17" s="3" t="s">
        <v>502</v>
      </c>
    </row>
    <row r="18" customFormat="false" ht="15" hidden="false" customHeight="false" outlineLevel="0" collapsed="false">
      <c r="A18" s="5" t="s">
        <v>429</v>
      </c>
      <c r="B18" s="0" t="s">
        <v>30</v>
      </c>
      <c r="C18" s="19" t="n">
        <f aca="false">C138</f>
        <v>1.645</v>
      </c>
      <c r="D18" s="19" t="n">
        <f aca="false">D138</f>
        <v>3.014</v>
      </c>
      <c r="E18" s="19" t="n">
        <f aca="false">E138</f>
        <v>6.5334968031409</v>
      </c>
      <c r="F18" s="19" t="n">
        <f aca="false">F138</f>
        <v>8.05820664567095</v>
      </c>
      <c r="G18" s="19" t="n">
        <f aca="false">G138</f>
        <v>8.62954953514412</v>
      </c>
      <c r="H18" s="22" t="n">
        <f aca="false">H138</f>
        <v>9.15251168726862</v>
      </c>
      <c r="I18" s="22" t="n">
        <f aca="false">I138</f>
        <v>9.61288909723714</v>
      </c>
      <c r="J18" s="22" t="n">
        <f aca="false">J138</f>
        <v>9.99740466112663</v>
      </c>
    </row>
    <row r="19" customFormat="false" ht="15" hidden="false" customHeight="false" outlineLevel="0" collapsed="false">
      <c r="A19" s="5" t="s">
        <v>495</v>
      </c>
      <c r="B19" s="0" t="s">
        <v>163</v>
      </c>
      <c r="D19" s="16" t="n">
        <f aca="false">D139</f>
        <v>0.832218844984802</v>
      </c>
      <c r="E19" s="16" t="n">
        <f aca="false">E139</f>
        <v>1.16771625850727</v>
      </c>
      <c r="F19" s="16" t="n">
        <f aca="false">F139</f>
        <v>0.233368116411578</v>
      </c>
      <c r="G19" s="16" t="n">
        <f aca="false">G139</f>
        <v>0.0709019903057597</v>
      </c>
      <c r="H19" s="23" t="n">
        <f aca="false">H139</f>
        <v>0.0606013268705065</v>
      </c>
      <c r="I19" s="23" t="n">
        <f aca="false">I139</f>
        <v>0.0503006634352532</v>
      </c>
      <c r="J19" s="23" t="n">
        <f aca="false">J139</f>
        <v>0.04</v>
      </c>
    </row>
    <row r="20" customFormat="false" ht="17.15" hidden="false" customHeight="false" outlineLevel="0" collapsed="false">
      <c r="A20" s="0" t="s">
        <v>496</v>
      </c>
      <c r="B20" s="0" t="s">
        <v>30</v>
      </c>
      <c r="E20" s="19" t="n">
        <f aca="false">E136</f>
        <v>5.32441963815781</v>
      </c>
      <c r="F20" s="19" t="n">
        <f aca="false">F136</f>
        <v>6.74125599567095</v>
      </c>
      <c r="G20" s="19" t="n">
        <f aca="false">G136</f>
        <v>7.17799505314412</v>
      </c>
    </row>
    <row r="21" customFormat="false" ht="17.15" hidden="false" customHeight="false" outlineLevel="0" collapsed="false">
      <c r="A21" s="5" t="s">
        <v>497</v>
      </c>
      <c r="B21" s="0" t="s">
        <v>30</v>
      </c>
      <c r="E21" s="19" t="n">
        <f aca="false">E137</f>
        <v>1.20907716498309</v>
      </c>
      <c r="F21" s="19" t="n">
        <f aca="false">F137</f>
        <v>1.31695065</v>
      </c>
      <c r="G21" s="19" t="n">
        <f aca="false">G137</f>
        <v>1.451554482</v>
      </c>
    </row>
    <row r="22" customFormat="false" ht="17.15" hidden="false" customHeight="false" outlineLevel="0" collapsed="false">
      <c r="A22" s="0" t="s">
        <v>498</v>
      </c>
      <c r="B22" s="0" t="s">
        <v>163</v>
      </c>
      <c r="E22" s="16" t="n">
        <f aca="false">E140</f>
        <v>0.814941798945728</v>
      </c>
      <c r="F22" s="16" t="n">
        <f aca="false">F140</f>
        <v>0.836570255900859</v>
      </c>
      <c r="G22" s="16" t="n">
        <f aca="false">G140</f>
        <v>0.831792554630054</v>
      </c>
    </row>
    <row r="23" customFormat="false" ht="15" hidden="false" customHeight="false" outlineLevel="0" collapsed="false">
      <c r="A23" s="5" t="s">
        <v>499</v>
      </c>
      <c r="B23" s="0" t="s">
        <v>163</v>
      </c>
      <c r="C23" s="16" t="n">
        <f aca="false">C141</f>
        <v>0.347</v>
      </c>
      <c r="D23" s="16" t="n">
        <f aca="false">D141</f>
        <v>0.46</v>
      </c>
      <c r="E23" s="16" t="n">
        <f aca="false">E141</f>
        <v>0.52</v>
      </c>
      <c r="F23" s="16" t="n">
        <f aca="false">F141</f>
        <v>0.51</v>
      </c>
      <c r="G23" s="16" t="n">
        <f aca="false">G141</f>
        <v>0.49</v>
      </c>
    </row>
    <row r="24" customFormat="false" ht="15" hidden="false" customHeight="false" outlineLevel="0" collapsed="false">
      <c r="A24" s="5" t="s">
        <v>437</v>
      </c>
      <c r="B24" s="0" t="s">
        <v>163</v>
      </c>
      <c r="C24" s="16" t="n">
        <f aca="false">C146</f>
        <v>0.0969088145896656</v>
      </c>
      <c r="D24" s="16" t="n">
        <f aca="false">D146</f>
        <v>0.297524883875249</v>
      </c>
      <c r="E24" s="16" t="n">
        <f aca="false">E146</f>
        <v>0.425031591654375</v>
      </c>
      <c r="F24" s="16" t="n">
        <f aca="false">F146</f>
        <v>0.42889126974147</v>
      </c>
      <c r="G24" s="16" t="n">
        <f aca="false">G146</f>
        <v>0.413033187618813</v>
      </c>
    </row>
    <row r="25" customFormat="false" ht="15" hidden="false" customHeight="false" outlineLevel="0" collapsed="false">
      <c r="A25" s="5" t="s">
        <v>500</v>
      </c>
      <c r="B25" s="0" t="s">
        <v>163</v>
      </c>
      <c r="C25" s="16" t="n">
        <f aca="false">C148</f>
        <v>0.0889969604863222</v>
      </c>
      <c r="D25" s="16" t="n">
        <f aca="false">D148</f>
        <v>0.259555408095554</v>
      </c>
      <c r="E25" s="16" t="n">
        <f aca="false">E148</f>
        <v>0.3615746814472</v>
      </c>
      <c r="F25" s="16" t="n">
        <f aca="false">F148</f>
        <v>0.363534843383306</v>
      </c>
      <c r="G25" s="16" t="n">
        <f aca="false">G148</f>
        <v>0.349935119069817</v>
      </c>
      <c r="H25" s="23" t="n">
        <f aca="false">H148</f>
        <v>0.338270615100823</v>
      </c>
      <c r="I25" s="23" t="n">
        <f aca="false">I148</f>
        <v>0.326606111131829</v>
      </c>
      <c r="J25" s="23" t="n">
        <f aca="false">J148</f>
        <v>0.314941607162835</v>
      </c>
    </row>
    <row r="26" customFormat="false" ht="17.15" hidden="false" customHeight="false" outlineLevel="0" collapsed="false">
      <c r="A26" s="5" t="s">
        <v>438</v>
      </c>
      <c r="B26" s="0" t="s">
        <v>30</v>
      </c>
      <c r="C26" s="19" t="n">
        <f aca="false">C147</f>
        <v>0.1464</v>
      </c>
      <c r="D26" s="19" t="n">
        <f aca="false">D147</f>
        <v>0.7823</v>
      </c>
      <c r="E26" s="19" t="n">
        <f aca="false">E147</f>
        <v>2.36234702533197</v>
      </c>
      <c r="F26" s="19" t="n">
        <f aca="false">F147</f>
        <v>2.92943889088431</v>
      </c>
      <c r="G26" s="19" t="n">
        <f aca="false">G147</f>
        <v>3.01978244409954</v>
      </c>
      <c r="H26" s="22" t="n">
        <f aca="false">H147</f>
        <v>3.09602575816983</v>
      </c>
      <c r="I26" s="22" t="n">
        <f aca="false">I147</f>
        <v>3.13962832479018</v>
      </c>
      <c r="J26" s="22" t="n">
        <f aca="false">J147</f>
        <v>3.14859869143244</v>
      </c>
    </row>
    <row r="27" customFormat="false" ht="17.15" hidden="false" customHeight="false" outlineLevel="0" collapsed="false">
      <c r="A27" s="0" t="s">
        <v>444</v>
      </c>
      <c r="B27" s="0" t="s">
        <v>232</v>
      </c>
      <c r="C27" s="9" t="n">
        <f aca="false">C150</f>
        <v>2.06</v>
      </c>
      <c r="D27" s="9" t="n">
        <f aca="false">D150</f>
        <v>8.67</v>
      </c>
      <c r="E27" s="9" t="n">
        <f aca="false">E150</f>
        <v>23.160264954235</v>
      </c>
      <c r="F27" s="9" t="n">
        <f aca="false">F150</f>
        <v>28.4356327983334</v>
      </c>
      <c r="G27" s="9" t="n">
        <f aca="false">G150</f>
        <v>29.0223607845015</v>
      </c>
      <c r="H27" s="24" t="n">
        <f aca="false">H150</f>
        <v>29.4605107706848</v>
      </c>
      <c r="I27" s="24" t="n">
        <f aca="false">I150</f>
        <v>29.5796187167145</v>
      </c>
      <c r="J27" s="24" t="n">
        <f aca="false">J150</f>
        <v>29.3704276366811</v>
      </c>
    </row>
    <row r="28" customFormat="false" ht="17.15" hidden="false" customHeight="false" outlineLevel="0" collapsed="false">
      <c r="A28" s="0" t="s">
        <v>501</v>
      </c>
      <c r="B28" s="0" t="s">
        <v>163</v>
      </c>
      <c r="D28" s="16" t="n">
        <f aca="false">D151</f>
        <v>3.20873786407767</v>
      </c>
      <c r="E28" s="16" t="n">
        <f aca="false">E151</f>
        <v>1.6713108367053</v>
      </c>
      <c r="F28" s="16" t="n">
        <f aca="false">F151</f>
        <v>0.227776662077167</v>
      </c>
      <c r="G28" s="16" t="n">
        <f aca="false">G151</f>
        <v>0.0206335477156152</v>
      </c>
      <c r="H28" s="23" t="n">
        <f aca="false">H151</f>
        <v>0.0150969795130262</v>
      </c>
      <c r="I28" s="23" t="n">
        <f aca="false">I151</f>
        <v>0.00404296948402494</v>
      </c>
      <c r="J28" s="23" t="n">
        <f aca="false">J151</f>
        <v>-0.00707213578500698</v>
      </c>
    </row>
    <row r="30" customFormat="false" ht="17.15" hidden="false" customHeight="false" outlineLevel="0" collapsed="false">
      <c r="A30" s="3" t="s">
        <v>503</v>
      </c>
    </row>
    <row r="31" customFormat="false" ht="15" hidden="false" customHeight="false" outlineLevel="0" collapsed="false">
      <c r="A31" s="5" t="s">
        <v>429</v>
      </c>
      <c r="B31" s="0" t="s">
        <v>30</v>
      </c>
      <c r="C31" s="19" t="n">
        <f aca="false">C185</f>
        <v>1.645</v>
      </c>
      <c r="D31" s="19" t="n">
        <f aca="false">D185</f>
        <v>3.014</v>
      </c>
      <c r="E31" s="19" t="n">
        <f aca="false">E185</f>
        <v>6.5334968031409</v>
      </c>
      <c r="F31" s="19" t="n">
        <f aca="false">F185</f>
        <v>7.30254698487272</v>
      </c>
      <c r="G31" s="19" t="n">
        <f aca="false">G185</f>
        <v>6.66874984625557</v>
      </c>
      <c r="H31" s="22" t="n">
        <f aca="false">H185</f>
        <v>6.32734878097149</v>
      </c>
      <c r="I31" s="22" t="n">
        <f aca="false">I185</f>
        <v>6.22866060699684</v>
      </c>
      <c r="J31" s="22" t="n">
        <f aca="false">J185</f>
        <v>6.35323381913678</v>
      </c>
    </row>
    <row r="32" customFormat="false" ht="15" hidden="false" customHeight="false" outlineLevel="0" collapsed="false">
      <c r="A32" s="5" t="s">
        <v>495</v>
      </c>
      <c r="B32" s="0" t="s">
        <v>163</v>
      </c>
      <c r="D32" s="16" t="n">
        <f aca="false">D186</f>
        <v>0.832218844984802</v>
      </c>
      <c r="E32" s="16" t="n">
        <f aca="false">E186</f>
        <v>1.16771625850727</v>
      </c>
      <c r="F32" s="16" t="n">
        <f aca="false">F186</f>
        <v>0.117708817330731</v>
      </c>
      <c r="G32" s="16" t="n">
        <f aca="false">G186</f>
        <v>-0.0867912441960407</v>
      </c>
      <c r="H32" s="23" t="n">
        <f aca="false">H186</f>
        <v>-0.0511941627973605</v>
      </c>
      <c r="I32" s="23" t="n">
        <f aca="false">I186</f>
        <v>-0.0155970813986802</v>
      </c>
      <c r="J32" s="23" t="n">
        <f aca="false">J186</f>
        <v>0.02</v>
      </c>
    </row>
    <row r="33" customFormat="false" ht="17.15" hidden="false" customHeight="false" outlineLevel="0" collapsed="false">
      <c r="A33" s="0" t="s">
        <v>496</v>
      </c>
      <c r="B33" s="0" t="s">
        <v>30</v>
      </c>
      <c r="E33" s="19" t="n">
        <f aca="false">E183</f>
        <v>5.32441963815781</v>
      </c>
      <c r="F33" s="19" t="n">
        <f aca="false">F183</f>
        <v>5.98559633487272</v>
      </c>
      <c r="G33" s="19" t="n">
        <f aca="false">G183</f>
        <v>5.21719536425557</v>
      </c>
    </row>
    <row r="34" customFormat="false" ht="17.15" hidden="false" customHeight="false" outlineLevel="0" collapsed="false">
      <c r="A34" s="5" t="s">
        <v>497</v>
      </c>
      <c r="B34" s="0" t="s">
        <v>30</v>
      </c>
      <c r="E34" s="19" t="n">
        <f aca="false">E184</f>
        <v>1.20907716498309</v>
      </c>
      <c r="F34" s="19" t="n">
        <f aca="false">F184</f>
        <v>1.31695065</v>
      </c>
      <c r="G34" s="19" t="n">
        <f aca="false">G184</f>
        <v>1.451554482</v>
      </c>
    </row>
    <row r="35" customFormat="false" ht="17.15" hidden="false" customHeight="false" outlineLevel="0" collapsed="false">
      <c r="A35" s="0" t="s">
        <v>498</v>
      </c>
      <c r="B35" s="0" t="s">
        <v>163</v>
      </c>
      <c r="E35" s="16" t="n">
        <f aca="false">E187</f>
        <v>0.814941798945728</v>
      </c>
      <c r="F35" s="16" t="n">
        <f aca="false">F187</f>
        <v>0.819658722808895</v>
      </c>
      <c r="G35" s="16" t="n">
        <f aca="false">G187</f>
        <v>0.782334843041829</v>
      </c>
    </row>
    <row r="36" customFormat="false" ht="15" hidden="false" customHeight="false" outlineLevel="0" collapsed="false">
      <c r="A36" s="5" t="s">
        <v>499</v>
      </c>
      <c r="B36" s="0" t="s">
        <v>163</v>
      </c>
      <c r="C36" s="16" t="n">
        <f aca="false">C188</f>
        <v>0.347</v>
      </c>
      <c r="D36" s="16" t="n">
        <f aca="false">D188</f>
        <v>0.46</v>
      </c>
      <c r="E36" s="16" t="n">
        <f aca="false">E188</f>
        <v>0.52</v>
      </c>
      <c r="F36" s="16" t="n">
        <f aca="false">F188</f>
        <v>0.51</v>
      </c>
      <c r="G36" s="16" t="n">
        <f aca="false">G188</f>
        <v>0.49</v>
      </c>
    </row>
    <row r="37" customFormat="false" ht="15" hidden="false" customHeight="false" outlineLevel="0" collapsed="false">
      <c r="A37" s="5" t="s">
        <v>437</v>
      </c>
      <c r="B37" s="0" t="s">
        <v>163</v>
      </c>
      <c r="C37" s="16" t="n">
        <f aca="false">C193</f>
        <v>0.0969088145896656</v>
      </c>
      <c r="D37" s="16" t="n">
        <f aca="false">D193</f>
        <v>0.297524883875249</v>
      </c>
      <c r="E37" s="16" t="n">
        <f aca="false">E193</f>
        <v>0.425031591654375</v>
      </c>
      <c r="F37" s="16" t="n">
        <f aca="false">F193</f>
        <v>0.422745680898245</v>
      </c>
      <c r="G37" s="16" t="n">
        <f aca="false">G193</f>
        <v>0.394453041490016</v>
      </c>
    </row>
    <row r="38" customFormat="false" ht="15" hidden="false" customHeight="false" outlineLevel="0" collapsed="false">
      <c r="A38" s="5" t="s">
        <v>500</v>
      </c>
      <c r="B38" s="0" t="s">
        <v>163</v>
      </c>
      <c r="C38" s="16" t="n">
        <f aca="false">C195</f>
        <v>0.0889969604863222</v>
      </c>
      <c r="D38" s="16" t="n">
        <f aca="false">D195</f>
        <v>0.259555408095554</v>
      </c>
      <c r="E38" s="16" t="n">
        <f aca="false">E195</f>
        <v>0.3615746814472</v>
      </c>
      <c r="F38" s="16" t="n">
        <f aca="false">F195</f>
        <v>0.358963163163303</v>
      </c>
      <c r="G38" s="16" t="n">
        <f aca="false">G195</f>
        <v>0.335906246683364</v>
      </c>
      <c r="H38" s="23" t="n">
        <f aca="false">H195</f>
        <v>0.313512496904473</v>
      </c>
      <c r="I38" s="23" t="n">
        <f aca="false">I195</f>
        <v>0.291118747125583</v>
      </c>
      <c r="J38" s="23" t="n">
        <f aca="false">J195</f>
        <v>0.268724997346692</v>
      </c>
    </row>
    <row r="39" customFormat="false" ht="17.15" hidden="false" customHeight="false" outlineLevel="0" collapsed="false">
      <c r="A39" s="5" t="s">
        <v>438</v>
      </c>
      <c r="B39" s="0" t="s">
        <v>30</v>
      </c>
      <c r="C39" s="19" t="n">
        <f aca="false">C194</f>
        <v>0.1464</v>
      </c>
      <c r="D39" s="19" t="n">
        <f aca="false">D194</f>
        <v>0.7823</v>
      </c>
      <c r="E39" s="19" t="n">
        <f aca="false">E194</f>
        <v>2.36234702533197</v>
      </c>
      <c r="F39" s="19" t="n">
        <f aca="false">F194</f>
        <v>2.62134536483855</v>
      </c>
      <c r="G39" s="19" t="n">
        <f aca="false">G194</f>
        <v>2.24007473092597</v>
      </c>
      <c r="H39" s="22" t="n">
        <f aca="false">H194</f>
        <v>1.98370291510785</v>
      </c>
      <c r="I39" s="22" t="n">
        <f aca="false">I194</f>
        <v>1.81327987217939</v>
      </c>
      <c r="J39" s="22" t="n">
        <f aca="false">J194</f>
        <v>1.70727274119044</v>
      </c>
    </row>
    <row r="40" customFormat="false" ht="17.15" hidden="false" customHeight="false" outlineLevel="0" collapsed="false">
      <c r="A40" s="0" t="s">
        <v>444</v>
      </c>
      <c r="B40" s="0" t="s">
        <v>232</v>
      </c>
      <c r="C40" s="9" t="n">
        <f aca="false">C197</f>
        <v>2.06</v>
      </c>
      <c r="D40" s="9" t="n">
        <f aca="false">D197</f>
        <v>8.67</v>
      </c>
      <c r="E40" s="9" t="n">
        <f aca="false">E197</f>
        <v>23.160264954235</v>
      </c>
      <c r="F40" s="9" t="n">
        <f aca="false">F197</f>
        <v>25.4450142189726</v>
      </c>
      <c r="G40" s="9" t="n">
        <f aca="false">G197</f>
        <v>21.5287883245392</v>
      </c>
      <c r="H40" s="24" t="n">
        <f aca="false">H197</f>
        <v>18.8761029982258</v>
      </c>
      <c r="I40" s="24" t="n">
        <f aca="false">I197</f>
        <v>17.0835913353991</v>
      </c>
      <c r="J40" s="24" t="n">
        <f aca="false">J197</f>
        <v>15.9256022806767</v>
      </c>
    </row>
    <row r="41" customFormat="false" ht="17.15" hidden="false" customHeight="false" outlineLevel="0" collapsed="false">
      <c r="A41" s="0" t="s">
        <v>501</v>
      </c>
      <c r="B41" s="0" t="s">
        <v>163</v>
      </c>
      <c r="D41" s="16" t="n">
        <f aca="false">D198</f>
        <v>3.20873786407767</v>
      </c>
      <c r="E41" s="16" t="n">
        <f aca="false">E198</f>
        <v>1.6713108367053</v>
      </c>
      <c r="F41" s="16" t="n">
        <f aca="false">F198</f>
        <v>0.0986495305322415</v>
      </c>
      <c r="G41" s="16" t="n">
        <f aca="false">G198</f>
        <v>-0.153909361603472</v>
      </c>
      <c r="H41" s="23" t="n">
        <f aca="false">H198</f>
        <v>-0.123215727997561</v>
      </c>
      <c r="I41" s="23" t="n">
        <f aca="false">I198</f>
        <v>-0.0949619560242462</v>
      </c>
      <c r="J41" s="23" t="n">
        <f aca="false">J198</f>
        <v>-0.0677837014470677</v>
      </c>
    </row>
    <row r="43" customFormat="false" ht="17.15" hidden="false" customHeight="false" outlineLevel="0" collapsed="false">
      <c r="A43" s="3" t="s">
        <v>504</v>
      </c>
    </row>
    <row r="44" customFormat="false" ht="17.15" hidden="false" customHeight="false" outlineLevel="0" collapsed="false">
      <c r="A44" s="5" t="s">
        <v>505</v>
      </c>
      <c r="D44" s="25" t="n">
        <f aca="false">C85-c26_rev/1000</f>
        <v>0</v>
      </c>
    </row>
    <row r="45" customFormat="false" ht="17.15" hidden="false" customHeight="false" outlineLevel="0" collapsed="false">
      <c r="A45" s="5" t="s">
        <v>506</v>
      </c>
      <c r="D45" s="25" t="n">
        <f aca="false">C72-c26_las/1000</f>
        <v>0</v>
      </c>
    </row>
    <row r="46" customFormat="false" ht="17.15" hidden="false" customHeight="false" outlineLevel="0" collapsed="false">
      <c r="A46" s="5" t="s">
        <v>507</v>
      </c>
      <c r="D46" s="16" t="n">
        <f aca="false">Q!I4/1000/E91</f>
        <v>0.405602096372963</v>
      </c>
    </row>
    <row r="60" customFormat="false" ht="17.15" hidden="false" customHeight="false" outlineLevel="0" collapsed="false">
      <c r="A60" s="3" t="s">
        <v>508</v>
      </c>
    </row>
    <row r="61" customFormat="false" ht="17.15" hidden="false" customHeight="false" outlineLevel="0" collapsed="false">
      <c r="A61" s="1" t="s">
        <v>509</v>
      </c>
    </row>
    <row r="62" customFormat="false" ht="17.15" hidden="false" customHeight="false" outlineLevel="0" collapsed="false">
      <c r="A62" s="6" t="s">
        <v>19</v>
      </c>
      <c r="B62" s="6" t="s">
        <v>20</v>
      </c>
      <c r="C62" s="14" t="s">
        <v>510</v>
      </c>
      <c r="D62" s="14" t="s">
        <v>465</v>
      </c>
      <c r="E62" s="14" t="s">
        <v>466</v>
      </c>
      <c r="F62" s="14" t="s">
        <v>467</v>
      </c>
      <c r="G62" s="14"/>
      <c r="H62" s="14" t="s">
        <v>491</v>
      </c>
      <c r="I62" s="14" t="s">
        <v>492</v>
      </c>
      <c r="J62" s="14" t="s">
        <v>493</v>
      </c>
      <c r="K62" s="6" t="s">
        <v>428</v>
      </c>
    </row>
    <row r="63" customFormat="false" ht="17.15" hidden="false" customHeight="false" outlineLevel="0" collapsed="false">
      <c r="A63" s="0" t="s">
        <v>511</v>
      </c>
      <c r="B63" s="0" t="s">
        <v>30</v>
      </c>
      <c r="C63" s="26" t="n">
        <f aca="false">mpl_26*1</f>
        <v>29.753262</v>
      </c>
      <c r="D63" s="26" t="n">
        <f aca="false">mpl_27*1*1</f>
        <v>54.688309</v>
      </c>
      <c r="E63" s="26" t="n">
        <f aca="false">mpl_28*um28_A*1</f>
        <v>61.21325</v>
      </c>
      <c r="F63" s="26" t="n">
        <f aca="false">mpl_29*um29_A*1</f>
        <v>78.80848</v>
      </c>
      <c r="H63" s="2"/>
    </row>
    <row r="64" customFormat="false" ht="17.15" hidden="false" customHeight="false" outlineLevel="0" collapsed="false">
      <c r="A64" s="5" t="s">
        <v>512</v>
      </c>
      <c r="B64" s="0" t="s">
        <v>96</v>
      </c>
      <c r="C64" s="20" t="n">
        <f aca="false">asp_26</f>
        <v>500</v>
      </c>
      <c r="D64" s="20" t="n">
        <f aca="false">asp_27</f>
        <v>520</v>
      </c>
      <c r="E64" s="20" t="n">
        <f aca="false">asp_28</f>
        <v>540</v>
      </c>
      <c r="F64" s="20" t="n">
        <f aca="false">asp_29</f>
        <v>560</v>
      </c>
      <c r="H64" s="2"/>
    </row>
    <row r="65" customFormat="false" ht="17.15" hidden="false" customHeight="false" outlineLevel="0" collapsed="false">
      <c r="A65" s="5" t="s">
        <v>513</v>
      </c>
      <c r="B65" s="5" t="s">
        <v>336</v>
      </c>
      <c r="C65" s="15" t="n">
        <f aca="false">C63*1000/C64</f>
        <v>59.506524</v>
      </c>
      <c r="D65" s="15" t="n">
        <f aca="false">D63*1000/D64</f>
        <v>105.169825</v>
      </c>
      <c r="E65" s="15" t="n">
        <f aca="false">E63*1000/E64</f>
        <v>113.35787037037</v>
      </c>
      <c r="F65" s="15" t="n">
        <f aca="false">F63*1000/F64</f>
        <v>140.729428571429</v>
      </c>
      <c r="H65" s="2"/>
    </row>
    <row r="66" customFormat="false" ht="17.15" hidden="false" customHeight="false" outlineLevel="0" collapsed="false">
      <c r="A66" s="5" t="s">
        <v>514</v>
      </c>
      <c r="B66" s="5" t="s">
        <v>108</v>
      </c>
      <c r="C66" s="18" t="n">
        <f aca="false">lpm_26</f>
        <v>5.5</v>
      </c>
      <c r="D66" s="18" t="n">
        <f aca="false">lpm_27</f>
        <v>5.5</v>
      </c>
      <c r="E66" s="18" t="n">
        <f aca="false">lpm_28</f>
        <v>5</v>
      </c>
      <c r="F66" s="18" t="n">
        <f aca="false">lpm_29</f>
        <v>4.8</v>
      </c>
      <c r="H66" s="2"/>
    </row>
    <row r="67" customFormat="false" ht="17.15" hidden="false" customHeight="false" outlineLevel="0" collapsed="false">
      <c r="A67" s="5" t="s">
        <v>515</v>
      </c>
      <c r="B67" s="0" t="s">
        <v>120</v>
      </c>
      <c r="C67" s="18" t="n">
        <f aca="false">lasp_26</f>
        <v>13</v>
      </c>
      <c r="D67" s="18" t="n">
        <f aca="false">lasp_27</f>
        <v>15</v>
      </c>
      <c r="E67" s="18" t="n">
        <f aca="false">lasp_28</f>
        <v>15</v>
      </c>
      <c r="F67" s="18" t="n">
        <f aca="false">lasp_29</f>
        <v>14</v>
      </c>
      <c r="H67" s="2"/>
    </row>
    <row r="68" customFormat="false" ht="17.15" hidden="false" customHeight="false" outlineLevel="0" collapsed="false">
      <c r="A68" s="5" t="s">
        <v>516</v>
      </c>
      <c r="B68" s="0" t="s">
        <v>30</v>
      </c>
      <c r="C68" s="26" t="n">
        <f aca="false">C65*C66*C67/1000</f>
        <v>4.254716466</v>
      </c>
      <c r="D68" s="26" t="n">
        <f aca="false">D65*D66*D67/1000</f>
        <v>8.6765105625</v>
      </c>
      <c r="E68" s="26" t="n">
        <f aca="false">E65*E66*E67/1000</f>
        <v>8.50184027777778</v>
      </c>
      <c r="F68" s="26" t="n">
        <f aca="false">F65*F66*F67/1000</f>
        <v>9.4570176</v>
      </c>
      <c r="H68" s="2"/>
    </row>
    <row r="69" customFormat="false" ht="17.15" hidden="false" customHeight="false" outlineLevel="0" collapsed="false">
      <c r="A69" s="0" t="s">
        <v>517</v>
      </c>
      <c r="B69" s="0" t="s">
        <v>163</v>
      </c>
      <c r="C69" s="16" t="n">
        <f aca="false">c26_las/1000/C68</f>
        <v>0.43826657190933</v>
      </c>
      <c r="H69" s="2"/>
      <c r="K69" s="8" t="s">
        <v>518</v>
      </c>
    </row>
    <row r="70" customFormat="false" ht="17.15" hidden="false" customHeight="false" outlineLevel="0" collapsed="false">
      <c r="A70" s="5" t="s">
        <v>519</v>
      </c>
      <c r="B70" s="0" t="s">
        <v>74</v>
      </c>
      <c r="C70" s="9" t="n">
        <f aca="false">1</f>
        <v>1</v>
      </c>
      <c r="D70" s="9" t="n">
        <f aca="false">lrel_27</f>
        <v>0.95</v>
      </c>
      <c r="E70" s="9" t="n">
        <f aca="false">lrel_28</f>
        <v>0.95</v>
      </c>
      <c r="F70" s="9" t="n">
        <f aca="false">lrel_29</f>
        <v>0.9</v>
      </c>
      <c r="H70" s="2"/>
    </row>
    <row r="71" customFormat="false" ht="15" hidden="false" customHeight="false" outlineLevel="0" collapsed="false">
      <c r="A71" s="5" t="s">
        <v>520</v>
      </c>
      <c r="B71" s="0" t="s">
        <v>163</v>
      </c>
      <c r="C71" s="16" t="n">
        <f aca="false">$C$69*C70</f>
        <v>0.43826657190933</v>
      </c>
      <c r="D71" s="16" t="n">
        <f aca="false">$C$69*D70</f>
        <v>0.416353243313864</v>
      </c>
      <c r="E71" s="16" t="n">
        <f aca="false">$C$69*E70</f>
        <v>0.416353243313864</v>
      </c>
      <c r="F71" s="16" t="n">
        <f aca="false">$C$69*F70</f>
        <v>0.394439914718397</v>
      </c>
      <c r="H71" s="2"/>
    </row>
    <row r="72" customFormat="false" ht="17.15" hidden="false" customHeight="false" outlineLevel="0" collapsed="false">
      <c r="A72" s="5" t="s">
        <v>521</v>
      </c>
      <c r="B72" s="0" t="s">
        <v>30</v>
      </c>
      <c r="C72" s="26" t="n">
        <f aca="false">C68*C71</f>
        <v>1.8647</v>
      </c>
      <c r="D72" s="26" t="n">
        <f aca="false">D68*D71</f>
        <v>3.61249331334387</v>
      </c>
      <c r="E72" s="26" t="n">
        <f aca="false">E68*E71</f>
        <v>3.53976877378922</v>
      </c>
      <c r="F72" s="26" t="n">
        <f aca="false">F68*F71</f>
        <v>3.73022521563438</v>
      </c>
      <c r="H72" s="2"/>
    </row>
    <row r="73" customFormat="false" ht="17.15" hidden="false" customHeight="false" outlineLevel="0" collapsed="false">
      <c r="A73" s="5" t="s">
        <v>522</v>
      </c>
      <c r="B73" s="0" t="s">
        <v>163</v>
      </c>
      <c r="C73" s="16" t="n">
        <f aca="false">c26_xcvr/1000/C63</f>
        <v>0.0336097601668012</v>
      </c>
      <c r="H73" s="2"/>
    </row>
    <row r="74" customFormat="false" ht="15" hidden="false" customHeight="false" outlineLevel="0" collapsed="false">
      <c r="A74" s="5" t="s">
        <v>523</v>
      </c>
      <c r="B74" s="0" t="s">
        <v>163</v>
      </c>
      <c r="C74" s="16" t="n">
        <f aca="false">C73</f>
        <v>0.0336097601668012</v>
      </c>
      <c r="D74" s="16" t="n">
        <f aca="false">$C$73*mrel_27</f>
        <v>0.0336097601668012</v>
      </c>
      <c r="E74" s="16" t="n">
        <f aca="false">$C$73*mrel_28</f>
        <v>0.0336097601668012</v>
      </c>
      <c r="F74" s="16" t="n">
        <f aca="false">$C$73*mrel_29</f>
        <v>0.0336097601668012</v>
      </c>
      <c r="H74" s="2"/>
    </row>
    <row r="75" customFormat="false" ht="15" hidden="false" customHeight="false" outlineLevel="0" collapsed="false">
      <c r="A75" s="5" t="s">
        <v>524</v>
      </c>
      <c r="B75" s="0" t="s">
        <v>30</v>
      </c>
      <c r="C75" s="26" t="n">
        <f aca="false">C63*C74</f>
        <v>1</v>
      </c>
      <c r="D75" s="26" t="n">
        <f aca="false">D63*D74</f>
        <v>1.83806094941792</v>
      </c>
      <c r="E75" s="26" t="n">
        <f aca="false">E63*E74</f>
        <v>2.05736265153044</v>
      </c>
      <c r="F75" s="26" t="n">
        <f aca="false">F63*F74</f>
        <v>2.64873411191015</v>
      </c>
      <c r="H75" s="2"/>
    </row>
    <row r="76" customFormat="false" ht="17.15" hidden="false" customHeight="false" outlineLevel="0" collapsed="false">
      <c r="A76" s="0" t="s">
        <v>525</v>
      </c>
      <c r="B76" s="5" t="s">
        <v>53</v>
      </c>
      <c r="C76" s="19" t="n">
        <f aca="false">tpu_26*1</f>
        <v>3.85</v>
      </c>
      <c r="D76" s="19" t="n">
        <f aca="false">tpu_27*1</f>
        <v>5.5</v>
      </c>
      <c r="E76" s="19" t="n">
        <f aca="false">tpu_28*um28_A</f>
        <v>7</v>
      </c>
      <c r="F76" s="19" t="n">
        <f aca="false">tpu_29*um29_A</f>
        <v>8.05</v>
      </c>
      <c r="H76" s="2"/>
    </row>
    <row r="77" customFormat="false" ht="17.15" hidden="false" customHeight="false" outlineLevel="0" collapsed="false">
      <c r="A77" s="0" t="s">
        <v>526</v>
      </c>
      <c r="B77" s="0" t="s">
        <v>120</v>
      </c>
      <c r="C77" s="20" t="n">
        <f aca="false">c26_ocs/C76</f>
        <v>129.87012987013</v>
      </c>
      <c r="D77" s="20" t="n">
        <f aca="false">$C77*ocsk_27</f>
        <v>207.792207792208</v>
      </c>
      <c r="E77" s="20" t="n">
        <f aca="false">$C77*ocsk_28</f>
        <v>233.766233766234</v>
      </c>
      <c r="F77" s="20" t="n">
        <f aca="false">$C77*ocsk_29</f>
        <v>233.766233766234</v>
      </c>
      <c r="H77" s="2"/>
    </row>
    <row r="78" customFormat="false" ht="17.15" hidden="false" customHeight="false" outlineLevel="0" collapsed="false">
      <c r="A78" s="0" t="s">
        <v>479</v>
      </c>
      <c r="B78" s="0" t="s">
        <v>30</v>
      </c>
      <c r="C78" s="26" t="n">
        <f aca="false">C76*C77/1000</f>
        <v>0.5</v>
      </c>
      <c r="D78" s="26" t="n">
        <f aca="false">D76*D77/1000</f>
        <v>1.14285714285714</v>
      </c>
      <c r="E78" s="26" t="n">
        <f aca="false">E76*E77/1000</f>
        <v>1.63636363636364</v>
      </c>
      <c r="F78" s="26" t="n">
        <f aca="false">F76*F77/1000</f>
        <v>1.88181818181818</v>
      </c>
      <c r="H78" s="2"/>
    </row>
    <row r="79" customFormat="false" ht="17.15" hidden="false" customHeight="false" outlineLevel="0" collapsed="false">
      <c r="A79" s="0" t="s">
        <v>527</v>
      </c>
      <c r="B79" s="0" t="s">
        <v>30</v>
      </c>
      <c r="C79" s="26" t="n">
        <f aca="false">mcp_26*1</f>
        <v>0.300538</v>
      </c>
      <c r="D79" s="26" t="n">
        <f aca="false">mcp_27*1</f>
        <v>1.691391</v>
      </c>
      <c r="E79" s="26" t="n">
        <f aca="false">mcp_28*um28_A</f>
        <v>3.22175</v>
      </c>
      <c r="F79" s="26" t="n">
        <f aca="false">mcp_29*um29_A</f>
        <v>5.87368</v>
      </c>
      <c r="H79" s="2"/>
    </row>
    <row r="80" customFormat="false" ht="17.15" hidden="false" customHeight="false" outlineLevel="0" collapsed="false">
      <c r="A80" s="0" t="s">
        <v>480</v>
      </c>
      <c r="B80" s="0" t="s">
        <v>163</v>
      </c>
      <c r="C80" s="16" t="n">
        <f aca="false">c26_cpo/1000/C79</f>
        <v>0.166368312825666</v>
      </c>
      <c r="D80" s="16" t="n">
        <f aca="false">cpo_27</f>
        <v>0.25</v>
      </c>
      <c r="E80" s="16" t="n">
        <f aca="false">cpo_28</f>
        <v>0.25</v>
      </c>
      <c r="F80" s="16" t="n">
        <f aca="false">cpo_29</f>
        <v>0.2</v>
      </c>
      <c r="H80" s="2"/>
    </row>
    <row r="81" customFormat="false" ht="17.15" hidden="false" customHeight="false" outlineLevel="0" collapsed="false">
      <c r="A81" s="0" t="s">
        <v>528</v>
      </c>
      <c r="B81" s="0" t="s">
        <v>30</v>
      </c>
      <c r="C81" s="26" t="n">
        <f aca="false">C79*C80</f>
        <v>0.05</v>
      </c>
      <c r="D81" s="26" t="n">
        <f aca="false">D79*D80</f>
        <v>0.42284775</v>
      </c>
      <c r="E81" s="26" t="n">
        <f aca="false">E79*E80</f>
        <v>0.8054375</v>
      </c>
      <c r="F81" s="26" t="n">
        <f aca="false">F79*F80</f>
        <v>1.174736</v>
      </c>
      <c r="H81" s="2"/>
    </row>
    <row r="82" customFormat="false" ht="17.15" hidden="false" customHeight="false" outlineLevel="0" collapsed="false">
      <c r="A82" s="0" t="s">
        <v>529</v>
      </c>
      <c r="B82" s="0" t="s">
        <v>30</v>
      </c>
      <c r="C82" s="26" t="n">
        <f aca="false">C72+C75+C78+C81</f>
        <v>3.4147</v>
      </c>
      <c r="D82" s="26" t="n">
        <f aca="false">D72+D75+D78+D81</f>
        <v>7.01625915561893</v>
      </c>
      <c r="E82" s="26" t="n">
        <f aca="false">E72+E75+E78+E81</f>
        <v>8.0389325616833</v>
      </c>
      <c r="F82" s="26" t="n">
        <f aca="false">F72+F75+F78+F81</f>
        <v>9.43551350936271</v>
      </c>
      <c r="H82" s="2"/>
    </row>
    <row r="83" customFormat="false" ht="17.15" hidden="false" customHeight="false" outlineLevel="0" collapsed="false">
      <c r="A83" s="5" t="s">
        <v>530</v>
      </c>
      <c r="B83" s="0" t="s">
        <v>30</v>
      </c>
      <c r="C83" s="26" t="n">
        <f aca="false">c26_tel/1000</f>
        <v>0.75</v>
      </c>
      <c r="D83" s="26" t="n">
        <f aca="false">C83*(1+g_tel_27)</f>
        <v>0.9375</v>
      </c>
      <c r="E83" s="26" t="n">
        <f aca="false">D83*(1+g_tel_28)</f>
        <v>1.078125</v>
      </c>
      <c r="F83" s="26" t="n">
        <f aca="false">E83*(1+g_tel_29)</f>
        <v>1.1859375</v>
      </c>
      <c r="H83" s="2"/>
    </row>
    <row r="84" customFormat="false" ht="17.15" hidden="false" customHeight="false" outlineLevel="0" collapsed="false">
      <c r="A84" s="5" t="s">
        <v>531</v>
      </c>
      <c r="B84" s="0" t="s">
        <v>30</v>
      </c>
      <c r="C84" s="26" t="n">
        <f aca="false">c26_ind/1000</f>
        <v>0.3</v>
      </c>
      <c r="D84" s="26" t="n">
        <f aca="false">C84*(1+g_ind)</f>
        <v>0.309</v>
      </c>
      <c r="E84" s="26" t="n">
        <f aca="false">D84*(1+g_ind)</f>
        <v>0.31827</v>
      </c>
      <c r="F84" s="26" t="n">
        <f aca="false">E84*(1+g_ind)</f>
        <v>0.3278181</v>
      </c>
      <c r="H84" s="2"/>
    </row>
    <row r="85" customFormat="false" ht="15" hidden="false" customHeight="false" outlineLevel="0" collapsed="false">
      <c r="A85" s="5" t="s">
        <v>532</v>
      </c>
      <c r="B85" s="0" t="s">
        <v>30</v>
      </c>
      <c r="C85" s="26" t="n">
        <f aca="false">C82+C83+C84</f>
        <v>4.4647</v>
      </c>
      <c r="D85" s="26" t="n">
        <f aca="false">D82+D83+D84</f>
        <v>8.26275915561893</v>
      </c>
      <c r="E85" s="26" t="n">
        <f aca="false">E82+E83+E84</f>
        <v>9.4353275616833</v>
      </c>
      <c r="F85" s="26" t="n">
        <f aca="false">F82+F83+F84</f>
        <v>10.9492691093627</v>
      </c>
      <c r="H85" s="2"/>
    </row>
    <row r="86" customFormat="false" ht="15" hidden="false" customHeight="false" outlineLevel="0" collapsed="false">
      <c r="A86" s="5" t="s">
        <v>533</v>
      </c>
      <c r="B86" s="0" t="s">
        <v>163</v>
      </c>
      <c r="D86" s="16" t="n">
        <f aca="false">D85/C85-1</f>
        <v>0.850686307169335</v>
      </c>
      <c r="E86" s="16" t="n">
        <f aca="false">E85/D85-1</f>
        <v>0.141910030775493</v>
      </c>
      <c r="F86" s="16" t="n">
        <f aca="false">F85/E85-1</f>
        <v>0.160454582819944</v>
      </c>
      <c r="H86" s="2"/>
    </row>
    <row r="87" customFormat="false" ht="17.15" hidden="false" customHeight="false" outlineLevel="0" collapsed="false">
      <c r="A87" s="1" t="s">
        <v>534</v>
      </c>
    </row>
    <row r="88" customFormat="false" ht="17.15" hidden="false" customHeight="false" outlineLevel="0" collapsed="false">
      <c r="A88" s="6" t="s">
        <v>19</v>
      </c>
      <c r="B88" s="6" t="s">
        <v>20</v>
      </c>
      <c r="C88" s="14" t="s">
        <v>420</v>
      </c>
      <c r="D88" s="14" t="s">
        <v>487</v>
      </c>
      <c r="E88" s="14" t="s">
        <v>488</v>
      </c>
      <c r="F88" s="14" t="s">
        <v>489</v>
      </c>
      <c r="G88" s="14" t="s">
        <v>490</v>
      </c>
      <c r="H88" s="14" t="s">
        <v>491</v>
      </c>
      <c r="I88" s="14" t="s">
        <v>492</v>
      </c>
      <c r="J88" s="14" t="s">
        <v>493</v>
      </c>
      <c r="K88" s="6" t="s">
        <v>428</v>
      </c>
    </row>
    <row r="89" customFormat="false" ht="17.15" hidden="false" customHeight="false" outlineLevel="0" collapsed="false">
      <c r="A89" s="0" t="s">
        <v>535</v>
      </c>
      <c r="B89" s="0" t="s">
        <v>30</v>
      </c>
      <c r="E89" s="26" t="n">
        <f aca="false">w2h_26*C82+h_1h*D82</f>
        <v>5.32441963815781</v>
      </c>
      <c r="F89" s="26" t="n">
        <f aca="false">(1-h_1h)*D82+h_1h*E82</f>
        <v>7.49691565646918</v>
      </c>
      <c r="G89" s="26" t="n">
        <f aca="false">(1-h_1h)*E82+h_1h*F82</f>
        <v>8.69532560709262</v>
      </c>
      <c r="H89" s="2"/>
      <c r="K89" s="8" t="s">
        <v>536</v>
      </c>
    </row>
    <row r="90" customFormat="false" ht="17.15" hidden="false" customHeight="false" outlineLevel="0" collapsed="false">
      <c r="A90" s="5" t="s">
        <v>537</v>
      </c>
      <c r="B90" s="0" t="s">
        <v>30</v>
      </c>
      <c r="E90" s="26" t="n">
        <f aca="false">w2h_26*C83+h_1h*D83+w2h_26*C84+h_1h*D84</f>
        <v>1.20907716498309</v>
      </c>
      <c r="F90" s="26" t="n">
        <f aca="false">(1-h_1h)*D83+h_1h*E83+(1-h_1h)*D84+h_1h*E84</f>
        <v>1.31695065</v>
      </c>
      <c r="G90" s="26" t="n">
        <f aca="false">(1-h_1h)*E83+h_1h*F83+(1-h_1h)*E84+h_1h*F84</f>
        <v>1.451554482</v>
      </c>
      <c r="H90" s="2"/>
    </row>
    <row r="91" customFormat="false" ht="15" hidden="false" customHeight="false" outlineLevel="0" collapsed="false">
      <c r="A91" s="5" t="s">
        <v>429</v>
      </c>
      <c r="B91" s="0" t="s">
        <v>30</v>
      </c>
      <c r="C91" s="26" t="n">
        <f aca="false">a25_rev/1000</f>
        <v>1.645</v>
      </c>
      <c r="D91" s="26" t="n">
        <f aca="false">a26_rev/1000</f>
        <v>3.014</v>
      </c>
      <c r="E91" s="26" t="n">
        <f aca="false">E89+E90</f>
        <v>6.5334968031409</v>
      </c>
      <c r="F91" s="26" t="n">
        <f aca="false">F89+F90</f>
        <v>8.81386630646918</v>
      </c>
      <c r="G91" s="26" t="n">
        <f aca="false">G89+G90</f>
        <v>10.1468800890926</v>
      </c>
      <c r="H91" s="27" t="n">
        <f aca="false">G91*(1+H92)</f>
        <v>11.3728973503621</v>
      </c>
      <c r="I91" s="28" t="n">
        <f aca="false">H91*(1+I92)</f>
        <v>12.4011609062408</v>
      </c>
      <c r="J91" s="28" t="n">
        <f aca="false">I91*(1+J92)</f>
        <v>13.1452305606153</v>
      </c>
    </row>
    <row r="92" customFormat="false" ht="15" hidden="false" customHeight="false" outlineLevel="0" collapsed="false">
      <c r="A92" s="5" t="s">
        <v>538</v>
      </c>
      <c r="B92" s="0" t="s">
        <v>163</v>
      </c>
      <c r="D92" s="16" t="n">
        <f aca="false">D91/C91-1</f>
        <v>0.832218844984802</v>
      </c>
      <c r="E92" s="16" t="n">
        <f aca="false">E91/D91-1</f>
        <v>1.16771625850727</v>
      </c>
      <c r="F92" s="16" t="n">
        <f aca="false">F91/E91-1</f>
        <v>0.349027415492425</v>
      </c>
      <c r="G92" s="16" t="n">
        <f aca="false">G91/F91-1</f>
        <v>0.151240526719249</v>
      </c>
      <c r="H92" s="29" t="n">
        <f aca="false">$G92+(fade_gA-$G92)*1/3</f>
        <v>0.120827017812833</v>
      </c>
      <c r="I92" s="23" t="n">
        <f aca="false">$G92+(fade_gA-$G92)*2/3</f>
        <v>0.0904135089064163</v>
      </c>
      <c r="J92" s="23" t="n">
        <f aca="false">$G92+(fade_gA-$G92)*3/3</f>
        <v>0.06</v>
      </c>
    </row>
    <row r="93" customFormat="false" ht="17.15" hidden="false" customHeight="false" outlineLevel="0" collapsed="false">
      <c r="A93" s="0" t="s">
        <v>539</v>
      </c>
      <c r="B93" s="0" t="s">
        <v>163</v>
      </c>
      <c r="E93" s="16" t="n">
        <f aca="false">E89/E91</f>
        <v>0.814941798945728</v>
      </c>
      <c r="F93" s="16" t="n">
        <f aca="false">F89/F91</f>
        <v>0.850581957541903</v>
      </c>
      <c r="G93" s="16" t="n">
        <f aca="false">G89/G91</f>
        <v>0.856945734131583</v>
      </c>
      <c r="H93" s="2"/>
    </row>
    <row r="94" customFormat="false" ht="17.15" hidden="false" customHeight="false" outlineLevel="0" collapsed="false">
      <c r="A94" s="5" t="s">
        <v>432</v>
      </c>
      <c r="B94" s="0" t="s">
        <v>163</v>
      </c>
      <c r="C94" s="16" t="n">
        <f aca="false">a25_gm</f>
        <v>0.347</v>
      </c>
      <c r="D94" s="16" t="n">
        <f aca="false">a26_gm</f>
        <v>0.46</v>
      </c>
      <c r="E94" s="16" t="n">
        <f aca="false">gm_27</f>
        <v>0.52</v>
      </c>
      <c r="F94" s="16" t="n">
        <f aca="false">gm_28</f>
        <v>0.51</v>
      </c>
      <c r="G94" s="16" t="n">
        <f aca="false">gm_29</f>
        <v>0.49</v>
      </c>
      <c r="H94" s="2"/>
    </row>
    <row r="95" customFormat="false" ht="15" hidden="false" customHeight="false" outlineLevel="0" collapsed="false">
      <c r="A95" s="5" t="s">
        <v>433</v>
      </c>
      <c r="B95" s="0" t="s">
        <v>30</v>
      </c>
      <c r="C95" s="26" t="n">
        <f aca="false">C91*C94</f>
        <v>0.570815</v>
      </c>
      <c r="D95" s="26" t="n">
        <f aca="false">D91*D94</f>
        <v>1.38644</v>
      </c>
      <c r="E95" s="26" t="n">
        <f aca="false">E91*E94</f>
        <v>3.39741833763327</v>
      </c>
      <c r="F95" s="26" t="n">
        <f aca="false">F91*F94</f>
        <v>4.49507181629928</v>
      </c>
      <c r="G95" s="26" t="n">
        <f aca="false">G91*G94</f>
        <v>4.97197124365538</v>
      </c>
      <c r="H95" s="2"/>
    </row>
    <row r="96" customFormat="false" ht="15" hidden="false" customHeight="false" outlineLevel="0" collapsed="false">
      <c r="A96" s="5" t="s">
        <v>540</v>
      </c>
      <c r="B96" s="0" t="s">
        <v>30</v>
      </c>
      <c r="C96" s="26" t="n">
        <f aca="false">a25_opx/1000</f>
        <v>0.4114</v>
      </c>
      <c r="D96" s="26" t="n">
        <f aca="false">a26_opx/1000</f>
        <v>0.4897</v>
      </c>
      <c r="E96" s="26" t="n">
        <f aca="false">D96*(1+MAX(0,phi*E92))</f>
        <v>0.620475792325522</v>
      </c>
      <c r="F96" s="26" t="n">
        <f aca="false">E96*(1+MAX(0,phi*F92))</f>
        <v>0.670003053508791</v>
      </c>
      <c r="G96" s="26" t="n">
        <f aca="false">F96*(1+MAX(0,phi*G92))</f>
        <v>0.693177261048431</v>
      </c>
      <c r="H96" s="2"/>
    </row>
    <row r="97" customFormat="false" ht="15" hidden="false" customHeight="false" outlineLevel="0" collapsed="false">
      <c r="A97" s="5" t="s">
        <v>541</v>
      </c>
      <c r="B97" s="0" t="s">
        <v>30</v>
      </c>
      <c r="C97" s="26" t="n">
        <f aca="false">C96</f>
        <v>0.4114</v>
      </c>
      <c r="D97" s="26" t="n">
        <f aca="false">D96</f>
        <v>0.4897</v>
      </c>
      <c r="E97" s="26" t="n">
        <f aca="false">E96+0*E91</f>
        <v>0.620475792325522</v>
      </c>
      <c r="F97" s="26" t="n">
        <f aca="false">F96+0*F91</f>
        <v>0.670003053508791</v>
      </c>
      <c r="G97" s="26" t="n">
        <f aca="false">G96+0*G91</f>
        <v>0.693177261048431</v>
      </c>
      <c r="H97" s="2"/>
    </row>
    <row r="98" customFormat="false" ht="15" hidden="false" customHeight="false" outlineLevel="0" collapsed="false">
      <c r="A98" s="5" t="s">
        <v>542</v>
      </c>
      <c r="B98" s="0" t="s">
        <v>30</v>
      </c>
      <c r="C98" s="26" t="n">
        <f aca="false">C95-C97</f>
        <v>0.159415</v>
      </c>
      <c r="D98" s="26" t="n">
        <f aca="false">D95-D97</f>
        <v>0.89674</v>
      </c>
      <c r="E98" s="26" t="n">
        <f aca="false">E95-E97</f>
        <v>2.77694254530774</v>
      </c>
      <c r="F98" s="26" t="n">
        <f aca="false">F95-F97</f>
        <v>3.82506876279049</v>
      </c>
      <c r="G98" s="26" t="n">
        <f aca="false">G95-G97</f>
        <v>4.27879398260695</v>
      </c>
      <c r="H98" s="2"/>
    </row>
    <row r="99" customFormat="false" ht="15" hidden="false" customHeight="false" outlineLevel="0" collapsed="false">
      <c r="A99" s="5" t="s">
        <v>437</v>
      </c>
      <c r="B99" s="0" t="s">
        <v>163</v>
      </c>
      <c r="C99" s="16" t="n">
        <f aca="false">C98/C91</f>
        <v>0.0969088145896656</v>
      </c>
      <c r="D99" s="16" t="n">
        <f aca="false">D98/D91</f>
        <v>0.297524883875249</v>
      </c>
      <c r="E99" s="16" t="n">
        <f aca="false">E98/E91</f>
        <v>0.425031591654375</v>
      </c>
      <c r="F99" s="16" t="n">
        <f aca="false">F98/F91</f>
        <v>0.433983070515033</v>
      </c>
      <c r="G99" s="16" t="n">
        <f aca="false">G98/G91</f>
        <v>0.421685675304909</v>
      </c>
      <c r="H99" s="2"/>
    </row>
    <row r="100" customFormat="false" ht="17.15" hidden="false" customHeight="false" outlineLevel="0" collapsed="false">
      <c r="A100" s="5" t="s">
        <v>438</v>
      </c>
      <c r="B100" s="0" t="s">
        <v>30</v>
      </c>
      <c r="C100" s="26" t="n">
        <f aca="false">a25_ni/1000</f>
        <v>0.1464</v>
      </c>
      <c r="D100" s="26" t="n">
        <f aca="false">a26_ni/1000</f>
        <v>0.7823</v>
      </c>
      <c r="E100" s="26" t="n">
        <f aca="false">(E98+oi_oth)*(1-tx)</f>
        <v>2.36234702533197</v>
      </c>
      <c r="F100" s="26" t="n">
        <f aca="false">(F98+oi_oth)*(1-tx)</f>
        <v>3.23753241693006</v>
      </c>
      <c r="G100" s="26" t="n">
        <f aca="false">(G98+oi_oth)*(1-tx)</f>
        <v>3.61639297547681</v>
      </c>
      <c r="H100" s="27" t="n">
        <f aca="false">H91*H101</f>
        <v>4.05335095394294</v>
      </c>
      <c r="I100" s="28" t="n">
        <f aca="false">I91*I101</f>
        <v>4.4198286365181</v>
      </c>
      <c r="J100" s="28" t="n">
        <f aca="false">J91*J101</f>
        <v>4.68501835470918</v>
      </c>
    </row>
    <row r="101" customFormat="false" ht="15" hidden="false" customHeight="false" outlineLevel="0" collapsed="false">
      <c r="A101" s="5" t="s">
        <v>500</v>
      </c>
      <c r="B101" s="0" t="s">
        <v>163</v>
      </c>
      <c r="C101" s="16" t="n">
        <f aca="false">C100/C91</f>
        <v>0.0889969604863222</v>
      </c>
      <c r="D101" s="16" t="n">
        <f aca="false">D100/D91</f>
        <v>0.259555408095554</v>
      </c>
      <c r="E101" s="16" t="n">
        <f aca="false">E100/E91</f>
        <v>0.3615746814472</v>
      </c>
      <c r="F101" s="16" t="n">
        <f aca="false">F100/F91</f>
        <v>0.367322614657064</v>
      </c>
      <c r="G101" s="16" t="n">
        <f aca="false">G100/G91</f>
        <v>0.356404426160928</v>
      </c>
      <c r="H101" s="29" t="n">
        <f aca="false">$G101+(fade_mA-$G101)*1/3</f>
        <v>0.356404426160928</v>
      </c>
      <c r="I101" s="23" t="n">
        <f aca="false">$G101+(fade_mA-$G101)*2/3</f>
        <v>0.356404426160928</v>
      </c>
      <c r="J101" s="23" t="n">
        <f aca="false">$G101+(fade_mA-$G101)*3/3</f>
        <v>0.356404426160928</v>
      </c>
    </row>
    <row r="102" customFormat="false" ht="17.15" hidden="false" customHeight="false" outlineLevel="0" collapsed="false">
      <c r="A102" s="5" t="s">
        <v>442</v>
      </c>
      <c r="B102" s="5" t="s">
        <v>237</v>
      </c>
      <c r="C102" s="15" t="n">
        <f aca="false">a25_sh</f>
        <v>71.0679611650485</v>
      </c>
      <c r="D102" s="15" t="n">
        <f aca="false">a26_sh</f>
        <v>90.2306805074971</v>
      </c>
      <c r="E102" s="15" t="n">
        <f aca="false">sh_q1</f>
        <v>102</v>
      </c>
      <c r="F102" s="15" t="n">
        <f aca="false">E102*(1+sh_g)</f>
        <v>103.02</v>
      </c>
      <c r="G102" s="15" t="n">
        <f aca="false">F102*(1+sh_g)</f>
        <v>104.0502</v>
      </c>
      <c r="H102" s="30" t="n">
        <f aca="false">G102*(1+sh_g)</f>
        <v>105.090702</v>
      </c>
      <c r="I102" s="31" t="n">
        <f aca="false">H102*(1+sh_g)</f>
        <v>106.14160902</v>
      </c>
      <c r="J102" s="31" t="n">
        <f aca="false">I102*(1+sh_g)</f>
        <v>107.2030251102</v>
      </c>
    </row>
    <row r="103" customFormat="false" ht="17.15" hidden="false" customHeight="false" outlineLevel="0" collapsed="false">
      <c r="A103" s="0" t="s">
        <v>444</v>
      </c>
      <c r="B103" s="0" t="s">
        <v>232</v>
      </c>
      <c r="C103" s="9" t="n">
        <f aca="false">C100*1000/C102</f>
        <v>2.06</v>
      </c>
      <c r="D103" s="9" t="n">
        <f aca="false">D100*1000/D102</f>
        <v>8.67</v>
      </c>
      <c r="E103" s="9" t="n">
        <f aca="false">E100*1000/E102</f>
        <v>23.160264954235</v>
      </c>
      <c r="F103" s="9" t="n">
        <f aca="false">F100*1000/F102</f>
        <v>31.4262513776942</v>
      </c>
      <c r="G103" s="9" t="n">
        <f aca="false">G100*1000/G102</f>
        <v>34.7562328133613</v>
      </c>
      <c r="H103" s="32" t="n">
        <f aca="false">H100*1000/H102</f>
        <v>38.5700245293151</v>
      </c>
      <c r="I103" s="24" t="n">
        <f aca="false">I100*1000/I102</f>
        <v>41.6408671144723</v>
      </c>
      <c r="J103" s="24" t="n">
        <f aca="false">J100*1000/J102</f>
        <v>43.7022961795452</v>
      </c>
    </row>
    <row r="104" customFormat="false" ht="17.15" hidden="false" customHeight="false" outlineLevel="0" collapsed="false">
      <c r="A104" s="0" t="s">
        <v>543</v>
      </c>
      <c r="B104" s="0" t="s">
        <v>163</v>
      </c>
      <c r="D104" s="16" t="n">
        <f aca="false">D103/C103-1</f>
        <v>3.20873786407767</v>
      </c>
      <c r="E104" s="16" t="n">
        <f aca="false">E103/D103-1</f>
        <v>1.6713108367053</v>
      </c>
      <c r="F104" s="16" t="n">
        <f aca="false">F103/E103-1</f>
        <v>0.356903793622093</v>
      </c>
      <c r="G104" s="16" t="n">
        <f aca="false">G103/F103-1</f>
        <v>0.105961776848467</v>
      </c>
      <c r="H104" s="29" t="n">
        <f aca="false">H103/G103-1</f>
        <v>0.109729720606765</v>
      </c>
      <c r="I104" s="23" t="n">
        <f aca="false">I103/H103-1</f>
        <v>0.0796173355509071</v>
      </c>
      <c r="J104" s="23" t="n">
        <f aca="false">J103/I103-1</f>
        <v>0.0495049504950498</v>
      </c>
    </row>
    <row r="107" customFormat="false" ht="17.15" hidden="false" customHeight="false" outlineLevel="0" collapsed="false">
      <c r="A107" s="3" t="s">
        <v>544</v>
      </c>
    </row>
    <row r="108" customFormat="false" ht="17.15" hidden="false" customHeight="false" outlineLevel="0" collapsed="false">
      <c r="A108" s="1" t="s">
        <v>509</v>
      </c>
    </row>
    <row r="109" customFormat="false" ht="17.15" hidden="false" customHeight="false" outlineLevel="0" collapsed="false">
      <c r="A109" s="6" t="s">
        <v>19</v>
      </c>
      <c r="B109" s="6" t="s">
        <v>20</v>
      </c>
      <c r="C109" s="14" t="s">
        <v>510</v>
      </c>
      <c r="D109" s="14" t="s">
        <v>465</v>
      </c>
      <c r="E109" s="14" t="s">
        <v>466</v>
      </c>
      <c r="F109" s="14" t="s">
        <v>467</v>
      </c>
      <c r="G109" s="14"/>
      <c r="H109" s="14" t="s">
        <v>491</v>
      </c>
      <c r="I109" s="14" t="s">
        <v>492</v>
      </c>
      <c r="J109" s="14" t="s">
        <v>493</v>
      </c>
      <c r="K109" s="6" t="s">
        <v>428</v>
      </c>
    </row>
    <row r="110" customFormat="false" ht="17.15" hidden="false" customHeight="false" outlineLevel="0" collapsed="false">
      <c r="A110" s="0" t="s">
        <v>511</v>
      </c>
      <c r="B110" s="0" t="s">
        <v>30</v>
      </c>
      <c r="C110" s="26" t="n">
        <f aca="false">mpl_26*1</f>
        <v>29.753262</v>
      </c>
      <c r="D110" s="26" t="n">
        <f aca="false">mpl_27*1*1</f>
        <v>54.688309</v>
      </c>
      <c r="E110" s="26" t="n">
        <f aca="false">mpl_28*um28_B*1</f>
        <v>48.9706</v>
      </c>
      <c r="F110" s="26" t="n">
        <f aca="false">mpl_29*um29_B*1</f>
        <v>66.987208</v>
      </c>
      <c r="H110" s="2"/>
    </row>
    <row r="111" customFormat="false" ht="17.15" hidden="false" customHeight="false" outlineLevel="0" collapsed="false">
      <c r="A111" s="5" t="s">
        <v>512</v>
      </c>
      <c r="B111" s="0" t="s">
        <v>96</v>
      </c>
      <c r="C111" s="20" t="n">
        <f aca="false">asp_26</f>
        <v>500</v>
      </c>
      <c r="D111" s="20" t="n">
        <f aca="false">asp_27</f>
        <v>520</v>
      </c>
      <c r="E111" s="20" t="n">
        <f aca="false">asp_28</f>
        <v>540</v>
      </c>
      <c r="F111" s="20" t="n">
        <f aca="false">asp_29</f>
        <v>560</v>
      </c>
      <c r="H111" s="2"/>
    </row>
    <row r="112" customFormat="false" ht="17.15" hidden="false" customHeight="false" outlineLevel="0" collapsed="false">
      <c r="A112" s="5" t="s">
        <v>513</v>
      </c>
      <c r="B112" s="5" t="s">
        <v>336</v>
      </c>
      <c r="C112" s="15" t="n">
        <f aca="false">C110*1000/C111</f>
        <v>59.506524</v>
      </c>
      <c r="D112" s="15" t="n">
        <f aca="false">D110*1000/D111</f>
        <v>105.169825</v>
      </c>
      <c r="E112" s="15" t="n">
        <f aca="false">E110*1000/E111</f>
        <v>90.6862962962963</v>
      </c>
      <c r="F112" s="15" t="n">
        <f aca="false">F110*1000/F111</f>
        <v>119.620014285714</v>
      </c>
      <c r="H112" s="2"/>
    </row>
    <row r="113" customFormat="false" ht="17.15" hidden="false" customHeight="false" outlineLevel="0" collapsed="false">
      <c r="A113" s="5" t="s">
        <v>514</v>
      </c>
      <c r="B113" s="5" t="s">
        <v>108</v>
      </c>
      <c r="C113" s="18" t="n">
        <f aca="false">lpm_26</f>
        <v>5.5</v>
      </c>
      <c r="D113" s="18" t="n">
        <f aca="false">lpm_27</f>
        <v>5.5</v>
      </c>
      <c r="E113" s="18" t="n">
        <f aca="false">lpm_28</f>
        <v>5</v>
      </c>
      <c r="F113" s="18" t="n">
        <f aca="false">lpm_29</f>
        <v>4.8</v>
      </c>
      <c r="H113" s="2"/>
    </row>
    <row r="114" customFormat="false" ht="17.15" hidden="false" customHeight="false" outlineLevel="0" collapsed="false">
      <c r="A114" s="5" t="s">
        <v>515</v>
      </c>
      <c r="B114" s="0" t="s">
        <v>120</v>
      </c>
      <c r="C114" s="18" t="n">
        <f aca="false">lasp_26</f>
        <v>13</v>
      </c>
      <c r="D114" s="18" t="n">
        <f aca="false">lasp_27</f>
        <v>15</v>
      </c>
      <c r="E114" s="18" t="n">
        <f aca="false">lasp_28</f>
        <v>15</v>
      </c>
      <c r="F114" s="18" t="n">
        <f aca="false">lasp_29</f>
        <v>14</v>
      </c>
      <c r="H114" s="2"/>
    </row>
    <row r="115" customFormat="false" ht="17.15" hidden="false" customHeight="false" outlineLevel="0" collapsed="false">
      <c r="A115" s="5" t="s">
        <v>516</v>
      </c>
      <c r="B115" s="0" t="s">
        <v>30</v>
      </c>
      <c r="C115" s="26" t="n">
        <f aca="false">C112*C113*C114/1000</f>
        <v>4.254716466</v>
      </c>
      <c r="D115" s="26" t="n">
        <f aca="false">D112*D113*D114/1000</f>
        <v>8.6765105625</v>
      </c>
      <c r="E115" s="26" t="n">
        <f aca="false">E112*E113*E114/1000</f>
        <v>6.80147222222222</v>
      </c>
      <c r="F115" s="26" t="n">
        <f aca="false">F112*F113*F114/1000</f>
        <v>8.03846496</v>
      </c>
      <c r="H115" s="2"/>
    </row>
    <row r="116" customFormat="false" ht="17.15" hidden="false" customHeight="false" outlineLevel="0" collapsed="false">
      <c r="A116" s="0" t="s">
        <v>517</v>
      </c>
      <c r="B116" s="0" t="s">
        <v>163</v>
      </c>
      <c r="C116" s="16" t="n">
        <f aca="false">c26_las/1000/C115</f>
        <v>0.43826657190933</v>
      </c>
      <c r="H116" s="2"/>
      <c r="K116" s="8" t="s">
        <v>518</v>
      </c>
    </row>
    <row r="117" customFormat="false" ht="17.15" hidden="false" customHeight="false" outlineLevel="0" collapsed="false">
      <c r="A117" s="5" t="s">
        <v>519</v>
      </c>
      <c r="B117" s="0" t="s">
        <v>74</v>
      </c>
      <c r="C117" s="9" t="n">
        <f aca="false">1</f>
        <v>1</v>
      </c>
      <c r="D117" s="9" t="n">
        <f aca="false">lrel_27</f>
        <v>0.95</v>
      </c>
      <c r="E117" s="9" t="n">
        <f aca="false">lrel_28</f>
        <v>0.95</v>
      </c>
      <c r="F117" s="9" t="n">
        <f aca="false">lrel_29</f>
        <v>0.9</v>
      </c>
      <c r="H117" s="2"/>
    </row>
    <row r="118" customFormat="false" ht="15" hidden="false" customHeight="false" outlineLevel="0" collapsed="false">
      <c r="A118" s="5" t="s">
        <v>520</v>
      </c>
      <c r="B118" s="0" t="s">
        <v>163</v>
      </c>
      <c r="C118" s="16" t="n">
        <f aca="false">$C$116*C117</f>
        <v>0.43826657190933</v>
      </c>
      <c r="D118" s="16" t="n">
        <f aca="false">$C$116*D117</f>
        <v>0.416353243313864</v>
      </c>
      <c r="E118" s="16" t="n">
        <f aca="false">$C$116*E117</f>
        <v>0.416353243313864</v>
      </c>
      <c r="F118" s="16" t="n">
        <f aca="false">$C$116*F117</f>
        <v>0.394439914718397</v>
      </c>
      <c r="H118" s="2"/>
    </row>
    <row r="119" customFormat="false" ht="17.15" hidden="false" customHeight="false" outlineLevel="0" collapsed="false">
      <c r="A119" s="5" t="s">
        <v>521</v>
      </c>
      <c r="B119" s="0" t="s">
        <v>30</v>
      </c>
      <c r="C119" s="26" t="n">
        <f aca="false">C115*C118</f>
        <v>1.8647</v>
      </c>
      <c r="D119" s="26" t="n">
        <f aca="false">D115*D118</f>
        <v>3.61249331334387</v>
      </c>
      <c r="E119" s="26" t="n">
        <f aca="false">E115*E118</f>
        <v>2.83181501903137</v>
      </c>
      <c r="F119" s="26" t="n">
        <f aca="false">F115*F118</f>
        <v>3.17069143328922</v>
      </c>
      <c r="H119" s="2"/>
    </row>
    <row r="120" customFormat="false" ht="17.15" hidden="false" customHeight="false" outlineLevel="0" collapsed="false">
      <c r="A120" s="5" t="s">
        <v>522</v>
      </c>
      <c r="B120" s="0" t="s">
        <v>163</v>
      </c>
      <c r="C120" s="16" t="n">
        <f aca="false">c26_xcvr/1000/C110</f>
        <v>0.0336097601668012</v>
      </c>
      <c r="H120" s="2"/>
    </row>
    <row r="121" customFormat="false" ht="15" hidden="false" customHeight="false" outlineLevel="0" collapsed="false">
      <c r="A121" s="5" t="s">
        <v>523</v>
      </c>
      <c r="B121" s="0" t="s">
        <v>163</v>
      </c>
      <c r="C121" s="16" t="n">
        <f aca="false">C120</f>
        <v>0.0336097601668012</v>
      </c>
      <c r="D121" s="16" t="n">
        <f aca="false">$C$120*mrel_27</f>
        <v>0.0336097601668012</v>
      </c>
      <c r="E121" s="16" t="n">
        <f aca="false">$C$120*mrel_28</f>
        <v>0.0336097601668012</v>
      </c>
      <c r="F121" s="16" t="n">
        <f aca="false">$C$120*mrel_29</f>
        <v>0.0336097601668012</v>
      </c>
      <c r="H121" s="2"/>
    </row>
    <row r="122" customFormat="false" ht="15" hidden="false" customHeight="false" outlineLevel="0" collapsed="false">
      <c r="A122" s="5" t="s">
        <v>524</v>
      </c>
      <c r="B122" s="0" t="s">
        <v>30</v>
      </c>
      <c r="C122" s="26" t="n">
        <f aca="false">C110*C121</f>
        <v>1</v>
      </c>
      <c r="D122" s="26" t="n">
        <f aca="false">D110*D121</f>
        <v>1.83806094941792</v>
      </c>
      <c r="E122" s="26" t="n">
        <f aca="false">E110*E121</f>
        <v>1.64589012122436</v>
      </c>
      <c r="F122" s="26" t="n">
        <f aca="false">F110*F121</f>
        <v>2.25142399512363</v>
      </c>
      <c r="H122" s="2"/>
    </row>
    <row r="123" customFormat="false" ht="17.15" hidden="false" customHeight="false" outlineLevel="0" collapsed="false">
      <c r="A123" s="0" t="s">
        <v>525</v>
      </c>
      <c r="B123" s="5" t="s">
        <v>53</v>
      </c>
      <c r="C123" s="19" t="n">
        <f aca="false">tpu_26*1</f>
        <v>3.85</v>
      </c>
      <c r="D123" s="19" t="n">
        <f aca="false">tpu_27*1</f>
        <v>5.5</v>
      </c>
      <c r="E123" s="19" t="n">
        <f aca="false">tpu_28*um28_B</f>
        <v>5.6</v>
      </c>
      <c r="F123" s="19" t="n">
        <f aca="false">tpu_29*um29_B</f>
        <v>6.8425</v>
      </c>
      <c r="H123" s="2"/>
    </row>
    <row r="124" customFormat="false" ht="17.15" hidden="false" customHeight="false" outlineLevel="0" collapsed="false">
      <c r="A124" s="0" t="s">
        <v>526</v>
      </c>
      <c r="B124" s="0" t="s">
        <v>120</v>
      </c>
      <c r="C124" s="20" t="n">
        <f aca="false">c26_ocs/C123</f>
        <v>129.87012987013</v>
      </c>
      <c r="D124" s="20" t="n">
        <f aca="false">$C124*ocsk_27</f>
        <v>207.792207792208</v>
      </c>
      <c r="E124" s="20" t="n">
        <f aca="false">$C124*ocsk_28</f>
        <v>233.766233766234</v>
      </c>
      <c r="F124" s="20" t="n">
        <f aca="false">$C124*ocsk_29</f>
        <v>233.766233766234</v>
      </c>
      <c r="H124" s="2"/>
    </row>
    <row r="125" customFormat="false" ht="17.15" hidden="false" customHeight="false" outlineLevel="0" collapsed="false">
      <c r="A125" s="0" t="s">
        <v>479</v>
      </c>
      <c r="B125" s="0" t="s">
        <v>30</v>
      </c>
      <c r="C125" s="26" t="n">
        <f aca="false">C123*C124/1000</f>
        <v>0.5</v>
      </c>
      <c r="D125" s="26" t="n">
        <f aca="false">D123*D124/1000</f>
        <v>1.14285714285714</v>
      </c>
      <c r="E125" s="26" t="n">
        <f aca="false">E123*E124/1000</f>
        <v>1.30909090909091</v>
      </c>
      <c r="F125" s="26" t="n">
        <f aca="false">F123*F124/1000</f>
        <v>1.59954545454545</v>
      </c>
      <c r="H125" s="2"/>
    </row>
    <row r="126" customFormat="false" ht="17.15" hidden="false" customHeight="false" outlineLevel="0" collapsed="false">
      <c r="A126" s="0" t="s">
        <v>527</v>
      </c>
      <c r="B126" s="0" t="s">
        <v>30</v>
      </c>
      <c r="C126" s="26" t="n">
        <f aca="false">mcp_26*1</f>
        <v>0.300538</v>
      </c>
      <c r="D126" s="26" t="n">
        <f aca="false">mcp_27*1</f>
        <v>1.691391</v>
      </c>
      <c r="E126" s="26" t="n">
        <f aca="false">mcp_28*um28_B</f>
        <v>2.5774</v>
      </c>
      <c r="F126" s="26" t="n">
        <f aca="false">mcp_29*um29_B</f>
        <v>4.992628</v>
      </c>
      <c r="H126" s="2"/>
    </row>
    <row r="127" customFormat="false" ht="17.15" hidden="false" customHeight="false" outlineLevel="0" collapsed="false">
      <c r="A127" s="0" t="s">
        <v>480</v>
      </c>
      <c r="B127" s="0" t="s">
        <v>163</v>
      </c>
      <c r="C127" s="16" t="n">
        <f aca="false">c26_cpo/1000/C126</f>
        <v>0.166368312825666</v>
      </c>
      <c r="D127" s="16" t="n">
        <f aca="false">cpo_27</f>
        <v>0.25</v>
      </c>
      <c r="E127" s="16" t="n">
        <f aca="false">cpo_28</f>
        <v>0.25</v>
      </c>
      <c r="F127" s="16" t="n">
        <f aca="false">cpo_29</f>
        <v>0.2</v>
      </c>
      <c r="H127" s="2"/>
    </row>
    <row r="128" customFormat="false" ht="17.15" hidden="false" customHeight="false" outlineLevel="0" collapsed="false">
      <c r="A128" s="0" t="s">
        <v>528</v>
      </c>
      <c r="B128" s="0" t="s">
        <v>30</v>
      </c>
      <c r="C128" s="26" t="n">
        <f aca="false">C126*C127</f>
        <v>0.05</v>
      </c>
      <c r="D128" s="26" t="n">
        <f aca="false">D126*D127</f>
        <v>0.42284775</v>
      </c>
      <c r="E128" s="26" t="n">
        <f aca="false">E126*E127</f>
        <v>0.64435</v>
      </c>
      <c r="F128" s="26" t="n">
        <f aca="false">F126*F127</f>
        <v>0.9985256</v>
      </c>
      <c r="H128" s="2"/>
    </row>
    <row r="129" customFormat="false" ht="17.15" hidden="false" customHeight="false" outlineLevel="0" collapsed="false">
      <c r="A129" s="0" t="s">
        <v>529</v>
      </c>
      <c r="B129" s="0" t="s">
        <v>30</v>
      </c>
      <c r="C129" s="26" t="n">
        <f aca="false">C119+C122+C125+C128</f>
        <v>3.4147</v>
      </c>
      <c r="D129" s="26" t="n">
        <f aca="false">D119+D122+D125+D128</f>
        <v>7.01625915561893</v>
      </c>
      <c r="E129" s="26" t="n">
        <f aca="false">E119+E122+E125+E128</f>
        <v>6.43114604934664</v>
      </c>
      <c r="F129" s="26" t="n">
        <f aca="false">F119+F122+F125+F128</f>
        <v>8.02018648295831</v>
      </c>
      <c r="H129" s="2"/>
    </row>
    <row r="130" customFormat="false" ht="17.15" hidden="false" customHeight="false" outlineLevel="0" collapsed="false">
      <c r="A130" s="5" t="s">
        <v>530</v>
      </c>
      <c r="B130" s="0" t="s">
        <v>30</v>
      </c>
      <c r="C130" s="26" t="n">
        <f aca="false">c26_tel/1000</f>
        <v>0.75</v>
      </c>
      <c r="D130" s="26" t="n">
        <f aca="false">C130*(1+g_tel_27)</f>
        <v>0.9375</v>
      </c>
      <c r="E130" s="26" t="n">
        <f aca="false">D130*(1+g_tel_28)</f>
        <v>1.078125</v>
      </c>
      <c r="F130" s="26" t="n">
        <f aca="false">E130*(1+g_tel_29)</f>
        <v>1.1859375</v>
      </c>
      <c r="H130" s="2"/>
    </row>
    <row r="131" customFormat="false" ht="17.15" hidden="false" customHeight="false" outlineLevel="0" collapsed="false">
      <c r="A131" s="5" t="s">
        <v>531</v>
      </c>
      <c r="B131" s="0" t="s">
        <v>30</v>
      </c>
      <c r="C131" s="26" t="n">
        <f aca="false">c26_ind/1000</f>
        <v>0.3</v>
      </c>
      <c r="D131" s="26" t="n">
        <f aca="false">C131*(1+g_ind)</f>
        <v>0.309</v>
      </c>
      <c r="E131" s="26" t="n">
        <f aca="false">D131*(1+g_ind)</f>
        <v>0.31827</v>
      </c>
      <c r="F131" s="26" t="n">
        <f aca="false">E131*(1+g_ind)</f>
        <v>0.3278181</v>
      </c>
      <c r="H131" s="2"/>
    </row>
    <row r="132" customFormat="false" ht="15" hidden="false" customHeight="false" outlineLevel="0" collapsed="false">
      <c r="A132" s="5" t="s">
        <v>532</v>
      </c>
      <c r="B132" s="0" t="s">
        <v>30</v>
      </c>
      <c r="C132" s="26" t="n">
        <f aca="false">C129+C130+C131</f>
        <v>4.4647</v>
      </c>
      <c r="D132" s="26" t="n">
        <f aca="false">D129+D130+D131</f>
        <v>8.26275915561893</v>
      </c>
      <c r="E132" s="26" t="n">
        <f aca="false">E129+E130+E131</f>
        <v>7.82754104934664</v>
      </c>
      <c r="F132" s="26" t="n">
        <f aca="false">F129+F130+F131</f>
        <v>9.53394208295831</v>
      </c>
      <c r="H132" s="2"/>
    </row>
    <row r="133" customFormat="false" ht="15" hidden="false" customHeight="false" outlineLevel="0" collapsed="false">
      <c r="A133" s="5" t="s">
        <v>533</v>
      </c>
      <c r="B133" s="0" t="s">
        <v>163</v>
      </c>
      <c r="D133" s="16" t="n">
        <f aca="false">D132/C132-1</f>
        <v>0.850686307169335</v>
      </c>
      <c r="E133" s="16" t="n">
        <f aca="false">E132/D132-1</f>
        <v>-0.0526722488306256</v>
      </c>
      <c r="F133" s="16" t="n">
        <f aca="false">F132/E132-1</f>
        <v>0.217999627578331</v>
      </c>
      <c r="H133" s="2"/>
    </row>
    <row r="134" customFormat="false" ht="17.15" hidden="false" customHeight="false" outlineLevel="0" collapsed="false">
      <c r="A134" s="1" t="s">
        <v>534</v>
      </c>
    </row>
    <row r="135" customFormat="false" ht="17.15" hidden="false" customHeight="false" outlineLevel="0" collapsed="false">
      <c r="A135" s="6" t="s">
        <v>19</v>
      </c>
      <c r="B135" s="6" t="s">
        <v>20</v>
      </c>
      <c r="C135" s="14" t="s">
        <v>420</v>
      </c>
      <c r="D135" s="14" t="s">
        <v>487</v>
      </c>
      <c r="E135" s="14" t="s">
        <v>488</v>
      </c>
      <c r="F135" s="14" t="s">
        <v>489</v>
      </c>
      <c r="G135" s="14" t="s">
        <v>490</v>
      </c>
      <c r="H135" s="14" t="s">
        <v>491</v>
      </c>
      <c r="I135" s="14" t="s">
        <v>492</v>
      </c>
      <c r="J135" s="14" t="s">
        <v>493</v>
      </c>
      <c r="K135" s="6" t="s">
        <v>428</v>
      </c>
    </row>
    <row r="136" customFormat="false" ht="17.15" hidden="false" customHeight="false" outlineLevel="0" collapsed="false">
      <c r="A136" s="0" t="s">
        <v>535</v>
      </c>
      <c r="B136" s="0" t="s">
        <v>30</v>
      </c>
      <c r="E136" s="26" t="n">
        <f aca="false">w2h_26*C129+h_1h*D129</f>
        <v>5.32441963815781</v>
      </c>
      <c r="F136" s="26" t="n">
        <f aca="false">(1-h_1h)*D129+h_1h*E129</f>
        <v>6.74125599567095</v>
      </c>
      <c r="G136" s="26" t="n">
        <f aca="false">(1-h_1h)*E129+h_1h*F129</f>
        <v>7.17799505314412</v>
      </c>
      <c r="H136" s="2"/>
      <c r="K136" s="8" t="s">
        <v>536</v>
      </c>
    </row>
    <row r="137" customFormat="false" ht="17.15" hidden="false" customHeight="false" outlineLevel="0" collapsed="false">
      <c r="A137" s="5" t="s">
        <v>537</v>
      </c>
      <c r="B137" s="0" t="s">
        <v>30</v>
      </c>
      <c r="E137" s="26" t="n">
        <f aca="false">w2h_26*C130+h_1h*D130+w2h_26*C131+h_1h*D131</f>
        <v>1.20907716498309</v>
      </c>
      <c r="F137" s="26" t="n">
        <f aca="false">(1-h_1h)*D130+h_1h*E130+(1-h_1h)*D131+h_1h*E131</f>
        <v>1.31695065</v>
      </c>
      <c r="G137" s="26" t="n">
        <f aca="false">(1-h_1h)*E130+h_1h*F130+(1-h_1h)*E131+h_1h*F131</f>
        <v>1.451554482</v>
      </c>
      <c r="H137" s="2"/>
    </row>
    <row r="138" customFormat="false" ht="15" hidden="false" customHeight="false" outlineLevel="0" collapsed="false">
      <c r="A138" s="5" t="s">
        <v>429</v>
      </c>
      <c r="B138" s="0" t="s">
        <v>30</v>
      </c>
      <c r="C138" s="26" t="n">
        <f aca="false">a25_rev/1000</f>
        <v>1.645</v>
      </c>
      <c r="D138" s="26" t="n">
        <f aca="false">a26_rev/1000</f>
        <v>3.014</v>
      </c>
      <c r="E138" s="26" t="n">
        <f aca="false">E136+E137</f>
        <v>6.5334968031409</v>
      </c>
      <c r="F138" s="26" t="n">
        <f aca="false">F136+F137</f>
        <v>8.05820664567095</v>
      </c>
      <c r="G138" s="26" t="n">
        <f aca="false">G136+G137</f>
        <v>8.62954953514412</v>
      </c>
      <c r="H138" s="27" t="n">
        <f aca="false">G138*(1+H139)</f>
        <v>9.15251168726862</v>
      </c>
      <c r="I138" s="28" t="n">
        <f aca="false">H138*(1+I139)</f>
        <v>9.61288909723714</v>
      </c>
      <c r="J138" s="28" t="n">
        <f aca="false">I138*(1+J139)</f>
        <v>9.99740466112663</v>
      </c>
    </row>
    <row r="139" customFormat="false" ht="15" hidden="false" customHeight="false" outlineLevel="0" collapsed="false">
      <c r="A139" s="5" t="s">
        <v>538</v>
      </c>
      <c r="B139" s="0" t="s">
        <v>163</v>
      </c>
      <c r="D139" s="16" t="n">
        <f aca="false">D138/C138-1</f>
        <v>0.832218844984802</v>
      </c>
      <c r="E139" s="16" t="n">
        <f aca="false">E138/D138-1</f>
        <v>1.16771625850727</v>
      </c>
      <c r="F139" s="16" t="n">
        <f aca="false">F138/E138-1</f>
        <v>0.233368116411578</v>
      </c>
      <c r="G139" s="16" t="n">
        <f aca="false">G138/F138-1</f>
        <v>0.0709019903057597</v>
      </c>
      <c r="H139" s="29" t="n">
        <f aca="false">$G139+(fade_gB-$G139)*1/3</f>
        <v>0.0606013268705065</v>
      </c>
      <c r="I139" s="23" t="n">
        <f aca="false">$G139+(fade_gB-$G139)*2/3</f>
        <v>0.0503006634352532</v>
      </c>
      <c r="J139" s="23" t="n">
        <f aca="false">$G139+(fade_gB-$G139)*3/3</f>
        <v>0.04</v>
      </c>
    </row>
    <row r="140" customFormat="false" ht="17.15" hidden="false" customHeight="false" outlineLevel="0" collapsed="false">
      <c r="A140" s="0" t="s">
        <v>539</v>
      </c>
      <c r="B140" s="0" t="s">
        <v>163</v>
      </c>
      <c r="E140" s="16" t="n">
        <f aca="false">E136/E138</f>
        <v>0.814941798945728</v>
      </c>
      <c r="F140" s="16" t="n">
        <f aca="false">F136/F138</f>
        <v>0.836570255900859</v>
      </c>
      <c r="G140" s="16" t="n">
        <f aca="false">G136/G138</f>
        <v>0.831792554630054</v>
      </c>
      <c r="H140" s="2"/>
    </row>
    <row r="141" customFormat="false" ht="17.15" hidden="false" customHeight="false" outlineLevel="0" collapsed="false">
      <c r="A141" s="5" t="s">
        <v>432</v>
      </c>
      <c r="B141" s="0" t="s">
        <v>163</v>
      </c>
      <c r="C141" s="16" t="n">
        <f aca="false">a25_gm</f>
        <v>0.347</v>
      </c>
      <c r="D141" s="16" t="n">
        <f aca="false">a26_gm</f>
        <v>0.46</v>
      </c>
      <c r="E141" s="16" t="n">
        <f aca="false">gm_27</f>
        <v>0.52</v>
      </c>
      <c r="F141" s="16" t="n">
        <f aca="false">gm_28</f>
        <v>0.51</v>
      </c>
      <c r="G141" s="16" t="n">
        <f aca="false">gm_29</f>
        <v>0.49</v>
      </c>
      <c r="H141" s="2"/>
    </row>
    <row r="142" customFormat="false" ht="15" hidden="false" customHeight="false" outlineLevel="0" collapsed="false">
      <c r="A142" s="5" t="s">
        <v>433</v>
      </c>
      <c r="B142" s="0" t="s">
        <v>30</v>
      </c>
      <c r="C142" s="26" t="n">
        <f aca="false">C138*C141</f>
        <v>0.570815</v>
      </c>
      <c r="D142" s="26" t="n">
        <f aca="false">D138*D141</f>
        <v>1.38644</v>
      </c>
      <c r="E142" s="26" t="n">
        <f aca="false">E138*E141</f>
        <v>3.39741833763327</v>
      </c>
      <c r="F142" s="26" t="n">
        <f aca="false">F138*F141</f>
        <v>4.10968538929219</v>
      </c>
      <c r="G142" s="26" t="n">
        <f aca="false">G138*G141</f>
        <v>4.22847927222062</v>
      </c>
      <c r="H142" s="2"/>
    </row>
    <row r="143" customFormat="false" ht="15" hidden="false" customHeight="false" outlineLevel="0" collapsed="false">
      <c r="A143" s="5" t="s">
        <v>540</v>
      </c>
      <c r="B143" s="0" t="s">
        <v>30</v>
      </c>
      <c r="C143" s="26" t="n">
        <f aca="false">a25_opx/1000</f>
        <v>0.4114</v>
      </c>
      <c r="D143" s="26" t="n">
        <f aca="false">a26_opx/1000</f>
        <v>0.4897</v>
      </c>
      <c r="E143" s="26" t="n">
        <f aca="false">D143*(1+MAX(0,phi*E139))</f>
        <v>0.620475792325522</v>
      </c>
      <c r="F143" s="26" t="n">
        <f aca="false">E143*(1+MAX(0,phi*F139))</f>
        <v>0.653590909191219</v>
      </c>
      <c r="G143" s="26" t="n">
        <f aca="false">F143*(1+MAX(0,phi*G139))</f>
        <v>0.664188920005601</v>
      </c>
      <c r="H143" s="2"/>
    </row>
    <row r="144" customFormat="false" ht="15" hidden="false" customHeight="false" outlineLevel="0" collapsed="false">
      <c r="A144" s="5" t="s">
        <v>541</v>
      </c>
      <c r="B144" s="0" t="s">
        <v>30</v>
      </c>
      <c r="C144" s="26" t="n">
        <f aca="false">C143</f>
        <v>0.4114</v>
      </c>
      <c r="D144" s="26" t="n">
        <f aca="false">D143</f>
        <v>0.4897</v>
      </c>
      <c r="E144" s="26" t="n">
        <f aca="false">E143+0*E138</f>
        <v>0.620475792325522</v>
      </c>
      <c r="F144" s="26" t="n">
        <f aca="false">F143+0*F138</f>
        <v>0.653590909191219</v>
      </c>
      <c r="G144" s="26" t="n">
        <f aca="false">G143+0*G138</f>
        <v>0.664188920005601</v>
      </c>
      <c r="H144" s="2"/>
    </row>
    <row r="145" customFormat="false" ht="15" hidden="false" customHeight="false" outlineLevel="0" collapsed="false">
      <c r="A145" s="5" t="s">
        <v>542</v>
      </c>
      <c r="B145" s="0" t="s">
        <v>30</v>
      </c>
      <c r="C145" s="26" t="n">
        <f aca="false">C142-C144</f>
        <v>0.159415</v>
      </c>
      <c r="D145" s="26" t="n">
        <f aca="false">D142-D144</f>
        <v>0.89674</v>
      </c>
      <c r="E145" s="26" t="n">
        <f aca="false">E142-E144</f>
        <v>2.77694254530774</v>
      </c>
      <c r="F145" s="26" t="n">
        <f aca="false">F142-F144</f>
        <v>3.45609448010097</v>
      </c>
      <c r="G145" s="26" t="n">
        <f aca="false">G142-G144</f>
        <v>3.56429035221502</v>
      </c>
      <c r="H145" s="2"/>
    </row>
    <row r="146" customFormat="false" ht="15" hidden="false" customHeight="false" outlineLevel="0" collapsed="false">
      <c r="A146" s="5" t="s">
        <v>437</v>
      </c>
      <c r="B146" s="0" t="s">
        <v>163</v>
      </c>
      <c r="C146" s="16" t="n">
        <f aca="false">C145/C138</f>
        <v>0.0969088145896656</v>
      </c>
      <c r="D146" s="16" t="n">
        <f aca="false">D145/D138</f>
        <v>0.297524883875249</v>
      </c>
      <c r="E146" s="16" t="n">
        <f aca="false">E145/E138</f>
        <v>0.425031591654375</v>
      </c>
      <c r="F146" s="16" t="n">
        <f aca="false">F145/F138</f>
        <v>0.42889126974147</v>
      </c>
      <c r="G146" s="16" t="n">
        <f aca="false">G145/G138</f>
        <v>0.413033187618813</v>
      </c>
      <c r="H146" s="2"/>
    </row>
    <row r="147" customFormat="false" ht="17.15" hidden="false" customHeight="false" outlineLevel="0" collapsed="false">
      <c r="A147" s="5" t="s">
        <v>438</v>
      </c>
      <c r="B147" s="0" t="s">
        <v>30</v>
      </c>
      <c r="C147" s="26" t="n">
        <f aca="false">a25_ni/1000</f>
        <v>0.1464</v>
      </c>
      <c r="D147" s="26" t="n">
        <f aca="false">a26_ni/1000</f>
        <v>0.7823</v>
      </c>
      <c r="E147" s="26" t="n">
        <f aca="false">(E145+oi_oth)*(1-tx)</f>
        <v>2.36234702533197</v>
      </c>
      <c r="F147" s="26" t="n">
        <f aca="false">(F145+oi_oth)*(1-tx)</f>
        <v>2.92943889088431</v>
      </c>
      <c r="G147" s="26" t="n">
        <f aca="false">(G145+oi_oth)*(1-tx)</f>
        <v>3.01978244409954</v>
      </c>
      <c r="H147" s="27" t="n">
        <f aca="false">H138*H148</f>
        <v>3.09602575816983</v>
      </c>
      <c r="I147" s="28" t="n">
        <f aca="false">I138*I148</f>
        <v>3.13962832479018</v>
      </c>
      <c r="J147" s="28" t="n">
        <f aca="false">J138*J148</f>
        <v>3.14859869143244</v>
      </c>
    </row>
    <row r="148" customFormat="false" ht="15" hidden="false" customHeight="false" outlineLevel="0" collapsed="false">
      <c r="A148" s="5" t="s">
        <v>500</v>
      </c>
      <c r="B148" s="0" t="s">
        <v>163</v>
      </c>
      <c r="C148" s="16" t="n">
        <f aca="false">C147/C138</f>
        <v>0.0889969604863222</v>
      </c>
      <c r="D148" s="16" t="n">
        <f aca="false">D147/D138</f>
        <v>0.259555408095554</v>
      </c>
      <c r="E148" s="16" t="n">
        <f aca="false">E147/E138</f>
        <v>0.3615746814472</v>
      </c>
      <c r="F148" s="16" t="n">
        <f aca="false">F147/F138</f>
        <v>0.363534843383306</v>
      </c>
      <c r="G148" s="16" t="n">
        <f aca="false">G147/G138</f>
        <v>0.349935119069817</v>
      </c>
      <c r="H148" s="29" t="n">
        <f aca="false">$G148+(fade_mB-$G148)*1/3</f>
        <v>0.338270615100823</v>
      </c>
      <c r="I148" s="23" t="n">
        <f aca="false">$G148+(fade_mB-$G148)*2/3</f>
        <v>0.326606111131829</v>
      </c>
      <c r="J148" s="23" t="n">
        <f aca="false">$G148+(fade_mB-$G148)*3/3</f>
        <v>0.314941607162835</v>
      </c>
    </row>
    <row r="149" customFormat="false" ht="17.15" hidden="false" customHeight="false" outlineLevel="0" collapsed="false">
      <c r="A149" s="5" t="s">
        <v>442</v>
      </c>
      <c r="B149" s="5" t="s">
        <v>237</v>
      </c>
      <c r="C149" s="15" t="n">
        <f aca="false">a25_sh</f>
        <v>71.0679611650485</v>
      </c>
      <c r="D149" s="15" t="n">
        <f aca="false">a26_sh</f>
        <v>90.2306805074971</v>
      </c>
      <c r="E149" s="15" t="n">
        <f aca="false">sh_q1</f>
        <v>102</v>
      </c>
      <c r="F149" s="15" t="n">
        <f aca="false">E149*(1+sh_g)</f>
        <v>103.02</v>
      </c>
      <c r="G149" s="15" t="n">
        <f aca="false">F149*(1+sh_g)</f>
        <v>104.0502</v>
      </c>
      <c r="H149" s="30" t="n">
        <f aca="false">G149*(1+sh_g)</f>
        <v>105.090702</v>
      </c>
      <c r="I149" s="31" t="n">
        <f aca="false">H149*(1+sh_g)</f>
        <v>106.14160902</v>
      </c>
      <c r="J149" s="31" t="n">
        <f aca="false">I149*(1+sh_g)</f>
        <v>107.2030251102</v>
      </c>
    </row>
    <row r="150" customFormat="false" ht="17.15" hidden="false" customHeight="false" outlineLevel="0" collapsed="false">
      <c r="A150" s="0" t="s">
        <v>444</v>
      </c>
      <c r="B150" s="0" t="s">
        <v>232</v>
      </c>
      <c r="C150" s="9" t="n">
        <f aca="false">C147*1000/C149</f>
        <v>2.06</v>
      </c>
      <c r="D150" s="9" t="n">
        <f aca="false">D147*1000/D149</f>
        <v>8.67</v>
      </c>
      <c r="E150" s="9" t="n">
        <f aca="false">E147*1000/E149</f>
        <v>23.160264954235</v>
      </c>
      <c r="F150" s="9" t="n">
        <f aca="false">F147*1000/F149</f>
        <v>28.4356327983334</v>
      </c>
      <c r="G150" s="9" t="n">
        <f aca="false">G147*1000/G149</f>
        <v>29.0223607845015</v>
      </c>
      <c r="H150" s="32" t="n">
        <f aca="false">H147*1000/H149</f>
        <v>29.4605107706848</v>
      </c>
      <c r="I150" s="24" t="n">
        <f aca="false">I147*1000/I149</f>
        <v>29.5796187167145</v>
      </c>
      <c r="J150" s="24" t="n">
        <f aca="false">J147*1000/J149</f>
        <v>29.3704276366811</v>
      </c>
    </row>
    <row r="151" customFormat="false" ht="17.15" hidden="false" customHeight="false" outlineLevel="0" collapsed="false">
      <c r="A151" s="0" t="s">
        <v>543</v>
      </c>
      <c r="B151" s="0" t="s">
        <v>163</v>
      </c>
      <c r="D151" s="16" t="n">
        <f aca="false">D150/C150-1</f>
        <v>3.20873786407767</v>
      </c>
      <c r="E151" s="16" t="n">
        <f aca="false">E150/D150-1</f>
        <v>1.6713108367053</v>
      </c>
      <c r="F151" s="16" t="n">
        <f aca="false">F150/E150-1</f>
        <v>0.227776662077167</v>
      </c>
      <c r="G151" s="16" t="n">
        <f aca="false">G150/F150-1</f>
        <v>0.0206335477156152</v>
      </c>
      <c r="H151" s="29" t="n">
        <f aca="false">H150/G150-1</f>
        <v>0.0150969795130262</v>
      </c>
      <c r="I151" s="23" t="n">
        <f aca="false">I150/H150-1</f>
        <v>0.00404296948402494</v>
      </c>
      <c r="J151" s="23" t="n">
        <f aca="false">J150/I150-1</f>
        <v>-0.00707213578500698</v>
      </c>
    </row>
    <row r="154" customFormat="false" ht="17.15" hidden="false" customHeight="false" outlineLevel="0" collapsed="false">
      <c r="A154" s="3" t="s">
        <v>545</v>
      </c>
    </row>
    <row r="155" customFormat="false" ht="17.15" hidden="false" customHeight="false" outlineLevel="0" collapsed="false">
      <c r="A155" s="1" t="s">
        <v>509</v>
      </c>
    </row>
    <row r="156" customFormat="false" ht="17.15" hidden="false" customHeight="false" outlineLevel="0" collapsed="false">
      <c r="A156" s="6" t="s">
        <v>19</v>
      </c>
      <c r="B156" s="6" t="s">
        <v>20</v>
      </c>
      <c r="C156" s="14" t="s">
        <v>510</v>
      </c>
      <c r="D156" s="14" t="s">
        <v>465</v>
      </c>
      <c r="E156" s="14" t="s">
        <v>466</v>
      </c>
      <c r="F156" s="14" t="s">
        <v>467</v>
      </c>
      <c r="G156" s="14"/>
      <c r="H156" s="14" t="s">
        <v>491</v>
      </c>
      <c r="I156" s="14" t="s">
        <v>492</v>
      </c>
      <c r="J156" s="14" t="s">
        <v>493</v>
      </c>
      <c r="K156" s="6" t="s">
        <v>428</v>
      </c>
    </row>
    <row r="157" customFormat="false" ht="17.15" hidden="false" customHeight="false" outlineLevel="0" collapsed="false">
      <c r="A157" s="0" t="s">
        <v>511</v>
      </c>
      <c r="B157" s="0" t="s">
        <v>30</v>
      </c>
      <c r="C157" s="26" t="n">
        <f aca="false">mpl_26*1</f>
        <v>29.753262</v>
      </c>
      <c r="D157" s="26" t="n">
        <f aca="false">mpl_27*1*1</f>
        <v>54.688309</v>
      </c>
      <c r="E157" s="26" t="n">
        <f aca="false">mpl_28*um28_C*1</f>
        <v>36.72795</v>
      </c>
      <c r="F157" s="26" t="n">
        <f aca="false">mpl_29*um29_C*1</f>
        <v>47.285088</v>
      </c>
      <c r="H157" s="2"/>
    </row>
    <row r="158" customFormat="false" ht="17.15" hidden="false" customHeight="false" outlineLevel="0" collapsed="false">
      <c r="A158" s="5" t="s">
        <v>512</v>
      </c>
      <c r="B158" s="0" t="s">
        <v>96</v>
      </c>
      <c r="C158" s="20" t="n">
        <f aca="false">asp_26</f>
        <v>500</v>
      </c>
      <c r="D158" s="20" t="n">
        <f aca="false">asp_27</f>
        <v>520</v>
      </c>
      <c r="E158" s="20" t="n">
        <f aca="false">asp_28</f>
        <v>540</v>
      </c>
      <c r="F158" s="20" t="n">
        <f aca="false">asp_29</f>
        <v>560</v>
      </c>
      <c r="H158" s="2"/>
    </row>
    <row r="159" customFormat="false" ht="17.15" hidden="false" customHeight="false" outlineLevel="0" collapsed="false">
      <c r="A159" s="5" t="s">
        <v>513</v>
      </c>
      <c r="B159" s="5" t="s">
        <v>336</v>
      </c>
      <c r="C159" s="15" t="n">
        <f aca="false">C157*1000/C158</f>
        <v>59.506524</v>
      </c>
      <c r="D159" s="15" t="n">
        <f aca="false">D157*1000/D158</f>
        <v>105.169825</v>
      </c>
      <c r="E159" s="15" t="n">
        <f aca="false">E157*1000/E158</f>
        <v>68.0147222222222</v>
      </c>
      <c r="F159" s="15" t="n">
        <f aca="false">F157*1000/F158</f>
        <v>84.4376571428572</v>
      </c>
      <c r="H159" s="2"/>
    </row>
    <row r="160" customFormat="false" ht="17.15" hidden="false" customHeight="false" outlineLevel="0" collapsed="false">
      <c r="A160" s="5" t="s">
        <v>514</v>
      </c>
      <c r="B160" s="5" t="s">
        <v>108</v>
      </c>
      <c r="C160" s="18" t="n">
        <f aca="false">lpm_26</f>
        <v>5.5</v>
      </c>
      <c r="D160" s="18" t="n">
        <f aca="false">lpm_27</f>
        <v>5.5</v>
      </c>
      <c r="E160" s="18" t="n">
        <f aca="false">lpm_28</f>
        <v>5</v>
      </c>
      <c r="F160" s="18" t="n">
        <f aca="false">lpm_29</f>
        <v>4.8</v>
      </c>
      <c r="H160" s="2"/>
    </row>
    <row r="161" customFormat="false" ht="17.15" hidden="false" customHeight="false" outlineLevel="0" collapsed="false">
      <c r="A161" s="5" t="s">
        <v>515</v>
      </c>
      <c r="B161" s="0" t="s">
        <v>120</v>
      </c>
      <c r="C161" s="18" t="n">
        <f aca="false">lasp_26</f>
        <v>13</v>
      </c>
      <c r="D161" s="18" t="n">
        <f aca="false">lasp_27</f>
        <v>15</v>
      </c>
      <c r="E161" s="18" t="n">
        <f aca="false">lasp_28</f>
        <v>15</v>
      </c>
      <c r="F161" s="18" t="n">
        <f aca="false">lasp_29</f>
        <v>14</v>
      </c>
      <c r="H161" s="2"/>
    </row>
    <row r="162" customFormat="false" ht="17.15" hidden="false" customHeight="false" outlineLevel="0" collapsed="false">
      <c r="A162" s="5" t="s">
        <v>516</v>
      </c>
      <c r="B162" s="0" t="s">
        <v>30</v>
      </c>
      <c r="C162" s="26" t="n">
        <f aca="false">C159*C160*C161/1000</f>
        <v>4.254716466</v>
      </c>
      <c r="D162" s="26" t="n">
        <f aca="false">D159*D160*D161/1000</f>
        <v>8.6765105625</v>
      </c>
      <c r="E162" s="26" t="n">
        <f aca="false">E159*E160*E161/1000</f>
        <v>5.10110416666667</v>
      </c>
      <c r="F162" s="26" t="n">
        <f aca="false">F159*F160*F161/1000</f>
        <v>5.67421056</v>
      </c>
      <c r="H162" s="2"/>
    </row>
    <row r="163" customFormat="false" ht="17.15" hidden="false" customHeight="false" outlineLevel="0" collapsed="false">
      <c r="A163" s="0" t="s">
        <v>517</v>
      </c>
      <c r="B163" s="0" t="s">
        <v>163</v>
      </c>
      <c r="C163" s="16" t="n">
        <f aca="false">c26_las/1000/C162</f>
        <v>0.43826657190933</v>
      </c>
      <c r="H163" s="2"/>
      <c r="K163" s="8" t="s">
        <v>518</v>
      </c>
    </row>
    <row r="164" customFormat="false" ht="17.15" hidden="false" customHeight="false" outlineLevel="0" collapsed="false">
      <c r="A164" s="5" t="s">
        <v>519</v>
      </c>
      <c r="B164" s="0" t="s">
        <v>74</v>
      </c>
      <c r="C164" s="9" t="n">
        <f aca="false">1</f>
        <v>1</v>
      </c>
      <c r="D164" s="9" t="n">
        <f aca="false">lrel_27</f>
        <v>0.95</v>
      </c>
      <c r="E164" s="9" t="n">
        <f aca="false">lrel_28</f>
        <v>0.95</v>
      </c>
      <c r="F164" s="9" t="n">
        <f aca="false">lrel_29</f>
        <v>0.9</v>
      </c>
      <c r="H164" s="2"/>
    </row>
    <row r="165" customFormat="false" ht="15" hidden="false" customHeight="false" outlineLevel="0" collapsed="false">
      <c r="A165" s="5" t="s">
        <v>520</v>
      </c>
      <c r="B165" s="0" t="s">
        <v>163</v>
      </c>
      <c r="C165" s="16" t="n">
        <f aca="false">$C$163*C164</f>
        <v>0.43826657190933</v>
      </c>
      <c r="D165" s="16" t="n">
        <f aca="false">$C$163*D164</f>
        <v>0.416353243313864</v>
      </c>
      <c r="E165" s="16" t="n">
        <f aca="false">$C$163*E164</f>
        <v>0.416353243313864</v>
      </c>
      <c r="F165" s="16" t="n">
        <f aca="false">$C$163*F164</f>
        <v>0.394439914718397</v>
      </c>
      <c r="H165" s="2"/>
    </row>
    <row r="166" customFormat="false" ht="17.15" hidden="false" customHeight="false" outlineLevel="0" collapsed="false">
      <c r="A166" s="5" t="s">
        <v>521</v>
      </c>
      <c r="B166" s="0" t="s">
        <v>30</v>
      </c>
      <c r="C166" s="26" t="n">
        <f aca="false">C162*C165</f>
        <v>1.8647</v>
      </c>
      <c r="D166" s="26" t="n">
        <f aca="false">D162*D165</f>
        <v>3.61249331334387</v>
      </c>
      <c r="E166" s="26" t="n">
        <f aca="false">E162*E165</f>
        <v>2.12386126427353</v>
      </c>
      <c r="F166" s="26" t="n">
        <f aca="false">F162*F165</f>
        <v>2.23813512938063</v>
      </c>
      <c r="H166" s="2"/>
    </row>
    <row r="167" customFormat="false" ht="17.15" hidden="false" customHeight="false" outlineLevel="0" collapsed="false">
      <c r="A167" s="5" t="s">
        <v>522</v>
      </c>
      <c r="B167" s="0" t="s">
        <v>163</v>
      </c>
      <c r="C167" s="16" t="n">
        <f aca="false">c26_xcvr/1000/C157</f>
        <v>0.0336097601668012</v>
      </c>
      <c r="H167" s="2"/>
    </row>
    <row r="168" customFormat="false" ht="15" hidden="false" customHeight="false" outlineLevel="0" collapsed="false">
      <c r="A168" s="5" t="s">
        <v>523</v>
      </c>
      <c r="B168" s="0" t="s">
        <v>163</v>
      </c>
      <c r="C168" s="16" t="n">
        <f aca="false">C167</f>
        <v>0.0336097601668012</v>
      </c>
      <c r="D168" s="16" t="n">
        <f aca="false">$C$167*mrel_27</f>
        <v>0.0336097601668012</v>
      </c>
      <c r="E168" s="16" t="n">
        <f aca="false">$C$167*mrel_28</f>
        <v>0.0336097601668012</v>
      </c>
      <c r="F168" s="16" t="n">
        <f aca="false">$C$167*mrel_29</f>
        <v>0.0336097601668012</v>
      </c>
      <c r="H168" s="2"/>
    </row>
    <row r="169" customFormat="false" ht="15" hidden="false" customHeight="false" outlineLevel="0" collapsed="false">
      <c r="A169" s="5" t="s">
        <v>524</v>
      </c>
      <c r="B169" s="0" t="s">
        <v>30</v>
      </c>
      <c r="C169" s="26" t="n">
        <f aca="false">C157*C168</f>
        <v>1</v>
      </c>
      <c r="D169" s="26" t="n">
        <f aca="false">D157*D168</f>
        <v>1.83806094941792</v>
      </c>
      <c r="E169" s="26" t="n">
        <f aca="false">E157*E168</f>
        <v>1.23441759091827</v>
      </c>
      <c r="F169" s="26" t="n">
        <f aca="false">F157*F168</f>
        <v>1.58924046714609</v>
      </c>
      <c r="H169" s="2"/>
    </row>
    <row r="170" customFormat="false" ht="17.15" hidden="false" customHeight="false" outlineLevel="0" collapsed="false">
      <c r="A170" s="0" t="s">
        <v>525</v>
      </c>
      <c r="B170" s="5" t="s">
        <v>53</v>
      </c>
      <c r="C170" s="19" t="n">
        <f aca="false">tpu_26*1</f>
        <v>3.85</v>
      </c>
      <c r="D170" s="19" t="n">
        <f aca="false">tpu_27*1</f>
        <v>5.5</v>
      </c>
      <c r="E170" s="19" t="n">
        <f aca="false">tpu_28*um28_C</f>
        <v>4.2</v>
      </c>
      <c r="F170" s="19" t="n">
        <f aca="false">tpu_29*um29_C</f>
        <v>4.83</v>
      </c>
      <c r="H170" s="2"/>
    </row>
    <row r="171" customFormat="false" ht="17.15" hidden="false" customHeight="false" outlineLevel="0" collapsed="false">
      <c r="A171" s="0" t="s">
        <v>526</v>
      </c>
      <c r="B171" s="0" t="s">
        <v>120</v>
      </c>
      <c r="C171" s="20" t="n">
        <f aca="false">c26_ocs/C170</f>
        <v>129.87012987013</v>
      </c>
      <c r="D171" s="20" t="n">
        <f aca="false">$C171*ocsk_27</f>
        <v>207.792207792208</v>
      </c>
      <c r="E171" s="20" t="n">
        <f aca="false">$C171*ocsk_28</f>
        <v>233.766233766234</v>
      </c>
      <c r="F171" s="20" t="n">
        <f aca="false">$C171*ocsk_29</f>
        <v>233.766233766234</v>
      </c>
      <c r="H171" s="2"/>
    </row>
    <row r="172" customFormat="false" ht="17.15" hidden="false" customHeight="false" outlineLevel="0" collapsed="false">
      <c r="A172" s="0" t="s">
        <v>479</v>
      </c>
      <c r="B172" s="0" t="s">
        <v>30</v>
      </c>
      <c r="C172" s="26" t="n">
        <f aca="false">C170*C171/1000</f>
        <v>0.5</v>
      </c>
      <c r="D172" s="26" t="n">
        <f aca="false">D170*D171/1000</f>
        <v>1.14285714285714</v>
      </c>
      <c r="E172" s="26" t="n">
        <f aca="false">E170*E171/1000</f>
        <v>0.981818181818182</v>
      </c>
      <c r="F172" s="26" t="n">
        <f aca="false">F170*F171/1000</f>
        <v>1.12909090909091</v>
      </c>
      <c r="H172" s="2"/>
    </row>
    <row r="173" customFormat="false" ht="17.15" hidden="false" customHeight="false" outlineLevel="0" collapsed="false">
      <c r="A173" s="0" t="s">
        <v>527</v>
      </c>
      <c r="B173" s="0" t="s">
        <v>30</v>
      </c>
      <c r="C173" s="26" t="n">
        <f aca="false">mcp_26*1</f>
        <v>0.300538</v>
      </c>
      <c r="D173" s="26" t="n">
        <f aca="false">mcp_27*1</f>
        <v>1.691391</v>
      </c>
      <c r="E173" s="26" t="n">
        <f aca="false">mcp_28*um28_C</f>
        <v>1.93305</v>
      </c>
      <c r="F173" s="26" t="n">
        <f aca="false">mcp_29*um29_C</f>
        <v>3.524208</v>
      </c>
      <c r="H173" s="2"/>
    </row>
    <row r="174" customFormat="false" ht="17.15" hidden="false" customHeight="false" outlineLevel="0" collapsed="false">
      <c r="A174" s="0" t="s">
        <v>480</v>
      </c>
      <c r="B174" s="0" t="s">
        <v>163</v>
      </c>
      <c r="C174" s="16" t="n">
        <f aca="false">c26_cpo/1000/C173</f>
        <v>0.166368312825666</v>
      </c>
      <c r="D174" s="16" t="n">
        <f aca="false">cpo_27</f>
        <v>0.25</v>
      </c>
      <c r="E174" s="16" t="n">
        <f aca="false">cpo_28</f>
        <v>0.25</v>
      </c>
      <c r="F174" s="16" t="n">
        <f aca="false">cpo_29</f>
        <v>0.2</v>
      </c>
      <c r="H174" s="2"/>
    </row>
    <row r="175" customFormat="false" ht="17.15" hidden="false" customHeight="false" outlineLevel="0" collapsed="false">
      <c r="A175" s="0" t="s">
        <v>528</v>
      </c>
      <c r="B175" s="0" t="s">
        <v>30</v>
      </c>
      <c r="C175" s="26" t="n">
        <f aca="false">C173*C174</f>
        <v>0.05</v>
      </c>
      <c r="D175" s="26" t="n">
        <f aca="false">D173*D174</f>
        <v>0.42284775</v>
      </c>
      <c r="E175" s="26" t="n">
        <f aca="false">E173*E174</f>
        <v>0.4832625</v>
      </c>
      <c r="F175" s="26" t="n">
        <f aca="false">F173*F174</f>
        <v>0.7048416</v>
      </c>
      <c r="H175" s="2"/>
    </row>
    <row r="176" customFormat="false" ht="17.15" hidden="false" customHeight="false" outlineLevel="0" collapsed="false">
      <c r="A176" s="0" t="s">
        <v>529</v>
      </c>
      <c r="B176" s="0" t="s">
        <v>30</v>
      </c>
      <c r="C176" s="26" t="n">
        <f aca="false">C166+C169+C172+C175</f>
        <v>3.4147</v>
      </c>
      <c r="D176" s="26" t="n">
        <f aca="false">D166+D169+D172+D175</f>
        <v>7.01625915561893</v>
      </c>
      <c r="E176" s="26" t="n">
        <f aca="false">E166+E169+E172+E175</f>
        <v>4.82335953700998</v>
      </c>
      <c r="F176" s="26" t="n">
        <f aca="false">F166+F169+F172+F175</f>
        <v>5.66130810561763</v>
      </c>
      <c r="H176" s="2"/>
    </row>
    <row r="177" customFormat="false" ht="17.15" hidden="false" customHeight="false" outlineLevel="0" collapsed="false">
      <c r="A177" s="5" t="s">
        <v>530</v>
      </c>
      <c r="B177" s="0" t="s">
        <v>30</v>
      </c>
      <c r="C177" s="26" t="n">
        <f aca="false">c26_tel/1000</f>
        <v>0.75</v>
      </c>
      <c r="D177" s="26" t="n">
        <f aca="false">C177*(1+g_tel_27)</f>
        <v>0.9375</v>
      </c>
      <c r="E177" s="26" t="n">
        <f aca="false">D177*(1+g_tel_28)</f>
        <v>1.078125</v>
      </c>
      <c r="F177" s="26" t="n">
        <f aca="false">E177*(1+g_tel_29)</f>
        <v>1.1859375</v>
      </c>
      <c r="H177" s="2"/>
    </row>
    <row r="178" customFormat="false" ht="17.15" hidden="false" customHeight="false" outlineLevel="0" collapsed="false">
      <c r="A178" s="5" t="s">
        <v>531</v>
      </c>
      <c r="B178" s="0" t="s">
        <v>30</v>
      </c>
      <c r="C178" s="26" t="n">
        <f aca="false">c26_ind/1000</f>
        <v>0.3</v>
      </c>
      <c r="D178" s="26" t="n">
        <f aca="false">C178*(1+g_ind)</f>
        <v>0.309</v>
      </c>
      <c r="E178" s="26" t="n">
        <f aca="false">D178*(1+g_ind)</f>
        <v>0.31827</v>
      </c>
      <c r="F178" s="26" t="n">
        <f aca="false">E178*(1+g_ind)</f>
        <v>0.3278181</v>
      </c>
      <c r="H178" s="2"/>
    </row>
    <row r="179" customFormat="false" ht="15" hidden="false" customHeight="false" outlineLevel="0" collapsed="false">
      <c r="A179" s="5" t="s">
        <v>532</v>
      </c>
      <c r="B179" s="0" t="s">
        <v>30</v>
      </c>
      <c r="C179" s="26" t="n">
        <f aca="false">C176+C177+C178</f>
        <v>4.4647</v>
      </c>
      <c r="D179" s="26" t="n">
        <f aca="false">D176+D177+D178</f>
        <v>8.26275915561893</v>
      </c>
      <c r="E179" s="26" t="n">
        <f aca="false">E176+E177+E178</f>
        <v>6.21975453700998</v>
      </c>
      <c r="F179" s="26" t="n">
        <f aca="false">F176+F177+F178</f>
        <v>7.17506370561763</v>
      </c>
      <c r="H179" s="2"/>
    </row>
    <row r="180" customFormat="false" ht="15" hidden="false" customHeight="false" outlineLevel="0" collapsed="false">
      <c r="A180" s="5" t="s">
        <v>533</v>
      </c>
      <c r="B180" s="0" t="s">
        <v>163</v>
      </c>
      <c r="D180" s="16" t="n">
        <f aca="false">D179/C179-1</f>
        <v>0.850686307169335</v>
      </c>
      <c r="E180" s="16" t="n">
        <f aca="false">E179/D179-1</f>
        <v>-0.247254528436744</v>
      </c>
      <c r="F180" s="16" t="n">
        <f aca="false">F179/E179-1</f>
        <v>0.153592744363654</v>
      </c>
      <c r="H180" s="2"/>
    </row>
    <row r="181" customFormat="false" ht="17.15" hidden="false" customHeight="false" outlineLevel="0" collapsed="false">
      <c r="A181" s="1" t="s">
        <v>534</v>
      </c>
    </row>
    <row r="182" customFormat="false" ht="17.15" hidden="false" customHeight="false" outlineLevel="0" collapsed="false">
      <c r="A182" s="6" t="s">
        <v>19</v>
      </c>
      <c r="B182" s="6" t="s">
        <v>20</v>
      </c>
      <c r="C182" s="14" t="s">
        <v>420</v>
      </c>
      <c r="D182" s="14" t="s">
        <v>487</v>
      </c>
      <c r="E182" s="14" t="s">
        <v>488</v>
      </c>
      <c r="F182" s="14" t="s">
        <v>489</v>
      </c>
      <c r="G182" s="14" t="s">
        <v>490</v>
      </c>
      <c r="H182" s="14" t="s">
        <v>491</v>
      </c>
      <c r="I182" s="14" t="s">
        <v>492</v>
      </c>
      <c r="J182" s="14" t="s">
        <v>493</v>
      </c>
      <c r="K182" s="6" t="s">
        <v>428</v>
      </c>
    </row>
    <row r="183" customFormat="false" ht="17.15" hidden="false" customHeight="false" outlineLevel="0" collapsed="false">
      <c r="A183" s="0" t="s">
        <v>535</v>
      </c>
      <c r="B183" s="0" t="s">
        <v>30</v>
      </c>
      <c r="E183" s="26" t="n">
        <f aca="false">w2h_26*C176+h_1h*D176</f>
        <v>5.32441963815781</v>
      </c>
      <c r="F183" s="26" t="n">
        <f aca="false">(1-h_1h)*D176+h_1h*E176</f>
        <v>5.98559633487272</v>
      </c>
      <c r="G183" s="26" t="n">
        <f aca="false">(1-h_1h)*E176+h_1h*F176</f>
        <v>5.21719536425557</v>
      </c>
      <c r="H183" s="2"/>
      <c r="K183" s="8" t="s">
        <v>536</v>
      </c>
    </row>
    <row r="184" customFormat="false" ht="17.15" hidden="false" customHeight="false" outlineLevel="0" collapsed="false">
      <c r="A184" s="5" t="s">
        <v>537</v>
      </c>
      <c r="B184" s="0" t="s">
        <v>30</v>
      </c>
      <c r="E184" s="26" t="n">
        <f aca="false">w2h_26*C177+h_1h*D177+w2h_26*C178+h_1h*D178</f>
        <v>1.20907716498309</v>
      </c>
      <c r="F184" s="26" t="n">
        <f aca="false">(1-h_1h)*D177+h_1h*E177+(1-h_1h)*D178+h_1h*E178</f>
        <v>1.31695065</v>
      </c>
      <c r="G184" s="26" t="n">
        <f aca="false">(1-h_1h)*E177+h_1h*F177+(1-h_1h)*E178+h_1h*F178</f>
        <v>1.451554482</v>
      </c>
      <c r="H184" s="2"/>
    </row>
    <row r="185" customFormat="false" ht="15" hidden="false" customHeight="false" outlineLevel="0" collapsed="false">
      <c r="A185" s="5" t="s">
        <v>429</v>
      </c>
      <c r="B185" s="0" t="s">
        <v>30</v>
      </c>
      <c r="C185" s="26" t="n">
        <f aca="false">a25_rev/1000</f>
        <v>1.645</v>
      </c>
      <c r="D185" s="26" t="n">
        <f aca="false">a26_rev/1000</f>
        <v>3.014</v>
      </c>
      <c r="E185" s="26" t="n">
        <f aca="false">E183+E184</f>
        <v>6.5334968031409</v>
      </c>
      <c r="F185" s="26" t="n">
        <f aca="false">F183+F184</f>
        <v>7.30254698487272</v>
      </c>
      <c r="G185" s="26" t="n">
        <f aca="false">G183+G184</f>
        <v>6.66874984625557</v>
      </c>
      <c r="H185" s="27" t="n">
        <f aca="false">G185*(1+H186)</f>
        <v>6.32734878097149</v>
      </c>
      <c r="I185" s="28" t="n">
        <f aca="false">H185*(1+I186)</f>
        <v>6.22866060699684</v>
      </c>
      <c r="J185" s="28" t="n">
        <f aca="false">I185*(1+J186)</f>
        <v>6.35323381913678</v>
      </c>
    </row>
    <row r="186" customFormat="false" ht="15" hidden="false" customHeight="false" outlineLevel="0" collapsed="false">
      <c r="A186" s="5" t="s">
        <v>538</v>
      </c>
      <c r="B186" s="0" t="s">
        <v>163</v>
      </c>
      <c r="D186" s="16" t="n">
        <f aca="false">D185/C185-1</f>
        <v>0.832218844984802</v>
      </c>
      <c r="E186" s="16" t="n">
        <f aca="false">E185/D185-1</f>
        <v>1.16771625850727</v>
      </c>
      <c r="F186" s="16" t="n">
        <f aca="false">F185/E185-1</f>
        <v>0.117708817330731</v>
      </c>
      <c r="G186" s="16" t="n">
        <f aca="false">G185/F185-1</f>
        <v>-0.0867912441960407</v>
      </c>
      <c r="H186" s="29" t="n">
        <f aca="false">$G186+(fade_gC-$G186)*1/3</f>
        <v>-0.0511941627973605</v>
      </c>
      <c r="I186" s="23" t="n">
        <f aca="false">$G186+(fade_gC-$G186)*2/3</f>
        <v>-0.0155970813986802</v>
      </c>
      <c r="J186" s="23" t="n">
        <f aca="false">$G186+(fade_gC-$G186)*3/3</f>
        <v>0.02</v>
      </c>
    </row>
    <row r="187" customFormat="false" ht="17.15" hidden="false" customHeight="false" outlineLevel="0" collapsed="false">
      <c r="A187" s="0" t="s">
        <v>539</v>
      </c>
      <c r="B187" s="0" t="s">
        <v>163</v>
      </c>
      <c r="E187" s="16" t="n">
        <f aca="false">E183/E185</f>
        <v>0.814941798945728</v>
      </c>
      <c r="F187" s="16" t="n">
        <f aca="false">F183/F185</f>
        <v>0.819658722808895</v>
      </c>
      <c r="G187" s="16" t="n">
        <f aca="false">G183/G185</f>
        <v>0.782334843041829</v>
      </c>
      <c r="H187" s="2"/>
    </row>
    <row r="188" customFormat="false" ht="17.15" hidden="false" customHeight="false" outlineLevel="0" collapsed="false">
      <c r="A188" s="5" t="s">
        <v>432</v>
      </c>
      <c r="B188" s="0" t="s">
        <v>163</v>
      </c>
      <c r="C188" s="16" t="n">
        <f aca="false">a25_gm</f>
        <v>0.347</v>
      </c>
      <c r="D188" s="16" t="n">
        <f aca="false">a26_gm</f>
        <v>0.46</v>
      </c>
      <c r="E188" s="16" t="n">
        <f aca="false">gm_27</f>
        <v>0.52</v>
      </c>
      <c r="F188" s="16" t="n">
        <f aca="false">gm_28</f>
        <v>0.51</v>
      </c>
      <c r="G188" s="16" t="n">
        <f aca="false">gm_29</f>
        <v>0.49</v>
      </c>
      <c r="H188" s="2"/>
    </row>
    <row r="189" customFormat="false" ht="15" hidden="false" customHeight="false" outlineLevel="0" collapsed="false">
      <c r="A189" s="5" t="s">
        <v>433</v>
      </c>
      <c r="B189" s="0" t="s">
        <v>30</v>
      </c>
      <c r="C189" s="26" t="n">
        <f aca="false">C185*C188</f>
        <v>0.570815</v>
      </c>
      <c r="D189" s="26" t="n">
        <f aca="false">D185*D188</f>
        <v>1.38644</v>
      </c>
      <c r="E189" s="26" t="n">
        <f aca="false">E185*E188</f>
        <v>3.39741833763327</v>
      </c>
      <c r="F189" s="26" t="n">
        <f aca="false">F185*F188</f>
        <v>3.72429896228509</v>
      </c>
      <c r="G189" s="26" t="n">
        <f aca="false">G185*G188</f>
        <v>3.26768742466523</v>
      </c>
      <c r="H189" s="2"/>
    </row>
    <row r="190" customFormat="false" ht="15" hidden="false" customHeight="false" outlineLevel="0" collapsed="false">
      <c r="A190" s="5" t="s">
        <v>540</v>
      </c>
      <c r="B190" s="0" t="s">
        <v>30</v>
      </c>
      <c r="C190" s="26" t="n">
        <f aca="false">a25_opx/1000</f>
        <v>0.4114</v>
      </c>
      <c r="D190" s="26" t="n">
        <f aca="false">a26_opx/1000</f>
        <v>0.4897</v>
      </c>
      <c r="E190" s="26" t="n">
        <f aca="false">D190*(1+MAX(0,phi*E186))</f>
        <v>0.620475792325522</v>
      </c>
      <c r="F190" s="26" t="n">
        <f aca="false">E190*(1+MAX(0,phi*F186))</f>
        <v>0.637178764873646</v>
      </c>
      <c r="G190" s="26" t="n">
        <f aca="false">F190*(1+MAX(0,phi*G186))</f>
        <v>0.637178764873646</v>
      </c>
      <c r="H190" s="2"/>
    </row>
    <row r="191" customFormat="false" ht="15" hidden="false" customHeight="false" outlineLevel="0" collapsed="false">
      <c r="A191" s="5" t="s">
        <v>541</v>
      </c>
      <c r="B191" s="0" t="s">
        <v>30</v>
      </c>
      <c r="C191" s="26" t="n">
        <f aca="false">C190</f>
        <v>0.4114</v>
      </c>
      <c r="D191" s="26" t="n">
        <f aca="false">D190</f>
        <v>0.4897</v>
      </c>
      <c r="E191" s="26" t="n">
        <f aca="false">E190+0*E185</f>
        <v>0.620475792325522</v>
      </c>
      <c r="F191" s="26" t="n">
        <f aca="false">F190+0*F185</f>
        <v>0.637178764873646</v>
      </c>
      <c r="G191" s="26" t="n">
        <f aca="false">G190+0*G185</f>
        <v>0.637178764873646</v>
      </c>
      <c r="H191" s="2"/>
    </row>
    <row r="192" customFormat="false" ht="15" hidden="false" customHeight="false" outlineLevel="0" collapsed="false">
      <c r="A192" s="5" t="s">
        <v>542</v>
      </c>
      <c r="B192" s="0" t="s">
        <v>30</v>
      </c>
      <c r="C192" s="26" t="n">
        <f aca="false">C189-C191</f>
        <v>0.159415</v>
      </c>
      <c r="D192" s="26" t="n">
        <f aca="false">D189-D191</f>
        <v>0.89674</v>
      </c>
      <c r="E192" s="26" t="n">
        <f aca="false">E189-E191</f>
        <v>2.77694254530774</v>
      </c>
      <c r="F192" s="26" t="n">
        <f aca="false">F189-F191</f>
        <v>3.08712019741144</v>
      </c>
      <c r="G192" s="26" t="n">
        <f aca="false">G189-G191</f>
        <v>2.63050865979158</v>
      </c>
      <c r="H192" s="2"/>
    </row>
    <row r="193" customFormat="false" ht="15" hidden="false" customHeight="false" outlineLevel="0" collapsed="false">
      <c r="A193" s="5" t="s">
        <v>437</v>
      </c>
      <c r="B193" s="0" t="s">
        <v>163</v>
      </c>
      <c r="C193" s="16" t="n">
        <f aca="false">C192/C185</f>
        <v>0.0969088145896656</v>
      </c>
      <c r="D193" s="16" t="n">
        <f aca="false">D192/D185</f>
        <v>0.297524883875249</v>
      </c>
      <c r="E193" s="16" t="n">
        <f aca="false">E192/E185</f>
        <v>0.425031591654375</v>
      </c>
      <c r="F193" s="16" t="n">
        <f aca="false">F192/F185</f>
        <v>0.422745680898245</v>
      </c>
      <c r="G193" s="16" t="n">
        <f aca="false">G192/G185</f>
        <v>0.394453041490016</v>
      </c>
      <c r="H193" s="2"/>
    </row>
    <row r="194" customFormat="false" ht="17.15" hidden="false" customHeight="false" outlineLevel="0" collapsed="false">
      <c r="A194" s="5" t="s">
        <v>438</v>
      </c>
      <c r="B194" s="0" t="s">
        <v>30</v>
      </c>
      <c r="C194" s="26" t="n">
        <f aca="false">a25_ni/1000</f>
        <v>0.1464</v>
      </c>
      <c r="D194" s="26" t="n">
        <f aca="false">a26_ni/1000</f>
        <v>0.7823</v>
      </c>
      <c r="E194" s="26" t="n">
        <f aca="false">(E192+oi_oth)*(1-tx)</f>
        <v>2.36234702533197</v>
      </c>
      <c r="F194" s="26" t="n">
        <f aca="false">(F192+oi_oth)*(1-tx)</f>
        <v>2.62134536483855</v>
      </c>
      <c r="G194" s="26" t="n">
        <f aca="false">(G192+oi_oth)*(1-tx)</f>
        <v>2.24007473092597</v>
      </c>
      <c r="H194" s="27" t="n">
        <f aca="false">H185*H195</f>
        <v>1.98370291510785</v>
      </c>
      <c r="I194" s="28" t="n">
        <f aca="false">I185*I195</f>
        <v>1.81327987217939</v>
      </c>
      <c r="J194" s="28" t="n">
        <f aca="false">J185*J195</f>
        <v>1.70727274119044</v>
      </c>
    </row>
    <row r="195" customFormat="false" ht="15" hidden="false" customHeight="false" outlineLevel="0" collapsed="false">
      <c r="A195" s="5" t="s">
        <v>500</v>
      </c>
      <c r="B195" s="0" t="s">
        <v>163</v>
      </c>
      <c r="C195" s="16" t="n">
        <f aca="false">C194/C185</f>
        <v>0.0889969604863222</v>
      </c>
      <c r="D195" s="16" t="n">
        <f aca="false">D194/D185</f>
        <v>0.259555408095554</v>
      </c>
      <c r="E195" s="16" t="n">
        <f aca="false">E194/E185</f>
        <v>0.3615746814472</v>
      </c>
      <c r="F195" s="16" t="n">
        <f aca="false">F194/F185</f>
        <v>0.358963163163303</v>
      </c>
      <c r="G195" s="16" t="n">
        <f aca="false">G194/G185</f>
        <v>0.335906246683364</v>
      </c>
      <c r="H195" s="29" t="n">
        <f aca="false">$G195+(fade_mC-$G195)*1/3</f>
        <v>0.313512496904473</v>
      </c>
      <c r="I195" s="23" t="n">
        <f aca="false">$G195+(fade_mC-$G195)*2/3</f>
        <v>0.291118747125583</v>
      </c>
      <c r="J195" s="23" t="n">
        <f aca="false">$G195+(fade_mC-$G195)*3/3</f>
        <v>0.268724997346692</v>
      </c>
    </row>
    <row r="196" customFormat="false" ht="17.15" hidden="false" customHeight="false" outlineLevel="0" collapsed="false">
      <c r="A196" s="5" t="s">
        <v>442</v>
      </c>
      <c r="B196" s="5" t="s">
        <v>237</v>
      </c>
      <c r="C196" s="15" t="n">
        <f aca="false">a25_sh</f>
        <v>71.0679611650485</v>
      </c>
      <c r="D196" s="15" t="n">
        <f aca="false">a26_sh</f>
        <v>90.2306805074971</v>
      </c>
      <c r="E196" s="15" t="n">
        <f aca="false">sh_q1</f>
        <v>102</v>
      </c>
      <c r="F196" s="15" t="n">
        <f aca="false">E196*(1+sh_g)</f>
        <v>103.02</v>
      </c>
      <c r="G196" s="15" t="n">
        <f aca="false">F196*(1+sh_g)</f>
        <v>104.0502</v>
      </c>
      <c r="H196" s="30" t="n">
        <f aca="false">G196*(1+sh_g)</f>
        <v>105.090702</v>
      </c>
      <c r="I196" s="31" t="n">
        <f aca="false">H196*(1+sh_g)</f>
        <v>106.14160902</v>
      </c>
      <c r="J196" s="31" t="n">
        <f aca="false">I196*(1+sh_g)</f>
        <v>107.2030251102</v>
      </c>
    </row>
    <row r="197" customFormat="false" ht="17.15" hidden="false" customHeight="false" outlineLevel="0" collapsed="false">
      <c r="A197" s="0" t="s">
        <v>444</v>
      </c>
      <c r="B197" s="0" t="s">
        <v>232</v>
      </c>
      <c r="C197" s="9" t="n">
        <f aca="false">C194*1000/C196</f>
        <v>2.06</v>
      </c>
      <c r="D197" s="9" t="n">
        <f aca="false">D194*1000/D196</f>
        <v>8.67</v>
      </c>
      <c r="E197" s="9" t="n">
        <f aca="false">E194*1000/E196</f>
        <v>23.160264954235</v>
      </c>
      <c r="F197" s="9" t="n">
        <f aca="false">F194*1000/F196</f>
        <v>25.4450142189726</v>
      </c>
      <c r="G197" s="9" t="n">
        <f aca="false">G194*1000/G196</f>
        <v>21.5287883245392</v>
      </c>
      <c r="H197" s="32" t="n">
        <f aca="false">H194*1000/H196</f>
        <v>18.8761029982258</v>
      </c>
      <c r="I197" s="24" t="n">
        <f aca="false">I194*1000/I196</f>
        <v>17.0835913353991</v>
      </c>
      <c r="J197" s="24" t="n">
        <f aca="false">J194*1000/J196</f>
        <v>15.9256022806767</v>
      </c>
    </row>
    <row r="198" customFormat="false" ht="17.15" hidden="false" customHeight="false" outlineLevel="0" collapsed="false">
      <c r="A198" s="0" t="s">
        <v>543</v>
      </c>
      <c r="B198" s="0" t="s">
        <v>163</v>
      </c>
      <c r="D198" s="16" t="n">
        <f aca="false">D197/C197-1</f>
        <v>3.20873786407767</v>
      </c>
      <c r="E198" s="16" t="n">
        <f aca="false">E197/D197-1</f>
        <v>1.6713108367053</v>
      </c>
      <c r="F198" s="16" t="n">
        <f aca="false">F197/E197-1</f>
        <v>0.0986495305322415</v>
      </c>
      <c r="G198" s="16" t="n">
        <f aca="false">G197/F197-1</f>
        <v>-0.153909361603472</v>
      </c>
      <c r="H198" s="29" t="n">
        <f aca="false">H197/G197-1</f>
        <v>-0.123215727997561</v>
      </c>
      <c r="I198" s="23" t="n">
        <f aca="false">I197/H197-1</f>
        <v>-0.0949619560242462</v>
      </c>
      <c r="J198" s="23" t="n">
        <f aca="false">J197/I197-1</f>
        <v>-0.0677837014470677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546</v>
      </c>
    </row>
    <row r="2" customFormat="false" ht="17.15" hidden="false" customHeight="false" outlineLevel="0" collapsed="false">
      <c r="A2" s="5" t="s">
        <v>547</v>
      </c>
    </row>
    <row r="4" customFormat="false" ht="17.15" hidden="false" customHeight="false" outlineLevel="0" collapsed="false">
      <c r="A4" s="1" t="s">
        <v>548</v>
      </c>
    </row>
    <row r="5" customFormat="false" ht="17.15" hidden="false" customHeight="false" outlineLevel="0" collapsed="false">
      <c r="A5" s="1" t="s">
        <v>549</v>
      </c>
    </row>
    <row r="6" customFormat="false" ht="17.15" hidden="false" customHeight="false" outlineLevel="0" collapsed="false">
      <c r="A6" s="6" t="s">
        <v>19</v>
      </c>
      <c r="B6" s="14" t="s">
        <v>550</v>
      </c>
      <c r="C6" s="14" t="s">
        <v>551</v>
      </c>
      <c r="D6" s="14" t="s">
        <v>552</v>
      </c>
      <c r="E6" s="6" t="s">
        <v>428</v>
      </c>
    </row>
    <row r="7" customFormat="false" ht="17.15" hidden="false" customHeight="false" outlineLevel="0" collapsed="false">
      <c r="A7" s="5" t="s">
        <v>553</v>
      </c>
      <c r="E7" s="0" t="s">
        <v>554</v>
      </c>
    </row>
    <row r="8" customFormat="false" ht="15" hidden="false" customHeight="false" outlineLevel="0" collapsed="false">
      <c r="A8" s="0" t="s">
        <v>555</v>
      </c>
      <c r="B8" s="9" t="n">
        <f aca="false">PL!E14</f>
        <v>23.160264954235</v>
      </c>
      <c r="C8" s="9" t="n">
        <f aca="false">PL!E27</f>
        <v>23.160264954235</v>
      </c>
      <c r="D8" s="9" t="n">
        <f aca="false">PL!E40</f>
        <v>23.160264954235</v>
      </c>
    </row>
    <row r="9" customFormat="false" ht="15" hidden="false" customHeight="false" outlineLevel="0" collapsed="false">
      <c r="A9" s="0" t="s">
        <v>556</v>
      </c>
      <c r="B9" s="9" t="n">
        <f aca="false">PL!F14</f>
        <v>31.4262513776942</v>
      </c>
      <c r="C9" s="9" t="n">
        <f aca="false">PL!F27</f>
        <v>28.4356327983334</v>
      </c>
      <c r="D9" s="9" t="n">
        <f aca="false">PL!F40</f>
        <v>25.4450142189726</v>
      </c>
    </row>
    <row r="10" customFormat="false" ht="15" hidden="false" customHeight="false" outlineLevel="0" collapsed="false">
      <c r="A10" s="0" t="s">
        <v>557</v>
      </c>
      <c r="B10" s="9" t="n">
        <f aca="false">PL!G14</f>
        <v>34.7562328133613</v>
      </c>
      <c r="C10" s="9" t="n">
        <f aca="false">PL!G27</f>
        <v>29.0223607845015</v>
      </c>
      <c r="D10" s="9" t="n">
        <f aca="false">PL!G40</f>
        <v>21.5287883245392</v>
      </c>
    </row>
    <row r="11" customFormat="false" ht="15" hidden="false" customHeight="false" outlineLevel="0" collapsed="false">
      <c r="A11" s="0" t="s">
        <v>558</v>
      </c>
      <c r="B11" s="9" t="n">
        <f aca="false">PL!H14</f>
        <v>38.5700245293151</v>
      </c>
      <c r="C11" s="9" t="n">
        <f aca="false">PL!H27</f>
        <v>29.4605107706848</v>
      </c>
      <c r="D11" s="9" t="n">
        <f aca="false">PL!H40</f>
        <v>18.8761029982258</v>
      </c>
    </row>
    <row r="12" customFormat="false" ht="15" hidden="false" customHeight="false" outlineLevel="0" collapsed="false">
      <c r="A12" s="0" t="s">
        <v>559</v>
      </c>
      <c r="B12" s="9" t="n">
        <f aca="false">PL!I14</f>
        <v>41.6408671144723</v>
      </c>
      <c r="C12" s="9" t="n">
        <f aca="false">PL!I27</f>
        <v>29.5796187167145</v>
      </c>
      <c r="D12" s="9" t="n">
        <f aca="false">PL!I40</f>
        <v>17.0835913353991</v>
      </c>
    </row>
    <row r="13" customFormat="false" ht="15" hidden="false" customHeight="false" outlineLevel="0" collapsed="false">
      <c r="A13" s="0" t="s">
        <v>560</v>
      </c>
      <c r="B13" s="9" t="n">
        <f aca="false">PL!J14</f>
        <v>43.7022961795452</v>
      </c>
      <c r="C13" s="9" t="n">
        <f aca="false">PL!J27</f>
        <v>29.3704276366811</v>
      </c>
      <c r="D13" s="9" t="n">
        <f aca="false">PL!J40</f>
        <v>15.9256022806767</v>
      </c>
    </row>
    <row r="14" customFormat="false" ht="17.15" hidden="false" customHeight="false" outlineLevel="0" collapsed="false">
      <c r="A14" s="5" t="s">
        <v>561</v>
      </c>
    </row>
    <row r="15" customFormat="false" ht="17.15" hidden="false" customHeight="false" outlineLevel="0" collapsed="false">
      <c r="A15" s="5" t="s">
        <v>562</v>
      </c>
      <c r="B15" s="16" t="n">
        <f aca="false">IF(tp_roe&lt;=tp_g,0.8,MIN(tp_g/tp_roe,0.8))</f>
        <v>0.2</v>
      </c>
      <c r="E15" s="8" t="s">
        <v>563</v>
      </c>
    </row>
    <row r="16" customFormat="false" ht="15" hidden="false" customHeight="false" outlineLevel="0" collapsed="false">
      <c r="A16" s="0" t="s">
        <v>555</v>
      </c>
      <c r="B16" s="9" t="n">
        <f aca="false">B8*(1-$B$15)</f>
        <v>18.528211963388</v>
      </c>
      <c r="C16" s="9" t="n">
        <f aca="false">C8*(1-$B$15)</f>
        <v>18.528211963388</v>
      </c>
      <c r="D16" s="9" t="n">
        <f aca="false">D8*(1-$B$15)</f>
        <v>18.528211963388</v>
      </c>
    </row>
    <row r="17" customFormat="false" ht="15" hidden="false" customHeight="false" outlineLevel="0" collapsed="false">
      <c r="A17" s="0" t="s">
        <v>556</v>
      </c>
      <c r="B17" s="9" t="n">
        <f aca="false">B9*(1-$B$15)</f>
        <v>25.1410011021554</v>
      </c>
      <c r="C17" s="9" t="n">
        <f aca="false">C9*(1-$B$15)</f>
        <v>22.7485062386667</v>
      </c>
      <c r="D17" s="9" t="n">
        <f aca="false">D9*(1-$B$15)</f>
        <v>20.3560113751781</v>
      </c>
    </row>
    <row r="18" customFormat="false" ht="15" hidden="false" customHeight="false" outlineLevel="0" collapsed="false">
      <c r="A18" s="0" t="s">
        <v>557</v>
      </c>
      <c r="B18" s="9" t="n">
        <f aca="false">B10*(1-$B$15)</f>
        <v>27.804986250689</v>
      </c>
      <c r="C18" s="9" t="n">
        <f aca="false">C10*(1-$B$15)</f>
        <v>23.2178886276012</v>
      </c>
      <c r="D18" s="9" t="n">
        <f aca="false">D10*(1-$B$15)</f>
        <v>17.2230306596314</v>
      </c>
    </row>
    <row r="19" customFormat="false" ht="15" hidden="false" customHeight="false" outlineLevel="0" collapsed="false">
      <c r="A19" s="0" t="s">
        <v>558</v>
      </c>
      <c r="B19" s="9" t="n">
        <f aca="false">B11*(1-$B$15)</f>
        <v>30.8560196234521</v>
      </c>
      <c r="C19" s="9" t="n">
        <f aca="false">C11*(1-$B$15)</f>
        <v>23.5684086165478</v>
      </c>
      <c r="D19" s="9" t="n">
        <f aca="false">D11*(1-$B$15)</f>
        <v>15.1008823985806</v>
      </c>
    </row>
    <row r="20" customFormat="false" ht="15" hidden="false" customHeight="false" outlineLevel="0" collapsed="false">
      <c r="A20" s="0" t="s">
        <v>559</v>
      </c>
      <c r="B20" s="9" t="n">
        <f aca="false">B12*(1-$B$15)</f>
        <v>33.3126936915779</v>
      </c>
      <c r="C20" s="9" t="n">
        <f aca="false">C12*(1-$B$15)</f>
        <v>23.6636949733716</v>
      </c>
      <c r="D20" s="9" t="n">
        <f aca="false">D12*(1-$B$15)</f>
        <v>13.6668730683193</v>
      </c>
    </row>
    <row r="21" customFormat="false" ht="15" hidden="false" customHeight="false" outlineLevel="0" collapsed="false">
      <c r="A21" s="0" t="s">
        <v>560</v>
      </c>
      <c r="B21" s="9" t="n">
        <f aca="false">B13*(1-$B$15)</f>
        <v>34.9618369436362</v>
      </c>
      <c r="C21" s="9" t="n">
        <f aca="false">C13*(1-$B$15)</f>
        <v>23.4963421093449</v>
      </c>
      <c r="D21" s="9" t="n">
        <f aca="false">D13*(1-$B$15)</f>
        <v>12.7404818245414</v>
      </c>
    </row>
    <row r="22" customFormat="false" ht="17.15" hidden="false" customHeight="false" outlineLevel="0" collapsed="false">
      <c r="A22" s="0" t="s">
        <v>564</v>
      </c>
      <c r="B22" s="19" t="n">
        <f aca="false">SUMPRODUCT(B16:B21,1/(1+tp_r)^{1;2;3;4;5;6})+B21*(1+tp_g)/(tp_r-tp_g)/(1+tp_r)^6</f>
        <v>462.080619578401</v>
      </c>
      <c r="C22" s="19" t="n">
        <f aca="false">SUMPRODUCT(C16:C21,1/(1+tp_r)^{1;2;3;4;5;6})+C21*(1+tp_g)/(tp_r-tp_g)/(1+tp_r)^6</f>
        <v>327.035354299351</v>
      </c>
      <c r="D22" s="19" t="n">
        <f aca="false">SUMPRODUCT(D16:D21,1/(1+tp_r)^{1;2;3;4;5;6})+D21*(1+tp_g)/(tp_r-tp_g)/(1+tp_r)^6</f>
        <v>197.254336094297</v>
      </c>
      <c r="E22" s="8" t="s">
        <v>565</v>
      </c>
    </row>
    <row r="23" customFormat="false" ht="17.15" hidden="false" customHeight="false" outlineLevel="0" collapsed="false">
      <c r="A23" s="0" t="s">
        <v>566</v>
      </c>
      <c r="B23" s="19" t="n">
        <f aca="false">B22*(1+tp_r)</f>
        <v>508.288681536241</v>
      </c>
      <c r="C23" s="19" t="n">
        <f aca="false">C22*(1+tp_r)</f>
        <v>359.738889729287</v>
      </c>
      <c r="D23" s="19" t="n">
        <f aca="false">D22*(1+tp_r)</f>
        <v>216.979769703727</v>
      </c>
    </row>
    <row r="24" customFormat="false" ht="17.15" hidden="false" customHeight="false" outlineLevel="0" collapsed="false">
      <c r="A24" s="0" t="s">
        <v>567</v>
      </c>
      <c r="B24" s="33" t="n">
        <f aca="false">tp_wA*B23+tp_wB*C23+tp_wC*D23</f>
        <v>375.752003266261</v>
      </c>
      <c r="E24" s="8" t="s">
        <v>568</v>
      </c>
    </row>
    <row r="26" customFormat="false" ht="17.15" hidden="false" customHeight="false" outlineLevel="0" collapsed="false">
      <c r="A26" s="1" t="s">
        <v>569</v>
      </c>
    </row>
    <row r="27" customFormat="false" ht="17.15" hidden="false" customHeight="false" outlineLevel="0" collapsed="false">
      <c r="A27" s="6" t="s">
        <v>570</v>
      </c>
      <c r="B27" s="6" t="s">
        <v>571</v>
      </c>
      <c r="C27" s="6" t="s">
        <v>572</v>
      </c>
      <c r="D27" s="6" t="s">
        <v>573</v>
      </c>
      <c r="E27" s="6" t="s">
        <v>574</v>
      </c>
      <c r="F27" s="6" t="s">
        <v>24</v>
      </c>
    </row>
    <row r="28" customFormat="false" ht="17.15" hidden="false" customHeight="false" outlineLevel="0" collapsed="false">
      <c r="A28" s="0" t="s">
        <v>575</v>
      </c>
      <c r="B28" s="0" t="s">
        <v>576</v>
      </c>
      <c r="C28" s="34" t="n">
        <v>22.3</v>
      </c>
      <c r="D28" s="8" t="s">
        <v>577</v>
      </c>
      <c r="E28" s="8" t="s">
        <v>578</v>
      </c>
      <c r="F28" s="8" t="s">
        <v>179</v>
      </c>
    </row>
    <row r="29" customFormat="false" ht="17.15" hidden="false" customHeight="false" outlineLevel="0" collapsed="false">
      <c r="A29" s="0" t="s">
        <v>579</v>
      </c>
      <c r="B29" s="0" t="s">
        <v>580</v>
      </c>
      <c r="C29" s="34" t="n">
        <v>17.27</v>
      </c>
      <c r="D29" s="8" t="s">
        <v>577</v>
      </c>
      <c r="E29" s="8" t="s">
        <v>578</v>
      </c>
      <c r="F29" s="8" t="s">
        <v>179</v>
      </c>
    </row>
    <row r="30" customFormat="false" ht="17.15" hidden="false" customHeight="false" outlineLevel="0" collapsed="false">
      <c r="A30" s="0" t="s">
        <v>581</v>
      </c>
      <c r="B30" s="0" t="s">
        <v>582</v>
      </c>
      <c r="C30" s="34" t="n">
        <v>29.34</v>
      </c>
      <c r="D30" s="8" t="s">
        <v>577</v>
      </c>
      <c r="E30" s="8" t="s">
        <v>578</v>
      </c>
      <c r="F30" s="8" t="s">
        <v>179</v>
      </c>
    </row>
    <row r="31" customFormat="false" ht="17.15" hidden="false" customHeight="false" outlineLevel="0" collapsed="false">
      <c r="A31" s="0" t="s">
        <v>583</v>
      </c>
      <c r="B31" s="0" t="s">
        <v>584</v>
      </c>
      <c r="C31" s="34" t="n">
        <v>30.77</v>
      </c>
      <c r="D31" s="8" t="s">
        <v>577</v>
      </c>
      <c r="E31" s="8" t="s">
        <v>578</v>
      </c>
      <c r="F31" s="8" t="s">
        <v>179</v>
      </c>
    </row>
    <row r="32" customFormat="false" ht="17.15" hidden="false" customHeight="false" outlineLevel="0" collapsed="false">
      <c r="A32" s="0" t="s">
        <v>585</v>
      </c>
      <c r="B32" s="0" t="s">
        <v>586</v>
      </c>
      <c r="C32" s="34" t="n">
        <v>32.89</v>
      </c>
      <c r="D32" s="8" t="s">
        <v>577</v>
      </c>
      <c r="E32" s="8" t="s">
        <v>578</v>
      </c>
      <c r="F32" s="8" t="s">
        <v>179</v>
      </c>
    </row>
    <row r="33" customFormat="false" ht="17.15" hidden="false" customHeight="false" outlineLevel="0" collapsed="false">
      <c r="A33" s="5" t="s">
        <v>587</v>
      </c>
      <c r="B33" s="18" t="n">
        <f aca="false">MEDIAN(C28:C32)</f>
        <v>29.34</v>
      </c>
      <c r="E33" s="5" t="s">
        <v>588</v>
      </c>
    </row>
    <row r="34" customFormat="false" ht="17.15" hidden="false" customHeight="false" outlineLevel="0" collapsed="false">
      <c r="A34" s="0" t="s">
        <v>589</v>
      </c>
      <c r="B34" s="9" t="n">
        <f aca="false">tp_wA*(8/12*B9+4/12*B10)+tp_wB*(8/12*C9+4/12*C10)+tp_wC*(8/12*D9+4/12*D10)</f>
        <v>28.9043990712353</v>
      </c>
      <c r="E34" s="5" t="s">
        <v>590</v>
      </c>
    </row>
    <row r="35" customFormat="false" ht="17.15" hidden="false" customHeight="false" outlineLevel="0" collapsed="false">
      <c r="A35" s="0" t="s">
        <v>591</v>
      </c>
      <c r="B35" s="33" t="n">
        <f aca="false">B33*B34</f>
        <v>848.055068750045</v>
      </c>
      <c r="E35" s="5" t="s">
        <v>592</v>
      </c>
    </row>
    <row r="37" customFormat="false" ht="17.15" hidden="false" customHeight="false" outlineLevel="0" collapsed="false">
      <c r="A37" s="1" t="s">
        <v>593</v>
      </c>
    </row>
    <row r="38" customFormat="false" ht="15" hidden="false" customHeight="false" outlineLevel="0" collapsed="false">
      <c r="A38" s="6" t="s">
        <v>19</v>
      </c>
      <c r="B38" s="6" t="s">
        <v>594</v>
      </c>
      <c r="C38" s="14"/>
      <c r="D38" s="14"/>
      <c r="E38" s="6" t="s">
        <v>428</v>
      </c>
    </row>
    <row r="39" customFormat="false" ht="17.15" hidden="false" customHeight="false" outlineLevel="0" collapsed="false">
      <c r="A39" s="5" t="s">
        <v>595</v>
      </c>
      <c r="B39" s="33" t="n">
        <f aca="false">tp_w_dcf*B24+(1-tp_w_dcf)*B35</f>
        <v>611.903536008153</v>
      </c>
      <c r="E39" s="8" t="s">
        <v>596</v>
      </c>
    </row>
    <row r="40" customFormat="false" ht="17.15" hidden="false" customHeight="false" outlineLevel="0" collapsed="false">
      <c r="A40" s="0" t="s">
        <v>597</v>
      </c>
      <c r="B40" s="19" t="n">
        <f aca="false">B35</f>
        <v>848.055068750045</v>
      </c>
    </row>
    <row r="41" customFormat="false" ht="17.15" hidden="false" customHeight="false" outlineLevel="0" collapsed="false">
      <c r="A41" s="5" t="s">
        <v>598</v>
      </c>
      <c r="B41" s="19" t="n">
        <f aca="false">cons_tp</f>
        <v>1165.03</v>
      </c>
      <c r="E41" s="8" t="s">
        <v>599</v>
      </c>
    </row>
    <row r="42" customFormat="false" ht="17.15" hidden="false" customHeight="false" outlineLevel="0" collapsed="false">
      <c r="A42" s="5" t="s">
        <v>600</v>
      </c>
      <c r="B42" s="16" t="n">
        <f aca="false">B39/px-1</f>
        <v>-0.190785754515317</v>
      </c>
      <c r="E42" s="5" t="s">
        <v>601</v>
      </c>
    </row>
    <row r="43" customFormat="false" ht="17.15" hidden="false" customHeight="false" outlineLevel="0" collapsed="false">
      <c r="A43" s="5" t="s">
        <v>602</v>
      </c>
      <c r="B43" s="16" t="n">
        <f aca="false">B40/px-1</f>
        <v>0.121513771704834</v>
      </c>
    </row>
    <row r="44" customFormat="false" ht="17.15" hidden="false" customHeight="false" outlineLevel="0" collapsed="false">
      <c r="A44" s="5" t="s">
        <v>603</v>
      </c>
      <c r="B44" s="16" t="n">
        <f aca="false">B34/cons_feps-1</f>
        <v>0.224762672509971</v>
      </c>
      <c r="E44" s="5" t="s">
        <v>604</v>
      </c>
    </row>
    <row r="45" customFormat="false" ht="17.15" hidden="false" customHeight="false" outlineLevel="0" collapsed="false">
      <c r="A45" s="5" t="s">
        <v>605</v>
      </c>
      <c r="B45" s="16" t="n">
        <f aca="false">(cons_tp/cons_feps)/B33-1</f>
        <v>0.682538444652409</v>
      </c>
      <c r="E45" s="0" t="str">
        <f aca="false">"共識目標價隱含 "&amp;TEXT(cons_tp/cons_feps,"0.0")&amp;"x，同業中位數 "&amp;TEXT(B33,"0.0")&amp;"x"</f>
        <v>共識目標價隱含 49.4x，同業中位數 29.3x</v>
      </c>
    </row>
    <row r="46" customFormat="false" ht="17.15" hidden="false" customHeight="false" outlineLevel="0" collapsed="false">
      <c r="A46" s="5" t="s">
        <v>606</v>
      </c>
      <c r="B46" s="35" t="str">
        <f aca="false">TEXT(D23,"#,##0.00")&amp;"～"&amp;TEXT(B23,"#,##0.00")</f>
        <v>216.98～508.29</v>
      </c>
      <c r="E46" s="8" t="s">
        <v>607</v>
      </c>
    </row>
    <row r="47" customFormat="false" ht="17.15" hidden="false" customHeight="false" outlineLevel="0" collapsed="false">
      <c r="A47" s="5" t="s">
        <v>608</v>
      </c>
      <c r="B47" s="36" t="n">
        <f aca="false">IF(px/B9&gt;MAX($B$102:$B$111),1,IF(px/B9&lt;MIN($B$102:$B$111),0,PERCENTRANK($B$102:$B$111,px/B9)))</f>
        <v>0.778</v>
      </c>
      <c r="C47" s="36" t="n">
        <f aca="false">IF(px/C9&gt;MAX($B$102:$B$111),1,IF(px/C9&lt;MIN($B$102:$B$111),0,PERCENTRANK($B$102:$B$111,px/C9)))</f>
        <v>0.787</v>
      </c>
      <c r="D47" s="36" t="n">
        <f aca="false">IF(px/D9&gt;MAX($B$102:$B$111),1,IF(px/D9&lt;MIN($B$102:$B$111),0,PERCENTRANK($B$102:$B$111,px/D9)))</f>
        <v>0.799</v>
      </c>
      <c r="E47" s="5" t="s">
        <v>609</v>
      </c>
    </row>
    <row r="48" customFormat="false" ht="17.15" hidden="false" customHeight="false" outlineLevel="0" collapsed="false">
      <c r="A48" s="5" t="s">
        <v>610</v>
      </c>
      <c r="B48" s="0" t="s">
        <v>611</v>
      </c>
    </row>
    <row r="49" customFormat="false" ht="17.15" hidden="false" customHeight="false" outlineLevel="0" collapsed="false">
      <c r="A49" s="5" t="s">
        <v>612</v>
      </c>
      <c r="B49" s="35" t="str">
        <f aca="false">IF(B42&gt;0.5,"大於 50%",IF(B42&gt;0.25,"25%–50%",IF(B42&gt;=0,"0%–25%",IF(B42&gt;=-0.25,"0%～−25%",IF(B42&gt;=-0.5,"−25%～−50%","小於 −50%")))))</f>
        <v>0%～−25%</v>
      </c>
      <c r="E49" s="5" t="s">
        <v>613</v>
      </c>
    </row>
    <row r="50" customFormat="false" ht="17.15" hidden="false" customHeight="false" outlineLevel="0" collapsed="false">
      <c r="A50" s="5" t="s">
        <v>614</v>
      </c>
      <c r="B50" s="35" t="str">
        <f aca="false">IF(B42&gt;0.5,"強力買進",IF(B42&gt;0.25,"買進",IF(B42&gt;=-0.25,"中立",IF(B42&gt;=-0.5,"放空","強力放空"))))</f>
        <v>中立</v>
      </c>
      <c r="E50" s="5" t="s">
        <v>615</v>
      </c>
    </row>
    <row r="51" customFormat="false" ht="15" hidden="false" customHeight="false" outlineLevel="0" collapsed="false">
      <c r="A51" s="3" t="s">
        <v>616</v>
      </c>
    </row>
    <row r="52" customFormat="false" ht="15" hidden="false" customHeight="false" outlineLevel="0" collapsed="false">
      <c r="A52" s="6" t="s">
        <v>19</v>
      </c>
      <c r="B52" s="6" t="s">
        <v>594</v>
      </c>
      <c r="C52" s="14"/>
      <c r="D52" s="14"/>
      <c r="E52" s="6" t="s">
        <v>428</v>
      </c>
    </row>
    <row r="53" customFormat="false" ht="17.15" hidden="false" customHeight="false" outlineLevel="0" collapsed="false">
      <c r="A53" s="5" t="s">
        <v>617</v>
      </c>
      <c r="B53" s="20" t="n">
        <f aca="false">tp_wA*D80+tp_wB*D81+tp_wC*D82</f>
        <v>409.473484390874</v>
      </c>
      <c r="E53" s="5" t="s">
        <v>618</v>
      </c>
    </row>
    <row r="54" customFormat="false" ht="17.15" hidden="false" customHeight="false" outlineLevel="0" collapsed="false">
      <c r="A54" s="5" t="s">
        <v>619</v>
      </c>
      <c r="B54" s="16" t="n">
        <f aca="false">B53/px-1</f>
        <v>-0.458490174972726</v>
      </c>
      <c r="E54" s="5" t="s">
        <v>620</v>
      </c>
    </row>
    <row r="55" customFormat="false" ht="17.15" hidden="false" customHeight="false" outlineLevel="0" collapsed="false">
      <c r="A55" s="5" t="s">
        <v>621</v>
      </c>
      <c r="B55" s="20" t="n">
        <f aca="false">D80</f>
        <v>409.473484390874</v>
      </c>
      <c r="E55" s="0" t="str">
        <f aca="false">"FY2027 EPS "&amp;TEXT(B80,"0.00")&amp;" × "&amp;TEXT(C80,"0.0")&amp;"x（第 3 節；"&amp;C74&amp;"）"</f>
        <v>FY2027 EPS 23.16 × 17.7x（第 3 節；中段）</v>
      </c>
    </row>
    <row r="56" customFormat="false" ht="17.15" hidden="false" customHeight="false" outlineLevel="0" collapsed="false">
      <c r="A56" s="5" t="s">
        <v>622</v>
      </c>
      <c r="B56" s="20" t="n">
        <f aca="false">D81</f>
        <v>409.473484390874</v>
      </c>
      <c r="E56" s="0" t="str">
        <f aca="false">"FY2027 EPS "&amp;TEXT(B81,"0.00")&amp;" × "&amp;TEXT(C81,"0.0")&amp;"x（第 3 節；"&amp;C75&amp;"）"</f>
        <v>FY2027 EPS 23.16 × 17.7x（第 3 節；中段）</v>
      </c>
    </row>
    <row r="57" customFormat="false" ht="17.15" hidden="false" customHeight="false" outlineLevel="0" collapsed="false">
      <c r="A57" s="5" t="s">
        <v>623</v>
      </c>
      <c r="B57" s="20" t="n">
        <f aca="false">D82</f>
        <v>409.473484390874</v>
      </c>
      <c r="E57" s="0" t="str">
        <f aca="false">"FY2027 EPS "&amp;TEXT(B82,"0.00")&amp;" × "&amp;TEXT(C82,"0.0")&amp;"x（第 3 節；"&amp;C76&amp;"）"</f>
        <v>FY2027 EPS 23.16 × 17.7x（第 3 節；中段）</v>
      </c>
    </row>
    <row r="58" customFormat="false" ht="17.15" hidden="false" customHeight="false" outlineLevel="0" collapsed="false">
      <c r="A58" s="5" t="s">
        <v>624</v>
      </c>
      <c r="B58" s="36" t="n">
        <f aca="false">tp_wA</f>
        <v>0.3</v>
      </c>
      <c r="C58" s="36" t="n">
        <f aca="false">tp_wB</f>
        <v>0.5</v>
      </c>
      <c r="D58" s="36" t="n">
        <f aca="false">tp_wC</f>
        <v>0.2</v>
      </c>
      <c r="E58" s="0" t="str">
        <f aca="false">"合計 "&amp;TEXT(B58+C58+D58,"0%")&amp;"；In 頁 tp_wA／tp_wB／tp_wC（Assumed，Andy 可改）"</f>
        <v>合計 100%；In 頁 tp_wA／tp_wB／tp_wC（Assumed，Andy 可改）</v>
      </c>
    </row>
    <row r="59" customFormat="false" ht="17.15" hidden="false" customHeight="false" outlineLevel="0" collapsed="false">
      <c r="A59" s="5" t="s">
        <v>625</v>
      </c>
      <c r="B59" s="0" t="s">
        <v>626</v>
      </c>
    </row>
    <row r="61" customFormat="false" ht="17.15" hidden="false" customHeight="false" outlineLevel="0" collapsed="false">
      <c r="A61" s="1" t="s">
        <v>627</v>
      </c>
    </row>
    <row r="62" customFormat="false" ht="15" hidden="false" customHeight="false" outlineLevel="0" collapsed="false">
      <c r="A62" s="6" t="s">
        <v>19</v>
      </c>
      <c r="B62" s="14" t="s">
        <v>628</v>
      </c>
      <c r="C62" s="14" t="s">
        <v>629</v>
      </c>
      <c r="D62" s="14" t="s">
        <v>630</v>
      </c>
      <c r="E62" s="6" t="s">
        <v>428</v>
      </c>
    </row>
    <row r="63" customFormat="false" ht="17.15" hidden="false" customHeight="false" outlineLevel="0" collapsed="false">
      <c r="A63" s="5" t="s">
        <v>631</v>
      </c>
      <c r="B63" s="9" t="n">
        <f aca="false">px</f>
        <v>756.17</v>
      </c>
    </row>
    <row r="64" customFormat="false" ht="17.15" hidden="false" customHeight="false" outlineLevel="0" collapsed="false">
      <c r="A64" s="5" t="s">
        <v>632</v>
      </c>
      <c r="B64" s="18" t="n">
        <f aca="false">px/PL!D14</f>
        <v>87.2168396770473</v>
      </c>
      <c r="C64" s="18" t="n">
        <f aca="false">px/PL!D27</f>
        <v>87.2168396770473</v>
      </c>
      <c r="D64" s="18" t="n">
        <f aca="false">px/PL!D40</f>
        <v>87.2168396770473</v>
      </c>
    </row>
    <row r="65" customFormat="false" ht="17.15" hidden="false" customHeight="false" outlineLevel="0" collapsed="false">
      <c r="A65" s="5" t="s">
        <v>633</v>
      </c>
      <c r="B65" s="18" t="n">
        <f aca="false">px/PL!E14</f>
        <v>32.6494537732709</v>
      </c>
      <c r="C65" s="18" t="n">
        <f aca="false">px/PL!E27</f>
        <v>32.6494537732709</v>
      </c>
      <c r="D65" s="18" t="n">
        <f aca="false">px/PL!E40</f>
        <v>32.6494537732709</v>
      </c>
      <c r="E65" s="8" t="s">
        <v>634</v>
      </c>
    </row>
    <row r="66" customFormat="false" ht="17.15" hidden="false" customHeight="false" outlineLevel="0" collapsed="false">
      <c r="A66" s="5" t="s">
        <v>635</v>
      </c>
      <c r="B66" s="18" t="n">
        <f aca="false">px/PL!F14</f>
        <v>24.0617307776236</v>
      </c>
      <c r="C66" s="18" t="n">
        <f aca="false">px/PL!F27</f>
        <v>26.592339455316</v>
      </c>
      <c r="D66" s="18" t="n">
        <f aca="false">px/PL!F40</f>
        <v>29.7178061482936</v>
      </c>
    </row>
    <row r="67" customFormat="false" ht="17.15" hidden="false" customHeight="false" outlineLevel="0" collapsed="false">
      <c r="A67" s="5" t="s">
        <v>636</v>
      </c>
      <c r="B67" s="18" t="n">
        <f aca="false">px/PL!G14</f>
        <v>21.7563855110703</v>
      </c>
      <c r="C67" s="18" t="n">
        <f aca="false">px/PL!G27</f>
        <v>26.0547377801122</v>
      </c>
      <c r="D67" s="18" t="n">
        <f aca="false">px/PL!G40</f>
        <v>35.1236673704526</v>
      </c>
    </row>
    <row r="68" customFormat="false" ht="17.15" hidden="false" customHeight="false" outlineLevel="0" collapsed="false">
      <c r="A68" s="5" t="s">
        <v>637</v>
      </c>
      <c r="B68" s="18" t="n">
        <f aca="false">px/cons_eps27</f>
        <v>34.7026158788435</v>
      </c>
      <c r="E68" s="5" t="s">
        <v>638</v>
      </c>
    </row>
    <row r="69" customFormat="false" ht="17.15" hidden="false" customHeight="false" outlineLevel="0" collapsed="false">
      <c r="A69" s="5" t="s">
        <v>639</v>
      </c>
      <c r="B69" s="36" t="n">
        <f aca="false">px/px_hi-1</f>
        <v>-0.33843394575678</v>
      </c>
    </row>
    <row r="70" customFormat="false" ht="17.15" hidden="false" customHeight="false" outlineLevel="0" collapsed="false">
      <c r="A70" s="5" t="s">
        <v>640</v>
      </c>
      <c r="B70" s="15" t="n">
        <f aca="false">px*sh_basic/1000</f>
        <v>67.828449</v>
      </c>
    </row>
    <row r="72" customFormat="false" ht="17.15" hidden="false" customHeight="false" outlineLevel="0" collapsed="false">
      <c r="A72" s="1" t="s">
        <v>641</v>
      </c>
    </row>
    <row r="73" customFormat="false" ht="17.15" hidden="false" customHeight="false" outlineLevel="0" collapsed="false">
      <c r="A73" s="6" t="s">
        <v>642</v>
      </c>
      <c r="B73" s="6" t="s">
        <v>643</v>
      </c>
      <c r="C73" s="14" t="s">
        <v>644</v>
      </c>
      <c r="D73" s="6" t="s">
        <v>645</v>
      </c>
      <c r="E73" s="6" t="s">
        <v>646</v>
      </c>
      <c r="F73" s="6" t="s">
        <v>428</v>
      </c>
    </row>
    <row r="74" customFormat="false" ht="17.15" hidden="false" customHeight="false" outlineLevel="0" collapsed="false">
      <c r="A74" s="0" t="s">
        <v>628</v>
      </c>
      <c r="B74" s="0" t="n">
        <f aca="false">INDEX({2026,2027,2028,2029},MATCH(MAX(PL!D91:G91),PL!D91:G91,0))</f>
        <v>2029</v>
      </c>
      <c r="C74" s="0" t="str">
        <f aca="false">IF(B74=2029,"中段",IF(2027&lt;B74,"中段",IF(2027=B74,"見頂","谷底")))</f>
        <v>中段</v>
      </c>
      <c r="D74" s="18" t="n">
        <f aca="false">IF(C74="見頂",pe_peak,IF(C74="谷底",pe_trough,pe_mid))</f>
        <v>17.68</v>
      </c>
      <c r="E74" s="0" t="str">
        <f aca="false">IF(B74=2029,"是：營收到觀測期末仍在增加","否")</f>
        <v>是：營收到觀測期末仍在增加</v>
      </c>
      <c r="F74" s="8" t="s">
        <v>647</v>
      </c>
    </row>
    <row r="75" customFormat="false" ht="15" hidden="false" customHeight="false" outlineLevel="0" collapsed="false">
      <c r="A75" s="0" t="s">
        <v>629</v>
      </c>
      <c r="B75" s="0" t="n">
        <f aca="false">INDEX({2026,2027,2028,2029},MATCH(MAX(PL!D138:G138),PL!D138:G138,0))</f>
        <v>2029</v>
      </c>
      <c r="C75" s="0" t="str">
        <f aca="false">IF(B75=2029,"中段",IF(2027&lt;B75,"中段",IF(2027=B75,"見頂","谷底")))</f>
        <v>中段</v>
      </c>
      <c r="D75" s="18" t="n">
        <f aca="false">IF(C75="見頂",pe_peak,IF(C75="谷底",pe_trough,pe_mid))</f>
        <v>17.68</v>
      </c>
      <c r="E75" s="0" t="str">
        <f aca="false">IF(B75=2029,"是：營收到觀測期末仍在增加","否")</f>
        <v>是：營收到觀測期末仍在增加</v>
      </c>
      <c r="F75" s="5" t="s">
        <v>36</v>
      </c>
    </row>
    <row r="76" customFormat="false" ht="15" hidden="false" customHeight="false" outlineLevel="0" collapsed="false">
      <c r="A76" s="0" t="s">
        <v>630</v>
      </c>
      <c r="B76" s="0" t="n">
        <f aca="false">INDEX({2026,2027,2028,2029},MATCH(MAX(PL!D185:G185),PL!D185:G185,0))</f>
        <v>2028</v>
      </c>
      <c r="C76" s="0" t="str">
        <f aca="false">IF(B76=2029,"中段",IF(2027&lt;B76,"中段",IF(2027=B76,"見頂","谷底")))</f>
        <v>中段</v>
      </c>
      <c r="D76" s="18" t="n">
        <f aca="false">IF(C76="見頂",pe_peak,IF(C76="谷底",pe_trough,pe_mid))</f>
        <v>17.68</v>
      </c>
      <c r="E76" s="0" t="str">
        <f aca="false">IF(B76=2029,"是：營收到觀測期末仍在增加","否")</f>
        <v>否</v>
      </c>
      <c r="F76" s="5" t="s">
        <v>36</v>
      </c>
    </row>
    <row r="78" customFormat="false" ht="17.15" hidden="false" customHeight="false" outlineLevel="0" collapsed="false">
      <c r="A78" s="1" t="s">
        <v>648</v>
      </c>
    </row>
    <row r="79" customFormat="false" ht="17.15" hidden="false" customHeight="false" outlineLevel="0" collapsed="false">
      <c r="A79" s="6" t="s">
        <v>642</v>
      </c>
      <c r="B79" s="14" t="s">
        <v>649</v>
      </c>
      <c r="C79" s="6" t="s">
        <v>650</v>
      </c>
      <c r="D79" s="6" t="s">
        <v>651</v>
      </c>
      <c r="E79" s="6" t="s">
        <v>652</v>
      </c>
      <c r="F79" s="6" t="s">
        <v>653</v>
      </c>
    </row>
    <row r="80" customFormat="false" ht="15" hidden="false" customHeight="false" outlineLevel="0" collapsed="false">
      <c r="A80" s="10" t="s">
        <v>628</v>
      </c>
      <c r="B80" s="37" t="n">
        <f aca="false">PL!E14</f>
        <v>23.160264954235</v>
      </c>
      <c r="C80" s="38" t="n">
        <f aca="false">D74</f>
        <v>17.68</v>
      </c>
      <c r="D80" s="39" t="n">
        <f aca="false">B80*C80</f>
        <v>409.473484390874</v>
      </c>
      <c r="E80" s="40" t="n">
        <f aca="false">D80/px-1</f>
        <v>-0.458490174972726</v>
      </c>
      <c r="F80" s="38" t="n">
        <f aca="false">px/B80</f>
        <v>32.6494537732709</v>
      </c>
    </row>
    <row r="81" customFormat="false" ht="15" hidden="false" customHeight="false" outlineLevel="0" collapsed="false">
      <c r="A81" s="10" t="s">
        <v>629</v>
      </c>
      <c r="B81" s="37" t="n">
        <f aca="false">PL!E27</f>
        <v>23.160264954235</v>
      </c>
      <c r="C81" s="38" t="n">
        <f aca="false">D75</f>
        <v>17.68</v>
      </c>
      <c r="D81" s="39" t="n">
        <f aca="false">B81*C81</f>
        <v>409.473484390874</v>
      </c>
      <c r="E81" s="40" t="n">
        <f aca="false">D81/px-1</f>
        <v>-0.458490174972726</v>
      </c>
      <c r="F81" s="38" t="n">
        <f aca="false">px/B81</f>
        <v>32.6494537732709</v>
      </c>
    </row>
    <row r="82" customFormat="false" ht="15" hidden="false" customHeight="false" outlineLevel="0" collapsed="false">
      <c r="A82" s="10" t="s">
        <v>630</v>
      </c>
      <c r="B82" s="37" t="n">
        <f aca="false">PL!E40</f>
        <v>23.160264954235</v>
      </c>
      <c r="C82" s="38" t="n">
        <f aca="false">D76</f>
        <v>17.68</v>
      </c>
      <c r="D82" s="39" t="n">
        <f aca="false">B82*C82</f>
        <v>409.473484390874</v>
      </c>
      <c r="E82" s="40" t="n">
        <f aca="false">D82/px-1</f>
        <v>-0.458490174972726</v>
      </c>
      <c r="F82" s="38" t="n">
        <f aca="false">px/B82</f>
        <v>32.6494537732709</v>
      </c>
    </row>
    <row r="84" customFormat="false" ht="17.15" hidden="false" customHeight="false" outlineLevel="0" collapsed="false">
      <c r="A84" s="1" t="s">
        <v>654</v>
      </c>
    </row>
    <row r="85" customFormat="false" ht="17.15" hidden="false" customHeight="false" outlineLevel="0" collapsed="false">
      <c r="A85" s="6" t="s">
        <v>655</v>
      </c>
      <c r="B85" s="6" t="s">
        <v>656</v>
      </c>
      <c r="C85" s="6" t="s">
        <v>657</v>
      </c>
      <c r="D85" s="6" t="s">
        <v>658</v>
      </c>
      <c r="E85" s="6" t="s">
        <v>659</v>
      </c>
      <c r="F85" s="6" t="s">
        <v>660</v>
      </c>
    </row>
    <row r="86" customFormat="false" ht="15" hidden="false" customHeight="false" outlineLevel="0" collapsed="false">
      <c r="A86" s="34" t="n">
        <v>15</v>
      </c>
      <c r="B86" s="9" t="n">
        <f aca="false">px/A86</f>
        <v>50.4113333333333</v>
      </c>
      <c r="C86" s="9" t="n">
        <f aca="false">PL!F14</f>
        <v>31.4262513776942</v>
      </c>
      <c r="D86" s="36" t="n">
        <f aca="false">B86/C86-1</f>
        <v>0.604115385174904</v>
      </c>
      <c r="E86" s="9" t="n">
        <f aca="false">PL!F40</f>
        <v>25.4450142189726</v>
      </c>
      <c r="F86" s="36" t="n">
        <f aca="false">B86/E86-1</f>
        <v>0.981187076552904</v>
      </c>
    </row>
    <row r="87" customFormat="false" ht="15" hidden="false" customHeight="false" outlineLevel="0" collapsed="false">
      <c r="A87" s="34" t="n">
        <v>20</v>
      </c>
      <c r="B87" s="9" t="n">
        <f aca="false">px/A87</f>
        <v>37.8085</v>
      </c>
      <c r="C87" s="9" t="n">
        <f aca="false">PL!F14</f>
        <v>31.4262513776942</v>
      </c>
      <c r="D87" s="36" t="n">
        <f aca="false">B87/C87-1</f>
        <v>0.203086538881178</v>
      </c>
      <c r="E87" s="9" t="n">
        <f aca="false">PL!F40</f>
        <v>25.4450142189726</v>
      </c>
      <c r="F87" s="36" t="n">
        <f aca="false">B87/E87-1</f>
        <v>0.485890307414678</v>
      </c>
    </row>
    <row r="88" customFormat="false" ht="15" hidden="false" customHeight="false" outlineLevel="0" collapsed="false">
      <c r="A88" s="34" t="n">
        <v>30</v>
      </c>
      <c r="B88" s="9" t="n">
        <f aca="false">px/A88</f>
        <v>25.2056666666667</v>
      </c>
      <c r="C88" s="9" t="n">
        <f aca="false">PL!F14</f>
        <v>31.4262513776942</v>
      </c>
      <c r="D88" s="36" t="n">
        <f aca="false">B88/C88-1</f>
        <v>-0.197942307412548</v>
      </c>
      <c r="E88" s="9" t="n">
        <f aca="false">PL!F40</f>
        <v>25.4450142189726</v>
      </c>
      <c r="F88" s="36" t="n">
        <f aca="false">B88/E88-1</f>
        <v>-0.00940646172354809</v>
      </c>
    </row>
    <row r="89" customFormat="false" ht="15" hidden="false" customHeight="false" outlineLevel="0" collapsed="false">
      <c r="A89" s="18" t="n">
        <f aca="false">pe_mid</f>
        <v>17.68</v>
      </c>
      <c r="B89" s="9" t="n">
        <f aca="false">px/A89</f>
        <v>42.7697963800905</v>
      </c>
      <c r="C89" s="9" t="n">
        <f aca="false">PL!F14</f>
        <v>31.4262513776942</v>
      </c>
      <c r="D89" s="36" t="n">
        <f aca="false">B89/C89-1</f>
        <v>0.360957623168753</v>
      </c>
      <c r="E89" s="9" t="n">
        <f aca="false">PL!F40</f>
        <v>25.4450142189726</v>
      </c>
      <c r="F89" s="36" t="n">
        <f aca="false">B89/E89-1</f>
        <v>0.680871388478143</v>
      </c>
    </row>
    <row r="90" customFormat="false" ht="17.15" hidden="false" customHeight="false" outlineLevel="0" collapsed="false">
      <c r="A90" s="5" t="s">
        <v>661</v>
      </c>
    </row>
    <row r="92" customFormat="false" ht="17.15" hidden="false" customHeight="false" outlineLevel="0" collapsed="false">
      <c r="A92" s="5" t="s">
        <v>662</v>
      </c>
    </row>
    <row r="97" customFormat="false" ht="17.15" hidden="false" customHeight="false" outlineLevel="0" collapsed="false">
      <c r="A97" s="1" t="s">
        <v>663</v>
      </c>
    </row>
    <row r="98" customFormat="false" ht="17.15" hidden="false" customHeight="false" outlineLevel="0" collapsed="false">
      <c r="A98" s="5" t="s">
        <v>664</v>
      </c>
    </row>
    <row r="100" customFormat="false" ht="17.15" hidden="false" customHeight="false" outlineLevel="0" collapsed="false">
      <c r="A100" s="1" t="s">
        <v>665</v>
      </c>
    </row>
    <row r="101" customFormat="false" ht="17.15" hidden="false" customHeight="false" outlineLevel="0" collapsed="false">
      <c r="A101" s="6" t="s">
        <v>666</v>
      </c>
      <c r="B101" s="6" t="s">
        <v>667</v>
      </c>
      <c r="C101" s="14" t="s">
        <v>668</v>
      </c>
      <c r="D101" s="6" t="s">
        <v>669</v>
      </c>
    </row>
    <row r="102" customFormat="false" ht="17.15" hidden="false" customHeight="false" outlineLevel="0" collapsed="false">
      <c r="A102" s="0" t="s">
        <v>670</v>
      </c>
      <c r="B102" s="9" t="n">
        <f aca="false">38.65/((1.29+1.94)/2)</f>
        <v>23.9318885448916</v>
      </c>
      <c r="C102" s="41" t="n">
        <v>161</v>
      </c>
      <c r="D102" s="5" t="s">
        <v>671</v>
      </c>
    </row>
    <row r="103" customFormat="false" ht="17.15" hidden="false" customHeight="false" outlineLevel="0" collapsed="false">
      <c r="A103" s="0" t="s">
        <v>672</v>
      </c>
      <c r="B103" s="9" t="n">
        <f aca="false">48.9/((1.94+3.82)/2)</f>
        <v>16.9791666666667</v>
      </c>
      <c r="C103" s="41" t="n">
        <v>32.6</v>
      </c>
      <c r="D103" s="8" t="s">
        <v>673</v>
      </c>
    </row>
    <row r="104" customFormat="false" ht="15" hidden="false" customHeight="false" outlineLevel="0" collapsed="false">
      <c r="A104" s="0" t="s">
        <v>674</v>
      </c>
      <c r="B104" s="9" t="n">
        <f aca="false">42.01/((3.82+4.25)/2)</f>
        <v>10.4114002478315</v>
      </c>
      <c r="C104" s="41" t="n">
        <v>27.5</v>
      </c>
    </row>
    <row r="105" customFormat="false" ht="15" hidden="false" customHeight="false" outlineLevel="0" collapsed="false">
      <c r="A105" s="0" t="s">
        <v>675</v>
      </c>
      <c r="B105" s="9" t="n">
        <f aca="false">79.3/((4.25+4.95)/2)</f>
        <v>17.2391304347826</v>
      </c>
    </row>
    <row r="106" customFormat="false" ht="15" hidden="false" customHeight="false" outlineLevel="0" collapsed="false">
      <c r="A106" s="0" t="s">
        <v>676</v>
      </c>
      <c r="B106" s="9" t="n">
        <f aca="false">94.8/((4.95+5.84)/2)</f>
        <v>17.5718257645969</v>
      </c>
      <c r="C106" s="41" t="n">
        <v>37.8</v>
      </c>
    </row>
    <row r="107" customFormat="false" ht="15" hidden="false" customHeight="false" outlineLevel="0" collapsed="false">
      <c r="A107" s="0" t="s">
        <v>677</v>
      </c>
      <c r="B107" s="9" t="n">
        <f aca="false">105.77/((5.84+6.05)/2)</f>
        <v>17.7914213624895</v>
      </c>
      <c r="C107" s="41" t="n">
        <v>20.5</v>
      </c>
    </row>
    <row r="108" customFormat="false" ht="15" hidden="false" customHeight="false" outlineLevel="0" collapsed="false">
      <c r="A108" s="0" t="s">
        <v>678</v>
      </c>
      <c r="B108" s="9" t="n">
        <f aca="false">52.17/((6.05+4.56)/2)</f>
        <v>9.83411875589067</v>
      </c>
      <c r="C108" s="41" t="n">
        <v>130</v>
      </c>
    </row>
    <row r="109" customFormat="false" ht="15" hidden="false" customHeight="false" outlineLevel="0" collapsed="false">
      <c r="A109" s="0" t="s">
        <v>679</v>
      </c>
      <c r="B109" s="9" t="n">
        <f aca="false">52.42/((4.56+1.01)/2)</f>
        <v>18.8222621184919</v>
      </c>
    </row>
    <row r="110" customFormat="false" ht="15" hidden="false" customHeight="false" outlineLevel="0" collapsed="false">
      <c r="A110" s="0" t="s">
        <v>680</v>
      </c>
      <c r="B110" s="9" t="n">
        <f aca="false">83.95/((1.01+2.06)/2)</f>
        <v>54.6905537459283</v>
      </c>
    </row>
    <row r="111" customFormat="false" ht="15" hidden="false" customHeight="false" outlineLevel="0" collapsed="false">
      <c r="A111" s="0" t="s">
        <v>681</v>
      </c>
      <c r="B111" s="9" t="n">
        <f aca="false">368.59/((2.06+8.67)/2)</f>
        <v>68.7027027027027</v>
      </c>
      <c r="C111" s="41" t="n">
        <v>103</v>
      </c>
    </row>
    <row r="112" customFormat="false" ht="17.15" hidden="false" customHeight="false" outlineLevel="0" collapsed="false">
      <c r="A112" s="0" t="s">
        <v>682</v>
      </c>
      <c r="B112" s="9" t="n">
        <f aca="false">PERCENTILE(B102:B111,0.25)</f>
        <v>17.0441576086957</v>
      </c>
      <c r="C112" s="9" t="n">
        <f aca="false">PERCENTILE(C102:C111,0.25)</f>
        <v>30.05</v>
      </c>
    </row>
    <row r="113" customFormat="false" ht="15" hidden="false" customHeight="false" outlineLevel="0" collapsed="false">
      <c r="A113" s="5" t="s">
        <v>683</v>
      </c>
      <c r="B113" s="9" t="n">
        <f aca="false">MEDIAN(B102:B111)</f>
        <v>17.6816235635432</v>
      </c>
      <c r="C113" s="9" t="n">
        <f aca="false">MEDIAN(C102:C111)</f>
        <v>37.8</v>
      </c>
    </row>
    <row r="114" customFormat="false" ht="17.15" hidden="false" customHeight="false" outlineLevel="0" collapsed="false">
      <c r="A114" s="0" t="s">
        <v>684</v>
      </c>
      <c r="B114" s="9" t="n">
        <f aca="false">PERCENTILE(B102:B111,0.75)</f>
        <v>22.6544819382917</v>
      </c>
      <c r="C114" s="9" t="n">
        <f aca="false">PERCENTILE(C102:C111,0.75)</f>
        <v>116.5</v>
      </c>
    </row>
    <row r="115" customFormat="false" ht="15" hidden="false" customHeight="false" outlineLevel="0" collapsed="false">
      <c r="A115" s="5" t="s">
        <v>685</v>
      </c>
      <c r="B115" s="9" t="n">
        <f aca="false">MIN(B102:B111)</f>
        <v>9.83411875589067</v>
      </c>
      <c r="C115" s="9" t="n">
        <f aca="false">MIN(C102:C111)</f>
        <v>20.5</v>
      </c>
    </row>
    <row r="116" customFormat="false" ht="15" hidden="false" customHeight="false" outlineLevel="0" collapsed="false">
      <c r="A116" s="5" t="s">
        <v>686</v>
      </c>
      <c r="B116" s="9" t="n">
        <f aca="false">MAX(B102:B111)</f>
        <v>68.7027027027027</v>
      </c>
      <c r="C116" s="9" t="n">
        <f aca="false">MAX(C102:C111)</f>
        <v>161</v>
      </c>
    </row>
    <row r="117" customFormat="false" ht="17.15" hidden="false" customHeight="false" outlineLevel="0" collapsed="false">
      <c r="A117" s="3" t="s">
        <v>687</v>
      </c>
      <c r="B117" s="9" t="n">
        <f aca="false">ROUND(AVERAGE(B112),2)</f>
        <v>17.04</v>
      </c>
    </row>
    <row r="118" customFormat="false" ht="17.15" hidden="false" customHeight="false" outlineLevel="0" collapsed="false">
      <c r="A118" s="3" t="s">
        <v>688</v>
      </c>
      <c r="B118" s="9" t="n">
        <f aca="false">ROUND(AVERAGE(B113),2)</f>
        <v>17.68</v>
      </c>
    </row>
    <row r="119" customFormat="false" ht="17.15" hidden="false" customHeight="false" outlineLevel="0" collapsed="false">
      <c r="A119" s="3" t="s">
        <v>689</v>
      </c>
      <c r="B119" s="9" t="n">
        <f aca="false">ROUND(AVERAGE(B114),2)</f>
        <v>22.65</v>
      </c>
    </row>
    <row r="120" customFormat="false" ht="17.15" hidden="false" customHeight="false" outlineLevel="0" collapsed="false">
      <c r="A120" s="3" t="s">
        <v>690</v>
      </c>
      <c r="B120" s="9" t="n">
        <f aca="false">ROUND(MIN(B115),2)</f>
        <v>9.83</v>
      </c>
    </row>
    <row r="121" customFormat="false" ht="17.15" hidden="false" customHeight="false" outlineLevel="0" collapsed="false">
      <c r="A121" s="3" t="s">
        <v>691</v>
      </c>
      <c r="B121" s="9" t="n">
        <f aca="false">ROUND(MAX(B116),2)</f>
        <v>68.7</v>
      </c>
    </row>
    <row r="122" customFormat="false" ht="17.15" hidden="false" customHeight="false" outlineLevel="0" collapsed="false">
      <c r="A122" s="5" t="s">
        <v>692</v>
      </c>
      <c r="B122" s="9" t="n">
        <f aca="false">ROUND(C112,2)</f>
        <v>30.05</v>
      </c>
    </row>
    <row r="123" customFormat="false" ht="17.15" hidden="false" customHeight="false" outlineLevel="0" collapsed="false">
      <c r="A123" s="5" t="s">
        <v>693</v>
      </c>
      <c r="B123" s="9" t="n">
        <f aca="false">ROUND(C113,2)</f>
        <v>37.8</v>
      </c>
    </row>
    <row r="124" customFormat="false" ht="17.15" hidden="false" customHeight="false" outlineLevel="0" collapsed="false">
      <c r="A124" s="5" t="s">
        <v>694</v>
      </c>
      <c r="B124" s="9" t="n">
        <f aca="false">ROUND(C114,2)</f>
        <v>116.5</v>
      </c>
    </row>
    <row r="126" customFormat="false" ht="17.15" hidden="false" customHeight="false" outlineLevel="0" collapsed="false">
      <c r="A126" s="1" t="s">
        <v>695</v>
      </c>
    </row>
    <row r="127" customFormat="false" ht="17.15" hidden="false" customHeight="false" outlineLevel="0" collapsed="false">
      <c r="A127" s="6" t="s">
        <v>696</v>
      </c>
      <c r="B127" s="6" t="s">
        <v>697</v>
      </c>
      <c r="C127" s="6" t="s">
        <v>698</v>
      </c>
      <c r="D127" s="6" t="s">
        <v>22</v>
      </c>
      <c r="E127" s="6" t="s">
        <v>699</v>
      </c>
      <c r="F127" s="6" t="s">
        <v>651</v>
      </c>
      <c r="G127" s="6" t="s">
        <v>700</v>
      </c>
      <c r="H127" s="6" t="s">
        <v>701</v>
      </c>
    </row>
    <row r="128" customFormat="false" ht="17.15" hidden="false" customHeight="false" outlineLevel="0" collapsed="false">
      <c r="A128" s="5" t="s">
        <v>702</v>
      </c>
      <c r="B128" s="0" t="s">
        <v>703</v>
      </c>
      <c r="C128" s="9" t="n">
        <f aca="false">B117</f>
        <v>17.04</v>
      </c>
      <c r="D128" s="8" t="s">
        <v>704</v>
      </c>
      <c r="E128" s="19" t="n">
        <f aca="false">B80</f>
        <v>23.160264954235</v>
      </c>
      <c r="F128" s="15" t="n">
        <f aca="false">C128*E128</f>
        <v>394.650914820164</v>
      </c>
      <c r="G128" s="16" t="n">
        <f aca="false">F128/px-1</f>
        <v>-0.478092340584573</v>
      </c>
      <c r="H128" s="9" t="n">
        <f aca="false">px/E128</f>
        <v>32.6494537732709</v>
      </c>
    </row>
    <row r="129" customFormat="false" ht="17.15" hidden="false" customHeight="false" outlineLevel="0" collapsed="false">
      <c r="A129" s="5" t="s">
        <v>705</v>
      </c>
      <c r="B129" s="5" t="s">
        <v>706</v>
      </c>
      <c r="C129" s="9" t="n">
        <f aca="false">B118</f>
        <v>17.68</v>
      </c>
      <c r="D129" s="8" t="s">
        <v>704</v>
      </c>
      <c r="E129" s="19" t="n">
        <f aca="false">B80</f>
        <v>23.160264954235</v>
      </c>
      <c r="F129" s="15" t="n">
        <f aca="false">C129*E129</f>
        <v>409.473484390874</v>
      </c>
      <c r="G129" s="16" t="n">
        <f aca="false">F129/px-1</f>
        <v>-0.458490174972726</v>
      </c>
      <c r="H129" s="9" t="n">
        <f aca="false">px/E129</f>
        <v>32.6494537732709</v>
      </c>
    </row>
    <row r="130" customFormat="false" ht="17.15" hidden="false" customHeight="false" outlineLevel="0" collapsed="false">
      <c r="A130" s="5" t="s">
        <v>707</v>
      </c>
      <c r="B130" s="0" t="s">
        <v>708</v>
      </c>
      <c r="C130" s="9" t="n">
        <f aca="false">B119</f>
        <v>22.65</v>
      </c>
      <c r="D130" s="8" t="s">
        <v>704</v>
      </c>
      <c r="E130" s="19" t="n">
        <f aca="false">B80</f>
        <v>23.160264954235</v>
      </c>
      <c r="F130" s="15" t="n">
        <f aca="false">C130*E130</f>
        <v>524.580001213422</v>
      </c>
      <c r="G130" s="16" t="n">
        <f aca="false">F130/px-1</f>
        <v>-0.306267107643226</v>
      </c>
      <c r="H130" s="9" t="n">
        <f aca="false">px/E130</f>
        <v>32.6494537732709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709</v>
      </c>
    </row>
    <row r="3" customFormat="false" ht="17.15" hidden="false" customHeight="false" outlineLevel="0" collapsed="false">
      <c r="A3" s="6" t="s">
        <v>19</v>
      </c>
      <c r="B3" s="6" t="s">
        <v>710</v>
      </c>
      <c r="C3" s="6" t="s">
        <v>711</v>
      </c>
      <c r="D3" s="6" t="s">
        <v>712</v>
      </c>
      <c r="E3" s="6" t="s">
        <v>713</v>
      </c>
      <c r="F3" s="6" t="s">
        <v>714</v>
      </c>
      <c r="G3" s="6" t="s">
        <v>715</v>
      </c>
      <c r="H3" s="6" t="s">
        <v>716</v>
      </c>
      <c r="I3" s="6" t="s">
        <v>717</v>
      </c>
      <c r="J3" s="6" t="s">
        <v>428</v>
      </c>
    </row>
    <row r="4" customFormat="false" ht="17.15" hidden="false" customHeight="false" outlineLevel="0" collapsed="false">
      <c r="A4" s="1" t="s">
        <v>718</v>
      </c>
    </row>
    <row r="5" customFormat="false" ht="17.15" hidden="false" customHeight="false" outlineLevel="0" collapsed="false">
      <c r="A5" s="0" t="s">
        <v>719</v>
      </c>
      <c r="B5" s="19" t="n">
        <f aca="false">cons_rev27</f>
        <v>6.3</v>
      </c>
      <c r="C5" s="19" t="n">
        <f aca="false">PL!E91</f>
        <v>6.5334968031409</v>
      </c>
      <c r="D5" s="16" t="n">
        <f aca="false">C5/B5-1</f>
        <v>0.037062984625539</v>
      </c>
      <c r="E5" s="19" t="n">
        <f aca="false">PL!E138</f>
        <v>6.5334968031409</v>
      </c>
      <c r="F5" s="16" t="n">
        <f aca="false">E5/B5-1</f>
        <v>0.037062984625539</v>
      </c>
      <c r="G5" s="19" t="n">
        <f aca="false">PL!E185</f>
        <v>6.5334968031409</v>
      </c>
      <c r="H5" s="16" t="n">
        <f aca="false">G5/B5-1</f>
        <v>0.037062984625539</v>
      </c>
      <c r="I5" s="8" t="s">
        <v>720</v>
      </c>
      <c r="J5" s="8" t="s">
        <v>721</v>
      </c>
    </row>
    <row r="6" customFormat="false" ht="17.15" hidden="false" customHeight="false" outlineLevel="0" collapsed="false">
      <c r="A6" s="0" t="s">
        <v>722</v>
      </c>
      <c r="B6" s="19" t="n">
        <f aca="false">cons_eps27</f>
        <v>21.79</v>
      </c>
      <c r="C6" s="19" t="n">
        <f aca="false">PL!E103</f>
        <v>23.160264954235</v>
      </c>
      <c r="D6" s="16" t="n">
        <f aca="false">C6/B6-1</f>
        <v>0.0628850369084426</v>
      </c>
      <c r="E6" s="19" t="n">
        <f aca="false">PL!E150</f>
        <v>23.160264954235</v>
      </c>
      <c r="F6" s="16" t="n">
        <f aca="false">E6/B6-1</f>
        <v>0.0628850369084426</v>
      </c>
      <c r="G6" s="19" t="n">
        <f aca="false">PL!E197</f>
        <v>23.160264954235</v>
      </c>
      <c r="H6" s="16" t="n">
        <f aca="false">G6/B6-1</f>
        <v>0.0628850369084426</v>
      </c>
      <c r="I6" s="8" t="s">
        <v>723</v>
      </c>
    </row>
    <row r="7" customFormat="false" ht="17.15" hidden="false" customHeight="false" outlineLevel="0" collapsed="false">
      <c r="A7" s="0" t="s">
        <v>724</v>
      </c>
      <c r="B7" s="19" t="n">
        <f aca="false">cons_eps28</f>
        <v>23.6</v>
      </c>
      <c r="C7" s="19" t="n">
        <f aca="false">PL!F103</f>
        <v>31.4262513776942</v>
      </c>
      <c r="D7" s="16" t="n">
        <f aca="false">C7/B7-1</f>
        <v>0.331620821088739</v>
      </c>
      <c r="E7" s="19" t="n">
        <f aca="false">PL!F150</f>
        <v>28.4356327983334</v>
      </c>
      <c r="F7" s="16" t="n">
        <f aca="false">E7/B7-1</f>
        <v>0.204899694844636</v>
      </c>
      <c r="G7" s="19" t="n">
        <f aca="false">PL!F197</f>
        <v>25.4450142189726</v>
      </c>
      <c r="H7" s="16" t="n">
        <f aca="false">G7/B7-1</f>
        <v>0.0781785686005325</v>
      </c>
      <c r="I7" s="8" t="s">
        <v>725</v>
      </c>
      <c r="J7" s="5" t="s">
        <v>726</v>
      </c>
    </row>
    <row r="8" customFormat="false" ht="17.15" hidden="false" customHeight="false" outlineLevel="0" collapsed="false">
      <c r="A8" s="0" t="s">
        <v>727</v>
      </c>
      <c r="B8" s="19" t="n">
        <f aca="false">cons_ni28</f>
        <v>2.4</v>
      </c>
      <c r="C8" s="19" t="n">
        <f aca="false">PL!F100</f>
        <v>3.23753241693006</v>
      </c>
      <c r="D8" s="16" t="n">
        <f aca="false">C8/B8-1</f>
        <v>0.348971840387525</v>
      </c>
      <c r="E8" s="19" t="n">
        <f aca="false">PL!F147</f>
        <v>2.92943889088431</v>
      </c>
      <c r="F8" s="16" t="n">
        <f aca="false">E8/B8-1</f>
        <v>0.220599537868461</v>
      </c>
      <c r="G8" s="19" t="n">
        <f aca="false">PL!F194</f>
        <v>2.62134536483855</v>
      </c>
      <c r="H8" s="16" t="n">
        <f aca="false">G8/B8-1</f>
        <v>0.0922272353493976</v>
      </c>
      <c r="I8" s="8" t="s">
        <v>728</v>
      </c>
      <c r="J8" s="5" t="s">
        <v>333</v>
      </c>
    </row>
    <row r="9" customFormat="false" ht="17.15" hidden="false" customHeight="false" outlineLevel="0" collapsed="false">
      <c r="A9" s="1" t="s">
        <v>729</v>
      </c>
    </row>
    <row r="10" customFormat="false" ht="17.15" hidden="false" customHeight="false" outlineLevel="0" collapsed="false">
      <c r="A10" s="0" t="s">
        <v>730</v>
      </c>
      <c r="B10" s="15" t="n">
        <f aca="false">kgi_m26</f>
        <v>67.2</v>
      </c>
      <c r="C10" s="15" t="n">
        <f aca="false">PL!C65</f>
        <v>59.506524</v>
      </c>
      <c r="D10" s="16" t="n">
        <f aca="false">C10/B10-1</f>
        <v>-0.11448625</v>
      </c>
      <c r="E10" s="15" t="n">
        <f aca="false">PL!C112</f>
        <v>59.506524</v>
      </c>
      <c r="F10" s="16" t="n">
        <f aca="false">E10/B10-1</f>
        <v>-0.11448625</v>
      </c>
      <c r="G10" s="15" t="n">
        <f aca="false">PL!C159</f>
        <v>59.506524</v>
      </c>
      <c r="H10" s="16" t="n">
        <f aca="false">G10/B10-1</f>
        <v>-0.11448625</v>
      </c>
      <c r="I10" s="5" t="s">
        <v>731</v>
      </c>
      <c r="J10" s="5" t="s">
        <v>732</v>
      </c>
    </row>
    <row r="11" customFormat="false" ht="17.15" hidden="false" customHeight="false" outlineLevel="0" collapsed="false">
      <c r="A11" s="0" t="s">
        <v>733</v>
      </c>
      <c r="B11" s="15" t="n">
        <f aca="false">kgi_m27</f>
        <v>107.5</v>
      </c>
      <c r="C11" s="15" t="n">
        <f aca="false">PL!D65</f>
        <v>105.169825</v>
      </c>
      <c r="D11" s="16" t="n">
        <f aca="false">C11/B11-1</f>
        <v>-0.021676046511628</v>
      </c>
      <c r="E11" s="15" t="n">
        <f aca="false">PL!D112</f>
        <v>105.169825</v>
      </c>
      <c r="F11" s="16" t="n">
        <f aca="false">E11/B11-1</f>
        <v>-0.021676046511628</v>
      </c>
      <c r="G11" s="15" t="n">
        <f aca="false">PL!D159</f>
        <v>105.169825</v>
      </c>
      <c r="H11" s="16" t="n">
        <f aca="false">G11/B11-1</f>
        <v>-0.021676046511628</v>
      </c>
      <c r="I11" s="5" t="s">
        <v>731</v>
      </c>
      <c r="J11" s="5" t="s">
        <v>732</v>
      </c>
    </row>
    <row r="12" customFormat="false" ht="17.15" hidden="false" customHeight="false" outlineLevel="0" collapsed="false">
      <c r="A12" s="0" t="s">
        <v>734</v>
      </c>
      <c r="B12" s="15" t="n">
        <f aca="false">kgi_m28</f>
        <v>151.1</v>
      </c>
      <c r="C12" s="15" t="n">
        <f aca="false">PL!E65</f>
        <v>113.35787037037</v>
      </c>
      <c r="D12" s="16" t="n">
        <f aca="false">C12/B12-1</f>
        <v>-0.249782459494571</v>
      </c>
      <c r="E12" s="15" t="n">
        <f aca="false">PL!E112</f>
        <v>90.6862962962963</v>
      </c>
      <c r="F12" s="16" t="n">
        <f aca="false">E12/B12-1</f>
        <v>-0.399825967595657</v>
      </c>
      <c r="G12" s="15" t="n">
        <f aca="false">PL!E159</f>
        <v>68.0147222222222</v>
      </c>
      <c r="H12" s="16" t="n">
        <f aca="false">G12/B12-1</f>
        <v>-0.549869475696743</v>
      </c>
      <c r="I12" s="5" t="s">
        <v>731</v>
      </c>
      <c r="J12" s="5" t="s">
        <v>732</v>
      </c>
    </row>
    <row r="13" customFormat="false" ht="17.15" hidden="false" customHeight="false" outlineLevel="0" collapsed="false">
      <c r="A13" s="0" t="s">
        <v>735</v>
      </c>
      <c r="B13" s="16" t="n">
        <f aca="false">tf_eml3</f>
        <v>0.72</v>
      </c>
      <c r="C13" s="16" t="n">
        <f aca="false">PL!C71</f>
        <v>0.43826657190933</v>
      </c>
      <c r="D13" s="16" t="n">
        <f aca="false">C13-B13</f>
        <v>-0.28173342809067</v>
      </c>
      <c r="E13" s="16" t="n">
        <f aca="false">PL!C118</f>
        <v>0.43826657190933</v>
      </c>
      <c r="F13" s="16" t="n">
        <f aca="false">E13-B13</f>
        <v>-0.28173342809067</v>
      </c>
      <c r="G13" s="16" t="n">
        <f aca="false">PL!C165</f>
        <v>0.43826657190933</v>
      </c>
      <c r="H13" s="16" t="n">
        <f aca="false">G13-B13</f>
        <v>-0.28173342809067</v>
      </c>
      <c r="I13" s="8" t="s">
        <v>736</v>
      </c>
      <c r="J13" s="5" t="s">
        <v>737</v>
      </c>
    </row>
    <row r="14" customFormat="false" ht="17.15" hidden="false" customHeight="false" outlineLevel="0" collapsed="false">
      <c r="A14" s="0" t="s">
        <v>738</v>
      </c>
      <c r="C14" s="16" t="n">
        <f aca="false">PL!C72/(c26_rev/1000)</f>
        <v>0.41765404170493</v>
      </c>
      <c r="E14" s="16" t="n">
        <f aca="false">PL!C119/(c26_rev/1000)</f>
        <v>0.41765404170493</v>
      </c>
      <c r="G14" s="16" t="n">
        <f aca="false">PL!C166/(c26_rev/1000)</f>
        <v>0.41765404170493</v>
      </c>
      <c r="I14" s="8" t="s">
        <v>739</v>
      </c>
    </row>
    <row r="15" customFormat="false" ht="17.15" hidden="false" customHeight="false" outlineLevel="0" collapsed="false">
      <c r="A15" s="0" t="s">
        <v>740</v>
      </c>
      <c r="B15" s="16" t="n">
        <f aca="false">Q!B27</f>
        <v>0.645334393322071</v>
      </c>
      <c r="C15" s="16" t="n">
        <f aca="false">(PL!C72+PL!C83+PL!C81+PL!C84/2)/(c26_rev/1000)</f>
        <v>0.630434295697359</v>
      </c>
      <c r="D15" s="16" t="n">
        <f aca="false">C15-B15</f>
        <v>-0.0149000976247117</v>
      </c>
      <c r="E15" s="16" t="n">
        <f aca="false">(PL!C119+PL!C130+PL!C128+PL!C131/2)/(c26_rev/1000)</f>
        <v>0.630434295697359</v>
      </c>
      <c r="F15" s="16" t="n">
        <f aca="false">E15-B15</f>
        <v>-0.0149000976247117</v>
      </c>
      <c r="G15" s="16" t="n">
        <f aca="false">(PL!C166+PL!C177+PL!C175+PL!C178/2)/(c26_rev/1000)</f>
        <v>0.630434295697359</v>
      </c>
      <c r="H15" s="16" t="n">
        <f aca="false">G15-B15</f>
        <v>-0.0149000976247117</v>
      </c>
      <c r="I15" s="5" t="s">
        <v>741</v>
      </c>
      <c r="J15" s="8" t="s">
        <v>742</v>
      </c>
    </row>
    <row r="16" customFormat="false" ht="17.15" hidden="false" customHeight="false" outlineLevel="0" collapsed="false">
      <c r="A16" s="0" t="s">
        <v>743</v>
      </c>
      <c r="C16" s="16" t="n">
        <f aca="false">PL!D78/4</f>
        <v>0.285714285714286</v>
      </c>
      <c r="E16" s="16" t="n">
        <f aca="false">PL!D125/4</f>
        <v>0.285714285714286</v>
      </c>
      <c r="G16" s="16" t="n">
        <f aca="false">PL!D172/4</f>
        <v>0.285714285714286</v>
      </c>
      <c r="I16" s="5" t="s">
        <v>744</v>
      </c>
    </row>
    <row r="17" customFormat="false" ht="17.15" hidden="false" customHeight="false" outlineLevel="0" collapsed="false">
      <c r="A17" s="0" t="s">
        <v>745</v>
      </c>
      <c r="C17" s="21" t="n">
        <f aca="false">PL!D82/itc_27</f>
        <v>0.00448223027158075</v>
      </c>
      <c r="E17" s="21" t="n">
        <f aca="false">PL!D129/itc_27</f>
        <v>0.00448223027158075</v>
      </c>
      <c r="G17" s="21" t="n">
        <f aca="false">PL!D176/itc_27</f>
        <v>0.00448223027158075</v>
      </c>
      <c r="I17" s="8" t="s">
        <v>746</v>
      </c>
      <c r="J17" s="5" t="s">
        <v>747</v>
      </c>
    </row>
    <row r="18" customFormat="false" ht="17.15" hidden="false" customHeight="false" outlineLevel="0" collapsed="false">
      <c r="A18" s="0" t="s">
        <v>748</v>
      </c>
      <c r="C18" s="16" t="n">
        <f aca="false">PL!E71</f>
        <v>0.416353243313864</v>
      </c>
      <c r="E18" s="16" t="n">
        <f aca="false">PL!E118</f>
        <v>0.416353243313864</v>
      </c>
      <c r="G18" s="16" t="n">
        <f aca="false">PL!E165</f>
        <v>0.416353243313864</v>
      </c>
      <c r="I18" s="8" t="s">
        <v>101</v>
      </c>
    </row>
    <row r="19" customFormat="false" ht="17.15" hidden="false" customHeight="false" outlineLevel="0" collapsed="false">
      <c r="A19" s="1" t="s">
        <v>749</v>
      </c>
    </row>
    <row r="20" customFormat="false" ht="17.15" hidden="false" customHeight="false" outlineLevel="0" collapsed="false">
      <c r="A20" s="0" t="s">
        <v>750</v>
      </c>
      <c r="B20" s="9" t="n">
        <f aca="false">a25_eps_in</f>
        <v>2.06</v>
      </c>
      <c r="C20" s="9" t="n">
        <f aca="false">Q!B13</f>
        <v>2.06</v>
      </c>
      <c r="D20" s="16" t="n">
        <f aca="false">C20/B20-1</f>
        <v>0</v>
      </c>
      <c r="E20" s="9" t="n">
        <f aca="false">Q!B13</f>
        <v>2.06</v>
      </c>
      <c r="F20" s="16" t="n">
        <f aca="false">E20/B20-1</f>
        <v>0</v>
      </c>
      <c r="G20" s="9" t="n">
        <f aca="false">Q!B13</f>
        <v>2.06</v>
      </c>
      <c r="H20" s="16" t="n">
        <f aca="false">G20/B20-1</f>
        <v>0</v>
      </c>
      <c r="I20" s="5" t="s">
        <v>751</v>
      </c>
      <c r="J20" s="5" t="s">
        <v>752</v>
      </c>
    </row>
    <row r="21" customFormat="false" ht="17.15" hidden="false" customHeight="false" outlineLevel="0" collapsed="false">
      <c r="A21" s="0" t="s">
        <v>753</v>
      </c>
      <c r="B21" s="9" t="n">
        <f aca="false">a26_eps_in</f>
        <v>8.67</v>
      </c>
      <c r="C21" s="9" t="n">
        <f aca="false">PL!D103</f>
        <v>8.67</v>
      </c>
      <c r="D21" s="16" t="n">
        <f aca="false">C21/B21-1</f>
        <v>0</v>
      </c>
      <c r="E21" s="9" t="n">
        <f aca="false">PL!D150</f>
        <v>8.67</v>
      </c>
      <c r="F21" s="16" t="n">
        <f aca="false">E21/B21-1</f>
        <v>0</v>
      </c>
      <c r="G21" s="9" t="n">
        <f aca="false">PL!D197</f>
        <v>8.67</v>
      </c>
      <c r="H21" s="16" t="n">
        <f aca="false">G21/B21-1</f>
        <v>0</v>
      </c>
      <c r="I21" s="5" t="s">
        <v>751</v>
      </c>
      <c r="J21" s="5" t="s">
        <v>754</v>
      </c>
    </row>
    <row r="22" customFormat="false" ht="17.15" hidden="false" customHeight="false" outlineLevel="0" collapsed="false">
      <c r="A22" s="0" t="s">
        <v>755</v>
      </c>
      <c r="C22" s="17" t="n">
        <f aca="false">oi_oth</f>
        <v>0.0522155688622756</v>
      </c>
      <c r="E22" s="17" t="n">
        <f aca="false">oi_oth</f>
        <v>0.0522155688622756</v>
      </c>
      <c r="G22" s="17" t="n">
        <f aca="false">oi_oth</f>
        <v>0.0522155688622756</v>
      </c>
      <c r="I22" s="8" t="s">
        <v>756</v>
      </c>
    </row>
    <row r="23" customFormat="false" ht="17.15" hidden="false" customHeight="false" outlineLevel="0" collapsed="false">
      <c r="A23" s="1" t="s">
        <v>757</v>
      </c>
    </row>
    <row r="24" customFormat="false" ht="17.15" hidden="false" customHeight="false" outlineLevel="0" collapsed="false">
      <c r="A24" s="0" t="s">
        <v>758</v>
      </c>
      <c r="J24" s="5" t="s">
        <v>759</v>
      </c>
    </row>
    <row r="25" customFormat="false" ht="17.15" hidden="false" customHeight="false" outlineLevel="0" collapsed="false">
      <c r="A25" s="0" t="s">
        <v>760</v>
      </c>
      <c r="J25" s="5" t="s">
        <v>759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761</v>
      </c>
    </row>
    <row r="3" customFormat="false" ht="17.15" hidden="false" customHeight="false" outlineLevel="0" collapsed="false">
      <c r="A3" s="6" t="s">
        <v>762</v>
      </c>
      <c r="B3" s="6" t="s">
        <v>763</v>
      </c>
      <c r="C3" s="14" t="s">
        <v>764</v>
      </c>
      <c r="D3" s="14" t="s">
        <v>765</v>
      </c>
      <c r="E3" s="14" t="s">
        <v>766</v>
      </c>
      <c r="F3" s="14" t="s">
        <v>649</v>
      </c>
      <c r="G3" s="14" t="s">
        <v>767</v>
      </c>
      <c r="H3" s="14" t="s">
        <v>768</v>
      </c>
      <c r="I3" s="14" t="s">
        <v>769</v>
      </c>
      <c r="J3" s="14" t="s">
        <v>770</v>
      </c>
      <c r="K3" s="14" t="s">
        <v>771</v>
      </c>
      <c r="L3" s="14" t="s">
        <v>772</v>
      </c>
    </row>
    <row r="4" customFormat="false" ht="17.15" hidden="false" customHeight="false" outlineLevel="0" collapsed="false">
      <c r="A4" s="5" t="s">
        <v>773</v>
      </c>
      <c r="B4" s="0" t="s">
        <v>774</v>
      </c>
      <c r="C4" s="19" t="n">
        <f aca="false">PL!E91</f>
        <v>6.5334968031409</v>
      </c>
      <c r="D4" s="19" t="n">
        <f aca="false">PL!E89</f>
        <v>5.32441963815781</v>
      </c>
      <c r="E4" s="16" t="n">
        <f aca="false">PL!E94</f>
        <v>0.52</v>
      </c>
      <c r="F4" s="9" t="n">
        <f aca="false">PL!E103</f>
        <v>23.160264954235</v>
      </c>
      <c r="G4" s="16" t="n">
        <f aca="false">F4/F$4-1</f>
        <v>0</v>
      </c>
      <c r="H4" s="19" t="n">
        <f aca="false">PL!F91</f>
        <v>8.81386630646918</v>
      </c>
      <c r="I4" s="19" t="n">
        <f aca="false">PL!F89</f>
        <v>7.49691565646918</v>
      </c>
      <c r="J4" s="16" t="n">
        <f aca="false">PL!F94</f>
        <v>0.51</v>
      </c>
      <c r="K4" s="9" t="n">
        <f aca="false">PL!F103</f>
        <v>31.4262513776942</v>
      </c>
      <c r="L4" s="16" t="n">
        <f aca="false">K4/K$4-1</f>
        <v>0</v>
      </c>
    </row>
    <row r="5" customFormat="false" ht="17.15" hidden="false" customHeight="false" outlineLevel="0" collapsed="false">
      <c r="A5" s="5" t="s">
        <v>775</v>
      </c>
      <c r="B5" s="5" t="s">
        <v>776</v>
      </c>
      <c r="C5" s="19" t="n">
        <f aca="false">E71</f>
        <v>6.35477344974388</v>
      </c>
      <c r="D5" s="19" t="n">
        <f aca="false">E69</f>
        <v>5.14569628476079</v>
      </c>
      <c r="E5" s="16" t="n">
        <f aca="false">E74</f>
        <v>0.52</v>
      </c>
      <c r="F5" s="9" t="n">
        <f aca="false">E83</f>
        <v>22.453828543682</v>
      </c>
      <c r="G5" s="16" t="n">
        <f aca="false">F5/F$4-1</f>
        <v>-0.0305020867398904</v>
      </c>
      <c r="H5" s="19" t="n">
        <f aca="false">F71</f>
        <v>8.3496391020909</v>
      </c>
      <c r="I5" s="19" t="n">
        <f aca="false">F69</f>
        <v>7.0326884520909</v>
      </c>
      <c r="J5" s="16" t="n">
        <f aca="false">F74</f>
        <v>0.51</v>
      </c>
      <c r="K5" s="9" t="n">
        <f aca="false">F83</f>
        <v>29.6053656070597</v>
      </c>
      <c r="L5" s="16" t="n">
        <f aca="false">K5/K$4-1</f>
        <v>-0.0579415517539879</v>
      </c>
    </row>
    <row r="6" customFormat="false" ht="17.15" hidden="false" customHeight="false" outlineLevel="0" collapsed="false">
      <c r="A6" s="5" t="s">
        <v>777</v>
      </c>
      <c r="B6" s="5" t="s">
        <v>778</v>
      </c>
      <c r="C6" s="19" t="n">
        <f aca="false">E118</f>
        <v>6.6228584798394</v>
      </c>
      <c r="D6" s="19" t="n">
        <f aca="false">E116</f>
        <v>5.41378131485631</v>
      </c>
      <c r="E6" s="16" t="n">
        <f aca="false">E121</f>
        <v>0.52</v>
      </c>
      <c r="F6" s="9" t="n">
        <f aca="false">E130</f>
        <v>23.5134831595114</v>
      </c>
      <c r="G6" s="16" t="n">
        <f aca="false">F6/F$4-1</f>
        <v>0.0152510433699451</v>
      </c>
      <c r="H6" s="19" t="n">
        <f aca="false">F118</f>
        <v>9.0897612592815</v>
      </c>
      <c r="I6" s="19" t="n">
        <f aca="false">F116</f>
        <v>7.7728106092815</v>
      </c>
      <c r="J6" s="16" t="n">
        <f aca="false">F121</f>
        <v>0.51</v>
      </c>
      <c r="K6" s="9" t="n">
        <f aca="false">F130</f>
        <v>32.5105253291924</v>
      </c>
      <c r="L6" s="16" t="n">
        <f aca="false">K6/K$4-1</f>
        <v>0.034502172672995</v>
      </c>
    </row>
    <row r="7" customFormat="false" ht="17.15" hidden="false" customHeight="false" outlineLevel="0" collapsed="false">
      <c r="A7" s="5" t="s">
        <v>779</v>
      </c>
      <c r="B7" s="0" t="s">
        <v>780</v>
      </c>
      <c r="C7" s="19" t="n">
        <f aca="false">E165</f>
        <v>6.22479282909151</v>
      </c>
      <c r="D7" s="19" t="n">
        <f aca="false">E163</f>
        <v>5.01571566410842</v>
      </c>
      <c r="E7" s="16" t="n">
        <f aca="false">E168</f>
        <v>0.52</v>
      </c>
      <c r="F7" s="9" t="n">
        <f aca="false">E177</f>
        <v>21.9400566087345</v>
      </c>
      <c r="G7" s="16" t="n">
        <f aca="false">F7/F$4-1</f>
        <v>-0.05268542255072</v>
      </c>
      <c r="H7" s="19" t="n">
        <f aca="false">F165</f>
        <v>8.13301504971986</v>
      </c>
      <c r="I7" s="19" t="n">
        <f aca="false">F163</f>
        <v>6.81606439971986</v>
      </c>
      <c r="J7" s="16" t="n">
        <f aca="false">F168</f>
        <v>0.51</v>
      </c>
      <c r="K7" s="9" t="n">
        <f aca="false">F177</f>
        <v>28.7601845583258</v>
      </c>
      <c r="L7" s="16" t="n">
        <f aca="false">K7/K$4-1</f>
        <v>-0.084835661349694</v>
      </c>
    </row>
    <row r="8" customFormat="false" ht="17.15" hidden="false" customHeight="false" outlineLevel="0" collapsed="false">
      <c r="A8" s="5" t="s">
        <v>781</v>
      </c>
      <c r="B8" s="0" t="s">
        <v>782</v>
      </c>
      <c r="C8" s="19" t="n">
        <f aca="false">E212</f>
        <v>6.19392243168657</v>
      </c>
      <c r="D8" s="19" t="n">
        <f aca="false">E210</f>
        <v>4.98484526670348</v>
      </c>
      <c r="E8" s="16" t="n">
        <f aca="false">E215</f>
        <v>0.52</v>
      </c>
      <c r="F8" s="9" t="n">
        <f aca="false">E224</f>
        <v>21.8180357741844</v>
      </c>
      <c r="G8" s="16" t="n">
        <f aca="false">F8/F$4-1</f>
        <v>-0.0579539648057922</v>
      </c>
      <c r="H8" s="19" t="n">
        <f aca="false">F212</f>
        <v>7.98729099560648</v>
      </c>
      <c r="I8" s="19" t="n">
        <f aca="false">F210</f>
        <v>6.67034034560648</v>
      </c>
      <c r="J8" s="16" t="n">
        <f aca="false">F215</f>
        <v>0.51</v>
      </c>
      <c r="K8" s="9" t="n">
        <f aca="false">F224</f>
        <v>28.186931169809</v>
      </c>
      <c r="L8" s="16" t="n">
        <f aca="false">K8/K$4-1</f>
        <v>-0.103076888457158</v>
      </c>
    </row>
    <row r="9" customFormat="false" ht="17.15" hidden="false" customHeight="false" outlineLevel="0" collapsed="false">
      <c r="A9" s="5" t="s">
        <v>783</v>
      </c>
      <c r="B9" s="0" t="s">
        <v>784</v>
      </c>
      <c r="C9" s="19" t="n">
        <f aca="false">E259</f>
        <v>6.75987971744378</v>
      </c>
      <c r="D9" s="19" t="n">
        <f aca="false">E257</f>
        <v>5.55080255246069</v>
      </c>
      <c r="E9" s="16" t="n">
        <f aca="false">E262</f>
        <v>0.52</v>
      </c>
      <c r="F9" s="9" t="n">
        <f aca="false">E271</f>
        <v>24.055084407602</v>
      </c>
      <c r="G9" s="16" t="n">
        <f aca="false">F9/F$4-1</f>
        <v>0.0386359765371944</v>
      </c>
      <c r="H9" s="19" t="n">
        <f aca="false">F259</f>
        <v>9.401887432015</v>
      </c>
      <c r="I9" s="19" t="n">
        <f aca="false">F257</f>
        <v>8.084936782015</v>
      </c>
      <c r="J9" s="16" t="n">
        <f aca="false">F262</f>
        <v>0.51</v>
      </c>
      <c r="K9" s="9" t="n">
        <f aca="false">F271</f>
        <v>33.7345727216639</v>
      </c>
      <c r="L9" s="16" t="n">
        <f aca="false">K9/K$4-1</f>
        <v>0.0734520104299827</v>
      </c>
    </row>
    <row r="10" customFormat="false" ht="17.15" hidden="false" customHeight="false" outlineLevel="0" collapsed="false">
      <c r="A10" s="5" t="s">
        <v>785</v>
      </c>
      <c r="B10" s="0" t="s">
        <v>786</v>
      </c>
      <c r="C10" s="19" t="n">
        <f aca="false">E306</f>
        <v>6.21514582990247</v>
      </c>
      <c r="D10" s="19" t="n">
        <f aca="false">E304</f>
        <v>5.00606866491938</v>
      </c>
      <c r="E10" s="16" t="n">
        <f aca="false">E309</f>
        <v>0.52</v>
      </c>
      <c r="F10" s="9" t="n">
        <f aca="false">E318</f>
        <v>21.9019250979376</v>
      </c>
      <c r="G10" s="16" t="n">
        <f aca="false">F10/F$4-1</f>
        <v>-0.05433184200543</v>
      </c>
      <c r="H10" s="19" t="n">
        <f aca="false">F306</f>
        <v>8.11235009916839</v>
      </c>
      <c r="I10" s="19" t="n">
        <f aca="false">F304</f>
        <v>6.79539944916838</v>
      </c>
      <c r="J10" s="16" t="n">
        <f aca="false">F309</f>
        <v>0.51</v>
      </c>
      <c r="K10" s="9" t="n">
        <f aca="false">F318</f>
        <v>28.6793349016917</v>
      </c>
      <c r="L10" s="16" t="n">
        <f aca="false">K10/K$4-1</f>
        <v>-0.087408340339065</v>
      </c>
    </row>
    <row r="11" customFormat="false" ht="17.15" hidden="false" customHeight="false" outlineLevel="0" collapsed="false">
      <c r="A11" s="5" t="s">
        <v>787</v>
      </c>
      <c r="B11" s="5" t="s">
        <v>788</v>
      </c>
      <c r="C11" s="19" t="n">
        <f aca="false">E353</f>
        <v>6.36071907389561</v>
      </c>
      <c r="D11" s="19" t="n">
        <f aca="false">E351</f>
        <v>5.15164190891252</v>
      </c>
      <c r="E11" s="16" t="n">
        <f aca="false">E356</f>
        <v>0.52</v>
      </c>
      <c r="F11" s="9" t="n">
        <f aca="false">E365</f>
        <v>22.4773296995434</v>
      </c>
      <c r="G11" s="16" t="n">
        <f aca="false">F11/F$4-1</f>
        <v>-0.0294873679571922</v>
      </c>
      <c r="H11" s="19" t="n">
        <f aca="false">F353</f>
        <v>8.32894371196509</v>
      </c>
      <c r="I11" s="19" t="n">
        <f aca="false">F351</f>
        <v>7.01199306196509</v>
      </c>
      <c r="J11" s="16" t="n">
        <f aca="false">F356</f>
        <v>0.51</v>
      </c>
      <c r="K11" s="9" t="n">
        <f aca="false">F365</f>
        <v>29.5229999795591</v>
      </c>
      <c r="L11" s="16" t="n">
        <f aca="false">K11/K$4-1</f>
        <v>-0.0605624697410154</v>
      </c>
    </row>
    <row r="12" customFormat="false" ht="17.15" hidden="false" customHeight="false" outlineLevel="0" collapsed="false">
      <c r="A12" s="5" t="s">
        <v>789</v>
      </c>
      <c r="B12" s="5" t="s">
        <v>790</v>
      </c>
      <c r="C12" s="19" t="n">
        <f aca="false">E400</f>
        <v>6.70627453238618</v>
      </c>
      <c r="D12" s="19" t="n">
        <f aca="false">E398</f>
        <v>5.49719736740309</v>
      </c>
      <c r="E12" s="16" t="n">
        <f aca="false">E403</f>
        <v>0.52</v>
      </c>
      <c r="F12" s="9" t="n">
        <f aca="false">E412</f>
        <v>23.8432002089266</v>
      </c>
      <c r="G12" s="16" t="n">
        <f aca="false">F12/F$4-1</f>
        <v>0.0294873679571923</v>
      </c>
      <c r="H12" s="19" t="n">
        <f aca="false">F400</f>
        <v>9.29878890097328</v>
      </c>
      <c r="I12" s="19" t="n">
        <f aca="false">F398</f>
        <v>7.98183825097327</v>
      </c>
      <c r="J12" s="16" t="n">
        <f aca="false">F403</f>
        <v>0.51</v>
      </c>
      <c r="K12" s="9" t="n">
        <f aca="false">F412</f>
        <v>33.3309311312167</v>
      </c>
      <c r="L12" s="16" t="n">
        <f aca="false">K12/K$4-1</f>
        <v>0.0606079207676158</v>
      </c>
    </row>
    <row r="13" customFormat="false" ht="17.15" hidden="false" customHeight="false" outlineLevel="0" collapsed="false">
      <c r="A13" s="0" t="s">
        <v>791</v>
      </c>
      <c r="B13" s="5" t="s">
        <v>792</v>
      </c>
      <c r="C13" s="19" t="n">
        <f aca="false">E447</f>
        <v>6.39921108885518</v>
      </c>
      <c r="D13" s="19" t="n">
        <f aca="false">E445</f>
        <v>5.19013392387209</v>
      </c>
      <c r="E13" s="16" t="n">
        <f aca="false">E450</f>
        <v>0.52</v>
      </c>
      <c r="F13" s="9" t="n">
        <f aca="false">E459</f>
        <v>22.6294763573032</v>
      </c>
      <c r="G13" s="16" t="n">
        <f aca="false">F13/F$4-1</f>
        <v>-0.0229180710143246</v>
      </c>
      <c r="H13" s="19" t="n">
        <f aca="false">F447</f>
        <v>8.40607409867697</v>
      </c>
      <c r="I13" s="19" t="n">
        <f aca="false">F445</f>
        <v>7.08912344867697</v>
      </c>
      <c r="J13" s="16" t="n">
        <f aca="false">F450</f>
        <v>0.51</v>
      </c>
      <c r="K13" s="9" t="n">
        <f aca="false">F459</f>
        <v>29.8246528670691</v>
      </c>
      <c r="L13" s="16" t="n">
        <f aca="false">K13/K$4-1</f>
        <v>-0.0509637147420623</v>
      </c>
    </row>
    <row r="14" customFormat="false" ht="17.15" hidden="false" customHeight="false" outlineLevel="0" collapsed="false">
      <c r="A14" s="0" t="s">
        <v>793</v>
      </c>
      <c r="B14" s="0" t="s">
        <v>794</v>
      </c>
      <c r="C14" s="19" t="n">
        <f aca="false">E494</f>
        <v>6.66778251742661</v>
      </c>
      <c r="D14" s="19" t="n">
        <f aca="false">E492</f>
        <v>5.45870535244352</v>
      </c>
      <c r="E14" s="16" t="n">
        <f aca="false">E497</f>
        <v>0.52</v>
      </c>
      <c r="F14" s="9" t="n">
        <f aca="false">E506</f>
        <v>23.6910535511667</v>
      </c>
      <c r="G14" s="16" t="n">
        <f aca="false">F14/F$4-1</f>
        <v>0.0229180710143251</v>
      </c>
      <c r="H14" s="19" t="n">
        <f aca="false">F494</f>
        <v>9.22165851426139</v>
      </c>
      <c r="I14" s="19" t="n">
        <f aca="false">F492</f>
        <v>7.90470786426139</v>
      </c>
      <c r="J14" s="16" t="n">
        <f aca="false">F497</f>
        <v>0.51</v>
      </c>
      <c r="K14" s="9" t="n">
        <f aca="false">F506</f>
        <v>33.0288486528024</v>
      </c>
      <c r="L14" s="16" t="n">
        <f aca="false">K14/K$4-1</f>
        <v>0.0509954959580587</v>
      </c>
    </row>
    <row r="15" customFormat="false" ht="17.15" hidden="false" customHeight="false" outlineLevel="0" collapsed="false">
      <c r="A15" s="0" t="s">
        <v>795</v>
      </c>
      <c r="B15" s="0" t="s">
        <v>796</v>
      </c>
      <c r="C15" s="19" t="n">
        <f aca="false">E541</f>
        <v>6.4142537376409</v>
      </c>
      <c r="D15" s="19" t="n">
        <f aca="false">E539</f>
        <v>5.20517657265781</v>
      </c>
      <c r="E15" s="16" t="n">
        <f aca="false">E544</f>
        <v>0.52</v>
      </c>
      <c r="F15" s="9" t="n">
        <f aca="false">E553</f>
        <v>22.6889351499647</v>
      </c>
      <c r="G15" s="16" t="n">
        <f aca="false">F15/F$4-1</f>
        <v>-0.0203507950017696</v>
      </c>
      <c r="H15" s="19" t="n">
        <f aca="false">F541</f>
        <v>8.45226734696918</v>
      </c>
      <c r="I15" s="19" t="n">
        <f aca="false">F539</f>
        <v>7.13531669696918</v>
      </c>
      <c r="J15" s="16" t="n">
        <f aca="false">F544</f>
        <v>0.51</v>
      </c>
      <c r="K15" s="9" t="n">
        <f aca="false">F553</f>
        <v>30.006039026975</v>
      </c>
      <c r="L15" s="16" t="n">
        <f aca="false">K15/K$4-1</f>
        <v>-0.0451919108534602</v>
      </c>
    </row>
    <row r="16" customFormat="false" ht="17.15" hidden="false" customHeight="false" outlineLevel="0" collapsed="false">
      <c r="A16" s="0" t="s">
        <v>797</v>
      </c>
      <c r="B16" s="0" t="s">
        <v>798</v>
      </c>
      <c r="C16" s="19" t="n">
        <f aca="false">E588</f>
        <v>6.6129921801409</v>
      </c>
      <c r="D16" s="19" t="n">
        <f aca="false">E586</f>
        <v>5.40391501515781</v>
      </c>
      <c r="E16" s="16" t="n">
        <f aca="false">E591</f>
        <v>0.52</v>
      </c>
      <c r="F16" s="9" t="n">
        <f aca="false">E600</f>
        <v>23.4744848237485</v>
      </c>
      <c r="G16" s="16" t="n">
        <f aca="false">F16/F$4-1</f>
        <v>0.0135671966678468</v>
      </c>
      <c r="H16" s="19" t="n">
        <f aca="false">F588</f>
        <v>9.05493227946918</v>
      </c>
      <c r="I16" s="19" t="n">
        <f aca="false">F586</f>
        <v>7.73798162946918</v>
      </c>
      <c r="J16" s="16" t="n">
        <f aca="false">F591</f>
        <v>0.51</v>
      </c>
      <c r="K16" s="9" t="n">
        <f aca="false">F600</f>
        <v>32.3734986004756</v>
      </c>
      <c r="L16" s="16" t="n">
        <f aca="false">K16/K$4-1</f>
        <v>0.030141909430969</v>
      </c>
    </row>
    <row r="17" customFormat="false" ht="17.15" hidden="false" customHeight="false" outlineLevel="0" collapsed="false">
      <c r="A17" s="5" t="s">
        <v>799</v>
      </c>
      <c r="B17" s="0" t="s">
        <v>800</v>
      </c>
      <c r="C17" s="19" t="n">
        <f aca="false">E635</f>
        <v>6.5334968031409</v>
      </c>
      <c r="D17" s="19" t="n">
        <f aca="false">E633</f>
        <v>5.32441963815781</v>
      </c>
      <c r="E17" s="16" t="n">
        <f aca="false">E638</f>
        <v>0.49</v>
      </c>
      <c r="F17" s="9" t="n">
        <f aca="false">E647</f>
        <v>21.5557150040518</v>
      </c>
      <c r="G17" s="16" t="n">
        <f aca="false">F17/F$4-1</f>
        <v>-0.0692802933538863</v>
      </c>
      <c r="H17" s="19" t="n">
        <f aca="false">F635</f>
        <v>8.81386630646918</v>
      </c>
      <c r="I17" s="19" t="n">
        <f aca="false">F633</f>
        <v>7.49691565646918</v>
      </c>
      <c r="J17" s="16" t="n">
        <f aca="false">F638</f>
        <v>0.46</v>
      </c>
      <c r="K17" s="9" t="n">
        <f aca="false">F647</f>
        <v>27.8543340966314</v>
      </c>
      <c r="L17" s="16" t="n">
        <f aca="false">K17/K$4-1</f>
        <v>-0.113660303869334</v>
      </c>
    </row>
    <row r="18" customFormat="false" ht="17.15" hidden="false" customHeight="false" outlineLevel="0" collapsed="false">
      <c r="A18" s="5" t="s">
        <v>801</v>
      </c>
      <c r="B18" s="0" t="s">
        <v>802</v>
      </c>
      <c r="C18" s="19" t="n">
        <f aca="false">E682</f>
        <v>6.5334968031409</v>
      </c>
      <c r="D18" s="19" t="n">
        <f aca="false">E680</f>
        <v>5.32441963815781</v>
      </c>
      <c r="E18" s="16" t="n">
        <f aca="false">E685</f>
        <v>0.54</v>
      </c>
      <c r="F18" s="9" t="n">
        <f aca="false">E694</f>
        <v>24.2299649210237</v>
      </c>
      <c r="G18" s="16" t="n">
        <f aca="false">F18/F$4-1</f>
        <v>0.0461868622359243</v>
      </c>
      <c r="H18" s="19" t="n">
        <f aca="false">F682</f>
        <v>8.81386630646918</v>
      </c>
      <c r="I18" s="19" t="n">
        <f aca="false">F680</f>
        <v>7.49691565646918</v>
      </c>
      <c r="J18" s="16" t="n">
        <f aca="false">F685</f>
        <v>0.54</v>
      </c>
      <c r="K18" s="9" t="n">
        <f aca="false">F694</f>
        <v>33.5694017463319</v>
      </c>
      <c r="L18" s="16" t="n">
        <f aca="false">K18/K$4-1</f>
        <v>0.0681961823216002</v>
      </c>
    </row>
    <row r="19" customFormat="false" ht="17.15" hidden="false" customHeight="false" outlineLevel="0" collapsed="false">
      <c r="A19" s="0" t="s">
        <v>803</v>
      </c>
      <c r="B19" s="0" t="s">
        <v>804</v>
      </c>
      <c r="C19" s="19" t="n">
        <f aca="false">E729</f>
        <v>6.02114470244129</v>
      </c>
      <c r="D19" s="19" t="n">
        <f aca="false">E727</f>
        <v>4.8120675374582</v>
      </c>
      <c r="E19" s="16" t="n">
        <f aca="false">E732</f>
        <v>0.52</v>
      </c>
      <c r="F19" s="9" t="n">
        <f aca="false">E741</f>
        <v>21.1351005194928</v>
      </c>
      <c r="G19" s="16" t="n">
        <f aca="false">F19/F$4-1</f>
        <v>-0.0874413327629835</v>
      </c>
      <c r="H19" s="19" t="n">
        <f aca="false">F729</f>
        <v>7.70997720063639</v>
      </c>
      <c r="I19" s="19" t="n">
        <f aca="false">F727</f>
        <v>6.39302655063639</v>
      </c>
      <c r="J19" s="16" t="n">
        <f aca="false">F732</f>
        <v>0.51</v>
      </c>
      <c r="K19" s="9" t="n">
        <f aca="false">F741</f>
        <v>27.1061832813059</v>
      </c>
      <c r="L19" s="16" t="n">
        <f aca="false">K19/K$4-1</f>
        <v>-0.137466859934005</v>
      </c>
    </row>
    <row r="20" customFormat="false" ht="17.15" hidden="false" customHeight="false" outlineLevel="0" collapsed="false">
      <c r="A20" s="0" t="s">
        <v>805</v>
      </c>
      <c r="B20" s="0" t="s">
        <v>806</v>
      </c>
      <c r="C20" s="19" t="n">
        <f aca="false">E776</f>
        <v>7.0458489038405</v>
      </c>
      <c r="D20" s="19" t="n">
        <f aca="false">E774</f>
        <v>5.83677173885742</v>
      </c>
      <c r="E20" s="16" t="n">
        <f aca="false">E779</f>
        <v>0.52</v>
      </c>
      <c r="F20" s="9" t="n">
        <f aca="false">E788</f>
        <v>25.1854293889771</v>
      </c>
      <c r="G20" s="16" t="n">
        <f aca="false">F20/F$4-1</f>
        <v>0.0874413327629837</v>
      </c>
      <c r="H20" s="19" t="n">
        <f aca="false">F776</f>
        <v>9.91775541230198</v>
      </c>
      <c r="I20" s="19" t="n">
        <f aca="false">F774</f>
        <v>8.60080476230198</v>
      </c>
      <c r="J20" s="16" t="n">
        <f aca="false">F779</f>
        <v>0.51</v>
      </c>
      <c r="K20" s="9" t="n">
        <f aca="false">F788</f>
        <v>35.753298799466</v>
      </c>
      <c r="L20" s="16" t="n">
        <f aca="false">K20/K$4-1</f>
        <v>0.137688945772355</v>
      </c>
    </row>
    <row r="21" customFormat="false" ht="17.15" hidden="false" customHeight="false" outlineLevel="0" collapsed="false">
      <c r="A21" s="5" t="s">
        <v>807</v>
      </c>
      <c r="B21" s="5" t="s">
        <v>808</v>
      </c>
      <c r="C21" s="19" t="n">
        <f aca="false">E823</f>
        <v>6.28561402847233</v>
      </c>
      <c r="D21" s="19" t="n">
        <f aca="false">E821</f>
        <v>5.11393186348924</v>
      </c>
      <c r="E21" s="16" t="n">
        <f aca="false">E826</f>
        <v>0.52</v>
      </c>
      <c r="F21" s="9" t="n">
        <f aca="false">E835</f>
        <v>22.1804634104168</v>
      </c>
      <c r="G21" s="16" t="n">
        <f aca="false">F21/F$4-1</f>
        <v>-0.0423052821612498</v>
      </c>
      <c r="H21" s="19" t="n">
        <f aca="false">F823</f>
        <v>8.77868925428725</v>
      </c>
      <c r="I21" s="19" t="n">
        <f aca="false">F821</f>
        <v>7.46623545428725</v>
      </c>
      <c r="J21" s="16" t="n">
        <f aca="false">F826</f>
        <v>0.51</v>
      </c>
      <c r="K21" s="9" t="n">
        <f aca="false">F835</f>
        <v>31.3075162362171</v>
      </c>
      <c r="L21" s="16" t="n">
        <f aca="false">K21/K$4-1</f>
        <v>-0.00377821522682176</v>
      </c>
    </row>
    <row r="22" customFormat="false" ht="17.15" hidden="false" customHeight="false" outlineLevel="0" collapsed="false">
      <c r="A22" s="5" t="s">
        <v>809</v>
      </c>
      <c r="B22" s="5" t="s">
        <v>810</v>
      </c>
      <c r="C22" s="19" t="n">
        <f aca="false">E870</f>
        <v>6.5334968031409</v>
      </c>
      <c r="D22" s="19" t="n">
        <f aca="false">E868</f>
        <v>5.32441963815781</v>
      </c>
      <c r="E22" s="16" t="n">
        <f aca="false">E873</f>
        <v>0.52</v>
      </c>
      <c r="F22" s="9" t="n">
        <f aca="false">E882</f>
        <v>22.0905649874462</v>
      </c>
      <c r="G22" s="16" t="n">
        <f aca="false">F22/F$4-1</f>
        <v>-0.0461868622359241</v>
      </c>
      <c r="H22" s="19" t="n">
        <f aca="false">F870</f>
        <v>8.81386630646918</v>
      </c>
      <c r="I22" s="19" t="n">
        <f aca="false">F868</f>
        <v>7.49691565646918</v>
      </c>
      <c r="J22" s="16" t="n">
        <f aca="false">F873</f>
        <v>0.51</v>
      </c>
      <c r="K22" s="9" t="n">
        <f aca="false">F882</f>
        <v>29.9974844652691</v>
      </c>
      <c r="L22" s="16" t="n">
        <f aca="false">K22/K$4-1</f>
        <v>-0.0454641215477333</v>
      </c>
    </row>
    <row r="23" customFormat="false" ht="17.15" hidden="false" customHeight="false" outlineLevel="0" collapsed="false">
      <c r="A23" s="5" t="s">
        <v>811</v>
      </c>
      <c r="B23" s="0" t="s">
        <v>812</v>
      </c>
      <c r="C23" s="19" t="n">
        <f aca="false">PL!E138</f>
        <v>6.5334968031409</v>
      </c>
      <c r="D23" s="19" t="n">
        <f aca="false">PL!E136</f>
        <v>5.32441963815781</v>
      </c>
      <c r="E23" s="16" t="n">
        <f aca="false">PL!E141</f>
        <v>0.52</v>
      </c>
      <c r="F23" s="9" t="n">
        <f aca="false">PL!E150</f>
        <v>23.160264954235</v>
      </c>
      <c r="G23" s="16" t="n">
        <f aca="false">F23/F$4-1</f>
        <v>0</v>
      </c>
      <c r="H23" s="19" t="n">
        <f aca="false">PL!F138</f>
        <v>8.05820664567095</v>
      </c>
      <c r="I23" s="19" t="n">
        <f aca="false">PL!F136</f>
        <v>6.74125599567095</v>
      </c>
      <c r="J23" s="16" t="n">
        <f aca="false">PL!F141</f>
        <v>0.51</v>
      </c>
      <c r="K23" s="9" t="n">
        <f aca="false">PL!F150</f>
        <v>28.4356327983334</v>
      </c>
      <c r="L23" s="16" t="n">
        <f aca="false">K23/K$4-1</f>
        <v>-0.0951630706258373</v>
      </c>
    </row>
    <row r="24" customFormat="false" ht="17.15" hidden="false" customHeight="false" outlineLevel="0" collapsed="false">
      <c r="A24" s="5" t="s">
        <v>813</v>
      </c>
      <c r="B24" s="0" t="s">
        <v>814</v>
      </c>
      <c r="C24" s="19" t="n">
        <f aca="false">PL!E185</f>
        <v>6.5334968031409</v>
      </c>
      <c r="D24" s="19" t="n">
        <f aca="false">PL!E183</f>
        <v>5.32441963815781</v>
      </c>
      <c r="E24" s="16" t="n">
        <f aca="false">PL!E188</f>
        <v>0.52</v>
      </c>
      <c r="F24" s="9" t="n">
        <f aca="false">PL!E197</f>
        <v>23.160264954235</v>
      </c>
      <c r="G24" s="16" t="n">
        <f aca="false">F24/F$4-1</f>
        <v>0</v>
      </c>
      <c r="H24" s="19" t="n">
        <f aca="false">PL!F185</f>
        <v>7.30254698487272</v>
      </c>
      <c r="I24" s="19" t="n">
        <f aca="false">PL!F183</f>
        <v>5.98559633487272</v>
      </c>
      <c r="J24" s="16" t="n">
        <f aca="false">PL!F188</f>
        <v>0.51</v>
      </c>
      <c r="K24" s="9" t="n">
        <f aca="false">PL!F197</f>
        <v>25.4450142189726</v>
      </c>
      <c r="L24" s="16" t="n">
        <f aca="false">K24/K$4-1</f>
        <v>-0.190326141251675</v>
      </c>
    </row>
    <row r="26" customFormat="false" ht="17.15" hidden="false" customHeight="false" outlineLevel="0" collapsed="false">
      <c r="A26" s="5" t="s">
        <v>815</v>
      </c>
    </row>
    <row r="28" customFormat="false" ht="17.15" hidden="false" customHeight="false" outlineLevel="0" collapsed="false">
      <c r="A28" s="3" t="s">
        <v>816</v>
      </c>
    </row>
    <row r="29" customFormat="false" ht="17.15" hidden="false" customHeight="false" outlineLevel="0" collapsed="false">
      <c r="A29" s="6" t="s">
        <v>762</v>
      </c>
      <c r="B29" s="6" t="s">
        <v>763</v>
      </c>
      <c r="C29" s="14" t="s">
        <v>817</v>
      </c>
      <c r="D29" s="14" t="s">
        <v>818</v>
      </c>
      <c r="E29" s="6" t="s">
        <v>819</v>
      </c>
      <c r="F29" s="6" t="s">
        <v>820</v>
      </c>
    </row>
    <row r="30" customFormat="false" ht="17.15" hidden="false" customHeight="false" outlineLevel="0" collapsed="false">
      <c r="A30" s="5" t="s">
        <v>22</v>
      </c>
      <c r="B30" s="0" t="s">
        <v>821</v>
      </c>
      <c r="C30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375.752003266261</v>
      </c>
      <c r="D30" s="9" t="n">
        <f aca="false">Val!B35</f>
        <v>848.055068750045</v>
      </c>
      <c r="E30" s="9" t="n">
        <f aca="false">tp_w_dcf*C30+(1-tp_w_dcf)*D30</f>
        <v>611.903536008153</v>
      </c>
      <c r="F30" s="16" t="n">
        <f aca="false">E30/E$30-1</f>
        <v>0</v>
      </c>
    </row>
    <row r="31" customFormat="false" ht="17.15" hidden="false" customHeight="false" outlineLevel="0" collapsed="false">
      <c r="A31" s="5" t="s">
        <v>822</v>
      </c>
      <c r="B31" s="0" t="s">
        <v>823</v>
      </c>
      <c r="C31" s="9" t="n">
        <f aca="false">(tp_wA*(Val!B8*(1-IF(tp_roe&lt;=tp_g,0.8,MIN(tp_g/tp_roe,0.8)))/(1+(tp_r+0.01))^1+Val!B9*(1-IF(tp_roe&lt;=tp_g,0.8,MIN(tp_g/tp_roe,0.8)))/(1+(tp_r+0.01))^2+Val!B10*(1-IF(tp_roe&lt;=tp_g,0.8,MIN(tp_g/tp_roe,0.8)))/(1+(tp_r+0.01))^3+Val!B11*(1-IF(tp_roe&lt;=tp_g,0.8,MIN(tp_g/tp_roe,0.8)))/(1+(tp_r+0.01))^4+Val!B12*(1-IF(tp_roe&lt;=tp_g,0.8,MIN(tp_g/tp_roe,0.8)))/(1+(tp_r+0.01))^5+Val!B13*(1-IF(tp_roe&lt;=tp_g,0.8,MIN(tp_g/tp_roe,0.8)))/(1+(tp_r+0.01))^6+Val!B13*(1-IF(tp_roe&lt;=tp_g,0.8,MIN(tp_g/tp_roe,0.8)))*(1+tp_g)/((tp_r+0.01)-tp_g)/(1+(tp_r+0.01))^6)+tp_wB*(Val!C8*(1-IF(tp_roe&lt;=tp_g,0.8,MIN(tp_g/tp_roe,0.8)))/(1+(tp_r+0.01))^1+Val!C9*(1-IF(tp_roe&lt;=tp_g,0.8,MIN(tp_g/tp_roe,0.8)))/(1+(tp_r+0.01))^2+Val!C10*(1-IF(tp_roe&lt;=tp_g,0.8,MIN(tp_g/tp_roe,0.8)))/(1+(tp_r+0.01))^3+Val!C11*(1-IF(tp_roe&lt;=tp_g,0.8,MIN(tp_g/tp_roe,0.8)))/(1+(tp_r+0.01))^4+Val!C12*(1-IF(tp_roe&lt;=tp_g,0.8,MIN(tp_g/tp_roe,0.8)))/(1+(tp_r+0.01))^5+Val!C13*(1-IF(tp_roe&lt;=tp_g,0.8,MIN(tp_g/tp_roe,0.8)))/(1+(tp_r+0.01))^6+Val!C13*(1-IF(tp_roe&lt;=tp_g,0.8,MIN(tp_g/tp_roe,0.8)))*(1+tp_g)/((tp_r+0.01)-tp_g)/(1+(tp_r+0.01))^6)+tp_wC*(Val!D8*(1-IF(tp_roe&lt;=tp_g,0.8,MIN(tp_g/tp_roe,0.8)))/(1+(tp_r+0.01))^1+Val!D9*(1-IF(tp_roe&lt;=tp_g,0.8,MIN(tp_g/tp_roe,0.8)))/(1+(tp_r+0.01))^2+Val!D10*(1-IF(tp_roe&lt;=tp_g,0.8,MIN(tp_g/tp_roe,0.8)))/(1+(tp_r+0.01))^3+Val!D11*(1-IF(tp_roe&lt;=tp_g,0.8,MIN(tp_g/tp_roe,0.8)))/(1+(tp_r+0.01))^4+Val!D12*(1-IF(tp_roe&lt;=tp_g,0.8,MIN(tp_g/tp_roe,0.8)))/(1+(tp_r+0.01))^5+Val!D13*(1-IF(tp_roe&lt;=tp_g,0.8,MIN(tp_g/tp_roe,0.8)))/(1+(tp_r+0.01))^6+Val!D13*(1-IF(tp_roe&lt;=tp_g,0.8,MIN(tp_g/tp_roe,0.8)))*(1+tp_g)/((tp_r+0.01)-tp_g)/(1+(tp_r+0.01))^6))*(1+(tp_r+0.01))</f>
        <v>325.233081529704</v>
      </c>
      <c r="D31" s="9" t="n">
        <f aca="false">Val!B35</f>
        <v>848.055068750045</v>
      </c>
      <c r="E31" s="9" t="n">
        <f aca="false">tp_w_dcf*C31+(1-tp_w_dcf)*D31</f>
        <v>586.644075139874</v>
      </c>
      <c r="F31" s="16" t="n">
        <f aca="false">E31/E$30-1</f>
        <v>-0.0412801354819137</v>
      </c>
    </row>
    <row r="32" customFormat="false" ht="17.15" hidden="false" customHeight="false" outlineLevel="0" collapsed="false">
      <c r="A32" s="5" t="s">
        <v>824</v>
      </c>
      <c r="B32" s="0" t="s">
        <v>825</v>
      </c>
      <c r="C32" s="9" t="n">
        <f aca="false">(tp_wA*(Val!B8*(1-IF(tp_roe&lt;=tp_g,0.8,MIN(tp_g/tp_roe,0.8)))/(1+(tp_r-0.01))^1+Val!B9*(1-IF(tp_roe&lt;=tp_g,0.8,MIN(tp_g/tp_roe,0.8)))/(1+(tp_r-0.01))^2+Val!B10*(1-IF(tp_roe&lt;=tp_g,0.8,MIN(tp_g/tp_roe,0.8)))/(1+(tp_r-0.01))^3+Val!B11*(1-IF(tp_roe&lt;=tp_g,0.8,MIN(tp_g/tp_roe,0.8)))/(1+(tp_r-0.01))^4+Val!B12*(1-IF(tp_roe&lt;=tp_g,0.8,MIN(tp_g/tp_roe,0.8)))/(1+(tp_r-0.01))^5+Val!B13*(1-IF(tp_roe&lt;=tp_g,0.8,MIN(tp_g/tp_roe,0.8)))/(1+(tp_r-0.01))^6+Val!B13*(1-IF(tp_roe&lt;=tp_g,0.8,MIN(tp_g/tp_roe,0.8)))*(1+tp_g)/((tp_r-0.01)-tp_g)/(1+(tp_r-0.01))^6)+tp_wB*(Val!C8*(1-IF(tp_roe&lt;=tp_g,0.8,MIN(tp_g/tp_roe,0.8)))/(1+(tp_r-0.01))^1+Val!C9*(1-IF(tp_roe&lt;=tp_g,0.8,MIN(tp_g/tp_roe,0.8)))/(1+(tp_r-0.01))^2+Val!C10*(1-IF(tp_roe&lt;=tp_g,0.8,MIN(tp_g/tp_roe,0.8)))/(1+(tp_r-0.01))^3+Val!C11*(1-IF(tp_roe&lt;=tp_g,0.8,MIN(tp_g/tp_roe,0.8)))/(1+(tp_r-0.01))^4+Val!C12*(1-IF(tp_roe&lt;=tp_g,0.8,MIN(tp_g/tp_roe,0.8)))/(1+(tp_r-0.01))^5+Val!C13*(1-IF(tp_roe&lt;=tp_g,0.8,MIN(tp_g/tp_roe,0.8)))/(1+(tp_r-0.01))^6+Val!C13*(1-IF(tp_roe&lt;=tp_g,0.8,MIN(tp_g/tp_roe,0.8)))*(1+tp_g)/((tp_r-0.01)-tp_g)/(1+(tp_r-0.01))^6)+tp_wC*(Val!D8*(1-IF(tp_roe&lt;=tp_g,0.8,MIN(tp_g/tp_roe,0.8)))/(1+(tp_r-0.01))^1+Val!D9*(1-IF(tp_roe&lt;=tp_g,0.8,MIN(tp_g/tp_roe,0.8)))/(1+(tp_r-0.01))^2+Val!D10*(1-IF(tp_roe&lt;=tp_g,0.8,MIN(tp_g/tp_roe,0.8)))/(1+(tp_r-0.01))^3+Val!D11*(1-IF(tp_roe&lt;=tp_g,0.8,MIN(tp_g/tp_roe,0.8)))/(1+(tp_r-0.01))^4+Val!D12*(1-IF(tp_roe&lt;=tp_g,0.8,MIN(tp_g/tp_roe,0.8)))/(1+(tp_r-0.01))^5+Val!D13*(1-IF(tp_roe&lt;=tp_g,0.8,MIN(tp_g/tp_roe,0.8)))/(1+(tp_r-0.01))^6+Val!D13*(1-IF(tp_roe&lt;=tp_g,0.8,MIN(tp_g/tp_roe,0.8)))*(1+tp_g)/((tp_r-0.01)-tp_g)/(1+(tp_r-0.01))^6))*(1+(tp_r-0.01))</f>
        <v>446.45073114366</v>
      </c>
      <c r="D32" s="9" t="n">
        <f aca="false">Val!B35</f>
        <v>848.055068750045</v>
      </c>
      <c r="E32" s="9" t="n">
        <f aca="false">tp_w_dcf*C32+(1-tp_w_dcf)*D32</f>
        <v>647.252899946852</v>
      </c>
      <c r="F32" s="16" t="n">
        <f aca="false">E32/E$30-1</f>
        <v>0.0577695042740019</v>
      </c>
    </row>
    <row r="33" customFormat="false" ht="17.15" hidden="false" customHeight="false" outlineLevel="0" collapsed="false">
      <c r="A33" s="5" t="s">
        <v>826</v>
      </c>
      <c r="B33" s="0" t="s">
        <v>827</v>
      </c>
      <c r="C33" s="9" t="n">
        <f aca="false">(tp_wA*(Val!B8*(1-IF(tp_roe&lt;=(tp_g+0.01),0.8,MIN((tp_g+0.01)/tp_roe,0.8)))/(1+tp_r)^1+Val!B9*(1-IF(tp_roe&lt;=(tp_g+0.01),0.8,MIN((tp_g+0.01)/tp_roe,0.8)))/(1+tp_r)^2+Val!B10*(1-IF(tp_roe&lt;=(tp_g+0.01),0.8,MIN((tp_g+0.01)/tp_roe,0.8)))/(1+tp_r)^3+Val!B11*(1-IF(tp_roe&lt;=(tp_g+0.01),0.8,MIN((tp_g+0.01)/tp_roe,0.8)))/(1+tp_r)^4+Val!B12*(1-IF(tp_roe&lt;=(tp_g+0.01),0.8,MIN((tp_g+0.01)/tp_roe,0.8)))/(1+tp_r)^5+Val!B13*(1-IF(tp_roe&lt;=(tp_g+0.01),0.8,MIN((tp_g+0.01)/tp_roe,0.8)))/(1+tp_r)^6+Val!B13*(1-IF(tp_roe&lt;=(tp_g+0.01),0.8,MIN((tp_g+0.01)/tp_roe,0.8)))*(1+(tp_g+0.01))/(tp_r-(tp_g+0.01))/(1+tp_r)^6)+tp_wB*(Val!C8*(1-IF(tp_roe&lt;=(tp_g+0.01),0.8,MIN((tp_g+0.01)/tp_roe,0.8)))/(1+tp_r)^1+Val!C9*(1-IF(tp_roe&lt;=(tp_g+0.01),0.8,MIN((tp_g+0.01)/tp_roe,0.8)))/(1+tp_r)^2+Val!C10*(1-IF(tp_roe&lt;=(tp_g+0.01),0.8,MIN((tp_g+0.01)/tp_roe,0.8)))/(1+tp_r)^3+Val!C11*(1-IF(tp_roe&lt;=(tp_g+0.01),0.8,MIN((tp_g+0.01)/tp_roe,0.8)))/(1+tp_r)^4+Val!C12*(1-IF(tp_roe&lt;=(tp_g+0.01),0.8,MIN((tp_g+0.01)/tp_roe,0.8)))/(1+tp_r)^5+Val!C13*(1-IF(tp_roe&lt;=(tp_g+0.01),0.8,MIN((tp_g+0.01)/tp_roe,0.8)))/(1+tp_r)^6+Val!C13*(1-IF(tp_roe&lt;=(tp_g+0.01),0.8,MIN((tp_g+0.01)/tp_roe,0.8)))*(1+(tp_g+0.01))/(tp_r-(tp_g+0.01))/(1+tp_r)^6)+tp_wC*(Val!D8*(1-IF(tp_roe&lt;=(tp_g+0.01),0.8,MIN((tp_g+0.01)/tp_roe,0.8)))/(1+tp_r)^1+Val!D9*(1-IF(tp_roe&lt;=(tp_g+0.01),0.8,MIN((tp_g+0.01)/tp_roe,0.8)))/(1+tp_r)^2+Val!D10*(1-IF(tp_roe&lt;=(tp_g+0.01),0.8,MIN((tp_g+0.01)/tp_roe,0.8)))/(1+tp_r)^3+Val!D11*(1-IF(tp_roe&lt;=(tp_g+0.01),0.8,MIN((tp_g+0.01)/tp_roe,0.8)))/(1+tp_r)^4+Val!D12*(1-IF(tp_roe&lt;=(tp_g+0.01),0.8,MIN((tp_g+0.01)/tp_roe,0.8)))/(1+tp_r)^5+Val!D13*(1-IF(tp_roe&lt;=(tp_g+0.01),0.8,MIN((tp_g+0.01)/tp_roe,0.8)))/(1+tp_r)^6+Val!D13*(1-IF(tp_roe&lt;=(tp_g+0.01),0.8,MIN((tp_g+0.01)/tp_roe,0.8)))*(1+(tp_g+0.01))/(tp_r-(tp_g+0.01))/(1+tp_r)^6))*(1+tp_r)</f>
        <v>405.1686422062</v>
      </c>
      <c r="D33" s="9" t="n">
        <f aca="false">Val!B35</f>
        <v>848.055068750045</v>
      </c>
      <c r="E33" s="9" t="n">
        <f aca="false">tp_w_dcf*C33+(1-tp_w_dcf)*D33</f>
        <v>626.611855478122</v>
      </c>
      <c r="F33" s="16" t="n">
        <f aca="false">E33/E$30-1</f>
        <v>0.0240369904804305</v>
      </c>
    </row>
    <row r="34" customFormat="false" ht="17.15" hidden="false" customHeight="false" outlineLevel="0" collapsed="false">
      <c r="A34" s="5" t="s">
        <v>828</v>
      </c>
      <c r="B34" s="0" t="s">
        <v>829</v>
      </c>
      <c r="C34" s="9" t="n">
        <f aca="false">(tp_wA*(Val!B8*(1-IF(tp_roe&lt;=(tp_g-0.01),0.8,MIN((tp_g-0.01)/tp_roe,0.8)))/(1+tp_r)^1+Val!B9*(1-IF(tp_roe&lt;=(tp_g-0.01),0.8,MIN((tp_g-0.01)/tp_roe,0.8)))/(1+tp_r)^2+Val!B10*(1-IF(tp_roe&lt;=(tp_g-0.01),0.8,MIN((tp_g-0.01)/tp_roe,0.8)))/(1+tp_r)^3+Val!B11*(1-IF(tp_roe&lt;=(tp_g-0.01),0.8,MIN((tp_g-0.01)/tp_roe,0.8)))/(1+tp_r)^4+Val!B12*(1-IF(tp_roe&lt;=(tp_g-0.01),0.8,MIN((tp_g-0.01)/tp_roe,0.8)))/(1+tp_r)^5+Val!B13*(1-IF(tp_roe&lt;=(tp_g-0.01),0.8,MIN((tp_g-0.01)/tp_roe,0.8)))/(1+tp_r)^6+Val!B13*(1-IF(tp_roe&lt;=(tp_g-0.01),0.8,MIN((tp_g-0.01)/tp_roe,0.8)))*(1+(tp_g-0.01))/(tp_r-(tp_g-0.01))/(1+tp_r)^6)+tp_wB*(Val!C8*(1-IF(tp_roe&lt;=(tp_g-0.01),0.8,MIN((tp_g-0.01)/tp_roe,0.8)))/(1+tp_r)^1+Val!C9*(1-IF(tp_roe&lt;=(tp_g-0.01),0.8,MIN((tp_g-0.01)/tp_roe,0.8)))/(1+tp_r)^2+Val!C10*(1-IF(tp_roe&lt;=(tp_g-0.01),0.8,MIN((tp_g-0.01)/tp_roe,0.8)))/(1+tp_r)^3+Val!C11*(1-IF(tp_roe&lt;=(tp_g-0.01),0.8,MIN((tp_g-0.01)/tp_roe,0.8)))/(1+tp_r)^4+Val!C12*(1-IF(tp_roe&lt;=(tp_g-0.01),0.8,MIN((tp_g-0.01)/tp_roe,0.8)))/(1+tp_r)^5+Val!C13*(1-IF(tp_roe&lt;=(tp_g-0.01),0.8,MIN((tp_g-0.01)/tp_roe,0.8)))/(1+tp_r)^6+Val!C13*(1-IF(tp_roe&lt;=(tp_g-0.01),0.8,MIN((tp_g-0.01)/tp_roe,0.8)))*(1+(tp_g-0.01))/(tp_r-(tp_g-0.01))/(1+tp_r)^6)+tp_wC*(Val!D8*(1-IF(tp_roe&lt;=(tp_g-0.01),0.8,MIN((tp_g-0.01)/tp_roe,0.8)))/(1+tp_r)^1+Val!D9*(1-IF(tp_roe&lt;=(tp_g-0.01),0.8,MIN((tp_g-0.01)/tp_roe,0.8)))/(1+tp_r)^2+Val!D10*(1-IF(tp_roe&lt;=(tp_g-0.01),0.8,MIN((tp_g-0.01)/tp_roe,0.8)))/(1+tp_r)^3+Val!D11*(1-IF(tp_roe&lt;=(tp_g-0.01),0.8,MIN((tp_g-0.01)/tp_roe,0.8)))/(1+tp_r)^4+Val!D12*(1-IF(tp_roe&lt;=(tp_g-0.01),0.8,MIN((tp_g-0.01)/tp_roe,0.8)))/(1+tp_r)^5+Val!D13*(1-IF(tp_roe&lt;=(tp_g-0.01),0.8,MIN((tp_g-0.01)/tp_roe,0.8)))/(1+tp_r)^6+Val!D13*(1-IF(tp_roe&lt;=(tp_g-0.01),0.8,MIN((tp_g-0.01)/tp_roe,0.8)))*(1+(tp_g-0.01))/(tp_r-(tp_g-0.01))/(1+tp_r)^6))*(1+tp_r)</f>
        <v>356.411771782337</v>
      </c>
      <c r="D34" s="9" t="n">
        <f aca="false">Val!B35</f>
        <v>848.055068750045</v>
      </c>
      <c r="E34" s="9" t="n">
        <f aca="false">tp_w_dcf*C34+(1-tp_w_dcf)*D34</f>
        <v>602.233420266191</v>
      </c>
      <c r="F34" s="16" t="n">
        <f aca="false">E34/E$30-1</f>
        <v>-0.0158033336513246</v>
      </c>
    </row>
    <row r="35" customFormat="false" ht="17.15" hidden="false" customHeight="false" outlineLevel="0" collapsed="false">
      <c r="A35" s="0" t="s">
        <v>830</v>
      </c>
      <c r="B35" s="0" t="s">
        <v>831</v>
      </c>
      <c r="C35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375.752003266261</v>
      </c>
      <c r="D35" s="9" t="n">
        <f aca="false">Val!B35</f>
        <v>848.055068750045</v>
      </c>
      <c r="E35" s="9" t="n">
        <f aca="false">0.3*C35+(1-0.3)*D35</f>
        <v>706.364149104909</v>
      </c>
      <c r="F35" s="16" t="n">
        <f aca="false">E35/E$30-1</f>
        <v>0.154371739233581</v>
      </c>
    </row>
    <row r="36" customFormat="false" ht="17.15" hidden="false" customHeight="false" outlineLevel="0" collapsed="false">
      <c r="A36" s="0" t="s">
        <v>832</v>
      </c>
      <c r="B36" s="0" t="s">
        <v>833</v>
      </c>
      <c r="C36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375.752003266261</v>
      </c>
      <c r="D36" s="9" t="n">
        <f aca="false">Val!B35</f>
        <v>848.055068750045</v>
      </c>
      <c r="E36" s="9" t="n">
        <f aca="false">0.7*C36+(1-0.7)*D36</f>
        <v>517.442922911396</v>
      </c>
      <c r="F36" s="16" t="n">
        <f aca="false">E36/E$30-1</f>
        <v>-0.154371739233581</v>
      </c>
    </row>
    <row r="40" customFormat="false" ht="17.15" hidden="false" customHeight="false" outlineLevel="0" collapsed="false">
      <c r="A40" s="3" t="s">
        <v>834</v>
      </c>
    </row>
    <row r="41" customFormat="false" ht="17.15" hidden="false" customHeight="false" outlineLevel="0" collapsed="false">
      <c r="A41" s="1" t="s">
        <v>509</v>
      </c>
    </row>
    <row r="42" customFormat="false" ht="17.15" hidden="false" customHeight="false" outlineLevel="0" collapsed="false">
      <c r="A42" s="6" t="s">
        <v>19</v>
      </c>
      <c r="B42" s="6" t="s">
        <v>20</v>
      </c>
      <c r="C42" s="14" t="s">
        <v>510</v>
      </c>
      <c r="D42" s="14" t="s">
        <v>465</v>
      </c>
      <c r="E42" s="14" t="s">
        <v>466</v>
      </c>
      <c r="F42" s="14" t="s">
        <v>467</v>
      </c>
      <c r="G42" s="14"/>
      <c r="H42" s="6" t="s">
        <v>428</v>
      </c>
    </row>
    <row r="43" customFormat="false" ht="17.15" hidden="false" customHeight="false" outlineLevel="0" collapsed="false">
      <c r="A43" s="0" t="s">
        <v>511</v>
      </c>
      <c r="B43" s="0" t="s">
        <v>30</v>
      </c>
      <c r="C43" s="26" t="n">
        <f aca="false">mpl_26*1</f>
        <v>29.753262</v>
      </c>
      <c r="D43" s="26" t="n">
        <f aca="false">mpl_27*1*1</f>
        <v>54.688309</v>
      </c>
      <c r="E43" s="26" t="n">
        <f aca="false">mpl_28*um28_A*1</f>
        <v>61.21325</v>
      </c>
      <c r="F43" s="26" t="n">
        <f aca="false">mpl_29*um29_A*1</f>
        <v>78.80848</v>
      </c>
    </row>
    <row r="44" customFormat="false" ht="17.15" hidden="false" customHeight="false" outlineLevel="0" collapsed="false">
      <c r="A44" s="5" t="s">
        <v>512</v>
      </c>
      <c r="B44" s="0" t="s">
        <v>96</v>
      </c>
      <c r="C44" s="20" t="n">
        <f aca="false">asp_26</f>
        <v>500</v>
      </c>
      <c r="D44" s="20" t="n">
        <f aca="false">asp_27</f>
        <v>520</v>
      </c>
      <c r="E44" s="20" t="n">
        <f aca="false">asp_28</f>
        <v>540</v>
      </c>
      <c r="F44" s="20" t="n">
        <f aca="false">asp_29</f>
        <v>560</v>
      </c>
    </row>
    <row r="45" customFormat="false" ht="17.15" hidden="false" customHeight="false" outlineLevel="0" collapsed="false">
      <c r="A45" s="5" t="s">
        <v>513</v>
      </c>
      <c r="B45" s="5" t="s">
        <v>336</v>
      </c>
      <c r="C45" s="15" t="n">
        <f aca="false">C43*1000/C44</f>
        <v>59.506524</v>
      </c>
      <c r="D45" s="15" t="n">
        <f aca="false">D43*1000/D44</f>
        <v>105.169825</v>
      </c>
      <c r="E45" s="15" t="n">
        <f aca="false">E43*1000/E44</f>
        <v>113.35787037037</v>
      </c>
      <c r="F45" s="15" t="n">
        <f aca="false">F43*1000/F44</f>
        <v>140.729428571429</v>
      </c>
    </row>
    <row r="46" customFormat="false" ht="17.15" hidden="false" customHeight="false" outlineLevel="0" collapsed="false">
      <c r="A46" s="5" t="s">
        <v>514</v>
      </c>
      <c r="B46" s="5" t="s">
        <v>108</v>
      </c>
      <c r="C46" s="18" t="n">
        <f aca="false">lpm_26</f>
        <v>5.5</v>
      </c>
      <c r="D46" s="18" t="n">
        <f aca="false">lpm_27</f>
        <v>5.5</v>
      </c>
      <c r="E46" s="18" t="n">
        <f aca="false">lpm_28</f>
        <v>5</v>
      </c>
      <c r="F46" s="18" t="n">
        <f aca="false">lpm_29</f>
        <v>4.8</v>
      </c>
    </row>
    <row r="47" customFormat="false" ht="17.15" hidden="false" customHeight="false" outlineLevel="0" collapsed="false">
      <c r="A47" s="5" t="s">
        <v>515</v>
      </c>
      <c r="B47" s="0" t="s">
        <v>120</v>
      </c>
      <c r="C47" s="18" t="n">
        <f aca="false">lasp_26</f>
        <v>13</v>
      </c>
      <c r="D47" s="18" t="n">
        <f aca="false">lasp_27</f>
        <v>15</v>
      </c>
      <c r="E47" s="18" t="n">
        <f aca="false">lasp_28</f>
        <v>15</v>
      </c>
      <c r="F47" s="18" t="n">
        <f aca="false">lasp_29</f>
        <v>14</v>
      </c>
    </row>
    <row r="48" customFormat="false" ht="17.15" hidden="false" customHeight="false" outlineLevel="0" collapsed="false">
      <c r="A48" s="5" t="s">
        <v>516</v>
      </c>
      <c r="B48" s="0" t="s">
        <v>30</v>
      </c>
      <c r="C48" s="26" t="n">
        <f aca="false">C45*C46*C47/1000</f>
        <v>4.254716466</v>
      </c>
      <c r="D48" s="26" t="n">
        <f aca="false">D45*D46*D47/1000</f>
        <v>8.6765105625</v>
      </c>
      <c r="E48" s="26" t="n">
        <f aca="false">E45*E46*E47/1000</f>
        <v>8.50184027777778</v>
      </c>
      <c r="F48" s="26" t="n">
        <f aca="false">F45*F46*F47/1000</f>
        <v>9.4570176</v>
      </c>
    </row>
    <row r="49" customFormat="false" ht="17.15" hidden="false" customHeight="false" outlineLevel="0" collapsed="false">
      <c r="A49" s="0" t="s">
        <v>517</v>
      </c>
      <c r="B49" s="0" t="s">
        <v>163</v>
      </c>
      <c r="C49" s="16" t="n">
        <f aca="false">c26_las/1000/C48</f>
        <v>0.43826657190933</v>
      </c>
      <c r="H49" s="8" t="s">
        <v>518</v>
      </c>
    </row>
    <row r="50" customFormat="false" ht="17.15" hidden="false" customHeight="false" outlineLevel="0" collapsed="false">
      <c r="A50" s="5" t="s">
        <v>519</v>
      </c>
      <c r="B50" s="0" t="s">
        <v>74</v>
      </c>
      <c r="C50" s="9" t="n">
        <f aca="false">1</f>
        <v>1</v>
      </c>
      <c r="D50" s="9" t="n">
        <f aca="false">LRLO_27</f>
        <v>0.85</v>
      </c>
      <c r="E50" s="9" t="n">
        <f aca="false">LRLO_28</f>
        <v>0.8</v>
      </c>
      <c r="F50" s="9" t="n">
        <f aca="false">LRLO_29</f>
        <v>0.7</v>
      </c>
    </row>
    <row r="51" customFormat="false" ht="15" hidden="false" customHeight="false" outlineLevel="0" collapsed="false">
      <c r="A51" s="5" t="s">
        <v>520</v>
      </c>
      <c r="B51" s="0" t="s">
        <v>163</v>
      </c>
      <c r="C51" s="16" t="n">
        <f aca="false">$C$49*C50</f>
        <v>0.43826657190933</v>
      </c>
      <c r="D51" s="16" t="n">
        <f aca="false">$C$49*D50</f>
        <v>0.372526586122931</v>
      </c>
      <c r="E51" s="16" t="n">
        <f aca="false">$C$49*E50</f>
        <v>0.350613257527464</v>
      </c>
      <c r="F51" s="16" t="n">
        <f aca="false">$C$49*F50</f>
        <v>0.306786600336531</v>
      </c>
    </row>
    <row r="52" customFormat="false" ht="17.15" hidden="false" customHeight="false" outlineLevel="0" collapsed="false">
      <c r="A52" s="5" t="s">
        <v>521</v>
      </c>
      <c r="B52" s="0" t="s">
        <v>30</v>
      </c>
      <c r="C52" s="26" t="n">
        <f aca="false">C48*C51</f>
        <v>1.8647</v>
      </c>
      <c r="D52" s="26" t="n">
        <f aca="false">D48*D51</f>
        <v>3.23223085930767</v>
      </c>
      <c r="E52" s="26" t="n">
        <f aca="false">E48*E51</f>
        <v>2.98085791476987</v>
      </c>
      <c r="F52" s="26" t="n">
        <f aca="false">F48*F51</f>
        <v>2.90128627882674</v>
      </c>
    </row>
    <row r="53" customFormat="false" ht="17.15" hidden="false" customHeight="false" outlineLevel="0" collapsed="false">
      <c r="A53" s="5" t="s">
        <v>522</v>
      </c>
      <c r="B53" s="0" t="s">
        <v>163</v>
      </c>
      <c r="C53" s="16" t="n">
        <f aca="false">c26_xcvr/1000/C43</f>
        <v>0.0336097601668012</v>
      </c>
    </row>
    <row r="54" customFormat="false" ht="15" hidden="false" customHeight="false" outlineLevel="0" collapsed="false">
      <c r="A54" s="5" t="s">
        <v>523</v>
      </c>
      <c r="B54" s="0" t="s">
        <v>163</v>
      </c>
      <c r="C54" s="16" t="n">
        <f aca="false">C53</f>
        <v>0.0336097601668012</v>
      </c>
      <c r="D54" s="16" t="n">
        <f aca="false">$C$53*mrel_27</f>
        <v>0.0336097601668012</v>
      </c>
      <c r="E54" s="16" t="n">
        <f aca="false">$C$53*mrel_28</f>
        <v>0.0336097601668012</v>
      </c>
      <c r="F54" s="16" t="n">
        <f aca="false">$C$53*mrel_29</f>
        <v>0.0336097601668012</v>
      </c>
    </row>
    <row r="55" customFormat="false" ht="15" hidden="false" customHeight="false" outlineLevel="0" collapsed="false">
      <c r="A55" s="5" t="s">
        <v>524</v>
      </c>
      <c r="B55" s="0" t="s">
        <v>30</v>
      </c>
      <c r="C55" s="26" t="n">
        <f aca="false">C43*C54</f>
        <v>1</v>
      </c>
      <c r="D55" s="26" t="n">
        <f aca="false">D43*D54</f>
        <v>1.83806094941792</v>
      </c>
      <c r="E55" s="26" t="n">
        <f aca="false">E43*E54</f>
        <v>2.05736265153044</v>
      </c>
      <c r="F55" s="26" t="n">
        <f aca="false">F43*F54</f>
        <v>2.64873411191015</v>
      </c>
    </row>
    <row r="56" customFormat="false" ht="17.15" hidden="false" customHeight="false" outlineLevel="0" collapsed="false">
      <c r="A56" s="0" t="s">
        <v>525</v>
      </c>
      <c r="B56" s="5" t="s">
        <v>53</v>
      </c>
      <c r="C56" s="19" t="n">
        <f aca="false">tpu_26*1</f>
        <v>3.85</v>
      </c>
      <c r="D56" s="19" t="n">
        <f aca="false">tpu_27*1</f>
        <v>5.5</v>
      </c>
      <c r="E56" s="19" t="n">
        <f aca="false">tpu_28*um28_A</f>
        <v>7</v>
      </c>
      <c r="F56" s="19" t="n">
        <f aca="false">tpu_29*um29_A</f>
        <v>8.05</v>
      </c>
    </row>
    <row r="57" customFormat="false" ht="17.15" hidden="false" customHeight="false" outlineLevel="0" collapsed="false">
      <c r="A57" s="0" t="s">
        <v>526</v>
      </c>
      <c r="B57" s="0" t="s">
        <v>120</v>
      </c>
      <c r="C57" s="20" t="n">
        <f aca="false">c26_ocs/C56</f>
        <v>129.87012987013</v>
      </c>
      <c r="D57" s="20" t="n">
        <f aca="false">$C57*ocsk_27</f>
        <v>207.792207792208</v>
      </c>
      <c r="E57" s="20" t="n">
        <f aca="false">$C57*ocsk_28</f>
        <v>233.766233766234</v>
      </c>
      <c r="F57" s="20" t="n">
        <f aca="false">$C57*ocsk_29</f>
        <v>233.766233766234</v>
      </c>
    </row>
    <row r="58" customFormat="false" ht="17.15" hidden="false" customHeight="false" outlineLevel="0" collapsed="false">
      <c r="A58" s="0" t="s">
        <v>479</v>
      </c>
      <c r="B58" s="0" t="s">
        <v>30</v>
      </c>
      <c r="C58" s="26" t="n">
        <f aca="false">C56*C57/1000</f>
        <v>0.5</v>
      </c>
      <c r="D58" s="26" t="n">
        <f aca="false">D56*D57/1000</f>
        <v>1.14285714285714</v>
      </c>
      <c r="E58" s="26" t="n">
        <f aca="false">E56*E57/1000</f>
        <v>1.63636363636364</v>
      </c>
      <c r="F58" s="26" t="n">
        <f aca="false">F56*F57/1000</f>
        <v>1.88181818181818</v>
      </c>
    </row>
    <row r="59" customFormat="false" ht="17.15" hidden="false" customHeight="false" outlineLevel="0" collapsed="false">
      <c r="A59" s="0" t="s">
        <v>527</v>
      </c>
      <c r="B59" s="0" t="s">
        <v>30</v>
      </c>
      <c r="C59" s="26" t="n">
        <f aca="false">mcp_26*1</f>
        <v>0.300538</v>
      </c>
      <c r="D59" s="26" t="n">
        <f aca="false">mcp_27*1</f>
        <v>1.691391</v>
      </c>
      <c r="E59" s="26" t="n">
        <f aca="false">mcp_28*um28_A</f>
        <v>3.22175</v>
      </c>
      <c r="F59" s="26" t="n">
        <f aca="false">mcp_29*um29_A</f>
        <v>5.87368</v>
      </c>
    </row>
    <row r="60" customFormat="false" ht="17.15" hidden="false" customHeight="false" outlineLevel="0" collapsed="false">
      <c r="A60" s="0" t="s">
        <v>480</v>
      </c>
      <c r="B60" s="0" t="s">
        <v>163</v>
      </c>
      <c r="C60" s="16" t="n">
        <f aca="false">c26_cpo/1000/C59</f>
        <v>0.166368312825666</v>
      </c>
      <c r="D60" s="16" t="n">
        <f aca="false">cpo_27</f>
        <v>0.25</v>
      </c>
      <c r="E60" s="16" t="n">
        <f aca="false">cpo_28</f>
        <v>0.25</v>
      </c>
      <c r="F60" s="16" t="n">
        <f aca="false">cpo_29</f>
        <v>0.2</v>
      </c>
    </row>
    <row r="61" customFormat="false" ht="17.15" hidden="false" customHeight="false" outlineLevel="0" collapsed="false">
      <c r="A61" s="0" t="s">
        <v>528</v>
      </c>
      <c r="B61" s="0" t="s">
        <v>30</v>
      </c>
      <c r="C61" s="26" t="n">
        <f aca="false">C59*C60</f>
        <v>0.05</v>
      </c>
      <c r="D61" s="26" t="n">
        <f aca="false">D59*D60</f>
        <v>0.42284775</v>
      </c>
      <c r="E61" s="26" t="n">
        <f aca="false">E59*E60</f>
        <v>0.8054375</v>
      </c>
      <c r="F61" s="26" t="n">
        <f aca="false">F59*F60</f>
        <v>1.174736</v>
      </c>
    </row>
    <row r="62" customFormat="false" ht="17.15" hidden="false" customHeight="false" outlineLevel="0" collapsed="false">
      <c r="A62" s="0" t="s">
        <v>529</v>
      </c>
      <c r="B62" s="0" t="s">
        <v>30</v>
      </c>
      <c r="C62" s="26" t="n">
        <f aca="false">C52+C55+C58+C61</f>
        <v>3.4147</v>
      </c>
      <c r="D62" s="26" t="n">
        <f aca="false">D52+D55+D58+D61</f>
        <v>6.63599670158273</v>
      </c>
      <c r="E62" s="26" t="n">
        <f aca="false">E52+E55+E58+E61</f>
        <v>7.48002170266395</v>
      </c>
      <c r="F62" s="26" t="n">
        <f aca="false">F52+F55+F58+F61</f>
        <v>8.60657457255507</v>
      </c>
    </row>
    <row r="63" customFormat="false" ht="17.15" hidden="false" customHeight="false" outlineLevel="0" collapsed="false">
      <c r="A63" s="5" t="s">
        <v>530</v>
      </c>
      <c r="B63" s="0" t="s">
        <v>30</v>
      </c>
      <c r="C63" s="26" t="n">
        <f aca="false">c26_tel/1000</f>
        <v>0.75</v>
      </c>
      <c r="D63" s="26" t="n">
        <f aca="false">C63*(1+g_tel_27)</f>
        <v>0.9375</v>
      </c>
      <c r="E63" s="26" t="n">
        <f aca="false">D63*(1+g_tel_28)</f>
        <v>1.078125</v>
      </c>
      <c r="F63" s="26" t="n">
        <f aca="false">E63*(1+g_tel_29)</f>
        <v>1.1859375</v>
      </c>
    </row>
    <row r="64" customFormat="false" ht="17.15" hidden="false" customHeight="false" outlineLevel="0" collapsed="false">
      <c r="A64" s="5" t="s">
        <v>531</v>
      </c>
      <c r="B64" s="0" t="s">
        <v>30</v>
      </c>
      <c r="C64" s="26" t="n">
        <f aca="false">c26_ind/1000</f>
        <v>0.3</v>
      </c>
      <c r="D64" s="26" t="n">
        <f aca="false">C64*(1+g_ind)</f>
        <v>0.309</v>
      </c>
      <c r="E64" s="26" t="n">
        <f aca="false">D64*(1+g_ind)</f>
        <v>0.31827</v>
      </c>
      <c r="F64" s="26" t="n">
        <f aca="false">E64*(1+g_ind)</f>
        <v>0.3278181</v>
      </c>
    </row>
    <row r="65" customFormat="false" ht="15" hidden="false" customHeight="false" outlineLevel="0" collapsed="false">
      <c r="A65" s="5" t="s">
        <v>532</v>
      </c>
      <c r="B65" s="0" t="s">
        <v>30</v>
      </c>
      <c r="C65" s="26" t="n">
        <f aca="false">C62+C63+C64</f>
        <v>4.4647</v>
      </c>
      <c r="D65" s="26" t="n">
        <f aca="false">D62+D63+D64</f>
        <v>7.88249670158273</v>
      </c>
      <c r="E65" s="26" t="n">
        <f aca="false">E62+E63+E64</f>
        <v>8.87641670266395</v>
      </c>
      <c r="F65" s="26" t="n">
        <f aca="false">F62+F63+F64</f>
        <v>10.1203301725551</v>
      </c>
    </row>
    <row r="66" customFormat="false" ht="15" hidden="false" customHeight="false" outlineLevel="0" collapsed="false">
      <c r="A66" s="5" t="s">
        <v>533</v>
      </c>
      <c r="B66" s="0" t="s">
        <v>163</v>
      </c>
      <c r="D66" s="16" t="n">
        <f aca="false">D65/C65-1</f>
        <v>0.765515421323433</v>
      </c>
      <c r="E66" s="16" t="n">
        <f aca="false">E65/D65-1</f>
        <v>0.12609202879611</v>
      </c>
      <c r="F66" s="16" t="n">
        <f aca="false">F65/E65-1</f>
        <v>0.14013689437516</v>
      </c>
    </row>
    <row r="67" customFormat="false" ht="17.15" hidden="false" customHeight="false" outlineLevel="0" collapsed="false">
      <c r="A67" s="1" t="s">
        <v>534</v>
      </c>
    </row>
    <row r="68" customFormat="false" ht="17.15" hidden="false" customHeight="false" outlineLevel="0" collapsed="false">
      <c r="A68" s="6" t="s">
        <v>19</v>
      </c>
      <c r="B68" s="6" t="s">
        <v>20</v>
      </c>
      <c r="C68" s="14" t="s">
        <v>420</v>
      </c>
      <c r="D68" s="14" t="s">
        <v>487</v>
      </c>
      <c r="E68" s="14" t="s">
        <v>488</v>
      </c>
      <c r="F68" s="14" t="s">
        <v>489</v>
      </c>
      <c r="G68" s="14" t="s">
        <v>490</v>
      </c>
      <c r="H68" s="6" t="s">
        <v>428</v>
      </c>
    </row>
    <row r="69" customFormat="false" ht="17.15" hidden="false" customHeight="false" outlineLevel="0" collapsed="false">
      <c r="A69" s="0" t="s">
        <v>535</v>
      </c>
      <c r="B69" s="0" t="s">
        <v>30</v>
      </c>
      <c r="E69" s="26" t="n">
        <f aca="false">w2h_26*C62+h_1h*D62</f>
        <v>5.14569628476079</v>
      </c>
      <c r="F69" s="26" t="n">
        <f aca="false">(1-h_1h)*D62+h_1h*E62</f>
        <v>7.0326884520909</v>
      </c>
      <c r="G69" s="26" t="n">
        <f aca="false">(1-h_1h)*E62+h_1h*F62</f>
        <v>8.00950155151278</v>
      </c>
      <c r="H69" s="8" t="s">
        <v>536</v>
      </c>
    </row>
    <row r="70" customFormat="false" ht="17.15" hidden="false" customHeight="false" outlineLevel="0" collapsed="false">
      <c r="A70" s="5" t="s">
        <v>537</v>
      </c>
      <c r="B70" s="0" t="s">
        <v>30</v>
      </c>
      <c r="E70" s="26" t="n">
        <f aca="false">w2h_26*C63+h_1h*D63+w2h_26*C64+h_1h*D64</f>
        <v>1.20907716498309</v>
      </c>
      <c r="F70" s="26" t="n">
        <f aca="false">(1-h_1h)*D63+h_1h*E63+(1-h_1h)*D64+h_1h*E64</f>
        <v>1.31695065</v>
      </c>
      <c r="G70" s="26" t="n">
        <f aca="false">(1-h_1h)*E63+h_1h*F63+(1-h_1h)*E64+h_1h*F64</f>
        <v>1.451554482</v>
      </c>
    </row>
    <row r="71" customFormat="false" ht="15" hidden="false" customHeight="false" outlineLevel="0" collapsed="false">
      <c r="A71" s="5" t="s">
        <v>429</v>
      </c>
      <c r="B71" s="0" t="s">
        <v>30</v>
      </c>
      <c r="C71" s="26" t="n">
        <f aca="false">a25_rev/1000</f>
        <v>1.645</v>
      </c>
      <c r="D71" s="26" t="n">
        <f aca="false">a26_rev/1000</f>
        <v>3.014</v>
      </c>
      <c r="E71" s="26" t="n">
        <f aca="false">E69+E70</f>
        <v>6.35477344974388</v>
      </c>
      <c r="F71" s="26" t="n">
        <f aca="false">F69+F70</f>
        <v>8.3496391020909</v>
      </c>
      <c r="G71" s="26" t="n">
        <f aca="false">G69+G70</f>
        <v>9.46105603351278</v>
      </c>
    </row>
    <row r="72" customFormat="false" ht="15" hidden="false" customHeight="false" outlineLevel="0" collapsed="false">
      <c r="A72" s="5" t="s">
        <v>538</v>
      </c>
      <c r="B72" s="0" t="s">
        <v>163</v>
      </c>
      <c r="D72" s="16" t="n">
        <f aca="false">D71/C71-1</f>
        <v>0.832218844984802</v>
      </c>
      <c r="E72" s="16" t="n">
        <f aca="false">E71/D71-1</f>
        <v>1.10841853010746</v>
      </c>
      <c r="F72" s="16" t="n">
        <f aca="false">F71/E71-1</f>
        <v>0.313916092858892</v>
      </c>
      <c r="G72" s="16" t="n">
        <f aca="false">G71/F71-1</f>
        <v>0.133109577292216</v>
      </c>
    </row>
    <row r="73" customFormat="false" ht="17.15" hidden="false" customHeight="false" outlineLevel="0" collapsed="false">
      <c r="A73" s="0" t="s">
        <v>539</v>
      </c>
      <c r="B73" s="0" t="s">
        <v>163</v>
      </c>
      <c r="E73" s="16" t="n">
        <f aca="false">E69/E71</f>
        <v>0.809737172450763</v>
      </c>
      <c r="F73" s="16" t="n">
        <f aca="false">F69/F71</f>
        <v>0.842274542181085</v>
      </c>
      <c r="G73" s="16" t="n">
        <f aca="false">G69/G71</f>
        <v>0.846575849793265</v>
      </c>
    </row>
    <row r="74" customFormat="false" ht="17.15" hidden="false" customHeight="false" outlineLevel="0" collapsed="false">
      <c r="A74" s="5" t="s">
        <v>432</v>
      </c>
      <c r="B74" s="0" t="s">
        <v>163</v>
      </c>
      <c r="C74" s="16" t="n">
        <f aca="false">a25_gm</f>
        <v>0.347</v>
      </c>
      <c r="D74" s="16" t="n">
        <f aca="false">a26_gm</f>
        <v>0.46</v>
      </c>
      <c r="E74" s="16" t="n">
        <f aca="false">gm_27</f>
        <v>0.52</v>
      </c>
      <c r="F74" s="16" t="n">
        <f aca="false">gm_28</f>
        <v>0.51</v>
      </c>
      <c r="G74" s="16" t="n">
        <f aca="false">gm_29</f>
        <v>0.49</v>
      </c>
    </row>
    <row r="75" customFormat="false" ht="15" hidden="false" customHeight="false" outlineLevel="0" collapsed="false">
      <c r="A75" s="5" t="s">
        <v>433</v>
      </c>
      <c r="B75" s="0" t="s">
        <v>30</v>
      </c>
      <c r="C75" s="26" t="n">
        <f aca="false">C71*C74</f>
        <v>0.570815</v>
      </c>
      <c r="D75" s="26" t="n">
        <f aca="false">D71*D74</f>
        <v>1.38644</v>
      </c>
      <c r="E75" s="26" t="n">
        <f aca="false">E71*E74</f>
        <v>3.30448219386682</v>
      </c>
      <c r="F75" s="26" t="n">
        <f aca="false">F71*F74</f>
        <v>4.25831594206636</v>
      </c>
      <c r="G75" s="26" t="n">
        <f aca="false">G71*G74</f>
        <v>4.63591745642126</v>
      </c>
    </row>
    <row r="76" customFormat="false" ht="15" hidden="false" customHeight="false" outlineLevel="0" collapsed="false">
      <c r="A76" s="5" t="s">
        <v>540</v>
      </c>
      <c r="B76" s="0" t="s">
        <v>30</v>
      </c>
      <c r="C76" s="26" t="n">
        <f aca="false">a25_opx/1000</f>
        <v>0.4114</v>
      </c>
      <c r="D76" s="26" t="n">
        <f aca="false">a26_opx/1000</f>
        <v>0.4897</v>
      </c>
      <c r="E76" s="26" t="n">
        <f aca="false">D76*(1+MAX(0,phi*E72))</f>
        <v>0.613834874758354</v>
      </c>
      <c r="F76" s="26" t="n">
        <f aca="false">E76*(1+MAX(0,phi*F72))</f>
        <v>0.657903050043255</v>
      </c>
      <c r="G76" s="26" t="n">
        <f aca="false">F76*(1+MAX(0,phi*G72))</f>
        <v>0.677930752605135</v>
      </c>
    </row>
    <row r="77" customFormat="false" ht="15" hidden="false" customHeight="false" outlineLevel="0" collapsed="false">
      <c r="A77" s="5" t="s">
        <v>541</v>
      </c>
      <c r="B77" s="0" t="s">
        <v>30</v>
      </c>
      <c r="C77" s="26" t="n">
        <f aca="false">C76</f>
        <v>0.4114</v>
      </c>
      <c r="D77" s="26" t="n">
        <f aca="false">D76</f>
        <v>0.4897</v>
      </c>
      <c r="E77" s="26" t="n">
        <f aca="false">E76+0*E71</f>
        <v>0.613834874758354</v>
      </c>
      <c r="F77" s="26" t="n">
        <f aca="false">F76+0*F71</f>
        <v>0.657903050043255</v>
      </c>
      <c r="G77" s="26" t="n">
        <f aca="false">G76+0*G71</f>
        <v>0.677930752605135</v>
      </c>
    </row>
    <row r="78" customFormat="false" ht="15" hidden="false" customHeight="false" outlineLevel="0" collapsed="false">
      <c r="A78" s="5" t="s">
        <v>542</v>
      </c>
      <c r="B78" s="0" t="s">
        <v>30</v>
      </c>
      <c r="C78" s="26" t="n">
        <f aca="false">C75-C77</f>
        <v>0.159415</v>
      </c>
      <c r="D78" s="26" t="n">
        <f aca="false">D75-D77</f>
        <v>0.89674</v>
      </c>
      <c r="E78" s="26" t="n">
        <f aca="false">E75-E77</f>
        <v>2.69064731910847</v>
      </c>
      <c r="F78" s="26" t="n">
        <f aca="false">F75-F77</f>
        <v>3.60041289202311</v>
      </c>
      <c r="G78" s="26" t="n">
        <f aca="false">G75-G77</f>
        <v>3.95798670381613</v>
      </c>
    </row>
    <row r="79" customFormat="false" ht="15" hidden="false" customHeight="false" outlineLevel="0" collapsed="false">
      <c r="A79" s="5" t="s">
        <v>437</v>
      </c>
      <c r="B79" s="0" t="s">
        <v>163</v>
      </c>
      <c r="C79" s="16" t="n">
        <f aca="false">C78/C71</f>
        <v>0.0969088145896656</v>
      </c>
      <c r="D79" s="16" t="n">
        <f aca="false">D78/D71</f>
        <v>0.297524883875249</v>
      </c>
      <c r="E79" s="16" t="n">
        <f aca="false">E78/E71</f>
        <v>0.423405702876301</v>
      </c>
      <c r="F79" s="16" t="n">
        <f aca="false">F78/F71</f>
        <v>0.431205809975846</v>
      </c>
      <c r="G79" s="16" t="n">
        <f aca="false">G78/G71</f>
        <v>0.41834512868291</v>
      </c>
    </row>
    <row r="80" customFormat="false" ht="17.15" hidden="false" customHeight="false" outlineLevel="0" collapsed="false">
      <c r="A80" s="5" t="s">
        <v>438</v>
      </c>
      <c r="B80" s="0" t="s">
        <v>30</v>
      </c>
      <c r="C80" s="26" t="n">
        <f aca="false">a25_ni/1000</f>
        <v>0.1464</v>
      </c>
      <c r="D80" s="26" t="n">
        <f aca="false">a26_ni/1000</f>
        <v>0.7823</v>
      </c>
      <c r="E80" s="26" t="n">
        <f aca="false">(E78+oi_oth)*(1-tx)</f>
        <v>2.29029051145557</v>
      </c>
      <c r="F80" s="26" t="n">
        <f aca="false">(F78+oi_oth)*(1-tx)</f>
        <v>3.04994476483929</v>
      </c>
      <c r="G80" s="26" t="n">
        <f aca="false">(G78+oi_oth)*(1-tx)</f>
        <v>3.34851889768647</v>
      </c>
    </row>
    <row r="81" customFormat="false" ht="15" hidden="false" customHeight="false" outlineLevel="0" collapsed="false">
      <c r="A81" s="5" t="s">
        <v>500</v>
      </c>
      <c r="B81" s="0" t="s">
        <v>163</v>
      </c>
      <c r="C81" s="16" t="n">
        <f aca="false">C80/C71</f>
        <v>0.0889969604863222</v>
      </c>
      <c r="D81" s="16" t="n">
        <f aca="false">D80/D71</f>
        <v>0.259555408095554</v>
      </c>
      <c r="E81" s="16" t="n">
        <f aca="false">E80/E71</f>
        <v>0.360404746065003</v>
      </c>
      <c r="F81" s="16" t="n">
        <f aca="false">F80/F71</f>
        <v>0.365278633908324</v>
      </c>
      <c r="G81" s="16" t="n">
        <f aca="false">G80/G71</f>
        <v>0.353926547504359</v>
      </c>
    </row>
    <row r="82" customFormat="false" ht="17.15" hidden="false" customHeight="false" outlineLevel="0" collapsed="false">
      <c r="A82" s="5" t="s">
        <v>442</v>
      </c>
      <c r="B82" s="5" t="s">
        <v>237</v>
      </c>
      <c r="C82" s="15" t="n">
        <f aca="false">a25_sh</f>
        <v>71.0679611650485</v>
      </c>
      <c r="D82" s="15" t="n">
        <f aca="false">a26_sh</f>
        <v>90.2306805074971</v>
      </c>
      <c r="E82" s="15" t="n">
        <f aca="false">sh_q1</f>
        <v>102</v>
      </c>
      <c r="F82" s="15" t="n">
        <f aca="false">E82*(1+sh_g)</f>
        <v>103.02</v>
      </c>
      <c r="G82" s="15" t="n">
        <f aca="false">F82*(1+sh_g)</f>
        <v>104.0502</v>
      </c>
    </row>
    <row r="83" customFormat="false" ht="17.15" hidden="false" customHeight="false" outlineLevel="0" collapsed="false">
      <c r="A83" s="0" t="s">
        <v>444</v>
      </c>
      <c r="B83" s="0" t="s">
        <v>232</v>
      </c>
      <c r="C83" s="9" t="n">
        <f aca="false">C80*1000/C82</f>
        <v>2.06</v>
      </c>
      <c r="D83" s="9" t="n">
        <f aca="false">D80*1000/D82</f>
        <v>8.67</v>
      </c>
      <c r="E83" s="9" t="n">
        <f aca="false">E80*1000/E82</f>
        <v>22.453828543682</v>
      </c>
      <c r="F83" s="9" t="n">
        <f aca="false">F80*1000/F82</f>
        <v>29.6053656070597</v>
      </c>
      <c r="G83" s="9" t="n">
        <f aca="false">G80*1000/G82</f>
        <v>32.1817632035927</v>
      </c>
    </row>
    <row r="84" customFormat="false" ht="17.15" hidden="false" customHeight="false" outlineLevel="0" collapsed="false">
      <c r="A84" s="0" t="s">
        <v>543</v>
      </c>
      <c r="B84" s="0" t="s">
        <v>163</v>
      </c>
      <c r="D84" s="16" t="n">
        <f aca="false">D83/C83-1</f>
        <v>3.20873786407767</v>
      </c>
      <c r="E84" s="16" t="n">
        <f aca="false">E83/D83-1</f>
        <v>1.58983028185491</v>
      </c>
      <c r="F84" s="16" t="n">
        <f aca="false">F83/E83-1</f>
        <v>0.318499673650975</v>
      </c>
      <c r="G84" s="16" t="n">
        <f aca="false">G83/F83-1</f>
        <v>0.0870246843335263</v>
      </c>
    </row>
    <row r="87" customFormat="false" ht="17.15" hidden="false" customHeight="false" outlineLevel="0" collapsed="false">
      <c r="A87" s="3" t="s">
        <v>835</v>
      </c>
    </row>
    <row r="88" customFormat="false" ht="17.15" hidden="false" customHeight="false" outlineLevel="0" collapsed="false">
      <c r="A88" s="1" t="s">
        <v>509</v>
      </c>
    </row>
    <row r="89" customFormat="false" ht="17.15" hidden="false" customHeight="false" outlineLevel="0" collapsed="false">
      <c r="A89" s="6" t="s">
        <v>19</v>
      </c>
      <c r="B89" s="6" t="s">
        <v>20</v>
      </c>
      <c r="C89" s="14" t="s">
        <v>510</v>
      </c>
      <c r="D89" s="14" t="s">
        <v>465</v>
      </c>
      <c r="E89" s="14" t="s">
        <v>466</v>
      </c>
      <c r="F89" s="14" t="s">
        <v>467</v>
      </c>
      <c r="G89" s="14"/>
      <c r="H89" s="6" t="s">
        <v>428</v>
      </c>
    </row>
    <row r="90" customFormat="false" ht="17.15" hidden="false" customHeight="false" outlineLevel="0" collapsed="false">
      <c r="A90" s="0" t="s">
        <v>511</v>
      </c>
      <c r="B90" s="0" t="s">
        <v>30</v>
      </c>
      <c r="C90" s="26" t="n">
        <f aca="false">mpl_26*1</f>
        <v>29.753262</v>
      </c>
      <c r="D90" s="26" t="n">
        <f aca="false">mpl_27*1*1</f>
        <v>54.688309</v>
      </c>
      <c r="E90" s="26" t="n">
        <f aca="false">mpl_28*um28_A*1</f>
        <v>61.21325</v>
      </c>
      <c r="F90" s="26" t="n">
        <f aca="false">mpl_29*um29_A*1</f>
        <v>78.80848</v>
      </c>
    </row>
    <row r="91" customFormat="false" ht="17.15" hidden="false" customHeight="false" outlineLevel="0" collapsed="false">
      <c r="A91" s="5" t="s">
        <v>512</v>
      </c>
      <c r="B91" s="0" t="s">
        <v>96</v>
      </c>
      <c r="C91" s="20" t="n">
        <f aca="false">asp_26</f>
        <v>500</v>
      </c>
      <c r="D91" s="20" t="n">
        <f aca="false">asp_27</f>
        <v>520</v>
      </c>
      <c r="E91" s="20" t="n">
        <f aca="false">asp_28</f>
        <v>540</v>
      </c>
      <c r="F91" s="20" t="n">
        <f aca="false">asp_29</f>
        <v>560</v>
      </c>
    </row>
    <row r="92" customFormat="false" ht="17.15" hidden="false" customHeight="false" outlineLevel="0" collapsed="false">
      <c r="A92" s="5" t="s">
        <v>513</v>
      </c>
      <c r="B92" s="5" t="s">
        <v>336</v>
      </c>
      <c r="C92" s="15" t="n">
        <f aca="false">C90*1000/C91</f>
        <v>59.506524</v>
      </c>
      <c r="D92" s="15" t="n">
        <f aca="false">D90*1000/D91</f>
        <v>105.169825</v>
      </c>
      <c r="E92" s="15" t="n">
        <f aca="false">E90*1000/E91</f>
        <v>113.35787037037</v>
      </c>
      <c r="F92" s="15" t="n">
        <f aca="false">F90*1000/F91</f>
        <v>140.729428571429</v>
      </c>
    </row>
    <row r="93" customFormat="false" ht="17.15" hidden="false" customHeight="false" outlineLevel="0" collapsed="false">
      <c r="A93" s="5" t="s">
        <v>514</v>
      </c>
      <c r="B93" s="5" t="s">
        <v>108</v>
      </c>
      <c r="C93" s="18" t="n">
        <f aca="false">lpm_26</f>
        <v>5.5</v>
      </c>
      <c r="D93" s="18" t="n">
        <f aca="false">lpm_27</f>
        <v>5.5</v>
      </c>
      <c r="E93" s="18" t="n">
        <f aca="false">lpm_28</f>
        <v>5</v>
      </c>
      <c r="F93" s="18" t="n">
        <f aca="false">lpm_29</f>
        <v>4.8</v>
      </c>
    </row>
    <row r="94" customFormat="false" ht="17.15" hidden="false" customHeight="false" outlineLevel="0" collapsed="false">
      <c r="A94" s="5" t="s">
        <v>515</v>
      </c>
      <c r="B94" s="0" t="s">
        <v>120</v>
      </c>
      <c r="C94" s="18" t="n">
        <f aca="false">lasp_26</f>
        <v>13</v>
      </c>
      <c r="D94" s="18" t="n">
        <f aca="false">lasp_27</f>
        <v>15</v>
      </c>
      <c r="E94" s="18" t="n">
        <f aca="false">lasp_28</f>
        <v>15</v>
      </c>
      <c r="F94" s="18" t="n">
        <f aca="false">lasp_29</f>
        <v>14</v>
      </c>
    </row>
    <row r="95" customFormat="false" ht="17.15" hidden="false" customHeight="false" outlineLevel="0" collapsed="false">
      <c r="A95" s="5" t="s">
        <v>516</v>
      </c>
      <c r="B95" s="0" t="s">
        <v>30</v>
      </c>
      <c r="C95" s="26" t="n">
        <f aca="false">C92*C93*C94/1000</f>
        <v>4.254716466</v>
      </c>
      <c r="D95" s="26" t="n">
        <f aca="false">D92*D93*D94/1000</f>
        <v>8.6765105625</v>
      </c>
      <c r="E95" s="26" t="n">
        <f aca="false">E92*E93*E94/1000</f>
        <v>8.50184027777778</v>
      </c>
      <c r="F95" s="26" t="n">
        <f aca="false">F92*F93*F94/1000</f>
        <v>9.4570176</v>
      </c>
    </row>
    <row r="96" customFormat="false" ht="17.15" hidden="false" customHeight="false" outlineLevel="0" collapsed="false">
      <c r="A96" s="0" t="s">
        <v>517</v>
      </c>
      <c r="B96" s="0" t="s">
        <v>163</v>
      </c>
      <c r="C96" s="16" t="n">
        <f aca="false">c26_las/1000/C95</f>
        <v>0.43826657190933</v>
      </c>
      <c r="H96" s="8" t="s">
        <v>518</v>
      </c>
    </row>
    <row r="97" customFormat="false" ht="17.15" hidden="false" customHeight="false" outlineLevel="0" collapsed="false">
      <c r="A97" s="5" t="s">
        <v>519</v>
      </c>
      <c r="B97" s="0" t="s">
        <v>74</v>
      </c>
      <c r="C97" s="9" t="n">
        <f aca="false">1</f>
        <v>1</v>
      </c>
      <c r="D97" s="9" t="n">
        <f aca="false">LRHI_27</f>
        <v>1</v>
      </c>
      <c r="E97" s="9" t="n">
        <f aca="false">LRHI_28</f>
        <v>1.05</v>
      </c>
      <c r="F97" s="9" t="n">
        <f aca="false">LRHI_29</f>
        <v>1.05</v>
      </c>
    </row>
    <row r="98" customFormat="false" ht="15" hidden="false" customHeight="false" outlineLevel="0" collapsed="false">
      <c r="A98" s="5" t="s">
        <v>520</v>
      </c>
      <c r="B98" s="0" t="s">
        <v>163</v>
      </c>
      <c r="C98" s="16" t="n">
        <f aca="false">$C$96*C97</f>
        <v>0.43826657190933</v>
      </c>
      <c r="D98" s="16" t="n">
        <f aca="false">$C$96*D97</f>
        <v>0.43826657190933</v>
      </c>
      <c r="E98" s="16" t="n">
        <f aca="false">$C$96*E97</f>
        <v>0.460179900504797</v>
      </c>
      <c r="F98" s="16" t="n">
        <f aca="false">$C$96*F97</f>
        <v>0.460179900504797</v>
      </c>
    </row>
    <row r="99" customFormat="false" ht="17.15" hidden="false" customHeight="false" outlineLevel="0" collapsed="false">
      <c r="A99" s="5" t="s">
        <v>521</v>
      </c>
      <c r="B99" s="0" t="s">
        <v>30</v>
      </c>
      <c r="C99" s="26" t="n">
        <f aca="false">C95*C98</f>
        <v>1.8647</v>
      </c>
      <c r="D99" s="26" t="n">
        <f aca="false">D95*D98</f>
        <v>3.80262454036197</v>
      </c>
      <c r="E99" s="26" t="n">
        <f aca="false">E95*E98</f>
        <v>3.91237601313545</v>
      </c>
      <c r="F99" s="26" t="n">
        <f aca="false">F95*F98</f>
        <v>4.35192941824011</v>
      </c>
    </row>
    <row r="100" customFormat="false" ht="17.15" hidden="false" customHeight="false" outlineLevel="0" collapsed="false">
      <c r="A100" s="5" t="s">
        <v>522</v>
      </c>
      <c r="B100" s="0" t="s">
        <v>163</v>
      </c>
      <c r="C100" s="16" t="n">
        <f aca="false">c26_xcvr/1000/C90</f>
        <v>0.0336097601668012</v>
      </c>
    </row>
    <row r="101" customFormat="false" ht="15" hidden="false" customHeight="false" outlineLevel="0" collapsed="false">
      <c r="A101" s="5" t="s">
        <v>523</v>
      </c>
      <c r="B101" s="0" t="s">
        <v>163</v>
      </c>
      <c r="C101" s="16" t="n">
        <f aca="false">C100</f>
        <v>0.0336097601668012</v>
      </c>
      <c r="D101" s="16" t="n">
        <f aca="false">$C$100*mrel_27</f>
        <v>0.0336097601668012</v>
      </c>
      <c r="E101" s="16" t="n">
        <f aca="false">$C$100*mrel_28</f>
        <v>0.0336097601668012</v>
      </c>
      <c r="F101" s="16" t="n">
        <f aca="false">$C$100*mrel_29</f>
        <v>0.0336097601668012</v>
      </c>
    </row>
    <row r="102" customFormat="false" ht="15" hidden="false" customHeight="false" outlineLevel="0" collapsed="false">
      <c r="A102" s="5" t="s">
        <v>524</v>
      </c>
      <c r="B102" s="0" t="s">
        <v>30</v>
      </c>
      <c r="C102" s="26" t="n">
        <f aca="false">C90*C101</f>
        <v>1</v>
      </c>
      <c r="D102" s="26" t="n">
        <f aca="false">D90*D101</f>
        <v>1.83806094941792</v>
      </c>
      <c r="E102" s="26" t="n">
        <f aca="false">E90*E101</f>
        <v>2.05736265153044</v>
      </c>
      <c r="F102" s="26" t="n">
        <f aca="false">F90*F101</f>
        <v>2.64873411191015</v>
      </c>
    </row>
    <row r="103" customFormat="false" ht="17.15" hidden="false" customHeight="false" outlineLevel="0" collapsed="false">
      <c r="A103" s="0" t="s">
        <v>525</v>
      </c>
      <c r="B103" s="5" t="s">
        <v>53</v>
      </c>
      <c r="C103" s="19" t="n">
        <f aca="false">tpu_26*1</f>
        <v>3.85</v>
      </c>
      <c r="D103" s="19" t="n">
        <f aca="false">tpu_27*1</f>
        <v>5.5</v>
      </c>
      <c r="E103" s="19" t="n">
        <f aca="false">tpu_28*um28_A</f>
        <v>7</v>
      </c>
      <c r="F103" s="19" t="n">
        <f aca="false">tpu_29*um29_A</f>
        <v>8.05</v>
      </c>
    </row>
    <row r="104" customFormat="false" ht="17.15" hidden="false" customHeight="false" outlineLevel="0" collapsed="false">
      <c r="A104" s="0" t="s">
        <v>526</v>
      </c>
      <c r="B104" s="0" t="s">
        <v>120</v>
      </c>
      <c r="C104" s="20" t="n">
        <f aca="false">c26_ocs/C103</f>
        <v>129.87012987013</v>
      </c>
      <c r="D104" s="20" t="n">
        <f aca="false">$C104*ocsk_27</f>
        <v>207.792207792208</v>
      </c>
      <c r="E104" s="20" t="n">
        <f aca="false">$C104*ocsk_28</f>
        <v>233.766233766234</v>
      </c>
      <c r="F104" s="20" t="n">
        <f aca="false">$C104*ocsk_29</f>
        <v>233.766233766234</v>
      </c>
    </row>
    <row r="105" customFormat="false" ht="17.15" hidden="false" customHeight="false" outlineLevel="0" collapsed="false">
      <c r="A105" s="0" t="s">
        <v>479</v>
      </c>
      <c r="B105" s="0" t="s">
        <v>30</v>
      </c>
      <c r="C105" s="26" t="n">
        <f aca="false">C103*C104/1000</f>
        <v>0.5</v>
      </c>
      <c r="D105" s="26" t="n">
        <f aca="false">D103*D104/1000</f>
        <v>1.14285714285714</v>
      </c>
      <c r="E105" s="26" t="n">
        <f aca="false">E103*E104/1000</f>
        <v>1.63636363636364</v>
      </c>
      <c r="F105" s="26" t="n">
        <f aca="false">F103*F104/1000</f>
        <v>1.88181818181818</v>
      </c>
    </row>
    <row r="106" customFormat="false" ht="17.15" hidden="false" customHeight="false" outlineLevel="0" collapsed="false">
      <c r="A106" s="0" t="s">
        <v>527</v>
      </c>
      <c r="B106" s="0" t="s">
        <v>30</v>
      </c>
      <c r="C106" s="26" t="n">
        <f aca="false">mcp_26*1</f>
        <v>0.300538</v>
      </c>
      <c r="D106" s="26" t="n">
        <f aca="false">mcp_27*1</f>
        <v>1.691391</v>
      </c>
      <c r="E106" s="26" t="n">
        <f aca="false">mcp_28*um28_A</f>
        <v>3.22175</v>
      </c>
      <c r="F106" s="26" t="n">
        <f aca="false">mcp_29*um29_A</f>
        <v>5.87368</v>
      </c>
    </row>
    <row r="107" customFormat="false" ht="17.15" hidden="false" customHeight="false" outlineLevel="0" collapsed="false">
      <c r="A107" s="0" t="s">
        <v>480</v>
      </c>
      <c r="B107" s="0" t="s">
        <v>163</v>
      </c>
      <c r="C107" s="16" t="n">
        <f aca="false">c26_cpo/1000/C106</f>
        <v>0.166368312825666</v>
      </c>
      <c r="D107" s="16" t="n">
        <f aca="false">cpo_27</f>
        <v>0.25</v>
      </c>
      <c r="E107" s="16" t="n">
        <f aca="false">cpo_28</f>
        <v>0.25</v>
      </c>
      <c r="F107" s="16" t="n">
        <f aca="false">cpo_29</f>
        <v>0.2</v>
      </c>
    </row>
    <row r="108" customFormat="false" ht="17.15" hidden="false" customHeight="false" outlineLevel="0" collapsed="false">
      <c r="A108" s="0" t="s">
        <v>528</v>
      </c>
      <c r="B108" s="0" t="s">
        <v>30</v>
      </c>
      <c r="C108" s="26" t="n">
        <f aca="false">C106*C107</f>
        <v>0.05</v>
      </c>
      <c r="D108" s="26" t="n">
        <f aca="false">D106*D107</f>
        <v>0.42284775</v>
      </c>
      <c r="E108" s="26" t="n">
        <f aca="false">E106*E107</f>
        <v>0.8054375</v>
      </c>
      <c r="F108" s="26" t="n">
        <f aca="false">F106*F107</f>
        <v>1.174736</v>
      </c>
    </row>
    <row r="109" customFormat="false" ht="17.15" hidden="false" customHeight="false" outlineLevel="0" collapsed="false">
      <c r="A109" s="0" t="s">
        <v>529</v>
      </c>
      <c r="B109" s="0" t="s">
        <v>30</v>
      </c>
      <c r="C109" s="26" t="n">
        <f aca="false">C99+C102+C105+C108</f>
        <v>3.4147</v>
      </c>
      <c r="D109" s="26" t="n">
        <f aca="false">D99+D102+D105+D108</f>
        <v>7.20639038263703</v>
      </c>
      <c r="E109" s="26" t="n">
        <f aca="false">E99+E102+E105+E108</f>
        <v>8.41153980102953</v>
      </c>
      <c r="F109" s="26" t="n">
        <f aca="false">F99+F102+F105+F108</f>
        <v>10.0572177119684</v>
      </c>
    </row>
    <row r="110" customFormat="false" ht="17.15" hidden="false" customHeight="false" outlineLevel="0" collapsed="false">
      <c r="A110" s="5" t="s">
        <v>530</v>
      </c>
      <c r="B110" s="0" t="s">
        <v>30</v>
      </c>
      <c r="C110" s="26" t="n">
        <f aca="false">c26_tel/1000</f>
        <v>0.75</v>
      </c>
      <c r="D110" s="26" t="n">
        <f aca="false">C110*(1+g_tel_27)</f>
        <v>0.9375</v>
      </c>
      <c r="E110" s="26" t="n">
        <f aca="false">D110*(1+g_tel_28)</f>
        <v>1.078125</v>
      </c>
      <c r="F110" s="26" t="n">
        <f aca="false">E110*(1+g_tel_29)</f>
        <v>1.1859375</v>
      </c>
    </row>
    <row r="111" customFormat="false" ht="17.15" hidden="false" customHeight="false" outlineLevel="0" collapsed="false">
      <c r="A111" s="5" t="s">
        <v>531</v>
      </c>
      <c r="B111" s="0" t="s">
        <v>30</v>
      </c>
      <c r="C111" s="26" t="n">
        <f aca="false">c26_ind/1000</f>
        <v>0.3</v>
      </c>
      <c r="D111" s="26" t="n">
        <f aca="false">C111*(1+g_ind)</f>
        <v>0.309</v>
      </c>
      <c r="E111" s="26" t="n">
        <f aca="false">D111*(1+g_ind)</f>
        <v>0.31827</v>
      </c>
      <c r="F111" s="26" t="n">
        <f aca="false">E111*(1+g_ind)</f>
        <v>0.3278181</v>
      </c>
    </row>
    <row r="112" customFormat="false" ht="15" hidden="false" customHeight="false" outlineLevel="0" collapsed="false">
      <c r="A112" s="5" t="s">
        <v>532</v>
      </c>
      <c r="B112" s="0" t="s">
        <v>30</v>
      </c>
      <c r="C112" s="26" t="n">
        <f aca="false">C109+C110+C111</f>
        <v>4.4647</v>
      </c>
      <c r="D112" s="26" t="n">
        <f aca="false">D109+D110+D111</f>
        <v>8.45289038263702</v>
      </c>
      <c r="E112" s="26" t="n">
        <f aca="false">E109+E110+E111</f>
        <v>9.80793480102953</v>
      </c>
      <c r="F112" s="26" t="n">
        <f aca="false">F109+F110+F111</f>
        <v>11.5709733119684</v>
      </c>
    </row>
    <row r="113" customFormat="false" ht="15" hidden="false" customHeight="false" outlineLevel="0" collapsed="false">
      <c r="A113" s="5" t="s">
        <v>533</v>
      </c>
      <c r="B113" s="0" t="s">
        <v>163</v>
      </c>
      <c r="D113" s="16" t="n">
        <f aca="false">D112/C112-1</f>
        <v>0.893271750092285</v>
      </c>
      <c r="E113" s="16" t="n">
        <f aca="false">E112/D112-1</f>
        <v>0.160305452579379</v>
      </c>
      <c r="F113" s="16" t="n">
        <f aca="false">F112/E112-1</f>
        <v>0.179756344909006</v>
      </c>
    </row>
    <row r="114" customFormat="false" ht="17.15" hidden="false" customHeight="false" outlineLevel="0" collapsed="false">
      <c r="A114" s="1" t="s">
        <v>534</v>
      </c>
    </row>
    <row r="115" customFormat="false" ht="17.15" hidden="false" customHeight="false" outlineLevel="0" collapsed="false">
      <c r="A115" s="6" t="s">
        <v>19</v>
      </c>
      <c r="B115" s="6" t="s">
        <v>20</v>
      </c>
      <c r="C115" s="14" t="s">
        <v>420</v>
      </c>
      <c r="D115" s="14" t="s">
        <v>487</v>
      </c>
      <c r="E115" s="14" t="s">
        <v>488</v>
      </c>
      <c r="F115" s="14" t="s">
        <v>489</v>
      </c>
      <c r="G115" s="14" t="s">
        <v>490</v>
      </c>
      <c r="H115" s="6" t="s">
        <v>428</v>
      </c>
    </row>
    <row r="116" customFormat="false" ht="17.15" hidden="false" customHeight="false" outlineLevel="0" collapsed="false">
      <c r="A116" s="0" t="s">
        <v>535</v>
      </c>
      <c r="B116" s="0" t="s">
        <v>30</v>
      </c>
      <c r="E116" s="26" t="n">
        <f aca="false">w2h_26*C109+h_1h*D109</f>
        <v>5.41378131485631</v>
      </c>
      <c r="F116" s="26" t="n">
        <f aca="false">(1-h_1h)*D109+h_1h*E109</f>
        <v>7.7728106092815</v>
      </c>
      <c r="G116" s="26" t="n">
        <f aca="false">(1-h_1h)*E109+h_1h*F109</f>
        <v>9.18500841917082</v>
      </c>
      <c r="H116" s="8" t="s">
        <v>536</v>
      </c>
    </row>
    <row r="117" customFormat="false" ht="17.15" hidden="false" customHeight="false" outlineLevel="0" collapsed="false">
      <c r="A117" s="5" t="s">
        <v>537</v>
      </c>
      <c r="B117" s="0" t="s">
        <v>30</v>
      </c>
      <c r="E117" s="26" t="n">
        <f aca="false">w2h_26*C110+h_1h*D110+w2h_26*C111+h_1h*D111</f>
        <v>1.20907716498309</v>
      </c>
      <c r="F117" s="26" t="n">
        <f aca="false">(1-h_1h)*D110+h_1h*E110+(1-h_1h)*D111+h_1h*E111</f>
        <v>1.31695065</v>
      </c>
      <c r="G117" s="26" t="n">
        <f aca="false">(1-h_1h)*E110+h_1h*F110+(1-h_1h)*E111+h_1h*F111</f>
        <v>1.451554482</v>
      </c>
    </row>
    <row r="118" customFormat="false" ht="15" hidden="false" customHeight="false" outlineLevel="0" collapsed="false">
      <c r="A118" s="5" t="s">
        <v>429</v>
      </c>
      <c r="B118" s="0" t="s">
        <v>30</v>
      </c>
      <c r="C118" s="26" t="n">
        <f aca="false">a25_rev/1000</f>
        <v>1.645</v>
      </c>
      <c r="D118" s="26" t="n">
        <f aca="false">a26_rev/1000</f>
        <v>3.014</v>
      </c>
      <c r="E118" s="26" t="n">
        <f aca="false">E116+E117</f>
        <v>6.6228584798394</v>
      </c>
      <c r="F118" s="26" t="n">
        <f aca="false">F116+F117</f>
        <v>9.0897612592815</v>
      </c>
      <c r="G118" s="26" t="n">
        <f aca="false">G116+G117</f>
        <v>10.6365629011708</v>
      </c>
    </row>
    <row r="119" customFormat="false" ht="15" hidden="false" customHeight="false" outlineLevel="0" collapsed="false">
      <c r="A119" s="5" t="s">
        <v>538</v>
      </c>
      <c r="B119" s="0" t="s">
        <v>163</v>
      </c>
      <c r="D119" s="16" t="n">
        <f aca="false">D118/C118-1</f>
        <v>0.832218844984802</v>
      </c>
      <c r="E119" s="16" t="n">
        <f aca="false">E118/D118-1</f>
        <v>1.19736512270717</v>
      </c>
      <c r="F119" s="16" t="n">
        <f aca="false">F118/E118-1</f>
        <v>0.372483088224153</v>
      </c>
      <c r="G119" s="16" t="n">
        <f aca="false">G118/F118-1</f>
        <v>0.170169666481601</v>
      </c>
    </row>
    <row r="120" customFormat="false" ht="17.15" hidden="false" customHeight="false" outlineLevel="0" collapsed="false">
      <c r="A120" s="0" t="s">
        <v>539</v>
      </c>
      <c r="B120" s="0" t="s">
        <v>163</v>
      </c>
      <c r="E120" s="16" t="n">
        <f aca="false">E116/E118</f>
        <v>0.817438773806864</v>
      </c>
      <c r="F120" s="16" t="n">
        <f aca="false">F116/F118</f>
        <v>0.855117135375226</v>
      </c>
      <c r="G120" s="16" t="n">
        <f aca="false">G116/G118</f>
        <v>0.86353162243414</v>
      </c>
    </row>
    <row r="121" customFormat="false" ht="17.15" hidden="false" customHeight="false" outlineLevel="0" collapsed="false">
      <c r="A121" s="5" t="s">
        <v>432</v>
      </c>
      <c r="B121" s="0" t="s">
        <v>163</v>
      </c>
      <c r="C121" s="16" t="n">
        <f aca="false">a25_gm</f>
        <v>0.347</v>
      </c>
      <c r="D121" s="16" t="n">
        <f aca="false">a26_gm</f>
        <v>0.46</v>
      </c>
      <c r="E121" s="16" t="n">
        <f aca="false">gm_27</f>
        <v>0.52</v>
      </c>
      <c r="F121" s="16" t="n">
        <f aca="false">gm_28</f>
        <v>0.51</v>
      </c>
      <c r="G121" s="16" t="n">
        <f aca="false">gm_29</f>
        <v>0.49</v>
      </c>
    </row>
    <row r="122" customFormat="false" ht="15" hidden="false" customHeight="false" outlineLevel="0" collapsed="false">
      <c r="A122" s="5" t="s">
        <v>433</v>
      </c>
      <c r="B122" s="0" t="s">
        <v>30</v>
      </c>
      <c r="C122" s="26" t="n">
        <f aca="false">C118*C121</f>
        <v>0.570815</v>
      </c>
      <c r="D122" s="26" t="n">
        <f aca="false">D118*D121</f>
        <v>1.38644</v>
      </c>
      <c r="E122" s="26" t="n">
        <f aca="false">E118*E121</f>
        <v>3.44388640951649</v>
      </c>
      <c r="F122" s="26" t="n">
        <f aca="false">F118*F121</f>
        <v>4.63577824223357</v>
      </c>
      <c r="G122" s="26" t="n">
        <f aca="false">G118*G121</f>
        <v>5.2119158215737</v>
      </c>
    </row>
    <row r="123" customFormat="false" ht="15" hidden="false" customHeight="false" outlineLevel="0" collapsed="false">
      <c r="A123" s="5" t="s">
        <v>540</v>
      </c>
      <c r="B123" s="0" t="s">
        <v>30</v>
      </c>
      <c r="C123" s="26" t="n">
        <f aca="false">a25_opx/1000</f>
        <v>0.4114</v>
      </c>
      <c r="D123" s="26" t="n">
        <f aca="false">a26_opx/1000</f>
        <v>0.4897</v>
      </c>
      <c r="E123" s="26" t="n">
        <f aca="false">D123*(1+MAX(0,phi*E119))</f>
        <v>0.623796251109105</v>
      </c>
      <c r="F123" s="26" t="n">
        <f aca="false">E123*(1+MAX(0,phi*F119))</f>
        <v>0.676934745930093</v>
      </c>
      <c r="G123" s="26" t="n">
        <f aca="false">F123*(1+MAX(0,phi*G119))</f>
        <v>0.703279180563923</v>
      </c>
    </row>
    <row r="124" customFormat="false" ht="15" hidden="false" customHeight="false" outlineLevel="0" collapsed="false">
      <c r="A124" s="5" t="s">
        <v>541</v>
      </c>
      <c r="B124" s="0" t="s">
        <v>30</v>
      </c>
      <c r="C124" s="26" t="n">
        <f aca="false">C123</f>
        <v>0.4114</v>
      </c>
      <c r="D124" s="26" t="n">
        <f aca="false">D123</f>
        <v>0.4897</v>
      </c>
      <c r="E124" s="26" t="n">
        <f aca="false">E123+0*E118</f>
        <v>0.623796251109105</v>
      </c>
      <c r="F124" s="26" t="n">
        <f aca="false">F123+0*F118</f>
        <v>0.676934745930093</v>
      </c>
      <c r="G124" s="26" t="n">
        <f aca="false">G123+0*G118</f>
        <v>0.703279180563923</v>
      </c>
    </row>
    <row r="125" customFormat="false" ht="15" hidden="false" customHeight="false" outlineLevel="0" collapsed="false">
      <c r="A125" s="5" t="s">
        <v>542</v>
      </c>
      <c r="B125" s="0" t="s">
        <v>30</v>
      </c>
      <c r="C125" s="26" t="n">
        <f aca="false">C122-C124</f>
        <v>0.159415</v>
      </c>
      <c r="D125" s="26" t="n">
        <f aca="false">D122-D124</f>
        <v>0.89674</v>
      </c>
      <c r="E125" s="26" t="n">
        <f aca="false">E122-E124</f>
        <v>2.82009015840738</v>
      </c>
      <c r="F125" s="26" t="n">
        <f aca="false">F122-F124</f>
        <v>3.95884349630347</v>
      </c>
      <c r="G125" s="26" t="n">
        <f aca="false">G122-G124</f>
        <v>4.50863664100978</v>
      </c>
    </row>
    <row r="126" customFormat="false" ht="15" hidden="false" customHeight="false" outlineLevel="0" collapsed="false">
      <c r="A126" s="5" t="s">
        <v>437</v>
      </c>
      <c r="B126" s="0" t="s">
        <v>163</v>
      </c>
      <c r="C126" s="16" t="n">
        <f aca="false">C125/C118</f>
        <v>0.0969088145896656</v>
      </c>
      <c r="D126" s="16" t="n">
        <f aca="false">D125/D118</f>
        <v>0.297524883875249</v>
      </c>
      <c r="E126" s="16" t="n">
        <f aca="false">E125/E118</f>
        <v>0.425811629071043</v>
      </c>
      <c r="F126" s="16" t="n">
        <f aca="false">F125/F118</f>
        <v>0.435527774974411</v>
      </c>
      <c r="G126" s="16" t="n">
        <f aca="false">G125/G118</f>
        <v>0.423880973854204</v>
      </c>
    </row>
    <row r="127" customFormat="false" ht="17.15" hidden="false" customHeight="false" outlineLevel="0" collapsed="false">
      <c r="A127" s="5" t="s">
        <v>438</v>
      </c>
      <c r="B127" s="0" t="s">
        <v>30</v>
      </c>
      <c r="C127" s="26" t="n">
        <f aca="false">a25_ni/1000</f>
        <v>0.1464</v>
      </c>
      <c r="D127" s="26" t="n">
        <f aca="false">a26_ni/1000</f>
        <v>0.7823</v>
      </c>
      <c r="E127" s="26" t="n">
        <f aca="false">(E125+oi_oth)*(1-tx)</f>
        <v>2.39837528227016</v>
      </c>
      <c r="F127" s="26" t="n">
        <f aca="false">(F125+oi_oth)*(1-tx)</f>
        <v>3.3492343194134</v>
      </c>
      <c r="G127" s="26" t="n">
        <f aca="false">(G125+oi_oth)*(1-tx)</f>
        <v>3.80831159524317</v>
      </c>
    </row>
    <row r="128" customFormat="false" ht="15" hidden="false" customHeight="false" outlineLevel="0" collapsed="false">
      <c r="A128" s="5" t="s">
        <v>500</v>
      </c>
      <c r="B128" s="0" t="s">
        <v>163</v>
      </c>
      <c r="C128" s="16" t="n">
        <f aca="false">C127/C118</f>
        <v>0.0889969604863222</v>
      </c>
      <c r="D128" s="16" t="n">
        <f aca="false">D127/D118</f>
        <v>0.259555408095554</v>
      </c>
      <c r="E128" s="16" t="n">
        <f aca="false">E127/E118</f>
        <v>0.362135970377601</v>
      </c>
      <c r="F128" s="16" t="n">
        <f aca="false">F127/F118</f>
        <v>0.368462297730154</v>
      </c>
      <c r="G128" s="16" t="n">
        <f aca="false">G127/G118</f>
        <v>0.358039681674234</v>
      </c>
    </row>
    <row r="129" customFormat="false" ht="17.15" hidden="false" customHeight="false" outlineLevel="0" collapsed="false">
      <c r="A129" s="5" t="s">
        <v>442</v>
      </c>
      <c r="B129" s="5" t="s">
        <v>237</v>
      </c>
      <c r="C129" s="15" t="n">
        <f aca="false">a25_sh</f>
        <v>71.0679611650485</v>
      </c>
      <c r="D129" s="15" t="n">
        <f aca="false">a26_sh</f>
        <v>90.2306805074971</v>
      </c>
      <c r="E129" s="15" t="n">
        <f aca="false">sh_q1</f>
        <v>102</v>
      </c>
      <c r="F129" s="15" t="n">
        <f aca="false">E129*(1+sh_g)</f>
        <v>103.02</v>
      </c>
      <c r="G129" s="15" t="n">
        <f aca="false">F129*(1+sh_g)</f>
        <v>104.0502</v>
      </c>
    </row>
    <row r="130" customFormat="false" ht="17.15" hidden="false" customHeight="false" outlineLevel="0" collapsed="false">
      <c r="A130" s="0" t="s">
        <v>444</v>
      </c>
      <c r="B130" s="0" t="s">
        <v>232</v>
      </c>
      <c r="C130" s="9" t="n">
        <f aca="false">C127*1000/C129</f>
        <v>2.06</v>
      </c>
      <c r="D130" s="9" t="n">
        <f aca="false">D127*1000/D129</f>
        <v>8.67</v>
      </c>
      <c r="E130" s="9" t="n">
        <f aca="false">E127*1000/E129</f>
        <v>23.5134831595114</v>
      </c>
      <c r="F130" s="9" t="n">
        <f aca="false">F127*1000/F129</f>
        <v>32.5105253291924</v>
      </c>
      <c r="G130" s="9" t="n">
        <f aca="false">G127*1000/G129</f>
        <v>36.6007138404651</v>
      </c>
    </row>
    <row r="131" customFormat="false" ht="17.15" hidden="false" customHeight="false" outlineLevel="0" collapsed="false">
      <c r="A131" s="0" t="s">
        <v>543</v>
      </c>
      <c r="B131" s="0" t="s">
        <v>163</v>
      </c>
      <c r="D131" s="16" t="n">
        <f aca="false">D130/C130-1</f>
        <v>3.20873786407767</v>
      </c>
      <c r="E131" s="16" t="n">
        <f aca="false">E130/D130-1</f>
        <v>1.7120511141305</v>
      </c>
      <c r="F131" s="16" t="n">
        <f aca="false">F130/E130-1</f>
        <v>0.382633321853959</v>
      </c>
      <c r="G131" s="16" t="n">
        <f aca="false">G130/F130-1</f>
        <v>0.125811209442378</v>
      </c>
    </row>
    <row r="134" customFormat="false" ht="17.15" hidden="false" customHeight="false" outlineLevel="0" collapsed="false">
      <c r="A134" s="3" t="s">
        <v>836</v>
      </c>
    </row>
    <row r="135" customFormat="false" ht="17.15" hidden="false" customHeight="false" outlineLevel="0" collapsed="false">
      <c r="A135" s="1" t="s">
        <v>509</v>
      </c>
    </row>
    <row r="136" customFormat="false" ht="17.15" hidden="false" customHeight="false" outlineLevel="0" collapsed="false">
      <c r="A136" s="6" t="s">
        <v>19</v>
      </c>
      <c r="B136" s="6" t="s">
        <v>20</v>
      </c>
      <c r="C136" s="14" t="s">
        <v>510</v>
      </c>
      <c r="D136" s="14" t="s">
        <v>465</v>
      </c>
      <c r="E136" s="14" t="s">
        <v>466</v>
      </c>
      <c r="F136" s="14" t="s">
        <v>467</v>
      </c>
      <c r="G136" s="14"/>
      <c r="H136" s="6" t="s">
        <v>428</v>
      </c>
    </row>
    <row r="137" customFormat="false" ht="17.15" hidden="false" customHeight="false" outlineLevel="0" collapsed="false">
      <c r="A137" s="0" t="s">
        <v>511</v>
      </c>
      <c r="B137" s="0" t="s">
        <v>30</v>
      </c>
      <c r="C137" s="26" t="n">
        <f aca="false">mpl_26*1</f>
        <v>29.753262</v>
      </c>
      <c r="D137" s="26" t="n">
        <f aca="false">mpl_27*1*1</f>
        <v>54.688309</v>
      </c>
      <c r="E137" s="26" t="n">
        <f aca="false">mpl_28*um28_A*1</f>
        <v>61.21325</v>
      </c>
      <c r="F137" s="26" t="n">
        <f aca="false">mpl_29*um29_A*1</f>
        <v>78.80848</v>
      </c>
    </row>
    <row r="138" customFormat="false" ht="17.15" hidden="false" customHeight="false" outlineLevel="0" collapsed="false">
      <c r="A138" s="5" t="s">
        <v>512</v>
      </c>
      <c r="B138" s="0" t="s">
        <v>96</v>
      </c>
      <c r="C138" s="20" t="n">
        <f aca="false">asp_26</f>
        <v>500</v>
      </c>
      <c r="D138" s="20" t="n">
        <f aca="false">asp_27</f>
        <v>520</v>
      </c>
      <c r="E138" s="20" t="n">
        <f aca="false">asp_28</f>
        <v>540</v>
      </c>
      <c r="F138" s="20" t="n">
        <f aca="false">asp_29</f>
        <v>560</v>
      </c>
    </row>
    <row r="139" customFormat="false" ht="17.15" hidden="false" customHeight="false" outlineLevel="0" collapsed="false">
      <c r="A139" s="5" t="s">
        <v>513</v>
      </c>
      <c r="B139" s="5" t="s">
        <v>336</v>
      </c>
      <c r="C139" s="15" t="n">
        <f aca="false">C137*1000/C138</f>
        <v>59.506524</v>
      </c>
      <c r="D139" s="15" t="n">
        <f aca="false">D137*1000/D138</f>
        <v>105.169825</v>
      </c>
      <c r="E139" s="15" t="n">
        <f aca="false">E137*1000/E138</f>
        <v>113.35787037037</v>
      </c>
      <c r="F139" s="15" t="n">
        <f aca="false">F137*1000/F138</f>
        <v>140.729428571429</v>
      </c>
    </row>
    <row r="140" customFormat="false" ht="17.15" hidden="false" customHeight="false" outlineLevel="0" collapsed="false">
      <c r="A140" s="5" t="s">
        <v>514</v>
      </c>
      <c r="B140" s="5" t="s">
        <v>108</v>
      </c>
      <c r="C140" s="18" t="n">
        <f aca="false">lpm_26</f>
        <v>5.5</v>
      </c>
      <c r="D140" s="18" t="n">
        <f aca="false">LPLO_27</f>
        <v>4.5</v>
      </c>
      <c r="E140" s="18" t="n">
        <f aca="false">LPLO_28</f>
        <v>4</v>
      </c>
      <c r="F140" s="18" t="n">
        <f aca="false">LPLO_29</f>
        <v>3.5</v>
      </c>
    </row>
    <row r="141" customFormat="false" ht="17.15" hidden="false" customHeight="false" outlineLevel="0" collapsed="false">
      <c r="A141" s="5" t="s">
        <v>515</v>
      </c>
      <c r="B141" s="0" t="s">
        <v>120</v>
      </c>
      <c r="C141" s="18" t="n">
        <f aca="false">lasp_26</f>
        <v>13</v>
      </c>
      <c r="D141" s="18" t="n">
        <f aca="false">lasp_27</f>
        <v>15</v>
      </c>
      <c r="E141" s="18" t="n">
        <f aca="false">lasp_28</f>
        <v>15</v>
      </c>
      <c r="F141" s="18" t="n">
        <f aca="false">lasp_29</f>
        <v>14</v>
      </c>
    </row>
    <row r="142" customFormat="false" ht="17.15" hidden="false" customHeight="false" outlineLevel="0" collapsed="false">
      <c r="A142" s="5" t="s">
        <v>516</v>
      </c>
      <c r="B142" s="0" t="s">
        <v>30</v>
      </c>
      <c r="C142" s="26" t="n">
        <f aca="false">C139*C140*C141/1000</f>
        <v>4.254716466</v>
      </c>
      <c r="D142" s="26" t="n">
        <f aca="false">D139*D140*D141/1000</f>
        <v>7.0989631875</v>
      </c>
      <c r="E142" s="26" t="n">
        <f aca="false">E139*E140*E141/1000</f>
        <v>6.80147222222222</v>
      </c>
      <c r="F142" s="26" t="n">
        <f aca="false">F139*F140*F141/1000</f>
        <v>6.895742</v>
      </c>
    </row>
    <row r="143" customFormat="false" ht="17.15" hidden="false" customHeight="false" outlineLevel="0" collapsed="false">
      <c r="A143" s="0" t="s">
        <v>517</v>
      </c>
      <c r="B143" s="0" t="s">
        <v>163</v>
      </c>
      <c r="C143" s="16" t="n">
        <f aca="false">c26_las/1000/C142</f>
        <v>0.43826657190933</v>
      </c>
      <c r="H143" s="8" t="s">
        <v>518</v>
      </c>
    </row>
    <row r="144" customFormat="false" ht="17.15" hidden="false" customHeight="false" outlineLevel="0" collapsed="false">
      <c r="A144" s="5" t="s">
        <v>519</v>
      </c>
      <c r="B144" s="0" t="s">
        <v>74</v>
      </c>
      <c r="C144" s="9" t="n">
        <f aca="false">1</f>
        <v>1</v>
      </c>
      <c r="D144" s="9" t="n">
        <f aca="false">lrel_27</f>
        <v>0.95</v>
      </c>
      <c r="E144" s="9" t="n">
        <f aca="false">lrel_28</f>
        <v>0.95</v>
      </c>
      <c r="F144" s="9" t="n">
        <f aca="false">lrel_29</f>
        <v>0.9</v>
      </c>
    </row>
    <row r="145" customFormat="false" ht="15" hidden="false" customHeight="false" outlineLevel="0" collapsed="false">
      <c r="A145" s="5" t="s">
        <v>520</v>
      </c>
      <c r="B145" s="0" t="s">
        <v>163</v>
      </c>
      <c r="C145" s="16" t="n">
        <f aca="false">$C$143*C144</f>
        <v>0.43826657190933</v>
      </c>
      <c r="D145" s="16" t="n">
        <f aca="false">$C$143*D144</f>
        <v>0.416353243313864</v>
      </c>
      <c r="E145" s="16" t="n">
        <f aca="false">$C$143*E144</f>
        <v>0.416353243313864</v>
      </c>
      <c r="F145" s="16" t="n">
        <f aca="false">$C$143*F144</f>
        <v>0.394439914718397</v>
      </c>
    </row>
    <row r="146" customFormat="false" ht="17.15" hidden="false" customHeight="false" outlineLevel="0" collapsed="false">
      <c r="A146" s="5" t="s">
        <v>521</v>
      </c>
      <c r="B146" s="0" t="s">
        <v>30</v>
      </c>
      <c r="C146" s="26" t="n">
        <f aca="false">C142*C145</f>
        <v>1.8647</v>
      </c>
      <c r="D146" s="26" t="n">
        <f aca="false">D142*D145</f>
        <v>2.95567634728135</v>
      </c>
      <c r="E146" s="26" t="n">
        <f aca="false">E142*E145</f>
        <v>2.83181501903137</v>
      </c>
      <c r="F146" s="26" t="n">
        <f aca="false">F142*F145</f>
        <v>2.71995588640007</v>
      </c>
    </row>
    <row r="147" customFormat="false" ht="17.15" hidden="false" customHeight="false" outlineLevel="0" collapsed="false">
      <c r="A147" s="5" t="s">
        <v>522</v>
      </c>
      <c r="B147" s="0" t="s">
        <v>163</v>
      </c>
      <c r="C147" s="16" t="n">
        <f aca="false">c26_xcvr/1000/C137</f>
        <v>0.0336097601668012</v>
      </c>
    </row>
    <row r="148" customFormat="false" ht="15" hidden="false" customHeight="false" outlineLevel="0" collapsed="false">
      <c r="A148" s="5" t="s">
        <v>523</v>
      </c>
      <c r="B148" s="0" t="s">
        <v>163</v>
      </c>
      <c r="C148" s="16" t="n">
        <f aca="false">C147</f>
        <v>0.0336097601668012</v>
      </c>
      <c r="D148" s="16" t="n">
        <f aca="false">$C$147*mrel_27</f>
        <v>0.0336097601668012</v>
      </c>
      <c r="E148" s="16" t="n">
        <f aca="false">$C$147*mrel_28</f>
        <v>0.0336097601668012</v>
      </c>
      <c r="F148" s="16" t="n">
        <f aca="false">$C$147*mrel_29</f>
        <v>0.0336097601668012</v>
      </c>
    </row>
    <row r="149" customFormat="false" ht="15" hidden="false" customHeight="false" outlineLevel="0" collapsed="false">
      <c r="A149" s="5" t="s">
        <v>524</v>
      </c>
      <c r="B149" s="0" t="s">
        <v>30</v>
      </c>
      <c r="C149" s="26" t="n">
        <f aca="false">C137*C148</f>
        <v>1</v>
      </c>
      <c r="D149" s="26" t="n">
        <f aca="false">D137*D148</f>
        <v>1.83806094941792</v>
      </c>
      <c r="E149" s="26" t="n">
        <f aca="false">E137*E148</f>
        <v>2.05736265153044</v>
      </c>
      <c r="F149" s="26" t="n">
        <f aca="false">F137*F148</f>
        <v>2.64873411191015</v>
      </c>
    </row>
    <row r="150" customFormat="false" ht="17.15" hidden="false" customHeight="false" outlineLevel="0" collapsed="false">
      <c r="A150" s="0" t="s">
        <v>525</v>
      </c>
      <c r="B150" s="5" t="s">
        <v>53</v>
      </c>
      <c r="C150" s="19" t="n">
        <f aca="false">tpu_26*1</f>
        <v>3.85</v>
      </c>
      <c r="D150" s="19" t="n">
        <f aca="false">tpu_27*1</f>
        <v>5.5</v>
      </c>
      <c r="E150" s="19" t="n">
        <f aca="false">tpu_28*um28_A</f>
        <v>7</v>
      </c>
      <c r="F150" s="19" t="n">
        <f aca="false">tpu_29*um29_A</f>
        <v>8.05</v>
      </c>
    </row>
    <row r="151" customFormat="false" ht="17.15" hidden="false" customHeight="false" outlineLevel="0" collapsed="false">
      <c r="A151" s="0" t="s">
        <v>526</v>
      </c>
      <c r="B151" s="0" t="s">
        <v>120</v>
      </c>
      <c r="C151" s="20" t="n">
        <f aca="false">c26_ocs/C150</f>
        <v>129.87012987013</v>
      </c>
      <c r="D151" s="20" t="n">
        <f aca="false">$C151*ocsk_27</f>
        <v>207.792207792208</v>
      </c>
      <c r="E151" s="20" t="n">
        <f aca="false">$C151*ocsk_28</f>
        <v>233.766233766234</v>
      </c>
      <c r="F151" s="20" t="n">
        <f aca="false">$C151*ocsk_29</f>
        <v>233.766233766234</v>
      </c>
    </row>
    <row r="152" customFormat="false" ht="17.15" hidden="false" customHeight="false" outlineLevel="0" collapsed="false">
      <c r="A152" s="0" t="s">
        <v>479</v>
      </c>
      <c r="B152" s="0" t="s">
        <v>30</v>
      </c>
      <c r="C152" s="26" t="n">
        <f aca="false">C150*C151/1000</f>
        <v>0.5</v>
      </c>
      <c r="D152" s="26" t="n">
        <f aca="false">D150*D151/1000</f>
        <v>1.14285714285714</v>
      </c>
      <c r="E152" s="26" t="n">
        <f aca="false">E150*E151/1000</f>
        <v>1.63636363636364</v>
      </c>
      <c r="F152" s="26" t="n">
        <f aca="false">F150*F151/1000</f>
        <v>1.88181818181818</v>
      </c>
    </row>
    <row r="153" customFormat="false" ht="17.15" hidden="false" customHeight="false" outlineLevel="0" collapsed="false">
      <c r="A153" s="0" t="s">
        <v>527</v>
      </c>
      <c r="B153" s="0" t="s">
        <v>30</v>
      </c>
      <c r="C153" s="26" t="n">
        <f aca="false">mcp_26*1</f>
        <v>0.300538</v>
      </c>
      <c r="D153" s="26" t="n">
        <f aca="false">mcp_27*1</f>
        <v>1.691391</v>
      </c>
      <c r="E153" s="26" t="n">
        <f aca="false">mcp_28*um28_A</f>
        <v>3.22175</v>
      </c>
      <c r="F153" s="26" t="n">
        <f aca="false">mcp_29*um29_A</f>
        <v>5.87368</v>
      </c>
    </row>
    <row r="154" customFormat="false" ht="17.15" hidden="false" customHeight="false" outlineLevel="0" collapsed="false">
      <c r="A154" s="0" t="s">
        <v>480</v>
      </c>
      <c r="B154" s="0" t="s">
        <v>163</v>
      </c>
      <c r="C154" s="16" t="n">
        <f aca="false">c26_cpo/1000/C153</f>
        <v>0.166368312825666</v>
      </c>
      <c r="D154" s="16" t="n">
        <f aca="false">cpo_27</f>
        <v>0.25</v>
      </c>
      <c r="E154" s="16" t="n">
        <f aca="false">cpo_28</f>
        <v>0.25</v>
      </c>
      <c r="F154" s="16" t="n">
        <f aca="false">cpo_29</f>
        <v>0.2</v>
      </c>
    </row>
    <row r="155" customFormat="false" ht="17.15" hidden="false" customHeight="false" outlineLevel="0" collapsed="false">
      <c r="A155" s="0" t="s">
        <v>528</v>
      </c>
      <c r="B155" s="0" t="s">
        <v>30</v>
      </c>
      <c r="C155" s="26" t="n">
        <f aca="false">C153*C154</f>
        <v>0.05</v>
      </c>
      <c r="D155" s="26" t="n">
        <f aca="false">D153*D154</f>
        <v>0.42284775</v>
      </c>
      <c r="E155" s="26" t="n">
        <f aca="false">E153*E154</f>
        <v>0.8054375</v>
      </c>
      <c r="F155" s="26" t="n">
        <f aca="false">F153*F154</f>
        <v>1.174736</v>
      </c>
    </row>
    <row r="156" customFormat="false" ht="17.15" hidden="false" customHeight="false" outlineLevel="0" collapsed="false">
      <c r="A156" s="0" t="s">
        <v>529</v>
      </c>
      <c r="B156" s="0" t="s">
        <v>30</v>
      </c>
      <c r="C156" s="26" t="n">
        <f aca="false">C146+C149+C152+C155</f>
        <v>3.4147</v>
      </c>
      <c r="D156" s="26" t="n">
        <f aca="false">D146+D149+D152+D155</f>
        <v>6.35944218955641</v>
      </c>
      <c r="E156" s="26" t="n">
        <f aca="false">E146+E149+E152+E155</f>
        <v>7.33097880692545</v>
      </c>
      <c r="F156" s="26" t="n">
        <f aca="false">F146+F149+F152+F155</f>
        <v>8.4252441801284</v>
      </c>
    </row>
    <row r="157" customFormat="false" ht="17.15" hidden="false" customHeight="false" outlineLevel="0" collapsed="false">
      <c r="A157" s="5" t="s">
        <v>530</v>
      </c>
      <c r="B157" s="0" t="s">
        <v>30</v>
      </c>
      <c r="C157" s="26" t="n">
        <f aca="false">c26_tel/1000</f>
        <v>0.75</v>
      </c>
      <c r="D157" s="26" t="n">
        <f aca="false">C157*(1+g_tel_27)</f>
        <v>0.9375</v>
      </c>
      <c r="E157" s="26" t="n">
        <f aca="false">D157*(1+g_tel_28)</f>
        <v>1.078125</v>
      </c>
      <c r="F157" s="26" t="n">
        <f aca="false">E157*(1+g_tel_29)</f>
        <v>1.1859375</v>
      </c>
    </row>
    <row r="158" customFormat="false" ht="17.15" hidden="false" customHeight="false" outlineLevel="0" collapsed="false">
      <c r="A158" s="5" t="s">
        <v>531</v>
      </c>
      <c r="B158" s="0" t="s">
        <v>30</v>
      </c>
      <c r="C158" s="26" t="n">
        <f aca="false">c26_ind/1000</f>
        <v>0.3</v>
      </c>
      <c r="D158" s="26" t="n">
        <f aca="false">C158*(1+g_ind)</f>
        <v>0.309</v>
      </c>
      <c r="E158" s="26" t="n">
        <f aca="false">D158*(1+g_ind)</f>
        <v>0.31827</v>
      </c>
      <c r="F158" s="26" t="n">
        <f aca="false">E158*(1+g_ind)</f>
        <v>0.3278181</v>
      </c>
    </row>
    <row r="159" customFormat="false" ht="15" hidden="false" customHeight="false" outlineLevel="0" collapsed="false">
      <c r="A159" s="5" t="s">
        <v>532</v>
      </c>
      <c r="B159" s="0" t="s">
        <v>30</v>
      </c>
      <c r="C159" s="26" t="n">
        <f aca="false">C156+C157+C158</f>
        <v>4.4647</v>
      </c>
      <c r="D159" s="26" t="n">
        <f aca="false">D156+D157+D158</f>
        <v>7.60594218955641</v>
      </c>
      <c r="E159" s="26" t="n">
        <f aca="false">E156+E157+E158</f>
        <v>8.72737380692546</v>
      </c>
      <c r="F159" s="26" t="n">
        <f aca="false">F156+F157+F158</f>
        <v>9.9389997801284</v>
      </c>
    </row>
    <row r="160" customFormat="false" ht="15" hidden="false" customHeight="false" outlineLevel="0" collapsed="false">
      <c r="A160" s="5" t="s">
        <v>533</v>
      </c>
      <c r="B160" s="0" t="s">
        <v>163</v>
      </c>
      <c r="D160" s="16" t="n">
        <f aca="false">D159/C159-1</f>
        <v>0.70357295889005</v>
      </c>
      <c r="E160" s="16" t="n">
        <f aca="false">E159/D159-1</f>
        <v>0.14744151209943</v>
      </c>
      <c r="F160" s="16" t="n">
        <f aca="false">F159/E159-1</f>
        <v>0.138830534821538</v>
      </c>
    </row>
    <row r="161" customFormat="false" ht="17.15" hidden="false" customHeight="false" outlineLevel="0" collapsed="false">
      <c r="A161" s="1" t="s">
        <v>534</v>
      </c>
    </row>
    <row r="162" customFormat="false" ht="17.15" hidden="false" customHeight="false" outlineLevel="0" collapsed="false">
      <c r="A162" s="6" t="s">
        <v>19</v>
      </c>
      <c r="B162" s="6" t="s">
        <v>20</v>
      </c>
      <c r="C162" s="14" t="s">
        <v>420</v>
      </c>
      <c r="D162" s="14" t="s">
        <v>487</v>
      </c>
      <c r="E162" s="14" t="s">
        <v>488</v>
      </c>
      <c r="F162" s="14" t="s">
        <v>489</v>
      </c>
      <c r="G162" s="14" t="s">
        <v>490</v>
      </c>
      <c r="H162" s="6" t="s">
        <v>428</v>
      </c>
    </row>
    <row r="163" customFormat="false" ht="17.15" hidden="false" customHeight="false" outlineLevel="0" collapsed="false">
      <c r="A163" s="0" t="s">
        <v>535</v>
      </c>
      <c r="B163" s="0" t="s">
        <v>30</v>
      </c>
      <c r="E163" s="26" t="n">
        <f aca="false">w2h_26*C156+h_1h*D156</f>
        <v>5.01571566410842</v>
      </c>
      <c r="F163" s="26" t="n">
        <f aca="false">(1-h_1h)*D156+h_1h*E156</f>
        <v>6.81606439971986</v>
      </c>
      <c r="G163" s="26" t="n">
        <f aca="false">(1-h_1h)*E156+h_1h*F156</f>
        <v>7.84528353233084</v>
      </c>
      <c r="H163" s="8" t="s">
        <v>536</v>
      </c>
    </row>
    <row r="164" customFormat="false" ht="17.15" hidden="false" customHeight="false" outlineLevel="0" collapsed="false">
      <c r="A164" s="5" t="s">
        <v>537</v>
      </c>
      <c r="B164" s="0" t="s">
        <v>30</v>
      </c>
      <c r="E164" s="26" t="n">
        <f aca="false">w2h_26*C157+h_1h*D157+w2h_26*C158+h_1h*D158</f>
        <v>1.20907716498309</v>
      </c>
      <c r="F164" s="26" t="n">
        <f aca="false">(1-h_1h)*D157+h_1h*E157+(1-h_1h)*D158+h_1h*E158</f>
        <v>1.31695065</v>
      </c>
      <c r="G164" s="26" t="n">
        <f aca="false">(1-h_1h)*E157+h_1h*F157+(1-h_1h)*E158+h_1h*F158</f>
        <v>1.451554482</v>
      </c>
    </row>
    <row r="165" customFormat="false" ht="15" hidden="false" customHeight="false" outlineLevel="0" collapsed="false">
      <c r="A165" s="5" t="s">
        <v>429</v>
      </c>
      <c r="B165" s="0" t="s">
        <v>30</v>
      </c>
      <c r="C165" s="26" t="n">
        <f aca="false">a25_rev/1000</f>
        <v>1.645</v>
      </c>
      <c r="D165" s="26" t="n">
        <f aca="false">a26_rev/1000</f>
        <v>3.014</v>
      </c>
      <c r="E165" s="26" t="n">
        <f aca="false">E163+E164</f>
        <v>6.22479282909151</v>
      </c>
      <c r="F165" s="26" t="n">
        <f aca="false">F163+F164</f>
        <v>8.13301504971986</v>
      </c>
      <c r="G165" s="26" t="n">
        <f aca="false">G163+G164</f>
        <v>9.29683801433084</v>
      </c>
    </row>
    <row r="166" customFormat="false" ht="15" hidden="false" customHeight="false" outlineLevel="0" collapsed="false">
      <c r="A166" s="5" t="s">
        <v>538</v>
      </c>
      <c r="B166" s="0" t="s">
        <v>163</v>
      </c>
      <c r="D166" s="16" t="n">
        <f aca="false">D165/C165-1</f>
        <v>0.832218844984802</v>
      </c>
      <c r="E166" s="16" t="n">
        <f aca="false">E165/D165-1</f>
        <v>1.06529290945306</v>
      </c>
      <c r="F166" s="16" t="n">
        <f aca="false">F165/E165-1</f>
        <v>0.306551924380566</v>
      </c>
      <c r="G166" s="16" t="n">
        <f aca="false">G165/F165-1</f>
        <v>0.143098587362268</v>
      </c>
    </row>
    <row r="167" customFormat="false" ht="17.15" hidden="false" customHeight="false" outlineLevel="0" collapsed="false">
      <c r="A167" s="0" t="s">
        <v>539</v>
      </c>
      <c r="B167" s="0" t="s">
        <v>163</v>
      </c>
      <c r="E167" s="16" t="n">
        <f aca="false">E163/E165</f>
        <v>0.805764272293131</v>
      </c>
      <c r="F167" s="16" t="n">
        <f aca="false">F163/F165</f>
        <v>0.838073501407653</v>
      </c>
      <c r="G167" s="16" t="n">
        <f aca="false">G163/G165</f>
        <v>0.843865787511575</v>
      </c>
    </row>
    <row r="168" customFormat="false" ht="17.15" hidden="false" customHeight="false" outlineLevel="0" collapsed="false">
      <c r="A168" s="5" t="s">
        <v>432</v>
      </c>
      <c r="B168" s="0" t="s">
        <v>163</v>
      </c>
      <c r="C168" s="16" t="n">
        <f aca="false">a25_gm</f>
        <v>0.347</v>
      </c>
      <c r="D168" s="16" t="n">
        <f aca="false">a26_gm</f>
        <v>0.46</v>
      </c>
      <c r="E168" s="16" t="n">
        <f aca="false">gm_27</f>
        <v>0.52</v>
      </c>
      <c r="F168" s="16" t="n">
        <f aca="false">gm_28</f>
        <v>0.51</v>
      </c>
      <c r="G168" s="16" t="n">
        <f aca="false">gm_29</f>
        <v>0.49</v>
      </c>
    </row>
    <row r="169" customFormat="false" ht="15" hidden="false" customHeight="false" outlineLevel="0" collapsed="false">
      <c r="A169" s="5" t="s">
        <v>433</v>
      </c>
      <c r="B169" s="0" t="s">
        <v>30</v>
      </c>
      <c r="C169" s="26" t="n">
        <f aca="false">C165*C168</f>
        <v>0.570815</v>
      </c>
      <c r="D169" s="26" t="n">
        <f aca="false">D165*D168</f>
        <v>1.38644</v>
      </c>
      <c r="E169" s="26" t="n">
        <f aca="false">E165*E168</f>
        <v>3.23689227112759</v>
      </c>
      <c r="F169" s="26" t="n">
        <f aca="false">F165*F168</f>
        <v>4.14783767535713</v>
      </c>
      <c r="G169" s="26" t="n">
        <f aca="false">G165*G168</f>
        <v>4.55545062702211</v>
      </c>
    </row>
    <row r="170" customFormat="false" ht="15" hidden="false" customHeight="false" outlineLevel="0" collapsed="false">
      <c r="A170" s="5" t="s">
        <v>540</v>
      </c>
      <c r="B170" s="0" t="s">
        <v>30</v>
      </c>
      <c r="C170" s="26" t="n">
        <f aca="false">a25_opx/1000</f>
        <v>0.4114</v>
      </c>
      <c r="D170" s="26" t="n">
        <f aca="false">a26_opx/1000</f>
        <v>0.4897</v>
      </c>
      <c r="E170" s="26" t="n">
        <f aca="false">D170*(1+MAX(0,phi*E166))</f>
        <v>0.609005116527687</v>
      </c>
      <c r="F170" s="26" t="n">
        <f aca="false">E170*(1+MAX(0,phi*F166))</f>
        <v>0.651700893083207</v>
      </c>
      <c r="G170" s="26" t="n">
        <f aca="false">F170*(1+MAX(0,phi*G166))</f>
        <v>0.673028571882305</v>
      </c>
    </row>
    <row r="171" customFormat="false" ht="15" hidden="false" customHeight="false" outlineLevel="0" collapsed="false">
      <c r="A171" s="5" t="s">
        <v>541</v>
      </c>
      <c r="B171" s="0" t="s">
        <v>30</v>
      </c>
      <c r="C171" s="26" t="n">
        <f aca="false">C170</f>
        <v>0.4114</v>
      </c>
      <c r="D171" s="26" t="n">
        <f aca="false">D170</f>
        <v>0.4897</v>
      </c>
      <c r="E171" s="26" t="n">
        <f aca="false">E170+0*E165</f>
        <v>0.609005116527687</v>
      </c>
      <c r="F171" s="26" t="n">
        <f aca="false">F170+0*F165</f>
        <v>0.651700893083207</v>
      </c>
      <c r="G171" s="26" t="n">
        <f aca="false">G170+0*G165</f>
        <v>0.673028571882305</v>
      </c>
    </row>
    <row r="172" customFormat="false" ht="15" hidden="false" customHeight="false" outlineLevel="0" collapsed="false">
      <c r="A172" s="5" t="s">
        <v>542</v>
      </c>
      <c r="B172" s="0" t="s">
        <v>30</v>
      </c>
      <c r="C172" s="26" t="n">
        <f aca="false">C169-C171</f>
        <v>0.159415</v>
      </c>
      <c r="D172" s="26" t="n">
        <f aca="false">D169-D171</f>
        <v>0.89674</v>
      </c>
      <c r="E172" s="26" t="n">
        <f aca="false">E169-E171</f>
        <v>2.6278871545999</v>
      </c>
      <c r="F172" s="26" t="n">
        <f aca="false">F169-F171</f>
        <v>3.49613678227392</v>
      </c>
      <c r="G172" s="26" t="n">
        <f aca="false">G169-G171</f>
        <v>3.88242205513981</v>
      </c>
    </row>
    <row r="173" customFormat="false" ht="15" hidden="false" customHeight="false" outlineLevel="0" collapsed="false">
      <c r="A173" s="5" t="s">
        <v>437</v>
      </c>
      <c r="B173" s="0" t="s">
        <v>163</v>
      </c>
      <c r="C173" s="16" t="n">
        <f aca="false">C172/C165</f>
        <v>0.0969088145896656</v>
      </c>
      <c r="D173" s="16" t="n">
        <f aca="false">D172/D165</f>
        <v>0.297524883875249</v>
      </c>
      <c r="E173" s="16" t="n">
        <f aca="false">E172/E165</f>
        <v>0.422164596758705</v>
      </c>
      <c r="F173" s="16" t="n">
        <f aca="false">F172/F165</f>
        <v>0.429869705257012</v>
      </c>
      <c r="G173" s="16" t="n">
        <f aca="false">G172/G165</f>
        <v>0.417606722754032</v>
      </c>
    </row>
    <row r="174" customFormat="false" ht="17.15" hidden="false" customHeight="false" outlineLevel="0" collapsed="false">
      <c r="A174" s="5" t="s">
        <v>438</v>
      </c>
      <c r="B174" s="0" t="s">
        <v>30</v>
      </c>
      <c r="C174" s="26" t="n">
        <f aca="false">a25_ni/1000</f>
        <v>0.1464</v>
      </c>
      <c r="D174" s="26" t="n">
        <f aca="false">a26_ni/1000</f>
        <v>0.7823</v>
      </c>
      <c r="E174" s="26" t="n">
        <f aca="false">(E172+oi_oth)*(1-tx)</f>
        <v>2.23788577409092</v>
      </c>
      <c r="F174" s="26" t="n">
        <f aca="false">(F172+oi_oth)*(1-tx)</f>
        <v>2.96287421319873</v>
      </c>
      <c r="G174" s="26" t="n">
        <f aca="false">(G172+oi_oth)*(1-tx)</f>
        <v>3.28542241604174</v>
      </c>
    </row>
    <row r="175" customFormat="false" ht="15" hidden="false" customHeight="false" outlineLevel="0" collapsed="false">
      <c r="A175" s="5" t="s">
        <v>500</v>
      </c>
      <c r="B175" s="0" t="s">
        <v>163</v>
      </c>
      <c r="C175" s="16" t="n">
        <f aca="false">C174/C165</f>
        <v>0.0889969604863222</v>
      </c>
      <c r="D175" s="16" t="n">
        <f aca="false">D174/D165</f>
        <v>0.259555408095554</v>
      </c>
      <c r="E175" s="16" t="n">
        <f aca="false">E174/E165</f>
        <v>0.359511687462461</v>
      </c>
      <c r="F175" s="16" t="n">
        <f aca="false">F174/F165</f>
        <v>0.3643020694153</v>
      </c>
      <c r="G175" s="16" t="n">
        <f aca="false">G174/G165</f>
        <v>0.35339138005603</v>
      </c>
    </row>
    <row r="176" customFormat="false" ht="17.15" hidden="false" customHeight="false" outlineLevel="0" collapsed="false">
      <c r="A176" s="5" t="s">
        <v>442</v>
      </c>
      <c r="B176" s="5" t="s">
        <v>237</v>
      </c>
      <c r="C176" s="15" t="n">
        <f aca="false">a25_sh</f>
        <v>71.0679611650485</v>
      </c>
      <c r="D176" s="15" t="n">
        <f aca="false">a26_sh</f>
        <v>90.2306805074971</v>
      </c>
      <c r="E176" s="15" t="n">
        <f aca="false">sh_q1</f>
        <v>102</v>
      </c>
      <c r="F176" s="15" t="n">
        <f aca="false">E176*(1+sh_g)</f>
        <v>103.02</v>
      </c>
      <c r="G176" s="15" t="n">
        <f aca="false">F176*(1+sh_g)</f>
        <v>104.0502</v>
      </c>
    </row>
    <row r="177" customFormat="false" ht="17.15" hidden="false" customHeight="false" outlineLevel="0" collapsed="false">
      <c r="A177" s="0" t="s">
        <v>444</v>
      </c>
      <c r="B177" s="0" t="s">
        <v>232</v>
      </c>
      <c r="C177" s="9" t="n">
        <f aca="false">C174*1000/C176</f>
        <v>2.06</v>
      </c>
      <c r="D177" s="9" t="n">
        <f aca="false">D174*1000/D176</f>
        <v>8.67</v>
      </c>
      <c r="E177" s="9" t="n">
        <f aca="false">E174*1000/E176</f>
        <v>21.9400566087345</v>
      </c>
      <c r="F177" s="9" t="n">
        <f aca="false">F174*1000/F176</f>
        <v>28.7601845583258</v>
      </c>
      <c r="G177" s="9" t="n">
        <f aca="false">G174*1000/G176</f>
        <v>31.5753589713594</v>
      </c>
    </row>
    <row r="178" customFormat="false" ht="17.15" hidden="false" customHeight="false" outlineLevel="0" collapsed="false">
      <c r="A178" s="0" t="s">
        <v>543</v>
      </c>
      <c r="B178" s="0" t="s">
        <v>163</v>
      </c>
      <c r="D178" s="16" t="n">
        <f aca="false">D177/C177-1</f>
        <v>3.20873786407767</v>
      </c>
      <c r="E178" s="16" t="n">
        <f aca="false">E177/D177-1</f>
        <v>1.53057169650917</v>
      </c>
      <c r="F178" s="16" t="n">
        <f aca="false">F177/E177-1</f>
        <v>0.310852796381401</v>
      </c>
      <c r="G178" s="16" t="n">
        <f aca="false">G177/F177-1</f>
        <v>0.0978844348972929</v>
      </c>
    </row>
    <row r="181" customFormat="false" ht="17.15" hidden="false" customHeight="false" outlineLevel="0" collapsed="false">
      <c r="A181" s="3" t="s">
        <v>837</v>
      </c>
    </row>
    <row r="182" customFormat="false" ht="17.15" hidden="false" customHeight="false" outlineLevel="0" collapsed="false">
      <c r="A182" s="1" t="s">
        <v>509</v>
      </c>
    </row>
    <row r="183" customFormat="false" ht="17.15" hidden="false" customHeight="false" outlineLevel="0" collapsed="false">
      <c r="A183" s="6" t="s">
        <v>19</v>
      </c>
      <c r="B183" s="6" t="s">
        <v>20</v>
      </c>
      <c r="C183" s="14" t="s">
        <v>510</v>
      </c>
      <c r="D183" s="14" t="s">
        <v>465</v>
      </c>
      <c r="E183" s="14" t="s">
        <v>466</v>
      </c>
      <c r="F183" s="14" t="s">
        <v>467</v>
      </c>
      <c r="G183" s="14"/>
      <c r="H183" s="6" t="s">
        <v>428</v>
      </c>
    </row>
    <row r="184" customFormat="false" ht="17.15" hidden="false" customHeight="false" outlineLevel="0" collapsed="false">
      <c r="A184" s="0" t="s">
        <v>511</v>
      </c>
      <c r="B184" s="0" t="s">
        <v>30</v>
      </c>
      <c r="C184" s="26" t="n">
        <f aca="false">mpl_26*1</f>
        <v>29.753262</v>
      </c>
      <c r="D184" s="26" t="n">
        <f aca="false">mpl_27*1*1</f>
        <v>54.688309</v>
      </c>
      <c r="E184" s="26" t="n">
        <f aca="false">mpl_28*um28_A*1</f>
        <v>61.21325</v>
      </c>
      <c r="F184" s="26" t="n">
        <f aca="false">mpl_29*um29_A*1</f>
        <v>78.80848</v>
      </c>
    </row>
    <row r="185" customFormat="false" ht="17.15" hidden="false" customHeight="false" outlineLevel="0" collapsed="false">
      <c r="A185" s="5" t="s">
        <v>512</v>
      </c>
      <c r="B185" s="0" t="s">
        <v>96</v>
      </c>
      <c r="C185" s="20" t="n">
        <f aca="false">asp_26</f>
        <v>500</v>
      </c>
      <c r="D185" s="20" t="n">
        <f aca="false">asp_27</f>
        <v>520</v>
      </c>
      <c r="E185" s="20" t="n">
        <f aca="false">asp_28</f>
        <v>540</v>
      </c>
      <c r="F185" s="20" t="n">
        <f aca="false">asp_29</f>
        <v>560</v>
      </c>
    </row>
    <row r="186" customFormat="false" ht="17.15" hidden="false" customHeight="false" outlineLevel="0" collapsed="false">
      <c r="A186" s="5" t="s">
        <v>513</v>
      </c>
      <c r="B186" s="5" t="s">
        <v>336</v>
      </c>
      <c r="C186" s="15" t="n">
        <f aca="false">C184*1000/C185</f>
        <v>59.506524</v>
      </c>
      <c r="D186" s="15" t="n">
        <f aca="false">D184*1000/D185</f>
        <v>105.169825</v>
      </c>
      <c r="E186" s="15" t="n">
        <f aca="false">E184*1000/E185</f>
        <v>113.35787037037</v>
      </c>
      <c r="F186" s="15" t="n">
        <f aca="false">F184*1000/F185</f>
        <v>140.729428571429</v>
      </c>
    </row>
    <row r="187" customFormat="false" ht="17.15" hidden="false" customHeight="false" outlineLevel="0" collapsed="false">
      <c r="A187" s="5" t="s">
        <v>514</v>
      </c>
      <c r="B187" s="5" t="s">
        <v>108</v>
      </c>
      <c r="C187" s="18" t="n">
        <f aca="false">lpm_26</f>
        <v>5.5</v>
      </c>
      <c r="D187" s="18" t="n">
        <f aca="false">lpm_27</f>
        <v>5.5</v>
      </c>
      <c r="E187" s="18" t="n">
        <f aca="false">lpm_28</f>
        <v>5</v>
      </c>
      <c r="F187" s="18" t="n">
        <f aca="false">lpm_29</f>
        <v>4.8</v>
      </c>
    </row>
    <row r="188" customFormat="false" ht="17.15" hidden="false" customHeight="false" outlineLevel="0" collapsed="false">
      <c r="A188" s="5" t="s">
        <v>515</v>
      </c>
      <c r="B188" s="0" t="s">
        <v>120</v>
      </c>
      <c r="C188" s="18" t="n">
        <f aca="false">lasp_26</f>
        <v>13</v>
      </c>
      <c r="D188" s="18" t="n">
        <f aca="false">LALO_27</f>
        <v>12</v>
      </c>
      <c r="E188" s="18" t="n">
        <f aca="false">LALO_28</f>
        <v>11</v>
      </c>
      <c r="F188" s="18" t="n">
        <f aca="false">LALO_29</f>
        <v>10</v>
      </c>
    </row>
    <row r="189" customFormat="false" ht="17.15" hidden="false" customHeight="false" outlineLevel="0" collapsed="false">
      <c r="A189" s="5" t="s">
        <v>516</v>
      </c>
      <c r="B189" s="0" t="s">
        <v>30</v>
      </c>
      <c r="C189" s="26" t="n">
        <f aca="false">C186*C187*C188/1000</f>
        <v>4.254716466</v>
      </c>
      <c r="D189" s="26" t="n">
        <f aca="false">D186*D187*D188/1000</f>
        <v>6.94120845</v>
      </c>
      <c r="E189" s="26" t="n">
        <f aca="false">E186*E187*E188/1000</f>
        <v>6.23468287037037</v>
      </c>
      <c r="F189" s="26" t="n">
        <f aca="false">F186*F187*F188/1000</f>
        <v>6.75501257142857</v>
      </c>
    </row>
    <row r="190" customFormat="false" ht="17.15" hidden="false" customHeight="false" outlineLevel="0" collapsed="false">
      <c r="A190" s="0" t="s">
        <v>517</v>
      </c>
      <c r="B190" s="0" t="s">
        <v>163</v>
      </c>
      <c r="C190" s="16" t="n">
        <f aca="false">c26_las/1000/C189</f>
        <v>0.43826657190933</v>
      </c>
      <c r="H190" s="8" t="s">
        <v>518</v>
      </c>
    </row>
    <row r="191" customFormat="false" ht="17.15" hidden="false" customHeight="false" outlineLevel="0" collapsed="false">
      <c r="A191" s="5" t="s">
        <v>519</v>
      </c>
      <c r="B191" s="0" t="s">
        <v>74</v>
      </c>
      <c r="C191" s="9" t="n">
        <f aca="false">1</f>
        <v>1</v>
      </c>
      <c r="D191" s="9" t="n">
        <f aca="false">lrel_27</f>
        <v>0.95</v>
      </c>
      <c r="E191" s="9" t="n">
        <f aca="false">lrel_28</f>
        <v>0.95</v>
      </c>
      <c r="F191" s="9" t="n">
        <f aca="false">lrel_29</f>
        <v>0.9</v>
      </c>
    </row>
    <row r="192" customFormat="false" ht="15" hidden="false" customHeight="false" outlineLevel="0" collapsed="false">
      <c r="A192" s="5" t="s">
        <v>520</v>
      </c>
      <c r="B192" s="0" t="s">
        <v>163</v>
      </c>
      <c r="C192" s="16" t="n">
        <f aca="false">$C$190*C191</f>
        <v>0.43826657190933</v>
      </c>
      <c r="D192" s="16" t="n">
        <f aca="false">$C$190*D191</f>
        <v>0.416353243313864</v>
      </c>
      <c r="E192" s="16" t="n">
        <f aca="false">$C$190*E191</f>
        <v>0.416353243313864</v>
      </c>
      <c r="F192" s="16" t="n">
        <f aca="false">$C$190*F191</f>
        <v>0.394439914718397</v>
      </c>
    </row>
    <row r="193" customFormat="false" ht="17.15" hidden="false" customHeight="false" outlineLevel="0" collapsed="false">
      <c r="A193" s="5" t="s">
        <v>521</v>
      </c>
      <c r="B193" s="0" t="s">
        <v>30</v>
      </c>
      <c r="C193" s="26" t="n">
        <f aca="false">C189*C192</f>
        <v>1.8647</v>
      </c>
      <c r="D193" s="26" t="n">
        <f aca="false">D189*D192</f>
        <v>2.8899946506751</v>
      </c>
      <c r="E193" s="26" t="n">
        <f aca="false">E189*E192</f>
        <v>2.59583043411209</v>
      </c>
      <c r="F193" s="26" t="n">
        <f aca="false">F189*F192</f>
        <v>2.66444658259599</v>
      </c>
    </row>
    <row r="194" customFormat="false" ht="17.15" hidden="false" customHeight="false" outlineLevel="0" collapsed="false">
      <c r="A194" s="5" t="s">
        <v>522</v>
      </c>
      <c r="B194" s="0" t="s">
        <v>163</v>
      </c>
      <c r="C194" s="16" t="n">
        <f aca="false">c26_xcvr/1000/C184</f>
        <v>0.0336097601668012</v>
      </c>
    </row>
    <row r="195" customFormat="false" ht="15" hidden="false" customHeight="false" outlineLevel="0" collapsed="false">
      <c r="A195" s="5" t="s">
        <v>523</v>
      </c>
      <c r="B195" s="0" t="s">
        <v>163</v>
      </c>
      <c r="C195" s="16" t="n">
        <f aca="false">C194</f>
        <v>0.0336097601668012</v>
      </c>
      <c r="D195" s="16" t="n">
        <f aca="false">$C$194*mrel_27</f>
        <v>0.0336097601668012</v>
      </c>
      <c r="E195" s="16" t="n">
        <f aca="false">$C$194*mrel_28</f>
        <v>0.0336097601668012</v>
      </c>
      <c r="F195" s="16" t="n">
        <f aca="false">$C$194*mrel_29</f>
        <v>0.0336097601668012</v>
      </c>
    </row>
    <row r="196" customFormat="false" ht="15" hidden="false" customHeight="false" outlineLevel="0" collapsed="false">
      <c r="A196" s="5" t="s">
        <v>524</v>
      </c>
      <c r="B196" s="0" t="s">
        <v>30</v>
      </c>
      <c r="C196" s="26" t="n">
        <f aca="false">C184*C195</f>
        <v>1</v>
      </c>
      <c r="D196" s="26" t="n">
        <f aca="false">D184*D195</f>
        <v>1.83806094941792</v>
      </c>
      <c r="E196" s="26" t="n">
        <f aca="false">E184*E195</f>
        <v>2.05736265153044</v>
      </c>
      <c r="F196" s="26" t="n">
        <f aca="false">F184*F195</f>
        <v>2.64873411191015</v>
      </c>
    </row>
    <row r="197" customFormat="false" ht="17.15" hidden="false" customHeight="false" outlineLevel="0" collapsed="false">
      <c r="A197" s="0" t="s">
        <v>525</v>
      </c>
      <c r="B197" s="5" t="s">
        <v>53</v>
      </c>
      <c r="C197" s="19" t="n">
        <f aca="false">tpu_26*1</f>
        <v>3.85</v>
      </c>
      <c r="D197" s="19" t="n">
        <f aca="false">tpu_27*1</f>
        <v>5.5</v>
      </c>
      <c r="E197" s="19" t="n">
        <f aca="false">tpu_28*um28_A</f>
        <v>7</v>
      </c>
      <c r="F197" s="19" t="n">
        <f aca="false">tpu_29*um29_A</f>
        <v>8.05</v>
      </c>
    </row>
    <row r="198" customFormat="false" ht="17.15" hidden="false" customHeight="false" outlineLevel="0" collapsed="false">
      <c r="A198" s="0" t="s">
        <v>526</v>
      </c>
      <c r="B198" s="0" t="s">
        <v>120</v>
      </c>
      <c r="C198" s="20" t="n">
        <f aca="false">c26_ocs/C197</f>
        <v>129.87012987013</v>
      </c>
      <c r="D198" s="20" t="n">
        <f aca="false">$C198*ocsk_27</f>
        <v>207.792207792208</v>
      </c>
      <c r="E198" s="20" t="n">
        <f aca="false">$C198*ocsk_28</f>
        <v>233.766233766234</v>
      </c>
      <c r="F198" s="20" t="n">
        <f aca="false">$C198*ocsk_29</f>
        <v>233.766233766234</v>
      </c>
    </row>
    <row r="199" customFormat="false" ht="17.15" hidden="false" customHeight="false" outlineLevel="0" collapsed="false">
      <c r="A199" s="0" t="s">
        <v>479</v>
      </c>
      <c r="B199" s="0" t="s">
        <v>30</v>
      </c>
      <c r="C199" s="26" t="n">
        <f aca="false">C197*C198/1000</f>
        <v>0.5</v>
      </c>
      <c r="D199" s="26" t="n">
        <f aca="false">D197*D198/1000</f>
        <v>1.14285714285714</v>
      </c>
      <c r="E199" s="26" t="n">
        <f aca="false">E197*E198/1000</f>
        <v>1.63636363636364</v>
      </c>
      <c r="F199" s="26" t="n">
        <f aca="false">F197*F198/1000</f>
        <v>1.88181818181818</v>
      </c>
    </row>
    <row r="200" customFormat="false" ht="17.15" hidden="false" customHeight="false" outlineLevel="0" collapsed="false">
      <c r="A200" s="0" t="s">
        <v>527</v>
      </c>
      <c r="B200" s="0" t="s">
        <v>30</v>
      </c>
      <c r="C200" s="26" t="n">
        <f aca="false">mcp_26*1</f>
        <v>0.300538</v>
      </c>
      <c r="D200" s="26" t="n">
        <f aca="false">mcp_27*1</f>
        <v>1.691391</v>
      </c>
      <c r="E200" s="26" t="n">
        <f aca="false">mcp_28*um28_A</f>
        <v>3.22175</v>
      </c>
      <c r="F200" s="26" t="n">
        <f aca="false">mcp_29*um29_A</f>
        <v>5.87368</v>
      </c>
    </row>
    <row r="201" customFormat="false" ht="17.15" hidden="false" customHeight="false" outlineLevel="0" collapsed="false">
      <c r="A201" s="0" t="s">
        <v>480</v>
      </c>
      <c r="B201" s="0" t="s">
        <v>163</v>
      </c>
      <c r="C201" s="16" t="n">
        <f aca="false">c26_cpo/1000/C200</f>
        <v>0.166368312825666</v>
      </c>
      <c r="D201" s="16" t="n">
        <f aca="false">cpo_27</f>
        <v>0.25</v>
      </c>
      <c r="E201" s="16" t="n">
        <f aca="false">cpo_28</f>
        <v>0.25</v>
      </c>
      <c r="F201" s="16" t="n">
        <f aca="false">cpo_29</f>
        <v>0.2</v>
      </c>
    </row>
    <row r="202" customFormat="false" ht="17.15" hidden="false" customHeight="false" outlineLevel="0" collapsed="false">
      <c r="A202" s="0" t="s">
        <v>528</v>
      </c>
      <c r="B202" s="0" t="s">
        <v>30</v>
      </c>
      <c r="C202" s="26" t="n">
        <f aca="false">C200*C201</f>
        <v>0.05</v>
      </c>
      <c r="D202" s="26" t="n">
        <f aca="false">D200*D201</f>
        <v>0.42284775</v>
      </c>
      <c r="E202" s="26" t="n">
        <f aca="false">E200*E201</f>
        <v>0.8054375</v>
      </c>
      <c r="F202" s="26" t="n">
        <f aca="false">F200*F201</f>
        <v>1.174736</v>
      </c>
    </row>
    <row r="203" customFormat="false" ht="17.15" hidden="false" customHeight="false" outlineLevel="0" collapsed="false">
      <c r="A203" s="0" t="s">
        <v>529</v>
      </c>
      <c r="B203" s="0" t="s">
        <v>30</v>
      </c>
      <c r="C203" s="26" t="n">
        <f aca="false">C193+C196+C199+C202</f>
        <v>3.4147</v>
      </c>
      <c r="D203" s="26" t="n">
        <f aca="false">D193+D196+D199+D202</f>
        <v>6.29376049295015</v>
      </c>
      <c r="E203" s="26" t="n">
        <f aca="false">E193+E196+E199+E202</f>
        <v>7.09499422200617</v>
      </c>
      <c r="F203" s="26" t="n">
        <f aca="false">F193+F196+F199+F202</f>
        <v>8.36973487632432</v>
      </c>
    </row>
    <row r="204" customFormat="false" ht="17.15" hidden="false" customHeight="false" outlineLevel="0" collapsed="false">
      <c r="A204" s="5" t="s">
        <v>530</v>
      </c>
      <c r="B204" s="0" t="s">
        <v>30</v>
      </c>
      <c r="C204" s="26" t="n">
        <f aca="false">c26_tel/1000</f>
        <v>0.75</v>
      </c>
      <c r="D204" s="26" t="n">
        <f aca="false">C204*(1+g_tel_27)</f>
        <v>0.9375</v>
      </c>
      <c r="E204" s="26" t="n">
        <f aca="false">D204*(1+g_tel_28)</f>
        <v>1.078125</v>
      </c>
      <c r="F204" s="26" t="n">
        <f aca="false">E204*(1+g_tel_29)</f>
        <v>1.1859375</v>
      </c>
    </row>
    <row r="205" customFormat="false" ht="17.15" hidden="false" customHeight="false" outlineLevel="0" collapsed="false">
      <c r="A205" s="5" t="s">
        <v>531</v>
      </c>
      <c r="B205" s="0" t="s">
        <v>30</v>
      </c>
      <c r="C205" s="26" t="n">
        <f aca="false">c26_ind/1000</f>
        <v>0.3</v>
      </c>
      <c r="D205" s="26" t="n">
        <f aca="false">C205*(1+g_ind)</f>
        <v>0.309</v>
      </c>
      <c r="E205" s="26" t="n">
        <f aca="false">D205*(1+g_ind)</f>
        <v>0.31827</v>
      </c>
      <c r="F205" s="26" t="n">
        <f aca="false">E205*(1+g_ind)</f>
        <v>0.3278181</v>
      </c>
    </row>
    <row r="206" customFormat="false" ht="15" hidden="false" customHeight="false" outlineLevel="0" collapsed="false">
      <c r="A206" s="5" t="s">
        <v>532</v>
      </c>
      <c r="B206" s="0" t="s">
        <v>30</v>
      </c>
      <c r="C206" s="26" t="n">
        <f aca="false">C203+C204+C205</f>
        <v>4.4647</v>
      </c>
      <c r="D206" s="26" t="n">
        <f aca="false">D203+D204+D205</f>
        <v>7.54026049295015</v>
      </c>
      <c r="E206" s="26" t="n">
        <f aca="false">E203+E204+E205</f>
        <v>8.49138922200617</v>
      </c>
      <c r="F206" s="26" t="n">
        <f aca="false">F203+F204+F205</f>
        <v>9.88349047632432</v>
      </c>
    </row>
    <row r="207" customFormat="false" ht="15" hidden="false" customHeight="false" outlineLevel="0" collapsed="false">
      <c r="A207" s="5" t="s">
        <v>533</v>
      </c>
      <c r="B207" s="0" t="s">
        <v>163</v>
      </c>
      <c r="D207" s="16" t="n">
        <f aca="false">D206/C206-1</f>
        <v>0.688861624062122</v>
      </c>
      <c r="E207" s="16" t="n">
        <f aca="false">E206/D206-1</f>
        <v>0.126140035870815</v>
      </c>
      <c r="F207" s="16" t="n">
        <f aca="false">F206/E206-1</f>
        <v>0.163942697469384</v>
      </c>
    </row>
    <row r="208" customFormat="false" ht="17.15" hidden="false" customHeight="false" outlineLevel="0" collapsed="false">
      <c r="A208" s="1" t="s">
        <v>534</v>
      </c>
    </row>
    <row r="209" customFormat="false" ht="17.15" hidden="false" customHeight="false" outlineLevel="0" collapsed="false">
      <c r="A209" s="6" t="s">
        <v>19</v>
      </c>
      <c r="B209" s="6" t="s">
        <v>20</v>
      </c>
      <c r="C209" s="14" t="s">
        <v>420</v>
      </c>
      <c r="D209" s="14" t="s">
        <v>487</v>
      </c>
      <c r="E209" s="14" t="s">
        <v>488</v>
      </c>
      <c r="F209" s="14" t="s">
        <v>489</v>
      </c>
      <c r="G209" s="14" t="s">
        <v>490</v>
      </c>
      <c r="H209" s="6" t="s">
        <v>428</v>
      </c>
    </row>
    <row r="210" customFormat="false" ht="17.15" hidden="false" customHeight="false" outlineLevel="0" collapsed="false">
      <c r="A210" s="0" t="s">
        <v>535</v>
      </c>
      <c r="B210" s="0" t="s">
        <v>30</v>
      </c>
      <c r="E210" s="26" t="n">
        <f aca="false">w2h_26*C203+h_1h*D203</f>
        <v>4.98484526670348</v>
      </c>
      <c r="F210" s="26" t="n">
        <f aca="false">(1-h_1h)*D203+h_1h*E203</f>
        <v>6.67034034560648</v>
      </c>
      <c r="G210" s="26" t="n">
        <f aca="false">(1-h_1h)*E203+h_1h*F203</f>
        <v>7.6941223295357</v>
      </c>
      <c r="H210" s="8" t="s">
        <v>536</v>
      </c>
    </row>
    <row r="211" customFormat="false" ht="17.15" hidden="false" customHeight="false" outlineLevel="0" collapsed="false">
      <c r="A211" s="5" t="s">
        <v>537</v>
      </c>
      <c r="B211" s="0" t="s">
        <v>30</v>
      </c>
      <c r="E211" s="26" t="n">
        <f aca="false">w2h_26*C204+h_1h*D204+w2h_26*C205+h_1h*D205</f>
        <v>1.20907716498309</v>
      </c>
      <c r="F211" s="26" t="n">
        <f aca="false">(1-h_1h)*D204+h_1h*E204+(1-h_1h)*D205+h_1h*E205</f>
        <v>1.31695065</v>
      </c>
      <c r="G211" s="26" t="n">
        <f aca="false">(1-h_1h)*E204+h_1h*F204+(1-h_1h)*E205+h_1h*F205</f>
        <v>1.451554482</v>
      </c>
    </row>
    <row r="212" customFormat="false" ht="15" hidden="false" customHeight="false" outlineLevel="0" collapsed="false">
      <c r="A212" s="5" t="s">
        <v>429</v>
      </c>
      <c r="B212" s="0" t="s">
        <v>30</v>
      </c>
      <c r="C212" s="26" t="n">
        <f aca="false">a25_rev/1000</f>
        <v>1.645</v>
      </c>
      <c r="D212" s="26" t="n">
        <f aca="false">a26_rev/1000</f>
        <v>3.014</v>
      </c>
      <c r="E212" s="26" t="n">
        <f aca="false">E210+E211</f>
        <v>6.19392243168657</v>
      </c>
      <c r="F212" s="26" t="n">
        <f aca="false">F210+F211</f>
        <v>7.98729099560648</v>
      </c>
      <c r="G212" s="26" t="n">
        <f aca="false">G210+G211</f>
        <v>9.1456768115357</v>
      </c>
    </row>
    <row r="213" customFormat="false" ht="15" hidden="false" customHeight="false" outlineLevel="0" collapsed="false">
      <c r="A213" s="5" t="s">
        <v>538</v>
      </c>
      <c r="B213" s="0" t="s">
        <v>163</v>
      </c>
      <c r="D213" s="16" t="n">
        <f aca="false">D212/C212-1</f>
        <v>0.832218844984802</v>
      </c>
      <c r="E213" s="16" t="n">
        <f aca="false">E212/D212-1</f>
        <v>1.05505057454763</v>
      </c>
      <c r="F213" s="16" t="n">
        <f aca="false">F212/E212-1</f>
        <v>0.289536813497289</v>
      </c>
      <c r="G213" s="16" t="n">
        <f aca="false">G212/F212-1</f>
        <v>0.14502862316728</v>
      </c>
    </row>
    <row r="214" customFormat="false" ht="17.15" hidden="false" customHeight="false" outlineLevel="0" collapsed="false">
      <c r="A214" s="0" t="s">
        <v>539</v>
      </c>
      <c r="B214" s="0" t="s">
        <v>163</v>
      </c>
      <c r="E214" s="16" t="n">
        <f aca="false">E210/E212</f>
        <v>0.804796204938288</v>
      </c>
      <c r="F214" s="16" t="n">
        <f aca="false">F210/F212</f>
        <v>0.835119234954078</v>
      </c>
      <c r="G214" s="16" t="n">
        <f aca="false">G210/G212</f>
        <v>0.841285176383107</v>
      </c>
    </row>
    <row r="215" customFormat="false" ht="17.15" hidden="false" customHeight="false" outlineLevel="0" collapsed="false">
      <c r="A215" s="5" t="s">
        <v>432</v>
      </c>
      <c r="B215" s="0" t="s">
        <v>163</v>
      </c>
      <c r="C215" s="16" t="n">
        <f aca="false">a25_gm</f>
        <v>0.347</v>
      </c>
      <c r="D215" s="16" t="n">
        <f aca="false">a26_gm</f>
        <v>0.46</v>
      </c>
      <c r="E215" s="16" t="n">
        <f aca="false">gm_27</f>
        <v>0.52</v>
      </c>
      <c r="F215" s="16" t="n">
        <f aca="false">gm_28</f>
        <v>0.51</v>
      </c>
      <c r="G215" s="16" t="n">
        <f aca="false">gm_29</f>
        <v>0.49</v>
      </c>
    </row>
    <row r="216" customFormat="false" ht="15" hidden="false" customHeight="false" outlineLevel="0" collapsed="false">
      <c r="A216" s="5" t="s">
        <v>433</v>
      </c>
      <c r="B216" s="0" t="s">
        <v>30</v>
      </c>
      <c r="C216" s="26" t="n">
        <f aca="false">C212*C215</f>
        <v>0.570815</v>
      </c>
      <c r="D216" s="26" t="n">
        <f aca="false">D212*D215</f>
        <v>1.38644</v>
      </c>
      <c r="E216" s="26" t="n">
        <f aca="false">E212*E215</f>
        <v>3.22083966447702</v>
      </c>
      <c r="F216" s="26" t="n">
        <f aca="false">F212*F215</f>
        <v>4.07351840775931</v>
      </c>
      <c r="G216" s="26" t="n">
        <f aca="false">G212*G215</f>
        <v>4.48138163765249</v>
      </c>
    </row>
    <row r="217" customFormat="false" ht="15" hidden="false" customHeight="false" outlineLevel="0" collapsed="false">
      <c r="A217" s="5" t="s">
        <v>540</v>
      </c>
      <c r="B217" s="0" t="s">
        <v>30</v>
      </c>
      <c r="C217" s="26" t="n">
        <f aca="false">a25_opx/1000</f>
        <v>0.4114</v>
      </c>
      <c r="D217" s="26" t="n">
        <f aca="false">a26_opx/1000</f>
        <v>0.4897</v>
      </c>
      <c r="E217" s="26" t="n">
        <f aca="false">D217*(1+MAX(0,phi*E213))</f>
        <v>0.607858048947903</v>
      </c>
      <c r="F217" s="26" t="n">
        <f aca="false">E217*(1+MAX(0,phi*F213))</f>
        <v>0.648108049539276</v>
      </c>
      <c r="G217" s="26" t="n">
        <f aca="false">F217*(1+MAX(0,phi*G213))</f>
        <v>0.669604218564173</v>
      </c>
    </row>
    <row r="218" customFormat="false" ht="15" hidden="false" customHeight="false" outlineLevel="0" collapsed="false">
      <c r="A218" s="5" t="s">
        <v>541</v>
      </c>
      <c r="B218" s="0" t="s">
        <v>30</v>
      </c>
      <c r="C218" s="26" t="n">
        <f aca="false">C217</f>
        <v>0.4114</v>
      </c>
      <c r="D218" s="26" t="n">
        <f aca="false">D217</f>
        <v>0.4897</v>
      </c>
      <c r="E218" s="26" t="n">
        <f aca="false">E217+0*E212</f>
        <v>0.607858048947903</v>
      </c>
      <c r="F218" s="26" t="n">
        <f aca="false">F217+0*F212</f>
        <v>0.648108049539276</v>
      </c>
      <c r="G218" s="26" t="n">
        <f aca="false">G217+0*G212</f>
        <v>0.669604218564173</v>
      </c>
    </row>
    <row r="219" customFormat="false" ht="15" hidden="false" customHeight="false" outlineLevel="0" collapsed="false">
      <c r="A219" s="5" t="s">
        <v>542</v>
      </c>
      <c r="B219" s="0" t="s">
        <v>30</v>
      </c>
      <c r="C219" s="26" t="n">
        <f aca="false">C216-C218</f>
        <v>0.159415</v>
      </c>
      <c r="D219" s="26" t="n">
        <f aca="false">D216-D218</f>
        <v>0.89674</v>
      </c>
      <c r="E219" s="26" t="n">
        <f aca="false">E216-E218</f>
        <v>2.61298161552911</v>
      </c>
      <c r="F219" s="26" t="n">
        <f aca="false">F216-F218</f>
        <v>3.42541035822003</v>
      </c>
      <c r="G219" s="26" t="n">
        <f aca="false">G216-G218</f>
        <v>3.81177741908832</v>
      </c>
    </row>
    <row r="220" customFormat="false" ht="15" hidden="false" customHeight="false" outlineLevel="0" collapsed="false">
      <c r="A220" s="5" t="s">
        <v>437</v>
      </c>
      <c r="B220" s="0" t="s">
        <v>163</v>
      </c>
      <c r="C220" s="16" t="n">
        <f aca="false">C219/C212</f>
        <v>0.0969088145896656</v>
      </c>
      <c r="D220" s="16" t="n">
        <f aca="false">D219/D212</f>
        <v>0.297524883875249</v>
      </c>
      <c r="E220" s="16" t="n">
        <f aca="false">E219/E212</f>
        <v>0.421862179313346</v>
      </c>
      <c r="F220" s="16" t="n">
        <f aca="false">F219/F212</f>
        <v>0.428857588900195</v>
      </c>
      <c r="G220" s="16" t="n">
        <f aca="false">G219/G212</f>
        <v>0.416784618310634</v>
      </c>
    </row>
    <row r="221" customFormat="false" ht="17.15" hidden="false" customHeight="false" outlineLevel="0" collapsed="false">
      <c r="A221" s="5" t="s">
        <v>438</v>
      </c>
      <c r="B221" s="0" t="s">
        <v>30</v>
      </c>
      <c r="C221" s="26" t="n">
        <f aca="false">a25_ni/1000</f>
        <v>0.1464</v>
      </c>
      <c r="D221" s="26" t="n">
        <f aca="false">a26_ni/1000</f>
        <v>0.7823</v>
      </c>
      <c r="E221" s="26" t="n">
        <f aca="false">(E219+oi_oth)*(1-tx)</f>
        <v>2.22543964896681</v>
      </c>
      <c r="F221" s="26" t="n">
        <f aca="false">(F219+oi_oth)*(1-tx)</f>
        <v>2.90381764911373</v>
      </c>
      <c r="G221" s="26" t="n">
        <f aca="false">(G219+oi_oth)*(1-tx)</f>
        <v>3.22643414493875</v>
      </c>
    </row>
    <row r="222" customFormat="false" ht="15" hidden="false" customHeight="false" outlineLevel="0" collapsed="false">
      <c r="A222" s="5" t="s">
        <v>500</v>
      </c>
      <c r="B222" s="0" t="s">
        <v>163</v>
      </c>
      <c r="C222" s="16" t="n">
        <f aca="false">C221/C212</f>
        <v>0.0889969604863222</v>
      </c>
      <c r="D222" s="16" t="n">
        <f aca="false">D221/D212</f>
        <v>0.259555408095554</v>
      </c>
      <c r="E222" s="16" t="n">
        <f aca="false">E221/E212</f>
        <v>0.359294077946797</v>
      </c>
      <c r="F222" s="16" t="n">
        <f aca="false">F221/F212</f>
        <v>0.363554758517126</v>
      </c>
      <c r="G222" s="16" t="n">
        <f aca="false">G221/G212</f>
        <v>0.352782436054285</v>
      </c>
    </row>
    <row r="223" customFormat="false" ht="17.15" hidden="false" customHeight="false" outlineLevel="0" collapsed="false">
      <c r="A223" s="5" t="s">
        <v>442</v>
      </c>
      <c r="B223" s="5" t="s">
        <v>237</v>
      </c>
      <c r="C223" s="15" t="n">
        <f aca="false">a25_sh</f>
        <v>71.0679611650485</v>
      </c>
      <c r="D223" s="15" t="n">
        <f aca="false">a26_sh</f>
        <v>90.2306805074971</v>
      </c>
      <c r="E223" s="15" t="n">
        <f aca="false">sh_q1</f>
        <v>102</v>
      </c>
      <c r="F223" s="15" t="n">
        <f aca="false">E223*(1+sh_g)</f>
        <v>103.02</v>
      </c>
      <c r="G223" s="15" t="n">
        <f aca="false">F223*(1+sh_g)</f>
        <v>104.0502</v>
      </c>
    </row>
    <row r="224" customFormat="false" ht="17.15" hidden="false" customHeight="false" outlineLevel="0" collapsed="false">
      <c r="A224" s="0" t="s">
        <v>444</v>
      </c>
      <c r="B224" s="0" t="s">
        <v>232</v>
      </c>
      <c r="C224" s="9" t="n">
        <f aca="false">C221*1000/C223</f>
        <v>2.06</v>
      </c>
      <c r="D224" s="9" t="n">
        <f aca="false">D221*1000/D223</f>
        <v>8.67</v>
      </c>
      <c r="E224" s="9" t="n">
        <f aca="false">E221*1000/E223</f>
        <v>21.8180357741844</v>
      </c>
      <c r="F224" s="9" t="n">
        <f aca="false">F221*1000/F223</f>
        <v>28.186931169809</v>
      </c>
      <c r="G224" s="9" t="n">
        <f aca="false">G221*1000/G223</f>
        <v>31.0084377054417</v>
      </c>
    </row>
    <row r="225" customFormat="false" ht="17.15" hidden="false" customHeight="false" outlineLevel="0" collapsed="false">
      <c r="A225" s="0" t="s">
        <v>543</v>
      </c>
      <c r="B225" s="0" t="s">
        <v>163</v>
      </c>
      <c r="D225" s="16" t="n">
        <f aca="false">D224/C224-1</f>
        <v>3.20873786407767</v>
      </c>
      <c r="E225" s="16" t="n">
        <f aca="false">E224/D224-1</f>
        <v>1.51649778248955</v>
      </c>
      <c r="F225" s="16" t="n">
        <f aca="false">F224/E224-1</f>
        <v>0.291909659583584</v>
      </c>
      <c r="G225" s="16" t="n">
        <f aca="false">G224/F224-1</f>
        <v>0.100099812875506</v>
      </c>
    </row>
    <row r="228" customFormat="false" ht="17.15" hidden="false" customHeight="false" outlineLevel="0" collapsed="false">
      <c r="A228" s="3" t="s">
        <v>838</v>
      </c>
    </row>
    <row r="229" customFormat="false" ht="17.15" hidden="false" customHeight="false" outlineLevel="0" collapsed="false">
      <c r="A229" s="1" t="s">
        <v>509</v>
      </c>
    </row>
    <row r="230" customFormat="false" ht="17.15" hidden="false" customHeight="false" outlineLevel="0" collapsed="false">
      <c r="A230" s="6" t="s">
        <v>19</v>
      </c>
      <c r="B230" s="6" t="s">
        <v>20</v>
      </c>
      <c r="C230" s="14" t="s">
        <v>510</v>
      </c>
      <c r="D230" s="14" t="s">
        <v>465</v>
      </c>
      <c r="E230" s="14" t="s">
        <v>466</v>
      </c>
      <c r="F230" s="14" t="s">
        <v>467</v>
      </c>
      <c r="G230" s="14"/>
      <c r="H230" s="6" t="s">
        <v>428</v>
      </c>
    </row>
    <row r="231" customFormat="false" ht="17.15" hidden="false" customHeight="false" outlineLevel="0" collapsed="false">
      <c r="A231" s="0" t="s">
        <v>511</v>
      </c>
      <c r="B231" s="0" t="s">
        <v>30</v>
      </c>
      <c r="C231" s="26" t="n">
        <f aca="false">mpl_26*1</f>
        <v>29.753262</v>
      </c>
      <c r="D231" s="26" t="n">
        <f aca="false">mpl_27*1*1</f>
        <v>54.688309</v>
      </c>
      <c r="E231" s="26" t="n">
        <f aca="false">mpl_28*um28_A*1</f>
        <v>61.21325</v>
      </c>
      <c r="F231" s="26" t="n">
        <f aca="false">mpl_29*um29_A*1</f>
        <v>78.80848</v>
      </c>
    </row>
    <row r="232" customFormat="false" ht="17.15" hidden="false" customHeight="false" outlineLevel="0" collapsed="false">
      <c r="A232" s="5" t="s">
        <v>512</v>
      </c>
      <c r="B232" s="0" t="s">
        <v>96</v>
      </c>
      <c r="C232" s="20" t="n">
        <f aca="false">asp_26</f>
        <v>500</v>
      </c>
      <c r="D232" s="20" t="n">
        <f aca="false">asp_27</f>
        <v>520</v>
      </c>
      <c r="E232" s="20" t="n">
        <f aca="false">asp_28</f>
        <v>540</v>
      </c>
      <c r="F232" s="20" t="n">
        <f aca="false">asp_29</f>
        <v>560</v>
      </c>
    </row>
    <row r="233" customFormat="false" ht="17.15" hidden="false" customHeight="false" outlineLevel="0" collapsed="false">
      <c r="A233" s="5" t="s">
        <v>513</v>
      </c>
      <c r="B233" s="5" t="s">
        <v>336</v>
      </c>
      <c r="C233" s="15" t="n">
        <f aca="false">C231*1000/C232</f>
        <v>59.506524</v>
      </c>
      <c r="D233" s="15" t="n">
        <f aca="false">D231*1000/D232</f>
        <v>105.169825</v>
      </c>
      <c r="E233" s="15" t="n">
        <f aca="false">E231*1000/E232</f>
        <v>113.35787037037</v>
      </c>
      <c r="F233" s="15" t="n">
        <f aca="false">F231*1000/F232</f>
        <v>140.729428571429</v>
      </c>
    </row>
    <row r="234" customFormat="false" ht="17.15" hidden="false" customHeight="false" outlineLevel="0" collapsed="false">
      <c r="A234" s="5" t="s">
        <v>514</v>
      </c>
      <c r="B234" s="5" t="s">
        <v>108</v>
      </c>
      <c r="C234" s="18" t="n">
        <f aca="false">lpm_26</f>
        <v>5.5</v>
      </c>
      <c r="D234" s="18" t="n">
        <f aca="false">lpm_27</f>
        <v>5.5</v>
      </c>
      <c r="E234" s="18" t="n">
        <f aca="false">lpm_28</f>
        <v>5</v>
      </c>
      <c r="F234" s="18" t="n">
        <f aca="false">lpm_29</f>
        <v>4.8</v>
      </c>
    </row>
    <row r="235" customFormat="false" ht="17.15" hidden="false" customHeight="false" outlineLevel="0" collapsed="false">
      <c r="A235" s="5" t="s">
        <v>515</v>
      </c>
      <c r="B235" s="0" t="s">
        <v>120</v>
      </c>
      <c r="C235" s="18" t="n">
        <f aca="false">lasp_26</f>
        <v>13</v>
      </c>
      <c r="D235" s="18" t="n">
        <f aca="false">LAHI_27</f>
        <v>17</v>
      </c>
      <c r="E235" s="18" t="n">
        <f aca="false">LAHI_28</f>
        <v>18</v>
      </c>
      <c r="F235" s="18" t="n">
        <f aca="false">LAHI_29</f>
        <v>18</v>
      </c>
    </row>
    <row r="236" customFormat="false" ht="17.15" hidden="false" customHeight="false" outlineLevel="0" collapsed="false">
      <c r="A236" s="5" t="s">
        <v>516</v>
      </c>
      <c r="B236" s="0" t="s">
        <v>30</v>
      </c>
      <c r="C236" s="26" t="n">
        <f aca="false">C233*C234*C235/1000</f>
        <v>4.254716466</v>
      </c>
      <c r="D236" s="26" t="n">
        <f aca="false">D233*D234*D235/1000</f>
        <v>9.8333786375</v>
      </c>
      <c r="E236" s="26" t="n">
        <f aca="false">E233*E234*E235/1000</f>
        <v>10.2022083333333</v>
      </c>
      <c r="F236" s="26" t="n">
        <f aca="false">F233*F234*F235/1000</f>
        <v>12.1590226285714</v>
      </c>
    </row>
    <row r="237" customFormat="false" ht="17.15" hidden="false" customHeight="false" outlineLevel="0" collapsed="false">
      <c r="A237" s="0" t="s">
        <v>517</v>
      </c>
      <c r="B237" s="0" t="s">
        <v>163</v>
      </c>
      <c r="C237" s="16" t="n">
        <f aca="false">c26_las/1000/C236</f>
        <v>0.43826657190933</v>
      </c>
      <c r="H237" s="8" t="s">
        <v>518</v>
      </c>
    </row>
    <row r="238" customFormat="false" ht="17.15" hidden="false" customHeight="false" outlineLevel="0" collapsed="false">
      <c r="A238" s="5" t="s">
        <v>519</v>
      </c>
      <c r="B238" s="0" t="s">
        <v>74</v>
      </c>
      <c r="C238" s="9" t="n">
        <f aca="false">1</f>
        <v>1</v>
      </c>
      <c r="D238" s="9" t="n">
        <f aca="false">lrel_27</f>
        <v>0.95</v>
      </c>
      <c r="E238" s="9" t="n">
        <f aca="false">lrel_28</f>
        <v>0.95</v>
      </c>
      <c r="F238" s="9" t="n">
        <f aca="false">lrel_29</f>
        <v>0.9</v>
      </c>
    </row>
    <row r="239" customFormat="false" ht="15" hidden="false" customHeight="false" outlineLevel="0" collapsed="false">
      <c r="A239" s="5" t="s">
        <v>520</v>
      </c>
      <c r="B239" s="0" t="s">
        <v>163</v>
      </c>
      <c r="C239" s="16" t="n">
        <f aca="false">$C$237*C238</f>
        <v>0.43826657190933</v>
      </c>
      <c r="D239" s="16" t="n">
        <f aca="false">$C$237*D238</f>
        <v>0.416353243313864</v>
      </c>
      <c r="E239" s="16" t="n">
        <f aca="false">$C$237*E238</f>
        <v>0.416353243313864</v>
      </c>
      <c r="F239" s="16" t="n">
        <f aca="false">$C$237*F238</f>
        <v>0.394439914718397</v>
      </c>
    </row>
    <row r="240" customFormat="false" ht="17.15" hidden="false" customHeight="false" outlineLevel="0" collapsed="false">
      <c r="A240" s="5" t="s">
        <v>521</v>
      </c>
      <c r="B240" s="0" t="s">
        <v>30</v>
      </c>
      <c r="C240" s="26" t="n">
        <f aca="false">C236*C239</f>
        <v>1.8647</v>
      </c>
      <c r="D240" s="26" t="n">
        <f aca="false">D236*D239</f>
        <v>4.09415908845639</v>
      </c>
      <c r="E240" s="26" t="n">
        <f aca="false">E236*E239</f>
        <v>4.24772252854706</v>
      </c>
      <c r="F240" s="26" t="n">
        <f aca="false">F236*F239</f>
        <v>4.79600384867277</v>
      </c>
    </row>
    <row r="241" customFormat="false" ht="17.15" hidden="false" customHeight="false" outlineLevel="0" collapsed="false">
      <c r="A241" s="5" t="s">
        <v>522</v>
      </c>
      <c r="B241" s="0" t="s">
        <v>163</v>
      </c>
      <c r="C241" s="16" t="n">
        <f aca="false">c26_xcvr/1000/C231</f>
        <v>0.0336097601668012</v>
      </c>
    </row>
    <row r="242" customFormat="false" ht="15" hidden="false" customHeight="false" outlineLevel="0" collapsed="false">
      <c r="A242" s="5" t="s">
        <v>523</v>
      </c>
      <c r="B242" s="0" t="s">
        <v>163</v>
      </c>
      <c r="C242" s="16" t="n">
        <f aca="false">C241</f>
        <v>0.0336097601668012</v>
      </c>
      <c r="D242" s="16" t="n">
        <f aca="false">$C$241*mrel_27</f>
        <v>0.0336097601668012</v>
      </c>
      <c r="E242" s="16" t="n">
        <f aca="false">$C$241*mrel_28</f>
        <v>0.0336097601668012</v>
      </c>
      <c r="F242" s="16" t="n">
        <f aca="false">$C$241*mrel_29</f>
        <v>0.0336097601668012</v>
      </c>
    </row>
    <row r="243" customFormat="false" ht="15" hidden="false" customHeight="false" outlineLevel="0" collapsed="false">
      <c r="A243" s="5" t="s">
        <v>524</v>
      </c>
      <c r="B243" s="0" t="s">
        <v>30</v>
      </c>
      <c r="C243" s="26" t="n">
        <f aca="false">C231*C242</f>
        <v>1</v>
      </c>
      <c r="D243" s="26" t="n">
        <f aca="false">D231*D242</f>
        <v>1.83806094941792</v>
      </c>
      <c r="E243" s="26" t="n">
        <f aca="false">E231*E242</f>
        <v>2.05736265153044</v>
      </c>
      <c r="F243" s="26" t="n">
        <f aca="false">F231*F242</f>
        <v>2.64873411191015</v>
      </c>
    </row>
    <row r="244" customFormat="false" ht="17.15" hidden="false" customHeight="false" outlineLevel="0" collapsed="false">
      <c r="A244" s="0" t="s">
        <v>525</v>
      </c>
      <c r="B244" s="5" t="s">
        <v>53</v>
      </c>
      <c r="C244" s="19" t="n">
        <f aca="false">tpu_26*1</f>
        <v>3.85</v>
      </c>
      <c r="D244" s="19" t="n">
        <f aca="false">tpu_27*1</f>
        <v>5.5</v>
      </c>
      <c r="E244" s="19" t="n">
        <f aca="false">tpu_28*um28_A</f>
        <v>7</v>
      </c>
      <c r="F244" s="19" t="n">
        <f aca="false">tpu_29*um29_A</f>
        <v>8.05</v>
      </c>
    </row>
    <row r="245" customFormat="false" ht="17.15" hidden="false" customHeight="false" outlineLevel="0" collapsed="false">
      <c r="A245" s="0" t="s">
        <v>526</v>
      </c>
      <c r="B245" s="0" t="s">
        <v>120</v>
      </c>
      <c r="C245" s="20" t="n">
        <f aca="false">c26_ocs/C244</f>
        <v>129.87012987013</v>
      </c>
      <c r="D245" s="20" t="n">
        <f aca="false">$C245*ocsk_27</f>
        <v>207.792207792208</v>
      </c>
      <c r="E245" s="20" t="n">
        <f aca="false">$C245*ocsk_28</f>
        <v>233.766233766234</v>
      </c>
      <c r="F245" s="20" t="n">
        <f aca="false">$C245*ocsk_29</f>
        <v>233.766233766234</v>
      </c>
    </row>
    <row r="246" customFormat="false" ht="17.15" hidden="false" customHeight="false" outlineLevel="0" collapsed="false">
      <c r="A246" s="0" t="s">
        <v>479</v>
      </c>
      <c r="B246" s="0" t="s">
        <v>30</v>
      </c>
      <c r="C246" s="26" t="n">
        <f aca="false">C244*C245/1000</f>
        <v>0.5</v>
      </c>
      <c r="D246" s="26" t="n">
        <f aca="false">D244*D245/1000</f>
        <v>1.14285714285714</v>
      </c>
      <c r="E246" s="26" t="n">
        <f aca="false">E244*E245/1000</f>
        <v>1.63636363636364</v>
      </c>
      <c r="F246" s="26" t="n">
        <f aca="false">F244*F245/1000</f>
        <v>1.88181818181818</v>
      </c>
    </row>
    <row r="247" customFormat="false" ht="17.15" hidden="false" customHeight="false" outlineLevel="0" collapsed="false">
      <c r="A247" s="0" t="s">
        <v>527</v>
      </c>
      <c r="B247" s="0" t="s">
        <v>30</v>
      </c>
      <c r="C247" s="26" t="n">
        <f aca="false">mcp_26*1</f>
        <v>0.300538</v>
      </c>
      <c r="D247" s="26" t="n">
        <f aca="false">mcp_27*1</f>
        <v>1.691391</v>
      </c>
      <c r="E247" s="26" t="n">
        <f aca="false">mcp_28*um28_A</f>
        <v>3.22175</v>
      </c>
      <c r="F247" s="26" t="n">
        <f aca="false">mcp_29*um29_A</f>
        <v>5.87368</v>
      </c>
    </row>
    <row r="248" customFormat="false" ht="17.15" hidden="false" customHeight="false" outlineLevel="0" collapsed="false">
      <c r="A248" s="0" t="s">
        <v>480</v>
      </c>
      <c r="B248" s="0" t="s">
        <v>163</v>
      </c>
      <c r="C248" s="16" t="n">
        <f aca="false">c26_cpo/1000/C247</f>
        <v>0.166368312825666</v>
      </c>
      <c r="D248" s="16" t="n">
        <f aca="false">cpo_27</f>
        <v>0.25</v>
      </c>
      <c r="E248" s="16" t="n">
        <f aca="false">cpo_28</f>
        <v>0.25</v>
      </c>
      <c r="F248" s="16" t="n">
        <f aca="false">cpo_29</f>
        <v>0.2</v>
      </c>
    </row>
    <row r="249" customFormat="false" ht="17.15" hidden="false" customHeight="false" outlineLevel="0" collapsed="false">
      <c r="A249" s="0" t="s">
        <v>528</v>
      </c>
      <c r="B249" s="0" t="s">
        <v>30</v>
      </c>
      <c r="C249" s="26" t="n">
        <f aca="false">C247*C248</f>
        <v>0.05</v>
      </c>
      <c r="D249" s="26" t="n">
        <f aca="false">D247*D248</f>
        <v>0.42284775</v>
      </c>
      <c r="E249" s="26" t="n">
        <f aca="false">E247*E248</f>
        <v>0.8054375</v>
      </c>
      <c r="F249" s="26" t="n">
        <f aca="false">F247*F248</f>
        <v>1.174736</v>
      </c>
    </row>
    <row r="250" customFormat="false" ht="17.15" hidden="false" customHeight="false" outlineLevel="0" collapsed="false">
      <c r="A250" s="0" t="s">
        <v>529</v>
      </c>
      <c r="B250" s="0" t="s">
        <v>30</v>
      </c>
      <c r="C250" s="26" t="n">
        <f aca="false">C240+C243+C246+C249</f>
        <v>3.4147</v>
      </c>
      <c r="D250" s="26" t="n">
        <f aca="false">D240+D243+D246+D249</f>
        <v>7.49792493073144</v>
      </c>
      <c r="E250" s="26" t="n">
        <f aca="false">E240+E243+E246+E249</f>
        <v>8.74688631644114</v>
      </c>
      <c r="F250" s="26" t="n">
        <f aca="false">F240+F243+F246+F249</f>
        <v>10.5012921424011</v>
      </c>
    </row>
    <row r="251" customFormat="false" ht="17.15" hidden="false" customHeight="false" outlineLevel="0" collapsed="false">
      <c r="A251" s="5" t="s">
        <v>530</v>
      </c>
      <c r="B251" s="0" t="s">
        <v>30</v>
      </c>
      <c r="C251" s="26" t="n">
        <f aca="false">c26_tel/1000</f>
        <v>0.75</v>
      </c>
      <c r="D251" s="26" t="n">
        <f aca="false">C251*(1+g_tel_27)</f>
        <v>0.9375</v>
      </c>
      <c r="E251" s="26" t="n">
        <f aca="false">D251*(1+g_tel_28)</f>
        <v>1.078125</v>
      </c>
      <c r="F251" s="26" t="n">
        <f aca="false">E251*(1+g_tel_29)</f>
        <v>1.1859375</v>
      </c>
    </row>
    <row r="252" customFormat="false" ht="17.15" hidden="false" customHeight="false" outlineLevel="0" collapsed="false">
      <c r="A252" s="5" t="s">
        <v>531</v>
      </c>
      <c r="B252" s="0" t="s">
        <v>30</v>
      </c>
      <c r="C252" s="26" t="n">
        <f aca="false">c26_ind/1000</f>
        <v>0.3</v>
      </c>
      <c r="D252" s="26" t="n">
        <f aca="false">C252*(1+g_ind)</f>
        <v>0.309</v>
      </c>
      <c r="E252" s="26" t="n">
        <f aca="false">D252*(1+g_ind)</f>
        <v>0.31827</v>
      </c>
      <c r="F252" s="26" t="n">
        <f aca="false">E252*(1+g_ind)</f>
        <v>0.3278181</v>
      </c>
    </row>
    <row r="253" customFormat="false" ht="15" hidden="false" customHeight="false" outlineLevel="0" collapsed="false">
      <c r="A253" s="5" t="s">
        <v>532</v>
      </c>
      <c r="B253" s="0" t="s">
        <v>30</v>
      </c>
      <c r="C253" s="26" t="n">
        <f aca="false">C250+C251+C252</f>
        <v>4.4647</v>
      </c>
      <c r="D253" s="26" t="n">
        <f aca="false">D250+D251+D252</f>
        <v>8.74442493073144</v>
      </c>
      <c r="E253" s="26" t="n">
        <f aca="false">E250+E251+E252</f>
        <v>10.1432813164411</v>
      </c>
      <c r="F253" s="26" t="n">
        <f aca="false">F250+F251+F252</f>
        <v>12.0150477424011</v>
      </c>
    </row>
    <row r="254" customFormat="false" ht="15" hidden="false" customHeight="false" outlineLevel="0" collapsed="false">
      <c r="A254" s="5" t="s">
        <v>533</v>
      </c>
      <c r="B254" s="0" t="s">
        <v>163</v>
      </c>
      <c r="D254" s="16" t="n">
        <f aca="false">D253/C253-1</f>
        <v>0.95856942924081</v>
      </c>
      <c r="E254" s="16" t="n">
        <f aca="false">E253/D253-1</f>
        <v>0.159971227015004</v>
      </c>
      <c r="F254" s="16" t="n">
        <f aca="false">F253/E253-1</f>
        <v>0.184532634713191</v>
      </c>
    </row>
    <row r="255" customFormat="false" ht="17.15" hidden="false" customHeight="false" outlineLevel="0" collapsed="false">
      <c r="A255" s="1" t="s">
        <v>534</v>
      </c>
    </row>
    <row r="256" customFormat="false" ht="17.15" hidden="false" customHeight="false" outlineLevel="0" collapsed="false">
      <c r="A256" s="6" t="s">
        <v>19</v>
      </c>
      <c r="B256" s="6" t="s">
        <v>20</v>
      </c>
      <c r="C256" s="14" t="s">
        <v>420</v>
      </c>
      <c r="D256" s="14" t="s">
        <v>487</v>
      </c>
      <c r="E256" s="14" t="s">
        <v>488</v>
      </c>
      <c r="F256" s="14" t="s">
        <v>489</v>
      </c>
      <c r="G256" s="14" t="s">
        <v>490</v>
      </c>
      <c r="H256" s="6" t="s">
        <v>428</v>
      </c>
    </row>
    <row r="257" customFormat="false" ht="17.15" hidden="false" customHeight="false" outlineLevel="0" collapsed="false">
      <c r="A257" s="0" t="s">
        <v>535</v>
      </c>
      <c r="B257" s="0" t="s">
        <v>30</v>
      </c>
      <c r="E257" s="26" t="n">
        <f aca="false">w2h_26*C250+h_1h*D250</f>
        <v>5.55080255246069</v>
      </c>
      <c r="F257" s="26" t="n">
        <f aca="false">(1-h_1h)*D250+h_1h*E250</f>
        <v>8.084936782015</v>
      </c>
      <c r="G257" s="26" t="n">
        <f aca="false">(1-h_1h)*E250+h_1h*F250</f>
        <v>9.57145705464232</v>
      </c>
      <c r="H257" s="8" t="s">
        <v>536</v>
      </c>
    </row>
    <row r="258" customFormat="false" ht="17.15" hidden="false" customHeight="false" outlineLevel="0" collapsed="false">
      <c r="A258" s="5" t="s">
        <v>537</v>
      </c>
      <c r="B258" s="0" t="s">
        <v>30</v>
      </c>
      <c r="E258" s="26" t="n">
        <f aca="false">w2h_26*C251+h_1h*D251+w2h_26*C252+h_1h*D252</f>
        <v>1.20907716498309</v>
      </c>
      <c r="F258" s="26" t="n">
        <f aca="false">(1-h_1h)*D251+h_1h*E251+(1-h_1h)*D252+h_1h*E252</f>
        <v>1.31695065</v>
      </c>
      <c r="G258" s="26" t="n">
        <f aca="false">(1-h_1h)*E251+h_1h*F251+(1-h_1h)*E252+h_1h*F252</f>
        <v>1.451554482</v>
      </c>
    </row>
    <row r="259" customFormat="false" ht="15" hidden="false" customHeight="false" outlineLevel="0" collapsed="false">
      <c r="A259" s="5" t="s">
        <v>429</v>
      </c>
      <c r="B259" s="0" t="s">
        <v>30</v>
      </c>
      <c r="C259" s="26" t="n">
        <f aca="false">a25_rev/1000</f>
        <v>1.645</v>
      </c>
      <c r="D259" s="26" t="n">
        <f aca="false">a26_rev/1000</f>
        <v>3.014</v>
      </c>
      <c r="E259" s="26" t="n">
        <f aca="false">E257+E258</f>
        <v>6.75987971744378</v>
      </c>
      <c r="F259" s="26" t="n">
        <f aca="false">F257+F258</f>
        <v>9.401887432015</v>
      </c>
      <c r="G259" s="26" t="n">
        <f aca="false">G257+G258</f>
        <v>11.0230115366423</v>
      </c>
    </row>
    <row r="260" customFormat="false" ht="15" hidden="false" customHeight="false" outlineLevel="0" collapsed="false">
      <c r="A260" s="5" t="s">
        <v>538</v>
      </c>
      <c r="B260" s="0" t="s">
        <v>163</v>
      </c>
      <c r="D260" s="16" t="n">
        <f aca="false">D259/C259-1</f>
        <v>0.832218844984802</v>
      </c>
      <c r="E260" s="16" t="n">
        <f aca="false">E259/D259-1</f>
        <v>1.24282671448035</v>
      </c>
      <c r="F260" s="16" t="n">
        <f aca="false">F259/E259-1</f>
        <v>0.390836497837907</v>
      </c>
      <c r="G260" s="16" t="n">
        <f aca="false">G259/F259-1</f>
        <v>0.172425389726229</v>
      </c>
    </row>
    <row r="261" customFormat="false" ht="17.15" hidden="false" customHeight="false" outlineLevel="0" collapsed="false">
      <c r="A261" s="0" t="s">
        <v>539</v>
      </c>
      <c r="B261" s="0" t="s">
        <v>163</v>
      </c>
      <c r="E261" s="16" t="n">
        <f aca="false">E257/E259</f>
        <v>0.821139248696529</v>
      </c>
      <c r="F261" s="16" t="n">
        <f aca="false">F257/F259</f>
        <v>0.85992699237011</v>
      </c>
      <c r="G261" s="16" t="n">
        <f aca="false">G257/G259</f>
        <v>0.868315979061186</v>
      </c>
    </row>
    <row r="262" customFormat="false" ht="17.15" hidden="false" customHeight="false" outlineLevel="0" collapsed="false">
      <c r="A262" s="5" t="s">
        <v>432</v>
      </c>
      <c r="B262" s="0" t="s">
        <v>163</v>
      </c>
      <c r="C262" s="16" t="n">
        <f aca="false">a25_gm</f>
        <v>0.347</v>
      </c>
      <c r="D262" s="16" t="n">
        <f aca="false">a26_gm</f>
        <v>0.46</v>
      </c>
      <c r="E262" s="16" t="n">
        <f aca="false">gm_27</f>
        <v>0.52</v>
      </c>
      <c r="F262" s="16" t="n">
        <f aca="false">gm_28</f>
        <v>0.51</v>
      </c>
      <c r="G262" s="16" t="n">
        <f aca="false">gm_29</f>
        <v>0.49</v>
      </c>
    </row>
    <row r="263" customFormat="false" ht="15" hidden="false" customHeight="false" outlineLevel="0" collapsed="false">
      <c r="A263" s="5" t="s">
        <v>433</v>
      </c>
      <c r="B263" s="0" t="s">
        <v>30</v>
      </c>
      <c r="C263" s="26" t="n">
        <f aca="false">C259*C262</f>
        <v>0.570815</v>
      </c>
      <c r="D263" s="26" t="n">
        <f aca="false">D259*D262</f>
        <v>1.38644</v>
      </c>
      <c r="E263" s="26" t="n">
        <f aca="false">E259*E262</f>
        <v>3.51513745307076</v>
      </c>
      <c r="F263" s="26" t="n">
        <f aca="false">F259*F262</f>
        <v>4.79496259032765</v>
      </c>
      <c r="G263" s="26" t="n">
        <f aca="false">G259*G262</f>
        <v>5.40127565295474</v>
      </c>
    </row>
    <row r="264" customFormat="false" ht="15" hidden="false" customHeight="false" outlineLevel="0" collapsed="false">
      <c r="A264" s="5" t="s">
        <v>540</v>
      </c>
      <c r="B264" s="0" t="s">
        <v>30</v>
      </c>
      <c r="C264" s="26" t="n">
        <f aca="false">a25_opx/1000</f>
        <v>0.4114</v>
      </c>
      <c r="D264" s="26" t="n">
        <f aca="false">a26_opx/1000</f>
        <v>0.4897</v>
      </c>
      <c r="E264" s="26" t="n">
        <f aca="false">D264*(1+MAX(0,phi*E260))</f>
        <v>0.628887621243934</v>
      </c>
      <c r="F264" s="26" t="n">
        <f aca="false">E264*(1+MAX(0,phi*F260))</f>
        <v>0.685099498368592</v>
      </c>
      <c r="G264" s="26" t="n">
        <f aca="false">F264*(1+MAX(0,phi*G260))</f>
        <v>0.712115109395304</v>
      </c>
    </row>
    <row r="265" customFormat="false" ht="15" hidden="false" customHeight="false" outlineLevel="0" collapsed="false">
      <c r="A265" s="5" t="s">
        <v>541</v>
      </c>
      <c r="B265" s="0" t="s">
        <v>30</v>
      </c>
      <c r="C265" s="26" t="n">
        <f aca="false">C264</f>
        <v>0.4114</v>
      </c>
      <c r="D265" s="26" t="n">
        <f aca="false">D264</f>
        <v>0.4897</v>
      </c>
      <c r="E265" s="26" t="n">
        <f aca="false">E264+0*E259</f>
        <v>0.628887621243934</v>
      </c>
      <c r="F265" s="26" t="n">
        <f aca="false">F264+0*F259</f>
        <v>0.685099498368592</v>
      </c>
      <c r="G265" s="26" t="n">
        <f aca="false">G264+0*G259</f>
        <v>0.712115109395304</v>
      </c>
    </row>
    <row r="266" customFormat="false" ht="15" hidden="false" customHeight="false" outlineLevel="0" collapsed="false">
      <c r="A266" s="5" t="s">
        <v>542</v>
      </c>
      <c r="B266" s="0" t="s">
        <v>30</v>
      </c>
      <c r="C266" s="26" t="n">
        <f aca="false">C263-C265</f>
        <v>0.159415</v>
      </c>
      <c r="D266" s="26" t="n">
        <f aca="false">D263-D265</f>
        <v>0.89674</v>
      </c>
      <c r="E266" s="26" t="n">
        <f aca="false">E263-E265</f>
        <v>2.88624983182683</v>
      </c>
      <c r="F266" s="26" t="n">
        <f aca="false">F263-F265</f>
        <v>4.10986309195906</v>
      </c>
      <c r="G266" s="26" t="n">
        <f aca="false">G263-G265</f>
        <v>4.68916054355943</v>
      </c>
    </row>
    <row r="267" customFormat="false" ht="15" hidden="false" customHeight="false" outlineLevel="0" collapsed="false">
      <c r="A267" s="5" t="s">
        <v>437</v>
      </c>
      <c r="B267" s="0" t="s">
        <v>163</v>
      </c>
      <c r="C267" s="16" t="n">
        <f aca="false">C266/C259</f>
        <v>0.0969088145896656</v>
      </c>
      <c r="D267" s="16" t="n">
        <f aca="false">D266/D259</f>
        <v>0.297524883875249</v>
      </c>
      <c r="E267" s="16" t="n">
        <f aca="false">E266/E259</f>
        <v>0.42696763144748</v>
      </c>
      <c r="F267" s="16" t="n">
        <f aca="false">F266/F259</f>
        <v>0.437131705913037</v>
      </c>
      <c r="G267" s="16" t="n">
        <f aca="false">G266/G259</f>
        <v>0.425397408682</v>
      </c>
    </row>
    <row r="268" customFormat="false" ht="17.15" hidden="false" customHeight="false" outlineLevel="0" collapsed="false">
      <c r="A268" s="5" t="s">
        <v>438</v>
      </c>
      <c r="B268" s="0" t="s">
        <v>30</v>
      </c>
      <c r="C268" s="26" t="n">
        <f aca="false">a25_ni/1000</f>
        <v>0.1464</v>
      </c>
      <c r="D268" s="26" t="n">
        <f aca="false">a26_ni/1000</f>
        <v>0.7823</v>
      </c>
      <c r="E268" s="26" t="n">
        <f aca="false">(E266+oi_oth)*(1-tx)</f>
        <v>2.4536186095754</v>
      </c>
      <c r="F268" s="26" t="n">
        <f aca="false">(F266+oi_oth)*(1-tx)</f>
        <v>3.47533568178581</v>
      </c>
      <c r="G268" s="26" t="n">
        <f aca="false">(G266+oi_oth)*(1-tx)</f>
        <v>3.95904905387213</v>
      </c>
    </row>
    <row r="269" customFormat="false" ht="15" hidden="false" customHeight="false" outlineLevel="0" collapsed="false">
      <c r="A269" s="5" t="s">
        <v>500</v>
      </c>
      <c r="B269" s="0" t="s">
        <v>163</v>
      </c>
      <c r="C269" s="16" t="n">
        <f aca="false">C268/C259</f>
        <v>0.0889969604863222</v>
      </c>
      <c r="D269" s="16" t="n">
        <f aca="false">D268/D259</f>
        <v>0.259555408095554</v>
      </c>
      <c r="E269" s="16" t="n">
        <f aca="false">E268/E259</f>
        <v>0.362967791164076</v>
      </c>
      <c r="F269" s="16" t="n">
        <f aca="false">F268/F259</f>
        <v>0.369642341169893</v>
      </c>
      <c r="G269" s="16" t="n">
        <f aca="false">G268/G259</f>
        <v>0.359162198162597</v>
      </c>
    </row>
    <row r="270" customFormat="false" ht="17.15" hidden="false" customHeight="false" outlineLevel="0" collapsed="false">
      <c r="A270" s="5" t="s">
        <v>442</v>
      </c>
      <c r="B270" s="5" t="s">
        <v>237</v>
      </c>
      <c r="C270" s="15" t="n">
        <f aca="false">a25_sh</f>
        <v>71.0679611650485</v>
      </c>
      <c r="D270" s="15" t="n">
        <f aca="false">a26_sh</f>
        <v>90.2306805074971</v>
      </c>
      <c r="E270" s="15" t="n">
        <f aca="false">sh_q1</f>
        <v>102</v>
      </c>
      <c r="F270" s="15" t="n">
        <f aca="false">E270*(1+sh_g)</f>
        <v>103.02</v>
      </c>
      <c r="G270" s="15" t="n">
        <f aca="false">F270*(1+sh_g)</f>
        <v>104.0502</v>
      </c>
    </row>
    <row r="271" customFormat="false" ht="17.15" hidden="false" customHeight="false" outlineLevel="0" collapsed="false">
      <c r="A271" s="0" t="s">
        <v>444</v>
      </c>
      <c r="B271" s="0" t="s">
        <v>232</v>
      </c>
      <c r="C271" s="9" t="n">
        <f aca="false">C268*1000/C270</f>
        <v>2.06</v>
      </c>
      <c r="D271" s="9" t="n">
        <f aca="false">D268*1000/D270</f>
        <v>8.67</v>
      </c>
      <c r="E271" s="9" t="n">
        <f aca="false">E268*1000/E270</f>
        <v>24.055084407602</v>
      </c>
      <c r="F271" s="9" t="n">
        <f aca="false">F268*1000/F270</f>
        <v>33.7345727216639</v>
      </c>
      <c r="G271" s="9" t="n">
        <f aca="false">G268*1000/G270</f>
        <v>38.0494132050888</v>
      </c>
    </row>
    <row r="272" customFormat="false" ht="17.15" hidden="false" customHeight="false" outlineLevel="0" collapsed="false">
      <c r="A272" s="0" t="s">
        <v>543</v>
      </c>
      <c r="B272" s="0" t="s">
        <v>163</v>
      </c>
      <c r="D272" s="16" t="n">
        <f aca="false">D271/C271-1</f>
        <v>3.20873786407767</v>
      </c>
      <c r="E272" s="16" t="n">
        <f aca="false">E271/D271-1</f>
        <v>1.7745195395158</v>
      </c>
      <c r="F272" s="16" t="n">
        <f aca="false">F271/E271-1</f>
        <v>0.402388457676871</v>
      </c>
      <c r="G272" s="16" t="n">
        <f aca="false">G271/F271-1</f>
        <v>0.127905591661872</v>
      </c>
    </row>
    <row r="275" customFormat="false" ht="17.15" hidden="false" customHeight="false" outlineLevel="0" collapsed="false">
      <c r="A275" s="3" t="s">
        <v>839</v>
      </c>
    </row>
    <row r="276" customFormat="false" ht="17.15" hidden="false" customHeight="false" outlineLevel="0" collapsed="false">
      <c r="A276" s="1" t="s">
        <v>509</v>
      </c>
    </row>
    <row r="277" customFormat="false" ht="17.15" hidden="false" customHeight="false" outlineLevel="0" collapsed="false">
      <c r="A277" s="6" t="s">
        <v>19</v>
      </c>
      <c r="B277" s="6" t="s">
        <v>20</v>
      </c>
      <c r="C277" s="14" t="s">
        <v>510</v>
      </c>
      <c r="D277" s="14" t="s">
        <v>465</v>
      </c>
      <c r="E277" s="14" t="s">
        <v>466</v>
      </c>
      <c r="F277" s="14" t="s">
        <v>467</v>
      </c>
      <c r="G277" s="14"/>
      <c r="H277" s="6" t="s">
        <v>428</v>
      </c>
    </row>
    <row r="278" customFormat="false" ht="17.15" hidden="false" customHeight="false" outlineLevel="0" collapsed="false">
      <c r="A278" s="0" t="s">
        <v>511</v>
      </c>
      <c r="B278" s="0" t="s">
        <v>30</v>
      </c>
      <c r="C278" s="26" t="n">
        <f aca="false">mpl_26*1</f>
        <v>29.753262</v>
      </c>
      <c r="D278" s="26" t="n">
        <f aca="false">mpl_27*1*1</f>
        <v>54.688309</v>
      </c>
      <c r="E278" s="26" t="n">
        <f aca="false">mpl_28*um28_A*1</f>
        <v>61.21325</v>
      </c>
      <c r="F278" s="26" t="n">
        <f aca="false">mpl_29*um29_A*1</f>
        <v>78.80848</v>
      </c>
    </row>
    <row r="279" customFormat="false" ht="17.15" hidden="false" customHeight="false" outlineLevel="0" collapsed="false">
      <c r="A279" s="5" t="s">
        <v>512</v>
      </c>
      <c r="B279" s="0" t="s">
        <v>96</v>
      </c>
      <c r="C279" s="20" t="n">
        <f aca="false">asp_26</f>
        <v>500</v>
      </c>
      <c r="D279" s="20" t="n">
        <f aca="false">ASHI_27</f>
        <v>640</v>
      </c>
      <c r="E279" s="20" t="n">
        <f aca="false">ASHI_28</f>
        <v>680</v>
      </c>
      <c r="F279" s="20" t="n">
        <f aca="false">ASHI_29</f>
        <v>720</v>
      </c>
    </row>
    <row r="280" customFormat="false" ht="17.15" hidden="false" customHeight="false" outlineLevel="0" collapsed="false">
      <c r="A280" s="5" t="s">
        <v>513</v>
      </c>
      <c r="B280" s="5" t="s">
        <v>336</v>
      </c>
      <c r="C280" s="15" t="n">
        <f aca="false">C278*1000/C279</f>
        <v>59.506524</v>
      </c>
      <c r="D280" s="15" t="n">
        <f aca="false">D278*1000/D279</f>
        <v>85.4504828125</v>
      </c>
      <c r="E280" s="15" t="n">
        <f aca="false">E278*1000/E279</f>
        <v>90.0194852941176</v>
      </c>
      <c r="F280" s="15" t="n">
        <f aca="false">F278*1000/F279</f>
        <v>109.456222222222</v>
      </c>
    </row>
    <row r="281" customFormat="false" ht="17.15" hidden="false" customHeight="false" outlineLevel="0" collapsed="false">
      <c r="A281" s="5" t="s">
        <v>514</v>
      </c>
      <c r="B281" s="5" t="s">
        <v>108</v>
      </c>
      <c r="C281" s="18" t="n">
        <f aca="false">lpm_26</f>
        <v>5.5</v>
      </c>
      <c r="D281" s="18" t="n">
        <f aca="false">lpm_27</f>
        <v>5.5</v>
      </c>
      <c r="E281" s="18" t="n">
        <f aca="false">lpm_28</f>
        <v>5</v>
      </c>
      <c r="F281" s="18" t="n">
        <f aca="false">lpm_29</f>
        <v>4.8</v>
      </c>
    </row>
    <row r="282" customFormat="false" ht="17.15" hidden="false" customHeight="false" outlineLevel="0" collapsed="false">
      <c r="A282" s="5" t="s">
        <v>515</v>
      </c>
      <c r="B282" s="0" t="s">
        <v>120</v>
      </c>
      <c r="C282" s="18" t="n">
        <f aca="false">lasp_26</f>
        <v>13</v>
      </c>
      <c r="D282" s="18" t="n">
        <f aca="false">lasp_27</f>
        <v>15</v>
      </c>
      <c r="E282" s="18" t="n">
        <f aca="false">lasp_28</f>
        <v>15</v>
      </c>
      <c r="F282" s="18" t="n">
        <f aca="false">lasp_29</f>
        <v>14</v>
      </c>
    </row>
    <row r="283" customFormat="false" ht="17.15" hidden="false" customHeight="false" outlineLevel="0" collapsed="false">
      <c r="A283" s="5" t="s">
        <v>516</v>
      </c>
      <c r="B283" s="0" t="s">
        <v>30</v>
      </c>
      <c r="C283" s="26" t="n">
        <f aca="false">C280*C281*C282/1000</f>
        <v>4.254716466</v>
      </c>
      <c r="D283" s="26" t="n">
        <f aca="false">D280*D281*D282/1000</f>
        <v>7.04966483203125</v>
      </c>
      <c r="E283" s="26" t="n">
        <f aca="false">E280*E281*E282/1000</f>
        <v>6.75146139705882</v>
      </c>
      <c r="F283" s="26" t="n">
        <f aca="false">F280*F281*F282/1000</f>
        <v>7.35545813333333</v>
      </c>
    </row>
    <row r="284" customFormat="false" ht="17.15" hidden="false" customHeight="false" outlineLevel="0" collapsed="false">
      <c r="A284" s="0" t="s">
        <v>517</v>
      </c>
      <c r="B284" s="0" t="s">
        <v>163</v>
      </c>
      <c r="C284" s="16" t="n">
        <f aca="false">c26_las/1000/C283</f>
        <v>0.43826657190933</v>
      </c>
      <c r="H284" s="8" t="s">
        <v>518</v>
      </c>
    </row>
    <row r="285" customFormat="false" ht="17.15" hidden="false" customHeight="false" outlineLevel="0" collapsed="false">
      <c r="A285" s="5" t="s">
        <v>519</v>
      </c>
      <c r="B285" s="0" t="s">
        <v>74</v>
      </c>
      <c r="C285" s="9" t="n">
        <f aca="false">1</f>
        <v>1</v>
      </c>
      <c r="D285" s="9" t="n">
        <f aca="false">lrel_27</f>
        <v>0.95</v>
      </c>
      <c r="E285" s="9" t="n">
        <f aca="false">lrel_28</f>
        <v>0.95</v>
      </c>
      <c r="F285" s="9" t="n">
        <f aca="false">lrel_29</f>
        <v>0.9</v>
      </c>
    </row>
    <row r="286" customFormat="false" ht="15" hidden="false" customHeight="false" outlineLevel="0" collapsed="false">
      <c r="A286" s="5" t="s">
        <v>520</v>
      </c>
      <c r="B286" s="0" t="s">
        <v>163</v>
      </c>
      <c r="C286" s="16" t="n">
        <f aca="false">$C$284*C285</f>
        <v>0.43826657190933</v>
      </c>
      <c r="D286" s="16" t="n">
        <f aca="false">$C$284*D285</f>
        <v>0.416353243313864</v>
      </c>
      <c r="E286" s="16" t="n">
        <f aca="false">$C$284*E285</f>
        <v>0.416353243313864</v>
      </c>
      <c r="F286" s="16" t="n">
        <f aca="false">$C$284*F285</f>
        <v>0.394439914718397</v>
      </c>
    </row>
    <row r="287" customFormat="false" ht="17.15" hidden="false" customHeight="false" outlineLevel="0" collapsed="false">
      <c r="A287" s="5" t="s">
        <v>521</v>
      </c>
      <c r="B287" s="0" t="s">
        <v>30</v>
      </c>
      <c r="C287" s="26" t="n">
        <f aca="false">C283*C286</f>
        <v>1.8647</v>
      </c>
      <c r="D287" s="26" t="n">
        <f aca="false">D283*D286</f>
        <v>2.93515081709189</v>
      </c>
      <c r="E287" s="26" t="n">
        <f aca="false">E283*E286</f>
        <v>2.81099284977379</v>
      </c>
      <c r="F287" s="26" t="n">
        <f aca="false">F283*F286</f>
        <v>2.90128627882674</v>
      </c>
    </row>
    <row r="288" customFormat="false" ht="17.15" hidden="false" customHeight="false" outlineLevel="0" collapsed="false">
      <c r="A288" s="5" t="s">
        <v>522</v>
      </c>
      <c r="B288" s="0" t="s">
        <v>163</v>
      </c>
      <c r="C288" s="16" t="n">
        <f aca="false">c26_xcvr/1000/C278</f>
        <v>0.0336097601668012</v>
      </c>
    </row>
    <row r="289" customFormat="false" ht="15" hidden="false" customHeight="false" outlineLevel="0" collapsed="false">
      <c r="A289" s="5" t="s">
        <v>523</v>
      </c>
      <c r="B289" s="0" t="s">
        <v>163</v>
      </c>
      <c r="C289" s="16" t="n">
        <f aca="false">C288</f>
        <v>0.0336097601668012</v>
      </c>
      <c r="D289" s="16" t="n">
        <f aca="false">$C$288*mrel_27</f>
        <v>0.0336097601668012</v>
      </c>
      <c r="E289" s="16" t="n">
        <f aca="false">$C$288*mrel_28</f>
        <v>0.0336097601668012</v>
      </c>
      <c r="F289" s="16" t="n">
        <f aca="false">$C$288*mrel_29</f>
        <v>0.0336097601668012</v>
      </c>
    </row>
    <row r="290" customFormat="false" ht="15" hidden="false" customHeight="false" outlineLevel="0" collapsed="false">
      <c r="A290" s="5" t="s">
        <v>524</v>
      </c>
      <c r="B290" s="0" t="s">
        <v>30</v>
      </c>
      <c r="C290" s="26" t="n">
        <f aca="false">C278*C289</f>
        <v>1</v>
      </c>
      <c r="D290" s="26" t="n">
        <f aca="false">D278*D289</f>
        <v>1.83806094941792</v>
      </c>
      <c r="E290" s="26" t="n">
        <f aca="false">E278*E289</f>
        <v>2.05736265153044</v>
      </c>
      <c r="F290" s="26" t="n">
        <f aca="false">F278*F289</f>
        <v>2.64873411191015</v>
      </c>
    </row>
    <row r="291" customFormat="false" ht="17.15" hidden="false" customHeight="false" outlineLevel="0" collapsed="false">
      <c r="A291" s="0" t="s">
        <v>525</v>
      </c>
      <c r="B291" s="5" t="s">
        <v>53</v>
      </c>
      <c r="C291" s="19" t="n">
        <f aca="false">tpu_26*1</f>
        <v>3.85</v>
      </c>
      <c r="D291" s="19" t="n">
        <f aca="false">tpu_27*1</f>
        <v>5.5</v>
      </c>
      <c r="E291" s="19" t="n">
        <f aca="false">tpu_28*um28_A</f>
        <v>7</v>
      </c>
      <c r="F291" s="19" t="n">
        <f aca="false">tpu_29*um29_A</f>
        <v>8.05</v>
      </c>
    </row>
    <row r="292" customFormat="false" ht="17.15" hidden="false" customHeight="false" outlineLevel="0" collapsed="false">
      <c r="A292" s="0" t="s">
        <v>526</v>
      </c>
      <c r="B292" s="0" t="s">
        <v>120</v>
      </c>
      <c r="C292" s="20" t="n">
        <f aca="false">c26_ocs/C291</f>
        <v>129.87012987013</v>
      </c>
      <c r="D292" s="20" t="n">
        <f aca="false">$C292*ocsk_27</f>
        <v>207.792207792208</v>
      </c>
      <c r="E292" s="20" t="n">
        <f aca="false">$C292*ocsk_28</f>
        <v>233.766233766234</v>
      </c>
      <c r="F292" s="20" t="n">
        <f aca="false">$C292*ocsk_29</f>
        <v>233.766233766234</v>
      </c>
    </row>
    <row r="293" customFormat="false" ht="17.15" hidden="false" customHeight="false" outlineLevel="0" collapsed="false">
      <c r="A293" s="0" t="s">
        <v>479</v>
      </c>
      <c r="B293" s="0" t="s">
        <v>30</v>
      </c>
      <c r="C293" s="26" t="n">
        <f aca="false">C291*C292/1000</f>
        <v>0.5</v>
      </c>
      <c r="D293" s="26" t="n">
        <f aca="false">D291*D292/1000</f>
        <v>1.14285714285714</v>
      </c>
      <c r="E293" s="26" t="n">
        <f aca="false">E291*E292/1000</f>
        <v>1.63636363636364</v>
      </c>
      <c r="F293" s="26" t="n">
        <f aca="false">F291*F292/1000</f>
        <v>1.88181818181818</v>
      </c>
    </row>
    <row r="294" customFormat="false" ht="17.15" hidden="false" customHeight="false" outlineLevel="0" collapsed="false">
      <c r="A294" s="0" t="s">
        <v>527</v>
      </c>
      <c r="B294" s="0" t="s">
        <v>30</v>
      </c>
      <c r="C294" s="26" t="n">
        <f aca="false">mcp_26*1</f>
        <v>0.300538</v>
      </c>
      <c r="D294" s="26" t="n">
        <f aca="false">mcp_27*1</f>
        <v>1.691391</v>
      </c>
      <c r="E294" s="26" t="n">
        <f aca="false">mcp_28*um28_A</f>
        <v>3.22175</v>
      </c>
      <c r="F294" s="26" t="n">
        <f aca="false">mcp_29*um29_A</f>
        <v>5.87368</v>
      </c>
    </row>
    <row r="295" customFormat="false" ht="17.15" hidden="false" customHeight="false" outlineLevel="0" collapsed="false">
      <c r="A295" s="0" t="s">
        <v>480</v>
      </c>
      <c r="B295" s="0" t="s">
        <v>163</v>
      </c>
      <c r="C295" s="16" t="n">
        <f aca="false">c26_cpo/1000/C294</f>
        <v>0.166368312825666</v>
      </c>
      <c r="D295" s="16" t="n">
        <f aca="false">cpo_27</f>
        <v>0.25</v>
      </c>
      <c r="E295" s="16" t="n">
        <f aca="false">cpo_28</f>
        <v>0.25</v>
      </c>
      <c r="F295" s="16" t="n">
        <f aca="false">cpo_29</f>
        <v>0.2</v>
      </c>
    </row>
    <row r="296" customFormat="false" ht="17.15" hidden="false" customHeight="false" outlineLevel="0" collapsed="false">
      <c r="A296" s="0" t="s">
        <v>528</v>
      </c>
      <c r="B296" s="0" t="s">
        <v>30</v>
      </c>
      <c r="C296" s="26" t="n">
        <f aca="false">C294*C295</f>
        <v>0.05</v>
      </c>
      <c r="D296" s="26" t="n">
        <f aca="false">D294*D295</f>
        <v>0.42284775</v>
      </c>
      <c r="E296" s="26" t="n">
        <f aca="false">E294*E295</f>
        <v>0.8054375</v>
      </c>
      <c r="F296" s="26" t="n">
        <f aca="false">F294*F295</f>
        <v>1.174736</v>
      </c>
    </row>
    <row r="297" customFormat="false" ht="17.15" hidden="false" customHeight="false" outlineLevel="0" collapsed="false">
      <c r="A297" s="0" t="s">
        <v>529</v>
      </c>
      <c r="B297" s="0" t="s">
        <v>30</v>
      </c>
      <c r="C297" s="26" t="n">
        <f aca="false">C287+C290+C293+C296</f>
        <v>3.4147</v>
      </c>
      <c r="D297" s="26" t="n">
        <f aca="false">D287+D290+D293+D296</f>
        <v>6.33891665936695</v>
      </c>
      <c r="E297" s="26" t="n">
        <f aca="false">E287+E290+E293+E296</f>
        <v>7.31015663766787</v>
      </c>
      <c r="F297" s="26" t="n">
        <f aca="false">F287+F290+F293+F296</f>
        <v>8.60657457255507</v>
      </c>
    </row>
    <row r="298" customFormat="false" ht="17.15" hidden="false" customHeight="false" outlineLevel="0" collapsed="false">
      <c r="A298" s="5" t="s">
        <v>530</v>
      </c>
      <c r="B298" s="0" t="s">
        <v>30</v>
      </c>
      <c r="C298" s="26" t="n">
        <f aca="false">c26_tel/1000</f>
        <v>0.75</v>
      </c>
      <c r="D298" s="26" t="n">
        <f aca="false">C298*(1+g_tel_27)</f>
        <v>0.9375</v>
      </c>
      <c r="E298" s="26" t="n">
        <f aca="false">D298*(1+g_tel_28)</f>
        <v>1.078125</v>
      </c>
      <c r="F298" s="26" t="n">
        <f aca="false">E298*(1+g_tel_29)</f>
        <v>1.1859375</v>
      </c>
    </row>
    <row r="299" customFormat="false" ht="17.15" hidden="false" customHeight="false" outlineLevel="0" collapsed="false">
      <c r="A299" s="5" t="s">
        <v>531</v>
      </c>
      <c r="B299" s="0" t="s">
        <v>30</v>
      </c>
      <c r="C299" s="26" t="n">
        <f aca="false">c26_ind/1000</f>
        <v>0.3</v>
      </c>
      <c r="D299" s="26" t="n">
        <f aca="false">C299*(1+g_ind)</f>
        <v>0.309</v>
      </c>
      <c r="E299" s="26" t="n">
        <f aca="false">D299*(1+g_ind)</f>
        <v>0.31827</v>
      </c>
      <c r="F299" s="26" t="n">
        <f aca="false">E299*(1+g_ind)</f>
        <v>0.3278181</v>
      </c>
    </row>
    <row r="300" customFormat="false" ht="15" hidden="false" customHeight="false" outlineLevel="0" collapsed="false">
      <c r="A300" s="5" t="s">
        <v>532</v>
      </c>
      <c r="B300" s="0" t="s">
        <v>30</v>
      </c>
      <c r="C300" s="26" t="n">
        <f aca="false">C297+C298+C299</f>
        <v>4.4647</v>
      </c>
      <c r="D300" s="26" t="n">
        <f aca="false">D297+D298+D299</f>
        <v>7.58541665936695</v>
      </c>
      <c r="E300" s="26" t="n">
        <f aca="false">E297+E298+E299</f>
        <v>8.70655163766787</v>
      </c>
      <c r="F300" s="26" t="n">
        <f aca="false">F297+F298+F299</f>
        <v>10.1203301725551</v>
      </c>
    </row>
    <row r="301" customFormat="false" ht="15" hidden="false" customHeight="false" outlineLevel="0" collapsed="false">
      <c r="A301" s="5" t="s">
        <v>533</v>
      </c>
      <c r="B301" s="0" t="s">
        <v>163</v>
      </c>
      <c r="D301" s="16" t="n">
        <f aca="false">D300/C300-1</f>
        <v>0.698975666756323</v>
      </c>
      <c r="E301" s="16" t="n">
        <f aca="false">E300/D300-1</f>
        <v>0.14780137053071</v>
      </c>
      <c r="F301" s="16" t="n">
        <f aca="false">F300/E300-1</f>
        <v>0.162380996946099</v>
      </c>
    </row>
    <row r="302" customFormat="false" ht="17.15" hidden="false" customHeight="false" outlineLevel="0" collapsed="false">
      <c r="A302" s="1" t="s">
        <v>534</v>
      </c>
    </row>
    <row r="303" customFormat="false" ht="17.15" hidden="false" customHeight="false" outlineLevel="0" collapsed="false">
      <c r="A303" s="6" t="s">
        <v>19</v>
      </c>
      <c r="B303" s="6" t="s">
        <v>20</v>
      </c>
      <c r="C303" s="14" t="s">
        <v>420</v>
      </c>
      <c r="D303" s="14" t="s">
        <v>487</v>
      </c>
      <c r="E303" s="14" t="s">
        <v>488</v>
      </c>
      <c r="F303" s="14" t="s">
        <v>489</v>
      </c>
      <c r="G303" s="14" t="s">
        <v>490</v>
      </c>
      <c r="H303" s="6" t="s">
        <v>428</v>
      </c>
    </row>
    <row r="304" customFormat="false" ht="17.15" hidden="false" customHeight="false" outlineLevel="0" collapsed="false">
      <c r="A304" s="0" t="s">
        <v>535</v>
      </c>
      <c r="B304" s="0" t="s">
        <v>30</v>
      </c>
      <c r="E304" s="26" t="n">
        <f aca="false">w2h_26*C297+h_1h*D297</f>
        <v>5.00606866491938</v>
      </c>
      <c r="F304" s="26" t="n">
        <f aca="false">(1-h_1h)*D297+h_1h*E297</f>
        <v>6.79539944916838</v>
      </c>
      <c r="G304" s="26" t="n">
        <f aca="false">(1-h_1h)*E297+h_1h*F297</f>
        <v>7.91947306706486</v>
      </c>
      <c r="H304" s="8" t="s">
        <v>536</v>
      </c>
    </row>
    <row r="305" customFormat="false" ht="17.15" hidden="false" customHeight="false" outlineLevel="0" collapsed="false">
      <c r="A305" s="5" t="s">
        <v>537</v>
      </c>
      <c r="B305" s="0" t="s">
        <v>30</v>
      </c>
      <c r="E305" s="26" t="n">
        <f aca="false">w2h_26*C298+h_1h*D298+w2h_26*C299+h_1h*D299</f>
        <v>1.20907716498309</v>
      </c>
      <c r="F305" s="26" t="n">
        <f aca="false">(1-h_1h)*D298+h_1h*E298+(1-h_1h)*D299+h_1h*E299</f>
        <v>1.31695065</v>
      </c>
      <c r="G305" s="26" t="n">
        <f aca="false">(1-h_1h)*E298+h_1h*F298+(1-h_1h)*E299+h_1h*F299</f>
        <v>1.451554482</v>
      </c>
    </row>
    <row r="306" customFormat="false" ht="15" hidden="false" customHeight="false" outlineLevel="0" collapsed="false">
      <c r="A306" s="5" t="s">
        <v>429</v>
      </c>
      <c r="B306" s="0" t="s">
        <v>30</v>
      </c>
      <c r="C306" s="26" t="n">
        <f aca="false">a25_rev/1000</f>
        <v>1.645</v>
      </c>
      <c r="D306" s="26" t="n">
        <f aca="false">a26_rev/1000</f>
        <v>3.014</v>
      </c>
      <c r="E306" s="26" t="n">
        <f aca="false">E304+E305</f>
        <v>6.21514582990247</v>
      </c>
      <c r="F306" s="26" t="n">
        <f aca="false">F304+F305</f>
        <v>8.11235009916839</v>
      </c>
      <c r="G306" s="26" t="n">
        <f aca="false">G304+G305</f>
        <v>9.37102754906486</v>
      </c>
    </row>
    <row r="307" customFormat="false" ht="15" hidden="false" customHeight="false" outlineLevel="0" collapsed="false">
      <c r="A307" s="5" t="s">
        <v>538</v>
      </c>
      <c r="B307" s="0" t="s">
        <v>163</v>
      </c>
      <c r="D307" s="16" t="n">
        <f aca="false">D306/C306-1</f>
        <v>0.832218844984802</v>
      </c>
      <c r="E307" s="16" t="n">
        <f aca="false">E306/D306-1</f>
        <v>1.06209217979511</v>
      </c>
      <c r="F307" s="16" t="n">
        <f aca="false">F306/E306-1</f>
        <v>0.305254988569704</v>
      </c>
      <c r="G307" s="16" t="n">
        <f aca="false">G306/F306-1</f>
        <v>0.155155711293266</v>
      </c>
    </row>
    <row r="308" customFormat="false" ht="17.15" hidden="false" customHeight="false" outlineLevel="0" collapsed="false">
      <c r="A308" s="0" t="s">
        <v>539</v>
      </c>
      <c r="B308" s="0" t="s">
        <v>163</v>
      </c>
      <c r="E308" s="16" t="n">
        <f aca="false">E304/E306</f>
        <v>0.805462784289639</v>
      </c>
      <c r="F308" s="16" t="n">
        <f aca="false">F304/F306</f>
        <v>0.837661018829179</v>
      </c>
      <c r="G308" s="16" t="n">
        <f aca="false">G304/G306</f>
        <v>0.845101887237024</v>
      </c>
    </row>
    <row r="309" customFormat="false" ht="17.15" hidden="false" customHeight="false" outlineLevel="0" collapsed="false">
      <c r="A309" s="5" t="s">
        <v>432</v>
      </c>
      <c r="B309" s="0" t="s">
        <v>163</v>
      </c>
      <c r="C309" s="16" t="n">
        <f aca="false">a25_gm</f>
        <v>0.347</v>
      </c>
      <c r="D309" s="16" t="n">
        <f aca="false">a26_gm</f>
        <v>0.46</v>
      </c>
      <c r="E309" s="16" t="n">
        <f aca="false">gm_27</f>
        <v>0.52</v>
      </c>
      <c r="F309" s="16" t="n">
        <f aca="false">gm_28</f>
        <v>0.51</v>
      </c>
      <c r="G309" s="16" t="n">
        <f aca="false">gm_29</f>
        <v>0.49</v>
      </c>
    </row>
    <row r="310" customFormat="false" ht="15" hidden="false" customHeight="false" outlineLevel="0" collapsed="false">
      <c r="A310" s="5" t="s">
        <v>433</v>
      </c>
      <c r="B310" s="0" t="s">
        <v>30</v>
      </c>
      <c r="C310" s="26" t="n">
        <f aca="false">C306*C309</f>
        <v>0.570815</v>
      </c>
      <c r="D310" s="26" t="n">
        <f aca="false">D306*D309</f>
        <v>1.38644</v>
      </c>
      <c r="E310" s="26" t="n">
        <f aca="false">E306*E309</f>
        <v>3.23187583154928</v>
      </c>
      <c r="F310" s="26" t="n">
        <f aca="false">F306*F309</f>
        <v>4.13729855057588</v>
      </c>
      <c r="G310" s="26" t="n">
        <f aca="false">G306*G309</f>
        <v>4.59180349904178</v>
      </c>
    </row>
    <row r="311" customFormat="false" ht="15" hidden="false" customHeight="false" outlineLevel="0" collapsed="false">
      <c r="A311" s="5" t="s">
        <v>540</v>
      </c>
      <c r="B311" s="0" t="s">
        <v>30</v>
      </c>
      <c r="C311" s="26" t="n">
        <f aca="false">a25_opx/1000</f>
        <v>0.4114</v>
      </c>
      <c r="D311" s="26" t="n">
        <f aca="false">a26_opx/1000</f>
        <v>0.4897</v>
      </c>
      <c r="E311" s="26" t="n">
        <f aca="false">D311*(1+MAX(0,phi*E307))</f>
        <v>0.608646657909004</v>
      </c>
      <c r="F311" s="26" t="n">
        <f aca="false">E311*(1+MAX(0,phi*F307))</f>
        <v>0.651136776237814</v>
      </c>
      <c r="G311" s="26" t="n">
        <f aca="false">F311*(1+MAX(0,phi*G307))</f>
        <v>0.674241454246904</v>
      </c>
    </row>
    <row r="312" customFormat="false" ht="15" hidden="false" customHeight="false" outlineLevel="0" collapsed="false">
      <c r="A312" s="5" t="s">
        <v>541</v>
      </c>
      <c r="B312" s="0" t="s">
        <v>30</v>
      </c>
      <c r="C312" s="26" t="n">
        <f aca="false">C311</f>
        <v>0.4114</v>
      </c>
      <c r="D312" s="26" t="n">
        <f aca="false">D311</f>
        <v>0.4897</v>
      </c>
      <c r="E312" s="26" t="n">
        <f aca="false">E311+0*E306</f>
        <v>0.608646657909004</v>
      </c>
      <c r="F312" s="26" t="n">
        <f aca="false">F311+0*F306</f>
        <v>0.651136776237814</v>
      </c>
      <c r="G312" s="26" t="n">
        <f aca="false">G311+0*G306</f>
        <v>0.674241454246904</v>
      </c>
    </row>
    <row r="313" customFormat="false" ht="15" hidden="false" customHeight="false" outlineLevel="0" collapsed="false">
      <c r="A313" s="5" t="s">
        <v>542</v>
      </c>
      <c r="B313" s="0" t="s">
        <v>30</v>
      </c>
      <c r="C313" s="26" t="n">
        <f aca="false">C310-C312</f>
        <v>0.159415</v>
      </c>
      <c r="D313" s="26" t="n">
        <f aca="false">D310-D312</f>
        <v>0.89674</v>
      </c>
      <c r="E313" s="26" t="n">
        <f aca="false">E310-E312</f>
        <v>2.62322917364028</v>
      </c>
      <c r="F313" s="26" t="n">
        <f aca="false">F310-F312</f>
        <v>3.48616177433806</v>
      </c>
      <c r="G313" s="26" t="n">
        <f aca="false">G310-G312</f>
        <v>3.91756204479488</v>
      </c>
    </row>
    <row r="314" customFormat="false" ht="15" hidden="false" customHeight="false" outlineLevel="0" collapsed="false">
      <c r="A314" s="5" t="s">
        <v>437</v>
      </c>
      <c r="B314" s="0" t="s">
        <v>163</v>
      </c>
      <c r="C314" s="16" t="n">
        <f aca="false">C313/C306</f>
        <v>0.0969088145896656</v>
      </c>
      <c r="D314" s="16" t="n">
        <f aca="false">D313/D306</f>
        <v>0.297524883875249</v>
      </c>
      <c r="E314" s="16" t="n">
        <f aca="false">E313/E306</f>
        <v>0.422070414023004</v>
      </c>
      <c r="F314" s="16" t="n">
        <f aca="false">F313/F306</f>
        <v>0.429735123820092</v>
      </c>
      <c r="G314" s="16" t="n">
        <f aca="false">G313/G306</f>
        <v>0.418050424490088</v>
      </c>
    </row>
    <row r="315" customFormat="false" ht="17.15" hidden="false" customHeight="false" outlineLevel="0" collapsed="false">
      <c r="A315" s="5" t="s">
        <v>438</v>
      </c>
      <c r="B315" s="0" t="s">
        <v>30</v>
      </c>
      <c r="C315" s="26" t="n">
        <f aca="false">a25_ni/1000</f>
        <v>0.1464</v>
      </c>
      <c r="D315" s="26" t="n">
        <f aca="false">a26_ni/1000</f>
        <v>0.7823</v>
      </c>
      <c r="E315" s="26" t="n">
        <f aca="false">(E313+oi_oth)*(1-tx)</f>
        <v>2.23399635998963</v>
      </c>
      <c r="F315" s="26" t="n">
        <f aca="false">(F313+oi_oth)*(1-tx)</f>
        <v>2.95454508157228</v>
      </c>
      <c r="G315" s="26" t="n">
        <f aca="false">(G313+oi_oth)*(1-tx)</f>
        <v>3.31476430740372</v>
      </c>
    </row>
    <row r="316" customFormat="false" ht="15" hidden="false" customHeight="false" outlineLevel="0" collapsed="false">
      <c r="A316" s="5" t="s">
        <v>500</v>
      </c>
      <c r="B316" s="0" t="s">
        <v>163</v>
      </c>
      <c r="C316" s="16" t="n">
        <f aca="false">C315/C306</f>
        <v>0.0889969604863222</v>
      </c>
      <c r="D316" s="16" t="n">
        <f aca="false">D315/D306</f>
        <v>0.259555408095554</v>
      </c>
      <c r="E316" s="16" t="n">
        <f aca="false">E315/E306</f>
        <v>0.359443916704476</v>
      </c>
      <c r="F316" s="16" t="n">
        <f aca="false">F315/F306</f>
        <v>0.364203349886879</v>
      </c>
      <c r="G316" s="16" t="n">
        <f aca="false">G315/G306</f>
        <v>0.3537247425694</v>
      </c>
    </row>
    <row r="317" customFormat="false" ht="17.15" hidden="false" customHeight="false" outlineLevel="0" collapsed="false">
      <c r="A317" s="5" t="s">
        <v>442</v>
      </c>
      <c r="B317" s="5" t="s">
        <v>237</v>
      </c>
      <c r="C317" s="15" t="n">
        <f aca="false">a25_sh</f>
        <v>71.0679611650485</v>
      </c>
      <c r="D317" s="15" t="n">
        <f aca="false">a26_sh</f>
        <v>90.2306805074971</v>
      </c>
      <c r="E317" s="15" t="n">
        <f aca="false">sh_q1</f>
        <v>102</v>
      </c>
      <c r="F317" s="15" t="n">
        <f aca="false">E317*(1+sh_g)</f>
        <v>103.02</v>
      </c>
      <c r="G317" s="15" t="n">
        <f aca="false">F317*(1+sh_g)</f>
        <v>104.0502</v>
      </c>
    </row>
    <row r="318" customFormat="false" ht="17.15" hidden="false" customHeight="false" outlineLevel="0" collapsed="false">
      <c r="A318" s="0" t="s">
        <v>444</v>
      </c>
      <c r="B318" s="0" t="s">
        <v>232</v>
      </c>
      <c r="C318" s="9" t="n">
        <f aca="false">C315*1000/C317</f>
        <v>2.06</v>
      </c>
      <c r="D318" s="9" t="n">
        <f aca="false">D315*1000/D317</f>
        <v>8.67</v>
      </c>
      <c r="E318" s="9" t="n">
        <f aca="false">E315*1000/E317</f>
        <v>21.9019250979376</v>
      </c>
      <c r="F318" s="9" t="n">
        <f aca="false">F315*1000/F317</f>
        <v>28.6793349016917</v>
      </c>
      <c r="G318" s="9" t="n">
        <f aca="false">G315*1000/G317</f>
        <v>31.8573564241464</v>
      </c>
    </row>
    <row r="319" customFormat="false" ht="17.15" hidden="false" customHeight="false" outlineLevel="0" collapsed="false">
      <c r="A319" s="0" t="s">
        <v>543</v>
      </c>
      <c r="B319" s="0" t="s">
        <v>163</v>
      </c>
      <c r="D319" s="16" t="n">
        <f aca="false">D318/C318-1</f>
        <v>3.20873786407767</v>
      </c>
      <c r="E319" s="16" t="n">
        <f aca="false">E318/D318-1</f>
        <v>1.52617359837804</v>
      </c>
      <c r="F319" s="16" t="n">
        <f aca="false">F318/E318-1</f>
        <v>0.309443565962718</v>
      </c>
      <c r="G319" s="16" t="n">
        <f aca="false">G318/F318-1</f>
        <v>0.110812246286341</v>
      </c>
    </row>
    <row r="322" customFormat="false" ht="17.15" hidden="false" customHeight="false" outlineLevel="0" collapsed="false">
      <c r="A322" s="3" t="s">
        <v>840</v>
      </c>
    </row>
    <row r="323" customFormat="false" ht="17.15" hidden="false" customHeight="false" outlineLevel="0" collapsed="false">
      <c r="A323" s="1" t="s">
        <v>509</v>
      </c>
    </row>
    <row r="324" customFormat="false" ht="17.15" hidden="false" customHeight="false" outlineLevel="0" collapsed="false">
      <c r="A324" s="6" t="s">
        <v>19</v>
      </c>
      <c r="B324" s="6" t="s">
        <v>20</v>
      </c>
      <c r="C324" s="14" t="s">
        <v>510</v>
      </c>
      <c r="D324" s="14" t="s">
        <v>465</v>
      </c>
      <c r="E324" s="14" t="s">
        <v>466</v>
      </c>
      <c r="F324" s="14" t="s">
        <v>467</v>
      </c>
      <c r="G324" s="14"/>
      <c r="H324" s="6" t="s">
        <v>428</v>
      </c>
    </row>
    <row r="325" customFormat="false" ht="17.15" hidden="false" customHeight="false" outlineLevel="0" collapsed="false">
      <c r="A325" s="0" t="s">
        <v>511</v>
      </c>
      <c r="B325" s="0" t="s">
        <v>30</v>
      </c>
      <c r="C325" s="26" t="n">
        <f aca="false">mpl_26*1</f>
        <v>29.753262</v>
      </c>
      <c r="D325" s="26" t="n">
        <f aca="false">mpl_27*1*1</f>
        <v>54.688309</v>
      </c>
      <c r="E325" s="26" t="n">
        <f aca="false">mpl_28*um28_A*1</f>
        <v>61.21325</v>
      </c>
      <c r="F325" s="26" t="n">
        <f aca="false">mpl_29*um29_A*1</f>
        <v>78.80848</v>
      </c>
    </row>
    <row r="326" customFormat="false" ht="17.15" hidden="false" customHeight="false" outlineLevel="0" collapsed="false">
      <c r="A326" s="5" t="s">
        <v>512</v>
      </c>
      <c r="B326" s="0" t="s">
        <v>96</v>
      </c>
      <c r="C326" s="20" t="n">
        <f aca="false">asp_26</f>
        <v>500</v>
      </c>
      <c r="D326" s="20" t="n">
        <f aca="false">asp_27</f>
        <v>520</v>
      </c>
      <c r="E326" s="20" t="n">
        <f aca="false">asp_28</f>
        <v>540</v>
      </c>
      <c r="F326" s="20" t="n">
        <f aca="false">asp_29</f>
        <v>560</v>
      </c>
    </row>
    <row r="327" customFormat="false" ht="17.15" hidden="false" customHeight="false" outlineLevel="0" collapsed="false">
      <c r="A327" s="5" t="s">
        <v>513</v>
      </c>
      <c r="B327" s="5" t="s">
        <v>336</v>
      </c>
      <c r="C327" s="15" t="n">
        <f aca="false">C325*1000/C326</f>
        <v>59.506524</v>
      </c>
      <c r="D327" s="15" t="n">
        <f aca="false">D325*1000/D326</f>
        <v>105.169825</v>
      </c>
      <c r="E327" s="15" t="n">
        <f aca="false">E325*1000/E326</f>
        <v>113.35787037037</v>
      </c>
      <c r="F327" s="15" t="n">
        <f aca="false">F325*1000/F326</f>
        <v>140.729428571429</v>
      </c>
    </row>
    <row r="328" customFormat="false" ht="17.15" hidden="false" customHeight="false" outlineLevel="0" collapsed="false">
      <c r="A328" s="5" t="s">
        <v>514</v>
      </c>
      <c r="B328" s="5" t="s">
        <v>108</v>
      </c>
      <c r="C328" s="18" t="n">
        <f aca="false">lpm_26</f>
        <v>5.5</v>
      </c>
      <c r="D328" s="18" t="n">
        <f aca="false">lpm_27</f>
        <v>5.5</v>
      </c>
      <c r="E328" s="18" t="n">
        <f aca="false">lpm_28</f>
        <v>5</v>
      </c>
      <c r="F328" s="18" t="n">
        <f aca="false">lpm_29</f>
        <v>4.8</v>
      </c>
    </row>
    <row r="329" customFormat="false" ht="17.15" hidden="false" customHeight="false" outlineLevel="0" collapsed="false">
      <c r="A329" s="5" t="s">
        <v>515</v>
      </c>
      <c r="B329" s="0" t="s">
        <v>120</v>
      </c>
      <c r="C329" s="18" t="n">
        <f aca="false">lasp_26</f>
        <v>13</v>
      </c>
      <c r="D329" s="18" t="n">
        <f aca="false">lasp_27</f>
        <v>15</v>
      </c>
      <c r="E329" s="18" t="n">
        <f aca="false">lasp_28</f>
        <v>15</v>
      </c>
      <c r="F329" s="18" t="n">
        <f aca="false">lasp_29</f>
        <v>14</v>
      </c>
    </row>
    <row r="330" customFormat="false" ht="17.15" hidden="false" customHeight="false" outlineLevel="0" collapsed="false">
      <c r="A330" s="5" t="s">
        <v>516</v>
      </c>
      <c r="B330" s="0" t="s">
        <v>30</v>
      </c>
      <c r="C330" s="26" t="n">
        <f aca="false">C327*C328*C329/1000</f>
        <v>4.254716466</v>
      </c>
      <c r="D330" s="26" t="n">
        <f aca="false">D327*D328*D329/1000</f>
        <v>8.6765105625</v>
      </c>
      <c r="E330" s="26" t="n">
        <f aca="false">E327*E328*E329/1000</f>
        <v>8.50184027777778</v>
      </c>
      <c r="F330" s="26" t="n">
        <f aca="false">F327*F328*F329/1000</f>
        <v>9.4570176</v>
      </c>
    </row>
    <row r="331" customFormat="false" ht="17.15" hidden="false" customHeight="false" outlineLevel="0" collapsed="false">
      <c r="A331" s="0" t="s">
        <v>517</v>
      </c>
      <c r="B331" s="0" t="s">
        <v>163</v>
      </c>
      <c r="C331" s="16" t="n">
        <f aca="false">c26_las/1000/C330</f>
        <v>0.43826657190933</v>
      </c>
      <c r="H331" s="8" t="s">
        <v>518</v>
      </c>
    </row>
    <row r="332" customFormat="false" ht="17.15" hidden="false" customHeight="false" outlineLevel="0" collapsed="false">
      <c r="A332" s="5" t="s">
        <v>519</v>
      </c>
      <c r="B332" s="0" t="s">
        <v>74</v>
      </c>
      <c r="C332" s="9" t="n">
        <f aca="false">1</f>
        <v>1</v>
      </c>
      <c r="D332" s="9" t="n">
        <f aca="false">lrel_27</f>
        <v>0.95</v>
      </c>
      <c r="E332" s="9" t="n">
        <f aca="false">lrel_28</f>
        <v>0.95</v>
      </c>
      <c r="F332" s="9" t="n">
        <f aca="false">lrel_29</f>
        <v>0.9</v>
      </c>
    </row>
    <row r="333" customFormat="false" ht="15" hidden="false" customHeight="false" outlineLevel="0" collapsed="false">
      <c r="A333" s="5" t="s">
        <v>520</v>
      </c>
      <c r="B333" s="0" t="s">
        <v>163</v>
      </c>
      <c r="C333" s="16" t="n">
        <f aca="false">$C$331*C332</f>
        <v>0.43826657190933</v>
      </c>
      <c r="D333" s="16" t="n">
        <f aca="false">$C$331*D332</f>
        <v>0.416353243313864</v>
      </c>
      <c r="E333" s="16" t="n">
        <f aca="false">$C$331*E332</f>
        <v>0.416353243313864</v>
      </c>
      <c r="F333" s="16" t="n">
        <f aca="false">$C$331*F332</f>
        <v>0.394439914718397</v>
      </c>
    </row>
    <row r="334" customFormat="false" ht="17.15" hidden="false" customHeight="false" outlineLevel="0" collapsed="false">
      <c r="A334" s="5" t="s">
        <v>521</v>
      </c>
      <c r="B334" s="0" t="s">
        <v>30</v>
      </c>
      <c r="C334" s="26" t="n">
        <f aca="false">C330*C333</f>
        <v>1.8647</v>
      </c>
      <c r="D334" s="26" t="n">
        <f aca="false">D330*D333</f>
        <v>3.61249331334387</v>
      </c>
      <c r="E334" s="26" t="n">
        <f aca="false">E330*E333</f>
        <v>3.53976877378922</v>
      </c>
      <c r="F334" s="26" t="n">
        <f aca="false">F330*F333</f>
        <v>3.73022521563438</v>
      </c>
    </row>
    <row r="335" customFormat="false" ht="17.15" hidden="false" customHeight="false" outlineLevel="0" collapsed="false">
      <c r="A335" s="5" t="s">
        <v>522</v>
      </c>
      <c r="B335" s="0" t="s">
        <v>163</v>
      </c>
      <c r="C335" s="16" t="n">
        <f aca="false">c26_xcvr/1000/C325</f>
        <v>0.0336097601668012</v>
      </c>
    </row>
    <row r="336" customFormat="false" ht="15" hidden="false" customHeight="false" outlineLevel="0" collapsed="false">
      <c r="A336" s="5" t="s">
        <v>523</v>
      </c>
      <c r="B336" s="0" t="s">
        <v>163</v>
      </c>
      <c r="C336" s="16" t="n">
        <f aca="false">C335</f>
        <v>0.0336097601668012</v>
      </c>
      <c r="D336" s="16" t="n">
        <f aca="false">$C$335*MRLO_27</f>
        <v>0.026887808133441</v>
      </c>
      <c r="E336" s="16" t="n">
        <f aca="false">$C$335*MRLO_28</f>
        <v>0.0235268321167608</v>
      </c>
      <c r="F336" s="16" t="n">
        <f aca="false">$C$335*MRLO_29</f>
        <v>0.0201658561000807</v>
      </c>
    </row>
    <row r="337" customFormat="false" ht="15" hidden="false" customHeight="false" outlineLevel="0" collapsed="false">
      <c r="A337" s="5" t="s">
        <v>524</v>
      </c>
      <c r="B337" s="0" t="s">
        <v>30</v>
      </c>
      <c r="C337" s="26" t="n">
        <f aca="false">C325*C336</f>
        <v>1</v>
      </c>
      <c r="D337" s="26" t="n">
        <f aca="false">D325*D336</f>
        <v>1.47044875953433</v>
      </c>
      <c r="E337" s="26" t="n">
        <f aca="false">E325*E336</f>
        <v>1.44015385607131</v>
      </c>
      <c r="F337" s="26" t="n">
        <f aca="false">F325*F336</f>
        <v>1.58924046714609</v>
      </c>
    </row>
    <row r="338" customFormat="false" ht="17.15" hidden="false" customHeight="false" outlineLevel="0" collapsed="false">
      <c r="A338" s="0" t="s">
        <v>525</v>
      </c>
      <c r="B338" s="5" t="s">
        <v>53</v>
      </c>
      <c r="C338" s="19" t="n">
        <f aca="false">tpu_26*1</f>
        <v>3.85</v>
      </c>
      <c r="D338" s="19" t="n">
        <f aca="false">tpu_27*1</f>
        <v>5.5</v>
      </c>
      <c r="E338" s="19" t="n">
        <f aca="false">tpu_28*um28_A</f>
        <v>7</v>
      </c>
      <c r="F338" s="19" t="n">
        <f aca="false">tpu_29*um29_A</f>
        <v>8.05</v>
      </c>
    </row>
    <row r="339" customFormat="false" ht="17.15" hidden="false" customHeight="false" outlineLevel="0" collapsed="false">
      <c r="A339" s="0" t="s">
        <v>526</v>
      </c>
      <c r="B339" s="0" t="s">
        <v>120</v>
      </c>
      <c r="C339" s="20" t="n">
        <f aca="false">c26_ocs/C338</f>
        <v>129.87012987013</v>
      </c>
      <c r="D339" s="20" t="n">
        <f aca="false">$C339*ocsk_27</f>
        <v>207.792207792208</v>
      </c>
      <c r="E339" s="20" t="n">
        <f aca="false">$C339*ocsk_28</f>
        <v>233.766233766234</v>
      </c>
      <c r="F339" s="20" t="n">
        <f aca="false">$C339*ocsk_29</f>
        <v>233.766233766234</v>
      </c>
    </row>
    <row r="340" customFormat="false" ht="17.15" hidden="false" customHeight="false" outlineLevel="0" collapsed="false">
      <c r="A340" s="0" t="s">
        <v>479</v>
      </c>
      <c r="B340" s="0" t="s">
        <v>30</v>
      </c>
      <c r="C340" s="26" t="n">
        <f aca="false">C338*C339/1000</f>
        <v>0.5</v>
      </c>
      <c r="D340" s="26" t="n">
        <f aca="false">D338*D339/1000</f>
        <v>1.14285714285714</v>
      </c>
      <c r="E340" s="26" t="n">
        <f aca="false">E338*E339/1000</f>
        <v>1.63636363636364</v>
      </c>
      <c r="F340" s="26" t="n">
        <f aca="false">F338*F339/1000</f>
        <v>1.88181818181818</v>
      </c>
    </row>
    <row r="341" customFormat="false" ht="17.15" hidden="false" customHeight="false" outlineLevel="0" collapsed="false">
      <c r="A341" s="0" t="s">
        <v>527</v>
      </c>
      <c r="B341" s="0" t="s">
        <v>30</v>
      </c>
      <c r="C341" s="26" t="n">
        <f aca="false">mcp_26*1</f>
        <v>0.300538</v>
      </c>
      <c r="D341" s="26" t="n">
        <f aca="false">mcp_27*1</f>
        <v>1.691391</v>
      </c>
      <c r="E341" s="26" t="n">
        <f aca="false">mcp_28*um28_A</f>
        <v>3.22175</v>
      </c>
      <c r="F341" s="26" t="n">
        <f aca="false">mcp_29*um29_A</f>
        <v>5.87368</v>
      </c>
    </row>
    <row r="342" customFormat="false" ht="17.15" hidden="false" customHeight="false" outlineLevel="0" collapsed="false">
      <c r="A342" s="0" t="s">
        <v>480</v>
      </c>
      <c r="B342" s="0" t="s">
        <v>163</v>
      </c>
      <c r="C342" s="16" t="n">
        <f aca="false">c26_cpo/1000/C341</f>
        <v>0.166368312825666</v>
      </c>
      <c r="D342" s="16" t="n">
        <f aca="false">cpo_27</f>
        <v>0.25</v>
      </c>
      <c r="E342" s="16" t="n">
        <f aca="false">cpo_28</f>
        <v>0.25</v>
      </c>
      <c r="F342" s="16" t="n">
        <f aca="false">cpo_29</f>
        <v>0.2</v>
      </c>
    </row>
    <row r="343" customFormat="false" ht="17.15" hidden="false" customHeight="false" outlineLevel="0" collapsed="false">
      <c r="A343" s="0" t="s">
        <v>528</v>
      </c>
      <c r="B343" s="0" t="s">
        <v>30</v>
      </c>
      <c r="C343" s="26" t="n">
        <f aca="false">C341*C342</f>
        <v>0.05</v>
      </c>
      <c r="D343" s="26" t="n">
        <f aca="false">D341*D342</f>
        <v>0.42284775</v>
      </c>
      <c r="E343" s="26" t="n">
        <f aca="false">E341*E342</f>
        <v>0.8054375</v>
      </c>
      <c r="F343" s="26" t="n">
        <f aca="false">F341*F342</f>
        <v>1.174736</v>
      </c>
    </row>
    <row r="344" customFormat="false" ht="17.15" hidden="false" customHeight="false" outlineLevel="0" collapsed="false">
      <c r="A344" s="0" t="s">
        <v>529</v>
      </c>
      <c r="B344" s="0" t="s">
        <v>30</v>
      </c>
      <c r="C344" s="26" t="n">
        <f aca="false">C334+C337+C340+C343</f>
        <v>3.4147</v>
      </c>
      <c r="D344" s="26" t="n">
        <f aca="false">D334+D337+D340+D343</f>
        <v>6.64864696573534</v>
      </c>
      <c r="E344" s="26" t="n">
        <f aca="false">E334+E337+E340+E343</f>
        <v>7.42172376622416</v>
      </c>
      <c r="F344" s="26" t="n">
        <f aca="false">F334+F337+F340+F343</f>
        <v>8.37601986459865</v>
      </c>
    </row>
    <row r="345" customFormat="false" ht="17.15" hidden="false" customHeight="false" outlineLevel="0" collapsed="false">
      <c r="A345" s="5" t="s">
        <v>530</v>
      </c>
      <c r="B345" s="0" t="s">
        <v>30</v>
      </c>
      <c r="C345" s="26" t="n">
        <f aca="false">c26_tel/1000</f>
        <v>0.75</v>
      </c>
      <c r="D345" s="26" t="n">
        <f aca="false">C345*(1+g_tel_27)</f>
        <v>0.9375</v>
      </c>
      <c r="E345" s="26" t="n">
        <f aca="false">D345*(1+g_tel_28)</f>
        <v>1.078125</v>
      </c>
      <c r="F345" s="26" t="n">
        <f aca="false">E345*(1+g_tel_29)</f>
        <v>1.1859375</v>
      </c>
    </row>
    <row r="346" customFormat="false" ht="17.15" hidden="false" customHeight="false" outlineLevel="0" collapsed="false">
      <c r="A346" s="5" t="s">
        <v>531</v>
      </c>
      <c r="B346" s="0" t="s">
        <v>30</v>
      </c>
      <c r="C346" s="26" t="n">
        <f aca="false">c26_ind/1000</f>
        <v>0.3</v>
      </c>
      <c r="D346" s="26" t="n">
        <f aca="false">C346*(1+g_ind)</f>
        <v>0.309</v>
      </c>
      <c r="E346" s="26" t="n">
        <f aca="false">D346*(1+g_ind)</f>
        <v>0.31827</v>
      </c>
      <c r="F346" s="26" t="n">
        <f aca="false">E346*(1+g_ind)</f>
        <v>0.3278181</v>
      </c>
    </row>
    <row r="347" customFormat="false" ht="15" hidden="false" customHeight="false" outlineLevel="0" collapsed="false">
      <c r="A347" s="5" t="s">
        <v>532</v>
      </c>
      <c r="B347" s="0" t="s">
        <v>30</v>
      </c>
      <c r="C347" s="26" t="n">
        <f aca="false">C344+C345+C346</f>
        <v>4.4647</v>
      </c>
      <c r="D347" s="26" t="n">
        <f aca="false">D344+D345+D346</f>
        <v>7.89514696573535</v>
      </c>
      <c r="E347" s="26" t="n">
        <f aca="false">E344+E345+E346</f>
        <v>8.81811876622416</v>
      </c>
      <c r="F347" s="26" t="n">
        <f aca="false">F344+F345+F346</f>
        <v>9.88977546459865</v>
      </c>
    </row>
    <row r="348" customFormat="false" ht="15" hidden="false" customHeight="false" outlineLevel="0" collapsed="false">
      <c r="A348" s="5" t="s">
        <v>533</v>
      </c>
      <c r="B348" s="0" t="s">
        <v>163</v>
      </c>
      <c r="D348" s="16" t="n">
        <f aca="false">D347/C347-1</f>
        <v>0.768348817554448</v>
      </c>
      <c r="E348" s="16" t="n">
        <f aca="false">E347/D347-1</f>
        <v>0.116903688366345</v>
      </c>
      <c r="F348" s="16" t="n">
        <f aca="false">F347/E347-1</f>
        <v>0.121528948156066</v>
      </c>
    </row>
    <row r="349" customFormat="false" ht="17.15" hidden="false" customHeight="false" outlineLevel="0" collapsed="false">
      <c r="A349" s="1" t="s">
        <v>534</v>
      </c>
    </row>
    <row r="350" customFormat="false" ht="17.15" hidden="false" customHeight="false" outlineLevel="0" collapsed="false">
      <c r="A350" s="6" t="s">
        <v>19</v>
      </c>
      <c r="B350" s="6" t="s">
        <v>20</v>
      </c>
      <c r="C350" s="14" t="s">
        <v>420</v>
      </c>
      <c r="D350" s="14" t="s">
        <v>487</v>
      </c>
      <c r="E350" s="14" t="s">
        <v>488</v>
      </c>
      <c r="F350" s="14" t="s">
        <v>489</v>
      </c>
      <c r="G350" s="14" t="s">
        <v>490</v>
      </c>
      <c r="H350" s="6" t="s">
        <v>428</v>
      </c>
    </row>
    <row r="351" customFormat="false" ht="17.15" hidden="false" customHeight="false" outlineLevel="0" collapsed="false">
      <c r="A351" s="0" t="s">
        <v>535</v>
      </c>
      <c r="B351" s="0" t="s">
        <v>30</v>
      </c>
      <c r="E351" s="26" t="n">
        <f aca="false">w2h_26*C344+h_1h*D344</f>
        <v>5.15164190891252</v>
      </c>
      <c r="F351" s="26" t="n">
        <f aca="false">(1-h_1h)*D344+h_1h*E344</f>
        <v>7.01199306196509</v>
      </c>
      <c r="G351" s="26" t="n">
        <f aca="false">(1-h_1h)*E344+h_1h*F344</f>
        <v>7.87024293246017</v>
      </c>
      <c r="H351" s="8" t="s">
        <v>536</v>
      </c>
    </row>
    <row r="352" customFormat="false" ht="17.15" hidden="false" customHeight="false" outlineLevel="0" collapsed="false">
      <c r="A352" s="5" t="s">
        <v>537</v>
      </c>
      <c r="B352" s="0" t="s">
        <v>30</v>
      </c>
      <c r="E352" s="26" t="n">
        <f aca="false">w2h_26*C345+h_1h*D345+w2h_26*C346+h_1h*D346</f>
        <v>1.20907716498309</v>
      </c>
      <c r="F352" s="26" t="n">
        <f aca="false">(1-h_1h)*D345+h_1h*E345+(1-h_1h)*D346+h_1h*E346</f>
        <v>1.31695065</v>
      </c>
      <c r="G352" s="26" t="n">
        <f aca="false">(1-h_1h)*E345+h_1h*F345+(1-h_1h)*E346+h_1h*F346</f>
        <v>1.451554482</v>
      </c>
    </row>
    <row r="353" customFormat="false" ht="15" hidden="false" customHeight="false" outlineLevel="0" collapsed="false">
      <c r="A353" s="5" t="s">
        <v>429</v>
      </c>
      <c r="B353" s="0" t="s">
        <v>30</v>
      </c>
      <c r="C353" s="26" t="n">
        <f aca="false">a25_rev/1000</f>
        <v>1.645</v>
      </c>
      <c r="D353" s="26" t="n">
        <f aca="false">a26_rev/1000</f>
        <v>3.014</v>
      </c>
      <c r="E353" s="26" t="n">
        <f aca="false">E351+E352</f>
        <v>6.36071907389561</v>
      </c>
      <c r="F353" s="26" t="n">
        <f aca="false">F351+F352</f>
        <v>8.32894371196509</v>
      </c>
      <c r="G353" s="26" t="n">
        <f aca="false">G351+G352</f>
        <v>9.32179741446017</v>
      </c>
    </row>
    <row r="354" customFormat="false" ht="15" hidden="false" customHeight="false" outlineLevel="0" collapsed="false">
      <c r="A354" s="5" t="s">
        <v>538</v>
      </c>
      <c r="B354" s="0" t="s">
        <v>163</v>
      </c>
      <c r="D354" s="16" t="n">
        <f aca="false">D353/C353-1</f>
        <v>0.832218844984802</v>
      </c>
      <c r="E354" s="16" t="n">
        <f aca="false">E353/D353-1</f>
        <v>1.11039119903637</v>
      </c>
      <c r="F354" s="16" t="n">
        <f aca="false">F353/E353-1</f>
        <v>0.309434297475434</v>
      </c>
      <c r="G354" s="16" t="n">
        <f aca="false">G353/F353-1</f>
        <v>0.119205236201654</v>
      </c>
    </row>
    <row r="355" customFormat="false" ht="17.15" hidden="false" customHeight="false" outlineLevel="0" collapsed="false">
      <c r="A355" s="0" t="s">
        <v>539</v>
      </c>
      <c r="B355" s="0" t="s">
        <v>163</v>
      </c>
      <c r="E355" s="16" t="n">
        <f aca="false">E351/E353</f>
        <v>0.809915018893832</v>
      </c>
      <c r="F355" s="16" t="n">
        <f aca="false">F351/F353</f>
        <v>0.841882632955232</v>
      </c>
      <c r="G355" s="16" t="n">
        <f aca="false">G351/G353</f>
        <v>0.844283841681829</v>
      </c>
    </row>
    <row r="356" customFormat="false" ht="17.15" hidden="false" customHeight="false" outlineLevel="0" collapsed="false">
      <c r="A356" s="5" t="s">
        <v>432</v>
      </c>
      <c r="B356" s="0" t="s">
        <v>163</v>
      </c>
      <c r="C356" s="16" t="n">
        <f aca="false">a25_gm</f>
        <v>0.347</v>
      </c>
      <c r="D356" s="16" t="n">
        <f aca="false">a26_gm</f>
        <v>0.46</v>
      </c>
      <c r="E356" s="16" t="n">
        <f aca="false">gm_27</f>
        <v>0.52</v>
      </c>
      <c r="F356" s="16" t="n">
        <f aca="false">gm_28</f>
        <v>0.51</v>
      </c>
      <c r="G356" s="16" t="n">
        <f aca="false">gm_29</f>
        <v>0.49</v>
      </c>
    </row>
    <row r="357" customFormat="false" ht="15" hidden="false" customHeight="false" outlineLevel="0" collapsed="false">
      <c r="A357" s="5" t="s">
        <v>433</v>
      </c>
      <c r="B357" s="0" t="s">
        <v>30</v>
      </c>
      <c r="C357" s="26" t="n">
        <f aca="false">C353*C356</f>
        <v>0.570815</v>
      </c>
      <c r="D357" s="26" t="n">
        <f aca="false">D353*D356</f>
        <v>1.38644</v>
      </c>
      <c r="E357" s="26" t="n">
        <f aca="false">E353*E356</f>
        <v>3.30757391842572</v>
      </c>
      <c r="F357" s="26" t="n">
        <f aca="false">F353*F356</f>
        <v>4.2477612931022</v>
      </c>
      <c r="G357" s="26" t="n">
        <f aca="false">G353*G356</f>
        <v>4.56768073308549</v>
      </c>
    </row>
    <row r="358" customFormat="false" ht="15" hidden="false" customHeight="false" outlineLevel="0" collapsed="false">
      <c r="A358" s="5" t="s">
        <v>540</v>
      </c>
      <c r="B358" s="0" t="s">
        <v>30</v>
      </c>
      <c r="C358" s="26" t="n">
        <f aca="false">a25_opx/1000</f>
        <v>0.4114</v>
      </c>
      <c r="D358" s="26" t="n">
        <f aca="false">a26_opx/1000</f>
        <v>0.4897</v>
      </c>
      <c r="E358" s="26" t="n">
        <f aca="false">D358*(1+MAX(0,phi*E354))</f>
        <v>0.614055799439581</v>
      </c>
      <c r="F358" s="26" t="n">
        <f aca="false">E358*(1+MAX(0,phi*F354))</f>
        <v>0.657510445324739</v>
      </c>
      <c r="G358" s="26" t="n">
        <f aca="false">F358*(1+MAX(0,phi*G354))</f>
        <v>0.675435393881945</v>
      </c>
    </row>
    <row r="359" customFormat="false" ht="15" hidden="false" customHeight="false" outlineLevel="0" collapsed="false">
      <c r="A359" s="5" t="s">
        <v>541</v>
      </c>
      <c r="B359" s="0" t="s">
        <v>30</v>
      </c>
      <c r="C359" s="26" t="n">
        <f aca="false">C358</f>
        <v>0.4114</v>
      </c>
      <c r="D359" s="26" t="n">
        <f aca="false">D358</f>
        <v>0.4897</v>
      </c>
      <c r="E359" s="26" t="n">
        <f aca="false">E358+0*E353</f>
        <v>0.614055799439581</v>
      </c>
      <c r="F359" s="26" t="n">
        <f aca="false">F358+0*F353</f>
        <v>0.657510445324739</v>
      </c>
      <c r="G359" s="26" t="n">
        <f aca="false">G358+0*G353</f>
        <v>0.675435393881945</v>
      </c>
    </row>
    <row r="360" customFormat="false" ht="15" hidden="false" customHeight="false" outlineLevel="0" collapsed="false">
      <c r="A360" s="5" t="s">
        <v>542</v>
      </c>
      <c r="B360" s="0" t="s">
        <v>30</v>
      </c>
      <c r="C360" s="26" t="n">
        <f aca="false">C357-C359</f>
        <v>0.159415</v>
      </c>
      <c r="D360" s="26" t="n">
        <f aca="false">D357-D359</f>
        <v>0.89674</v>
      </c>
      <c r="E360" s="26" t="n">
        <f aca="false">E357-E359</f>
        <v>2.69351811898614</v>
      </c>
      <c r="F360" s="26" t="n">
        <f aca="false">F357-F359</f>
        <v>3.59025084777746</v>
      </c>
      <c r="G360" s="26" t="n">
        <f aca="false">G357-G359</f>
        <v>3.89224533920354</v>
      </c>
    </row>
    <row r="361" customFormat="false" ht="15" hidden="false" customHeight="false" outlineLevel="0" collapsed="false">
      <c r="A361" s="5" t="s">
        <v>437</v>
      </c>
      <c r="B361" s="0" t="s">
        <v>163</v>
      </c>
      <c r="C361" s="16" t="n">
        <f aca="false">C360/C353</f>
        <v>0.0969088145896656</v>
      </c>
      <c r="D361" s="16" t="n">
        <f aca="false">D360/D353</f>
        <v>0.297524883875249</v>
      </c>
      <c r="E361" s="16" t="n">
        <f aca="false">E360/E353</f>
        <v>0.423461260856549</v>
      </c>
      <c r="F361" s="16" t="n">
        <f aca="false">F360/F353</f>
        <v>0.431057163061364</v>
      </c>
      <c r="G361" s="16" t="n">
        <f aca="false">G360/G353</f>
        <v>0.417542365077126</v>
      </c>
    </row>
    <row r="362" customFormat="false" ht="17.15" hidden="false" customHeight="false" outlineLevel="0" collapsed="false">
      <c r="A362" s="5" t="s">
        <v>438</v>
      </c>
      <c r="B362" s="0" t="s">
        <v>30</v>
      </c>
      <c r="C362" s="26" t="n">
        <f aca="false">a25_ni/1000</f>
        <v>0.1464</v>
      </c>
      <c r="D362" s="26" t="n">
        <f aca="false">a26_ni/1000</f>
        <v>0.7823</v>
      </c>
      <c r="E362" s="26" t="n">
        <f aca="false">(E360+oi_oth)*(1-tx)</f>
        <v>2.29268762935342</v>
      </c>
      <c r="F362" s="26" t="n">
        <f aca="false">(F360+oi_oth)*(1-tx)</f>
        <v>3.04145945789418</v>
      </c>
      <c r="G362" s="26" t="n">
        <f aca="false">(G360+oi_oth)*(1-tx)</f>
        <v>3.29362485823496</v>
      </c>
    </row>
    <row r="363" customFormat="false" ht="15" hidden="false" customHeight="false" outlineLevel="0" collapsed="false">
      <c r="A363" s="5" t="s">
        <v>500</v>
      </c>
      <c r="B363" s="0" t="s">
        <v>163</v>
      </c>
      <c r="C363" s="16" t="n">
        <f aca="false">C362/C353</f>
        <v>0.0889969604863222</v>
      </c>
      <c r="D363" s="16" t="n">
        <f aca="false">D362/D353</f>
        <v>0.259555408095554</v>
      </c>
      <c r="E363" s="16" t="n">
        <f aca="false">E362/E353</f>
        <v>0.360444723736128</v>
      </c>
      <c r="F363" s="16" t="n">
        <f aca="false">F362/F353</f>
        <v>0.365167488588609</v>
      </c>
      <c r="G363" s="16" t="n">
        <f aca="false">G362/G353</f>
        <v>0.353325084401192</v>
      </c>
    </row>
    <row r="364" customFormat="false" ht="17.15" hidden="false" customHeight="false" outlineLevel="0" collapsed="false">
      <c r="A364" s="5" t="s">
        <v>442</v>
      </c>
      <c r="B364" s="5" t="s">
        <v>237</v>
      </c>
      <c r="C364" s="15" t="n">
        <f aca="false">a25_sh</f>
        <v>71.0679611650485</v>
      </c>
      <c r="D364" s="15" t="n">
        <f aca="false">a26_sh</f>
        <v>90.2306805074971</v>
      </c>
      <c r="E364" s="15" t="n">
        <f aca="false">sh_q1</f>
        <v>102</v>
      </c>
      <c r="F364" s="15" t="n">
        <f aca="false">E364*(1+sh_g)</f>
        <v>103.02</v>
      </c>
      <c r="G364" s="15" t="n">
        <f aca="false">F364*(1+sh_g)</f>
        <v>104.0502</v>
      </c>
    </row>
    <row r="365" customFormat="false" ht="17.15" hidden="false" customHeight="false" outlineLevel="0" collapsed="false">
      <c r="A365" s="0" t="s">
        <v>444</v>
      </c>
      <c r="B365" s="0" t="s">
        <v>232</v>
      </c>
      <c r="C365" s="9" t="n">
        <f aca="false">C362*1000/C364</f>
        <v>2.06</v>
      </c>
      <c r="D365" s="9" t="n">
        <f aca="false">D362*1000/D364</f>
        <v>8.67</v>
      </c>
      <c r="E365" s="9" t="n">
        <f aca="false">E362*1000/E364</f>
        <v>22.4773296995434</v>
      </c>
      <c r="F365" s="9" t="n">
        <f aca="false">F362*1000/F364</f>
        <v>29.5229999795591</v>
      </c>
      <c r="G365" s="9" t="n">
        <f aca="false">G362*1000/G364</f>
        <v>31.6541905564329</v>
      </c>
    </row>
    <row r="366" customFormat="false" ht="17.15" hidden="false" customHeight="false" outlineLevel="0" collapsed="false">
      <c r="A366" s="0" t="s">
        <v>543</v>
      </c>
      <c r="B366" s="0" t="s">
        <v>163</v>
      </c>
      <c r="D366" s="16" t="n">
        <f aca="false">D365/C365-1</f>
        <v>3.20873786407767</v>
      </c>
      <c r="E366" s="16" t="n">
        <f aca="false">E365/D365-1</f>
        <v>1.59254091113534</v>
      </c>
      <c r="F366" s="16" t="n">
        <f aca="false">F365/E365-1</f>
        <v>0.313456730590148</v>
      </c>
      <c r="G366" s="16" t="n">
        <f aca="false">G365/F365-1</f>
        <v>0.0721874666649529</v>
      </c>
    </row>
    <row r="369" customFormat="false" ht="17.15" hidden="false" customHeight="false" outlineLevel="0" collapsed="false">
      <c r="A369" s="3" t="s">
        <v>841</v>
      </c>
    </row>
    <row r="370" customFormat="false" ht="17.15" hidden="false" customHeight="false" outlineLevel="0" collapsed="false">
      <c r="A370" s="1" t="s">
        <v>509</v>
      </c>
    </row>
    <row r="371" customFormat="false" ht="17.15" hidden="false" customHeight="false" outlineLevel="0" collapsed="false">
      <c r="A371" s="6" t="s">
        <v>19</v>
      </c>
      <c r="B371" s="6" t="s">
        <v>20</v>
      </c>
      <c r="C371" s="14" t="s">
        <v>510</v>
      </c>
      <c r="D371" s="14" t="s">
        <v>465</v>
      </c>
      <c r="E371" s="14" t="s">
        <v>466</v>
      </c>
      <c r="F371" s="14" t="s">
        <v>467</v>
      </c>
      <c r="G371" s="14"/>
      <c r="H371" s="6" t="s">
        <v>428</v>
      </c>
    </row>
    <row r="372" customFormat="false" ht="17.15" hidden="false" customHeight="false" outlineLevel="0" collapsed="false">
      <c r="A372" s="0" t="s">
        <v>511</v>
      </c>
      <c r="B372" s="0" t="s">
        <v>30</v>
      </c>
      <c r="C372" s="26" t="n">
        <f aca="false">mpl_26*1</f>
        <v>29.753262</v>
      </c>
      <c r="D372" s="26" t="n">
        <f aca="false">mpl_27*1*1</f>
        <v>54.688309</v>
      </c>
      <c r="E372" s="26" t="n">
        <f aca="false">mpl_28*um28_A*1</f>
        <v>61.21325</v>
      </c>
      <c r="F372" s="26" t="n">
        <f aca="false">mpl_29*um29_A*1</f>
        <v>78.80848</v>
      </c>
    </row>
    <row r="373" customFormat="false" ht="17.15" hidden="false" customHeight="false" outlineLevel="0" collapsed="false">
      <c r="A373" s="5" t="s">
        <v>512</v>
      </c>
      <c r="B373" s="0" t="s">
        <v>96</v>
      </c>
      <c r="C373" s="20" t="n">
        <f aca="false">asp_26</f>
        <v>500</v>
      </c>
      <c r="D373" s="20" t="n">
        <f aca="false">asp_27</f>
        <v>520</v>
      </c>
      <c r="E373" s="20" t="n">
        <f aca="false">asp_28</f>
        <v>540</v>
      </c>
      <c r="F373" s="20" t="n">
        <f aca="false">asp_29</f>
        <v>560</v>
      </c>
    </row>
    <row r="374" customFormat="false" ht="17.15" hidden="false" customHeight="false" outlineLevel="0" collapsed="false">
      <c r="A374" s="5" t="s">
        <v>513</v>
      </c>
      <c r="B374" s="5" t="s">
        <v>336</v>
      </c>
      <c r="C374" s="15" t="n">
        <f aca="false">C372*1000/C373</f>
        <v>59.506524</v>
      </c>
      <c r="D374" s="15" t="n">
        <f aca="false">D372*1000/D373</f>
        <v>105.169825</v>
      </c>
      <c r="E374" s="15" t="n">
        <f aca="false">E372*1000/E373</f>
        <v>113.35787037037</v>
      </c>
      <c r="F374" s="15" t="n">
        <f aca="false">F372*1000/F373</f>
        <v>140.729428571429</v>
      </c>
    </row>
    <row r="375" customFormat="false" ht="17.15" hidden="false" customHeight="false" outlineLevel="0" collapsed="false">
      <c r="A375" s="5" t="s">
        <v>514</v>
      </c>
      <c r="B375" s="5" t="s">
        <v>108</v>
      </c>
      <c r="C375" s="18" t="n">
        <f aca="false">lpm_26</f>
        <v>5.5</v>
      </c>
      <c r="D375" s="18" t="n">
        <f aca="false">lpm_27</f>
        <v>5.5</v>
      </c>
      <c r="E375" s="18" t="n">
        <f aca="false">lpm_28</f>
        <v>5</v>
      </c>
      <c r="F375" s="18" t="n">
        <f aca="false">lpm_29</f>
        <v>4.8</v>
      </c>
    </row>
    <row r="376" customFormat="false" ht="17.15" hidden="false" customHeight="false" outlineLevel="0" collapsed="false">
      <c r="A376" s="5" t="s">
        <v>515</v>
      </c>
      <c r="B376" s="0" t="s">
        <v>120</v>
      </c>
      <c r="C376" s="18" t="n">
        <f aca="false">lasp_26</f>
        <v>13</v>
      </c>
      <c r="D376" s="18" t="n">
        <f aca="false">lasp_27</f>
        <v>15</v>
      </c>
      <c r="E376" s="18" t="n">
        <f aca="false">lasp_28</f>
        <v>15</v>
      </c>
      <c r="F376" s="18" t="n">
        <f aca="false">lasp_29</f>
        <v>14</v>
      </c>
    </row>
    <row r="377" customFormat="false" ht="17.15" hidden="false" customHeight="false" outlineLevel="0" collapsed="false">
      <c r="A377" s="5" t="s">
        <v>516</v>
      </c>
      <c r="B377" s="0" t="s">
        <v>30</v>
      </c>
      <c r="C377" s="26" t="n">
        <f aca="false">C374*C375*C376/1000</f>
        <v>4.254716466</v>
      </c>
      <c r="D377" s="26" t="n">
        <f aca="false">D374*D375*D376/1000</f>
        <v>8.6765105625</v>
      </c>
      <c r="E377" s="26" t="n">
        <f aca="false">E374*E375*E376/1000</f>
        <v>8.50184027777778</v>
      </c>
      <c r="F377" s="26" t="n">
        <f aca="false">F374*F375*F376/1000</f>
        <v>9.4570176</v>
      </c>
    </row>
    <row r="378" customFormat="false" ht="17.15" hidden="false" customHeight="false" outlineLevel="0" collapsed="false">
      <c r="A378" s="0" t="s">
        <v>517</v>
      </c>
      <c r="B378" s="0" t="s">
        <v>163</v>
      </c>
      <c r="C378" s="16" t="n">
        <f aca="false">c26_las/1000/C377</f>
        <v>0.43826657190933</v>
      </c>
      <c r="H378" s="8" t="s">
        <v>518</v>
      </c>
    </row>
    <row r="379" customFormat="false" ht="17.15" hidden="false" customHeight="false" outlineLevel="0" collapsed="false">
      <c r="A379" s="5" t="s">
        <v>519</v>
      </c>
      <c r="B379" s="0" t="s">
        <v>74</v>
      </c>
      <c r="C379" s="9" t="n">
        <f aca="false">1</f>
        <v>1</v>
      </c>
      <c r="D379" s="9" t="n">
        <f aca="false">lrel_27</f>
        <v>0.95</v>
      </c>
      <c r="E379" s="9" t="n">
        <f aca="false">lrel_28</f>
        <v>0.95</v>
      </c>
      <c r="F379" s="9" t="n">
        <f aca="false">lrel_29</f>
        <v>0.9</v>
      </c>
    </row>
    <row r="380" customFormat="false" ht="15" hidden="false" customHeight="false" outlineLevel="0" collapsed="false">
      <c r="A380" s="5" t="s">
        <v>520</v>
      </c>
      <c r="B380" s="0" t="s">
        <v>163</v>
      </c>
      <c r="C380" s="16" t="n">
        <f aca="false">$C$378*C379</f>
        <v>0.43826657190933</v>
      </c>
      <c r="D380" s="16" t="n">
        <f aca="false">$C$378*D379</f>
        <v>0.416353243313864</v>
      </c>
      <c r="E380" s="16" t="n">
        <f aca="false">$C$378*E379</f>
        <v>0.416353243313864</v>
      </c>
      <c r="F380" s="16" t="n">
        <f aca="false">$C$378*F379</f>
        <v>0.394439914718397</v>
      </c>
    </row>
    <row r="381" customFormat="false" ht="17.15" hidden="false" customHeight="false" outlineLevel="0" collapsed="false">
      <c r="A381" s="5" t="s">
        <v>521</v>
      </c>
      <c r="B381" s="0" t="s">
        <v>30</v>
      </c>
      <c r="C381" s="26" t="n">
        <f aca="false">C377*C380</f>
        <v>1.8647</v>
      </c>
      <c r="D381" s="26" t="n">
        <f aca="false">D377*D380</f>
        <v>3.61249331334387</v>
      </c>
      <c r="E381" s="26" t="n">
        <f aca="false">E377*E380</f>
        <v>3.53976877378922</v>
      </c>
      <c r="F381" s="26" t="n">
        <f aca="false">F377*F380</f>
        <v>3.73022521563438</v>
      </c>
    </row>
    <row r="382" customFormat="false" ht="17.15" hidden="false" customHeight="false" outlineLevel="0" collapsed="false">
      <c r="A382" s="5" t="s">
        <v>522</v>
      </c>
      <c r="B382" s="0" t="s">
        <v>163</v>
      </c>
      <c r="C382" s="16" t="n">
        <f aca="false">c26_xcvr/1000/C372</f>
        <v>0.0336097601668012</v>
      </c>
    </row>
    <row r="383" customFormat="false" ht="15" hidden="false" customHeight="false" outlineLevel="0" collapsed="false">
      <c r="A383" s="5" t="s">
        <v>523</v>
      </c>
      <c r="B383" s="0" t="s">
        <v>163</v>
      </c>
      <c r="C383" s="16" t="n">
        <f aca="false">C382</f>
        <v>0.0336097601668012</v>
      </c>
      <c r="D383" s="16" t="n">
        <f aca="false">$C$382*MRHI_27</f>
        <v>0.0403317122001615</v>
      </c>
      <c r="E383" s="16" t="n">
        <f aca="false">$C$382*MRHI_28</f>
        <v>0.0436926882168416</v>
      </c>
      <c r="F383" s="16" t="n">
        <f aca="false">$C$382*MRHI_29</f>
        <v>0.0436926882168416</v>
      </c>
    </row>
    <row r="384" customFormat="false" ht="15" hidden="false" customHeight="false" outlineLevel="0" collapsed="false">
      <c r="A384" s="5" t="s">
        <v>524</v>
      </c>
      <c r="B384" s="0" t="s">
        <v>30</v>
      </c>
      <c r="C384" s="26" t="n">
        <f aca="false">C372*C383</f>
        <v>1</v>
      </c>
      <c r="D384" s="26" t="n">
        <f aca="false">D372*D383</f>
        <v>2.2056731393015</v>
      </c>
      <c r="E384" s="26" t="n">
        <f aca="false">E372*E383</f>
        <v>2.67457144698958</v>
      </c>
      <c r="F384" s="26" t="n">
        <f aca="false">F372*F383</f>
        <v>3.44335434548319</v>
      </c>
    </row>
    <row r="385" customFormat="false" ht="17.15" hidden="false" customHeight="false" outlineLevel="0" collapsed="false">
      <c r="A385" s="0" t="s">
        <v>525</v>
      </c>
      <c r="B385" s="5" t="s">
        <v>53</v>
      </c>
      <c r="C385" s="19" t="n">
        <f aca="false">tpu_26*1</f>
        <v>3.85</v>
      </c>
      <c r="D385" s="19" t="n">
        <f aca="false">tpu_27*1</f>
        <v>5.5</v>
      </c>
      <c r="E385" s="19" t="n">
        <f aca="false">tpu_28*um28_A</f>
        <v>7</v>
      </c>
      <c r="F385" s="19" t="n">
        <f aca="false">tpu_29*um29_A</f>
        <v>8.05</v>
      </c>
    </row>
    <row r="386" customFormat="false" ht="17.15" hidden="false" customHeight="false" outlineLevel="0" collapsed="false">
      <c r="A386" s="0" t="s">
        <v>526</v>
      </c>
      <c r="B386" s="0" t="s">
        <v>120</v>
      </c>
      <c r="C386" s="20" t="n">
        <f aca="false">c26_ocs/C385</f>
        <v>129.87012987013</v>
      </c>
      <c r="D386" s="20" t="n">
        <f aca="false">$C386*ocsk_27</f>
        <v>207.792207792208</v>
      </c>
      <c r="E386" s="20" t="n">
        <f aca="false">$C386*ocsk_28</f>
        <v>233.766233766234</v>
      </c>
      <c r="F386" s="20" t="n">
        <f aca="false">$C386*ocsk_29</f>
        <v>233.766233766234</v>
      </c>
    </row>
    <row r="387" customFormat="false" ht="17.15" hidden="false" customHeight="false" outlineLevel="0" collapsed="false">
      <c r="A387" s="0" t="s">
        <v>479</v>
      </c>
      <c r="B387" s="0" t="s">
        <v>30</v>
      </c>
      <c r="C387" s="26" t="n">
        <f aca="false">C385*C386/1000</f>
        <v>0.5</v>
      </c>
      <c r="D387" s="26" t="n">
        <f aca="false">D385*D386/1000</f>
        <v>1.14285714285714</v>
      </c>
      <c r="E387" s="26" t="n">
        <f aca="false">E385*E386/1000</f>
        <v>1.63636363636364</v>
      </c>
      <c r="F387" s="26" t="n">
        <f aca="false">F385*F386/1000</f>
        <v>1.88181818181818</v>
      </c>
    </row>
    <row r="388" customFormat="false" ht="17.15" hidden="false" customHeight="false" outlineLevel="0" collapsed="false">
      <c r="A388" s="0" t="s">
        <v>527</v>
      </c>
      <c r="B388" s="0" t="s">
        <v>30</v>
      </c>
      <c r="C388" s="26" t="n">
        <f aca="false">mcp_26*1</f>
        <v>0.300538</v>
      </c>
      <c r="D388" s="26" t="n">
        <f aca="false">mcp_27*1</f>
        <v>1.691391</v>
      </c>
      <c r="E388" s="26" t="n">
        <f aca="false">mcp_28*um28_A</f>
        <v>3.22175</v>
      </c>
      <c r="F388" s="26" t="n">
        <f aca="false">mcp_29*um29_A</f>
        <v>5.87368</v>
      </c>
    </row>
    <row r="389" customFormat="false" ht="17.15" hidden="false" customHeight="false" outlineLevel="0" collapsed="false">
      <c r="A389" s="0" t="s">
        <v>480</v>
      </c>
      <c r="B389" s="0" t="s">
        <v>163</v>
      </c>
      <c r="C389" s="16" t="n">
        <f aca="false">c26_cpo/1000/C388</f>
        <v>0.166368312825666</v>
      </c>
      <c r="D389" s="16" t="n">
        <f aca="false">cpo_27</f>
        <v>0.25</v>
      </c>
      <c r="E389" s="16" t="n">
        <f aca="false">cpo_28</f>
        <v>0.25</v>
      </c>
      <c r="F389" s="16" t="n">
        <f aca="false">cpo_29</f>
        <v>0.2</v>
      </c>
    </row>
    <row r="390" customFormat="false" ht="17.15" hidden="false" customHeight="false" outlineLevel="0" collapsed="false">
      <c r="A390" s="0" t="s">
        <v>528</v>
      </c>
      <c r="B390" s="0" t="s">
        <v>30</v>
      </c>
      <c r="C390" s="26" t="n">
        <f aca="false">C388*C389</f>
        <v>0.05</v>
      </c>
      <c r="D390" s="26" t="n">
        <f aca="false">D388*D389</f>
        <v>0.42284775</v>
      </c>
      <c r="E390" s="26" t="n">
        <f aca="false">E388*E389</f>
        <v>0.8054375</v>
      </c>
      <c r="F390" s="26" t="n">
        <f aca="false">F388*F389</f>
        <v>1.174736</v>
      </c>
    </row>
    <row r="391" customFormat="false" ht="17.15" hidden="false" customHeight="false" outlineLevel="0" collapsed="false">
      <c r="A391" s="0" t="s">
        <v>529</v>
      </c>
      <c r="B391" s="0" t="s">
        <v>30</v>
      </c>
      <c r="C391" s="26" t="n">
        <f aca="false">C381+C384+C387+C390</f>
        <v>3.4147</v>
      </c>
      <c r="D391" s="26" t="n">
        <f aca="false">D381+D384+D387+D390</f>
        <v>7.38387134550251</v>
      </c>
      <c r="E391" s="26" t="n">
        <f aca="false">E381+E384+E387+E390</f>
        <v>8.65614135714243</v>
      </c>
      <c r="F391" s="26" t="n">
        <f aca="false">F381+F384+F387+F390</f>
        <v>10.2301337429358</v>
      </c>
    </row>
    <row r="392" customFormat="false" ht="17.15" hidden="false" customHeight="false" outlineLevel="0" collapsed="false">
      <c r="A392" s="5" t="s">
        <v>530</v>
      </c>
      <c r="B392" s="0" t="s">
        <v>30</v>
      </c>
      <c r="C392" s="26" t="n">
        <f aca="false">c26_tel/1000</f>
        <v>0.75</v>
      </c>
      <c r="D392" s="26" t="n">
        <f aca="false">C392*(1+g_tel_27)</f>
        <v>0.9375</v>
      </c>
      <c r="E392" s="26" t="n">
        <f aca="false">D392*(1+g_tel_28)</f>
        <v>1.078125</v>
      </c>
      <c r="F392" s="26" t="n">
        <f aca="false">E392*(1+g_tel_29)</f>
        <v>1.1859375</v>
      </c>
    </row>
    <row r="393" customFormat="false" ht="17.15" hidden="false" customHeight="false" outlineLevel="0" collapsed="false">
      <c r="A393" s="5" t="s">
        <v>531</v>
      </c>
      <c r="B393" s="0" t="s">
        <v>30</v>
      </c>
      <c r="C393" s="26" t="n">
        <f aca="false">c26_ind/1000</f>
        <v>0.3</v>
      </c>
      <c r="D393" s="26" t="n">
        <f aca="false">C393*(1+g_ind)</f>
        <v>0.309</v>
      </c>
      <c r="E393" s="26" t="n">
        <f aca="false">D393*(1+g_ind)</f>
        <v>0.31827</v>
      </c>
      <c r="F393" s="26" t="n">
        <f aca="false">E393*(1+g_ind)</f>
        <v>0.3278181</v>
      </c>
    </row>
    <row r="394" customFormat="false" ht="15" hidden="false" customHeight="false" outlineLevel="0" collapsed="false">
      <c r="A394" s="5" t="s">
        <v>532</v>
      </c>
      <c r="B394" s="0" t="s">
        <v>30</v>
      </c>
      <c r="C394" s="26" t="n">
        <f aca="false">C391+C392+C393</f>
        <v>4.4647</v>
      </c>
      <c r="D394" s="26" t="n">
        <f aca="false">D391+D392+D393</f>
        <v>8.63037134550251</v>
      </c>
      <c r="E394" s="26" t="n">
        <f aca="false">E391+E392+E393</f>
        <v>10.0525363571424</v>
      </c>
      <c r="F394" s="26" t="n">
        <f aca="false">F391+F392+F393</f>
        <v>11.7438893429358</v>
      </c>
    </row>
    <row r="395" customFormat="false" ht="15" hidden="false" customHeight="false" outlineLevel="0" collapsed="false">
      <c r="A395" s="5" t="s">
        <v>533</v>
      </c>
      <c r="B395" s="0" t="s">
        <v>163</v>
      </c>
      <c r="D395" s="16" t="n">
        <f aca="false">D394/C394-1</f>
        <v>0.933023796784221</v>
      </c>
      <c r="E395" s="16" t="n">
        <f aca="false">E394/D394-1</f>
        <v>0.164786074052427</v>
      </c>
      <c r="F395" s="16" t="n">
        <f aca="false">F394/E394-1</f>
        <v>0.168251367187705</v>
      </c>
    </row>
    <row r="396" customFormat="false" ht="17.15" hidden="false" customHeight="false" outlineLevel="0" collapsed="false">
      <c r="A396" s="1" t="s">
        <v>534</v>
      </c>
    </row>
    <row r="397" customFormat="false" ht="17.15" hidden="false" customHeight="false" outlineLevel="0" collapsed="false">
      <c r="A397" s="6" t="s">
        <v>19</v>
      </c>
      <c r="B397" s="6" t="s">
        <v>20</v>
      </c>
      <c r="C397" s="14" t="s">
        <v>420</v>
      </c>
      <c r="D397" s="14" t="s">
        <v>487</v>
      </c>
      <c r="E397" s="14" t="s">
        <v>488</v>
      </c>
      <c r="F397" s="14" t="s">
        <v>489</v>
      </c>
      <c r="G397" s="14" t="s">
        <v>490</v>
      </c>
      <c r="H397" s="6" t="s">
        <v>428</v>
      </c>
    </row>
    <row r="398" customFormat="false" ht="17.15" hidden="false" customHeight="false" outlineLevel="0" collapsed="false">
      <c r="A398" s="0" t="s">
        <v>535</v>
      </c>
      <c r="B398" s="0" t="s">
        <v>30</v>
      </c>
      <c r="E398" s="26" t="n">
        <f aca="false">w2h_26*C391+h_1h*D391</f>
        <v>5.49719736740309</v>
      </c>
      <c r="F398" s="26" t="n">
        <f aca="false">(1-h_1h)*D391+h_1h*E391</f>
        <v>7.98183825097327</v>
      </c>
      <c r="G398" s="26" t="n">
        <f aca="false">(1-h_1h)*E391+h_1h*F391</f>
        <v>9.39591777846529</v>
      </c>
      <c r="H398" s="8" t="s">
        <v>536</v>
      </c>
    </row>
    <row r="399" customFormat="false" ht="17.15" hidden="false" customHeight="false" outlineLevel="0" collapsed="false">
      <c r="A399" s="5" t="s">
        <v>537</v>
      </c>
      <c r="B399" s="0" t="s">
        <v>30</v>
      </c>
      <c r="E399" s="26" t="n">
        <f aca="false">w2h_26*C392+h_1h*D392+w2h_26*C393+h_1h*D393</f>
        <v>1.20907716498309</v>
      </c>
      <c r="F399" s="26" t="n">
        <f aca="false">(1-h_1h)*D392+h_1h*E392+(1-h_1h)*D393+h_1h*E393</f>
        <v>1.31695065</v>
      </c>
      <c r="G399" s="26" t="n">
        <f aca="false">(1-h_1h)*E392+h_1h*F392+(1-h_1h)*E393+h_1h*F393</f>
        <v>1.451554482</v>
      </c>
    </row>
    <row r="400" customFormat="false" ht="15" hidden="false" customHeight="false" outlineLevel="0" collapsed="false">
      <c r="A400" s="5" t="s">
        <v>429</v>
      </c>
      <c r="B400" s="0" t="s">
        <v>30</v>
      </c>
      <c r="C400" s="26" t="n">
        <f aca="false">a25_rev/1000</f>
        <v>1.645</v>
      </c>
      <c r="D400" s="26" t="n">
        <f aca="false">a26_rev/1000</f>
        <v>3.014</v>
      </c>
      <c r="E400" s="26" t="n">
        <f aca="false">E398+E399</f>
        <v>6.70627453238618</v>
      </c>
      <c r="F400" s="26" t="n">
        <f aca="false">F398+F399</f>
        <v>9.29878890097328</v>
      </c>
      <c r="G400" s="26" t="n">
        <f aca="false">G398+G399</f>
        <v>10.8474722604653</v>
      </c>
    </row>
    <row r="401" customFormat="false" ht="15" hidden="false" customHeight="false" outlineLevel="0" collapsed="false">
      <c r="A401" s="5" t="s">
        <v>538</v>
      </c>
      <c r="B401" s="0" t="s">
        <v>163</v>
      </c>
      <c r="D401" s="16" t="n">
        <f aca="false">D400/C400-1</f>
        <v>0.832218844984802</v>
      </c>
      <c r="E401" s="16" t="n">
        <f aca="false">E400/D400-1</f>
        <v>1.22504131797816</v>
      </c>
      <c r="F401" s="16" t="n">
        <f aca="false">F400/E400-1</f>
        <v>0.386580411533592</v>
      </c>
      <c r="G401" s="16" t="n">
        <f aca="false">G400/F400-1</f>
        <v>0.166546781089946</v>
      </c>
    </row>
    <row r="402" customFormat="false" ht="17.15" hidden="false" customHeight="false" outlineLevel="0" collapsed="false">
      <c r="A402" s="0" t="s">
        <v>539</v>
      </c>
      <c r="B402" s="0" t="s">
        <v>163</v>
      </c>
      <c r="E402" s="16" t="n">
        <f aca="false">E398/E400</f>
        <v>0.819709563164441</v>
      </c>
      <c r="F402" s="16" t="n">
        <f aca="false">F398/F400</f>
        <v>0.858373959875338</v>
      </c>
      <c r="G402" s="16" t="n">
        <f aca="false">G398/G400</f>
        <v>0.866185001708616</v>
      </c>
    </row>
    <row r="403" customFormat="false" ht="17.15" hidden="false" customHeight="false" outlineLevel="0" collapsed="false">
      <c r="A403" s="5" t="s">
        <v>432</v>
      </c>
      <c r="B403" s="0" t="s">
        <v>163</v>
      </c>
      <c r="C403" s="16" t="n">
        <f aca="false">a25_gm</f>
        <v>0.347</v>
      </c>
      <c r="D403" s="16" t="n">
        <f aca="false">a26_gm</f>
        <v>0.46</v>
      </c>
      <c r="E403" s="16" t="n">
        <f aca="false">gm_27</f>
        <v>0.52</v>
      </c>
      <c r="F403" s="16" t="n">
        <f aca="false">gm_28</f>
        <v>0.51</v>
      </c>
      <c r="G403" s="16" t="n">
        <f aca="false">gm_29</f>
        <v>0.49</v>
      </c>
    </row>
    <row r="404" customFormat="false" ht="15" hidden="false" customHeight="false" outlineLevel="0" collapsed="false">
      <c r="A404" s="5" t="s">
        <v>433</v>
      </c>
      <c r="B404" s="0" t="s">
        <v>30</v>
      </c>
      <c r="C404" s="26" t="n">
        <f aca="false">C400*C403</f>
        <v>0.570815</v>
      </c>
      <c r="D404" s="26" t="n">
        <f aca="false">D400*D403</f>
        <v>1.38644</v>
      </c>
      <c r="E404" s="26" t="n">
        <f aca="false">E400*E403</f>
        <v>3.48726275684081</v>
      </c>
      <c r="F404" s="26" t="n">
        <f aca="false">F400*F403</f>
        <v>4.74238233949637</v>
      </c>
      <c r="G404" s="26" t="n">
        <f aca="false">G400*G403</f>
        <v>5.31526140762799</v>
      </c>
    </row>
    <row r="405" customFormat="false" ht="15" hidden="false" customHeight="false" outlineLevel="0" collapsed="false">
      <c r="A405" s="5" t="s">
        <v>540</v>
      </c>
      <c r="B405" s="0" t="s">
        <v>30</v>
      </c>
      <c r="C405" s="26" t="n">
        <f aca="false">a25_opx/1000</f>
        <v>0.4114</v>
      </c>
      <c r="D405" s="26" t="n">
        <f aca="false">a26_opx/1000</f>
        <v>0.4897</v>
      </c>
      <c r="E405" s="26" t="n">
        <f aca="false">D405*(1+MAX(0,phi*E401))</f>
        <v>0.626895785211463</v>
      </c>
      <c r="F405" s="26" t="n">
        <f aca="false">E405*(1+MAX(0,phi*F401))</f>
        <v>0.68231943513955</v>
      </c>
      <c r="G405" s="26" t="n">
        <f aca="false">F405*(1+MAX(0,phi*G401))</f>
        <v>0.708308096732544</v>
      </c>
    </row>
    <row r="406" customFormat="false" ht="15" hidden="false" customHeight="false" outlineLevel="0" collapsed="false">
      <c r="A406" s="5" t="s">
        <v>541</v>
      </c>
      <c r="B406" s="0" t="s">
        <v>30</v>
      </c>
      <c r="C406" s="26" t="n">
        <f aca="false">C405</f>
        <v>0.4114</v>
      </c>
      <c r="D406" s="26" t="n">
        <f aca="false">D405</f>
        <v>0.4897</v>
      </c>
      <c r="E406" s="26" t="n">
        <f aca="false">E405+0*E400</f>
        <v>0.626895785211463</v>
      </c>
      <c r="F406" s="26" t="n">
        <f aca="false">F405+0*F400</f>
        <v>0.68231943513955</v>
      </c>
      <c r="G406" s="26" t="n">
        <f aca="false">G405+0*G400</f>
        <v>0.708308096732544</v>
      </c>
    </row>
    <row r="407" customFormat="false" ht="15" hidden="false" customHeight="false" outlineLevel="0" collapsed="false">
      <c r="A407" s="5" t="s">
        <v>542</v>
      </c>
      <c r="B407" s="0" t="s">
        <v>30</v>
      </c>
      <c r="C407" s="26" t="n">
        <f aca="false">C404-C406</f>
        <v>0.159415</v>
      </c>
      <c r="D407" s="26" t="n">
        <f aca="false">D404-D406</f>
        <v>0.89674</v>
      </c>
      <c r="E407" s="26" t="n">
        <f aca="false">E404-E406</f>
        <v>2.86036697162935</v>
      </c>
      <c r="F407" s="26" t="n">
        <f aca="false">F404-F406</f>
        <v>4.06006290435682</v>
      </c>
      <c r="G407" s="26" t="n">
        <f aca="false">G404-G406</f>
        <v>4.60695331089545</v>
      </c>
    </row>
    <row r="408" customFormat="false" ht="15" hidden="false" customHeight="false" outlineLevel="0" collapsed="false">
      <c r="A408" s="5" t="s">
        <v>437</v>
      </c>
      <c r="B408" s="0" t="s">
        <v>163</v>
      </c>
      <c r="C408" s="16" t="n">
        <f aca="false">C407/C400</f>
        <v>0.0969088145896656</v>
      </c>
      <c r="D408" s="16" t="n">
        <f aca="false">D407/D400</f>
        <v>0.297524883875249</v>
      </c>
      <c r="E408" s="16" t="n">
        <f aca="false">E407/E400</f>
        <v>0.426521007724328</v>
      </c>
      <c r="F408" s="16" t="n">
        <f aca="false">F407/F400</f>
        <v>0.436622763200041</v>
      </c>
      <c r="G408" s="16" t="n">
        <f aca="false">G407/G400</f>
        <v>0.424702935418969</v>
      </c>
    </row>
    <row r="409" customFormat="false" ht="17.15" hidden="false" customHeight="false" outlineLevel="0" collapsed="false">
      <c r="A409" s="5" t="s">
        <v>438</v>
      </c>
      <c r="B409" s="0" t="s">
        <v>30</v>
      </c>
      <c r="C409" s="26" t="n">
        <f aca="false">a25_ni/1000</f>
        <v>0.1464</v>
      </c>
      <c r="D409" s="26" t="n">
        <f aca="false">a26_ni/1000</f>
        <v>0.7823</v>
      </c>
      <c r="E409" s="26" t="n">
        <f aca="false">(E407+oi_oth)*(1-tx)</f>
        <v>2.43200642131051</v>
      </c>
      <c r="F409" s="26" t="n">
        <f aca="false">(F407+oi_oth)*(1-tx)</f>
        <v>3.43375252513795</v>
      </c>
      <c r="G409" s="26" t="n">
        <f aca="false">(G407+oi_oth)*(1-tx)</f>
        <v>3.8904060145977</v>
      </c>
    </row>
    <row r="410" customFormat="false" ht="15" hidden="false" customHeight="false" outlineLevel="0" collapsed="false">
      <c r="A410" s="5" t="s">
        <v>500</v>
      </c>
      <c r="B410" s="0" t="s">
        <v>163</v>
      </c>
      <c r="C410" s="16" t="n">
        <f aca="false">C409/C400</f>
        <v>0.0889969604863222</v>
      </c>
      <c r="D410" s="16" t="n">
        <f aca="false">D409/D400</f>
        <v>0.259555408095554</v>
      </c>
      <c r="E410" s="16" t="n">
        <f aca="false">E409/E400</f>
        <v>0.362646415616566</v>
      </c>
      <c r="F410" s="16" t="n">
        <f aca="false">F409/F400</f>
        <v>0.369268789915055</v>
      </c>
      <c r="G410" s="16" t="n">
        <f aca="false">G409/G400</f>
        <v>0.358646320652663</v>
      </c>
    </row>
    <row r="411" customFormat="false" ht="17.15" hidden="false" customHeight="false" outlineLevel="0" collapsed="false">
      <c r="A411" s="5" t="s">
        <v>442</v>
      </c>
      <c r="B411" s="5" t="s">
        <v>237</v>
      </c>
      <c r="C411" s="15" t="n">
        <f aca="false">a25_sh</f>
        <v>71.0679611650485</v>
      </c>
      <c r="D411" s="15" t="n">
        <f aca="false">a26_sh</f>
        <v>90.2306805074971</v>
      </c>
      <c r="E411" s="15" t="n">
        <f aca="false">sh_q1</f>
        <v>102</v>
      </c>
      <c r="F411" s="15" t="n">
        <f aca="false">E411*(1+sh_g)</f>
        <v>103.02</v>
      </c>
      <c r="G411" s="15" t="n">
        <f aca="false">F411*(1+sh_g)</f>
        <v>104.0502</v>
      </c>
    </row>
    <row r="412" customFormat="false" ht="17.15" hidden="false" customHeight="false" outlineLevel="0" collapsed="false">
      <c r="A412" s="0" t="s">
        <v>444</v>
      </c>
      <c r="B412" s="0" t="s">
        <v>232</v>
      </c>
      <c r="C412" s="9" t="n">
        <f aca="false">C409*1000/C411</f>
        <v>2.06</v>
      </c>
      <c r="D412" s="9" t="n">
        <f aca="false">D409*1000/D411</f>
        <v>8.67</v>
      </c>
      <c r="E412" s="9" t="n">
        <f aca="false">E409*1000/E411</f>
        <v>23.8432002089266</v>
      </c>
      <c r="F412" s="9" t="n">
        <f aca="false">F409*1000/F411</f>
        <v>33.3309311312167</v>
      </c>
      <c r="G412" s="9" t="n">
        <f aca="false">G409*1000/G411</f>
        <v>37.3897024186181</v>
      </c>
    </row>
    <row r="413" customFormat="false" ht="17.15" hidden="false" customHeight="false" outlineLevel="0" collapsed="false">
      <c r="A413" s="0" t="s">
        <v>543</v>
      </c>
      <c r="B413" s="0" t="s">
        <v>163</v>
      </c>
      <c r="D413" s="16" t="n">
        <f aca="false">D412/C412-1</f>
        <v>3.20873786407767</v>
      </c>
      <c r="E413" s="16" t="n">
        <f aca="false">E412/D412-1</f>
        <v>1.75008076227527</v>
      </c>
      <c r="F413" s="16" t="n">
        <f aca="false">F412/E412-1</f>
        <v>0.397921874545099</v>
      </c>
      <c r="G413" s="16" t="n">
        <f aca="false">G412/F412-1</f>
        <v>0.121771914244547</v>
      </c>
    </row>
    <row r="416" customFormat="false" ht="17.15" hidden="false" customHeight="false" outlineLevel="0" collapsed="false">
      <c r="A416" s="3" t="s">
        <v>842</v>
      </c>
    </row>
    <row r="417" customFormat="false" ht="17.15" hidden="false" customHeight="false" outlineLevel="0" collapsed="false">
      <c r="A417" s="1" t="s">
        <v>509</v>
      </c>
    </row>
    <row r="418" customFormat="false" ht="17.15" hidden="false" customHeight="false" outlineLevel="0" collapsed="false">
      <c r="A418" s="6" t="s">
        <v>19</v>
      </c>
      <c r="B418" s="6" t="s">
        <v>20</v>
      </c>
      <c r="C418" s="14" t="s">
        <v>510</v>
      </c>
      <c r="D418" s="14" t="s">
        <v>465</v>
      </c>
      <c r="E418" s="14" t="s">
        <v>466</v>
      </c>
      <c r="F418" s="14" t="s">
        <v>467</v>
      </c>
      <c r="G418" s="14"/>
      <c r="H418" s="6" t="s">
        <v>428</v>
      </c>
    </row>
    <row r="419" customFormat="false" ht="17.15" hidden="false" customHeight="false" outlineLevel="0" collapsed="false">
      <c r="A419" s="0" t="s">
        <v>511</v>
      </c>
      <c r="B419" s="0" t="s">
        <v>30</v>
      </c>
      <c r="C419" s="26" t="n">
        <f aca="false">mpl_26*1</f>
        <v>29.753262</v>
      </c>
      <c r="D419" s="26" t="n">
        <f aca="false">mpl_27*1*1</f>
        <v>54.688309</v>
      </c>
      <c r="E419" s="26" t="n">
        <f aca="false">mpl_28*um28_A*1</f>
        <v>61.21325</v>
      </c>
      <c r="F419" s="26" t="n">
        <f aca="false">mpl_29*um29_A*1</f>
        <v>78.80848</v>
      </c>
    </row>
    <row r="420" customFormat="false" ht="17.15" hidden="false" customHeight="false" outlineLevel="0" collapsed="false">
      <c r="A420" s="5" t="s">
        <v>512</v>
      </c>
      <c r="B420" s="0" t="s">
        <v>96</v>
      </c>
      <c r="C420" s="20" t="n">
        <f aca="false">asp_26</f>
        <v>500</v>
      </c>
      <c r="D420" s="20" t="n">
        <f aca="false">asp_27</f>
        <v>520</v>
      </c>
      <c r="E420" s="20" t="n">
        <f aca="false">asp_28</f>
        <v>540</v>
      </c>
      <c r="F420" s="20" t="n">
        <f aca="false">asp_29</f>
        <v>560</v>
      </c>
    </row>
    <row r="421" customFormat="false" ht="17.15" hidden="false" customHeight="false" outlineLevel="0" collapsed="false">
      <c r="A421" s="5" t="s">
        <v>513</v>
      </c>
      <c r="B421" s="5" t="s">
        <v>336</v>
      </c>
      <c r="C421" s="15" t="n">
        <f aca="false">C419*1000/C420</f>
        <v>59.506524</v>
      </c>
      <c r="D421" s="15" t="n">
        <f aca="false">D419*1000/D420</f>
        <v>105.169825</v>
      </c>
      <c r="E421" s="15" t="n">
        <f aca="false">E419*1000/E420</f>
        <v>113.35787037037</v>
      </c>
      <c r="F421" s="15" t="n">
        <f aca="false">F419*1000/F420</f>
        <v>140.729428571429</v>
      </c>
    </row>
    <row r="422" customFormat="false" ht="17.15" hidden="false" customHeight="false" outlineLevel="0" collapsed="false">
      <c r="A422" s="5" t="s">
        <v>514</v>
      </c>
      <c r="B422" s="5" t="s">
        <v>108</v>
      </c>
      <c r="C422" s="18" t="n">
        <f aca="false">lpm_26</f>
        <v>5.5</v>
      </c>
      <c r="D422" s="18" t="n">
        <f aca="false">lpm_27</f>
        <v>5.5</v>
      </c>
      <c r="E422" s="18" t="n">
        <f aca="false">lpm_28</f>
        <v>5</v>
      </c>
      <c r="F422" s="18" t="n">
        <f aca="false">lpm_29</f>
        <v>4.8</v>
      </c>
    </row>
    <row r="423" customFormat="false" ht="17.15" hidden="false" customHeight="false" outlineLevel="0" collapsed="false">
      <c r="A423" s="5" t="s">
        <v>515</v>
      </c>
      <c r="B423" s="0" t="s">
        <v>120</v>
      </c>
      <c r="C423" s="18" t="n">
        <f aca="false">lasp_26</f>
        <v>13</v>
      </c>
      <c r="D423" s="18" t="n">
        <f aca="false">lasp_27</f>
        <v>15</v>
      </c>
      <c r="E423" s="18" t="n">
        <f aca="false">lasp_28</f>
        <v>15</v>
      </c>
      <c r="F423" s="18" t="n">
        <f aca="false">lasp_29</f>
        <v>14</v>
      </c>
    </row>
    <row r="424" customFormat="false" ht="17.15" hidden="false" customHeight="false" outlineLevel="0" collapsed="false">
      <c r="A424" s="5" t="s">
        <v>516</v>
      </c>
      <c r="B424" s="0" t="s">
        <v>30</v>
      </c>
      <c r="C424" s="26" t="n">
        <f aca="false">C421*C422*C423/1000</f>
        <v>4.254716466</v>
      </c>
      <c r="D424" s="26" t="n">
        <f aca="false">D421*D422*D423/1000</f>
        <v>8.6765105625</v>
      </c>
      <c r="E424" s="26" t="n">
        <f aca="false">E421*E422*E423/1000</f>
        <v>8.50184027777778</v>
      </c>
      <c r="F424" s="26" t="n">
        <f aca="false">F421*F422*F423/1000</f>
        <v>9.4570176</v>
      </c>
    </row>
    <row r="425" customFormat="false" ht="17.15" hidden="false" customHeight="false" outlineLevel="0" collapsed="false">
      <c r="A425" s="0" t="s">
        <v>517</v>
      </c>
      <c r="B425" s="0" t="s">
        <v>163</v>
      </c>
      <c r="C425" s="16" t="n">
        <f aca="false">c26_las/1000/C424</f>
        <v>0.43826657190933</v>
      </c>
      <c r="H425" s="8" t="s">
        <v>518</v>
      </c>
    </row>
    <row r="426" customFormat="false" ht="17.15" hidden="false" customHeight="false" outlineLevel="0" collapsed="false">
      <c r="A426" s="5" t="s">
        <v>519</v>
      </c>
      <c r="B426" s="0" t="s">
        <v>74</v>
      </c>
      <c r="C426" s="9" t="n">
        <f aca="false">1</f>
        <v>1</v>
      </c>
      <c r="D426" s="9" t="n">
        <f aca="false">lrel_27</f>
        <v>0.95</v>
      </c>
      <c r="E426" s="9" t="n">
        <f aca="false">lrel_28</f>
        <v>0.95</v>
      </c>
      <c r="F426" s="9" t="n">
        <f aca="false">lrel_29</f>
        <v>0.9</v>
      </c>
    </row>
    <row r="427" customFormat="false" ht="15" hidden="false" customHeight="false" outlineLevel="0" collapsed="false">
      <c r="A427" s="5" t="s">
        <v>520</v>
      </c>
      <c r="B427" s="0" t="s">
        <v>163</v>
      </c>
      <c r="C427" s="16" t="n">
        <f aca="false">$C$425*C426</f>
        <v>0.43826657190933</v>
      </c>
      <c r="D427" s="16" t="n">
        <f aca="false">$C$425*D426</f>
        <v>0.416353243313864</v>
      </c>
      <c r="E427" s="16" t="n">
        <f aca="false">$C$425*E426</f>
        <v>0.416353243313864</v>
      </c>
      <c r="F427" s="16" t="n">
        <f aca="false">$C$425*F426</f>
        <v>0.394439914718397</v>
      </c>
    </row>
    <row r="428" customFormat="false" ht="17.15" hidden="false" customHeight="false" outlineLevel="0" collapsed="false">
      <c r="A428" s="5" t="s">
        <v>521</v>
      </c>
      <c r="B428" s="0" t="s">
        <v>30</v>
      </c>
      <c r="C428" s="26" t="n">
        <f aca="false">C424*C427</f>
        <v>1.8647</v>
      </c>
      <c r="D428" s="26" t="n">
        <f aca="false">D424*D427</f>
        <v>3.61249331334387</v>
      </c>
      <c r="E428" s="26" t="n">
        <f aca="false">E424*E427</f>
        <v>3.53976877378922</v>
      </c>
      <c r="F428" s="26" t="n">
        <f aca="false">F424*F427</f>
        <v>3.73022521563438</v>
      </c>
    </row>
    <row r="429" customFormat="false" ht="17.15" hidden="false" customHeight="false" outlineLevel="0" collapsed="false">
      <c r="A429" s="5" t="s">
        <v>522</v>
      </c>
      <c r="B429" s="0" t="s">
        <v>163</v>
      </c>
      <c r="C429" s="16" t="n">
        <f aca="false">c26_xcvr/1000/C419</f>
        <v>0.0336097601668012</v>
      </c>
    </row>
    <row r="430" customFormat="false" ht="15" hidden="false" customHeight="false" outlineLevel="0" collapsed="false">
      <c r="A430" s="5" t="s">
        <v>523</v>
      </c>
      <c r="B430" s="0" t="s">
        <v>163</v>
      </c>
      <c r="C430" s="16" t="n">
        <f aca="false">C429</f>
        <v>0.0336097601668012</v>
      </c>
      <c r="D430" s="16" t="n">
        <f aca="false">$C$429*mrel_27</f>
        <v>0.0336097601668012</v>
      </c>
      <c r="E430" s="16" t="n">
        <f aca="false">$C$429*mrel_28</f>
        <v>0.0336097601668012</v>
      </c>
      <c r="F430" s="16" t="n">
        <f aca="false">$C$429*mrel_29</f>
        <v>0.0336097601668012</v>
      </c>
    </row>
    <row r="431" customFormat="false" ht="15" hidden="false" customHeight="false" outlineLevel="0" collapsed="false">
      <c r="A431" s="5" t="s">
        <v>524</v>
      </c>
      <c r="B431" s="0" t="s">
        <v>30</v>
      </c>
      <c r="C431" s="26" t="n">
        <f aca="false">C419*C430</f>
        <v>1</v>
      </c>
      <c r="D431" s="26" t="n">
        <f aca="false">D419*D430</f>
        <v>1.83806094941792</v>
      </c>
      <c r="E431" s="26" t="n">
        <f aca="false">E419*E430</f>
        <v>2.05736265153044</v>
      </c>
      <c r="F431" s="26" t="n">
        <f aca="false">F419*F430</f>
        <v>2.64873411191015</v>
      </c>
    </row>
    <row r="432" customFormat="false" ht="17.15" hidden="false" customHeight="false" outlineLevel="0" collapsed="false">
      <c r="A432" s="0" t="s">
        <v>525</v>
      </c>
      <c r="B432" s="5" t="s">
        <v>53</v>
      </c>
      <c r="C432" s="19" t="n">
        <f aca="false">tpu_26*1</f>
        <v>3.85</v>
      </c>
      <c r="D432" s="19" t="n">
        <f aca="false">tpu_27*1</f>
        <v>5.5</v>
      </c>
      <c r="E432" s="19" t="n">
        <f aca="false">tpu_28*um28_A</f>
        <v>7</v>
      </c>
      <c r="F432" s="19" t="n">
        <f aca="false">tpu_29*um29_A</f>
        <v>8.05</v>
      </c>
    </row>
    <row r="433" customFormat="false" ht="17.15" hidden="false" customHeight="false" outlineLevel="0" collapsed="false">
      <c r="A433" s="0" t="s">
        <v>526</v>
      </c>
      <c r="B433" s="0" t="s">
        <v>120</v>
      </c>
      <c r="C433" s="20" t="n">
        <f aca="false">c26_ocs/C432</f>
        <v>129.87012987013</v>
      </c>
      <c r="D433" s="20" t="n">
        <f aca="false">$C433*OKLO_27</f>
        <v>155.844155844156</v>
      </c>
      <c r="E433" s="20" t="n">
        <f aca="false">$C433*OKLO_28</f>
        <v>155.844155844156</v>
      </c>
      <c r="F433" s="20" t="n">
        <f aca="false">$C433*OKLO_29</f>
        <v>129.87012987013</v>
      </c>
    </row>
    <row r="434" customFormat="false" ht="17.15" hidden="false" customHeight="false" outlineLevel="0" collapsed="false">
      <c r="A434" s="0" t="s">
        <v>479</v>
      </c>
      <c r="B434" s="0" t="s">
        <v>30</v>
      </c>
      <c r="C434" s="26" t="n">
        <f aca="false">C432*C433/1000</f>
        <v>0.5</v>
      </c>
      <c r="D434" s="26" t="n">
        <f aca="false">D432*D433/1000</f>
        <v>0.857142857142857</v>
      </c>
      <c r="E434" s="26" t="n">
        <f aca="false">E432*E433/1000</f>
        <v>1.09090909090909</v>
      </c>
      <c r="F434" s="26" t="n">
        <f aca="false">F432*F433/1000</f>
        <v>1.04545454545455</v>
      </c>
    </row>
    <row r="435" customFormat="false" ht="17.15" hidden="false" customHeight="false" outlineLevel="0" collapsed="false">
      <c r="A435" s="0" t="s">
        <v>527</v>
      </c>
      <c r="B435" s="0" t="s">
        <v>30</v>
      </c>
      <c r="C435" s="26" t="n">
        <f aca="false">mcp_26*1</f>
        <v>0.300538</v>
      </c>
      <c r="D435" s="26" t="n">
        <f aca="false">mcp_27*1</f>
        <v>1.691391</v>
      </c>
      <c r="E435" s="26" t="n">
        <f aca="false">mcp_28*um28_A</f>
        <v>3.22175</v>
      </c>
      <c r="F435" s="26" t="n">
        <f aca="false">mcp_29*um29_A</f>
        <v>5.87368</v>
      </c>
    </row>
    <row r="436" customFormat="false" ht="17.15" hidden="false" customHeight="false" outlineLevel="0" collapsed="false">
      <c r="A436" s="0" t="s">
        <v>480</v>
      </c>
      <c r="B436" s="0" t="s">
        <v>163</v>
      </c>
      <c r="C436" s="16" t="n">
        <f aca="false">c26_cpo/1000/C435</f>
        <v>0.166368312825666</v>
      </c>
      <c r="D436" s="16" t="n">
        <f aca="false">cpo_27</f>
        <v>0.25</v>
      </c>
      <c r="E436" s="16" t="n">
        <f aca="false">cpo_28</f>
        <v>0.25</v>
      </c>
      <c r="F436" s="16" t="n">
        <f aca="false">cpo_29</f>
        <v>0.2</v>
      </c>
    </row>
    <row r="437" customFormat="false" ht="17.15" hidden="false" customHeight="false" outlineLevel="0" collapsed="false">
      <c r="A437" s="0" t="s">
        <v>528</v>
      </c>
      <c r="B437" s="0" t="s">
        <v>30</v>
      </c>
      <c r="C437" s="26" t="n">
        <f aca="false">C435*C436</f>
        <v>0.05</v>
      </c>
      <c r="D437" s="26" t="n">
        <f aca="false">D435*D436</f>
        <v>0.42284775</v>
      </c>
      <c r="E437" s="26" t="n">
        <f aca="false">E435*E436</f>
        <v>0.8054375</v>
      </c>
      <c r="F437" s="26" t="n">
        <f aca="false">F435*F436</f>
        <v>1.174736</v>
      </c>
    </row>
    <row r="438" customFormat="false" ht="17.15" hidden="false" customHeight="false" outlineLevel="0" collapsed="false">
      <c r="A438" s="0" t="s">
        <v>529</v>
      </c>
      <c r="B438" s="0" t="s">
        <v>30</v>
      </c>
      <c r="C438" s="26" t="n">
        <f aca="false">C428+C431+C434+C437</f>
        <v>3.4147</v>
      </c>
      <c r="D438" s="26" t="n">
        <f aca="false">D428+D431+D434+D437</f>
        <v>6.73054486990464</v>
      </c>
      <c r="E438" s="26" t="n">
        <f aca="false">E428+E431+E434+E437</f>
        <v>7.49347801622875</v>
      </c>
      <c r="F438" s="26" t="n">
        <f aca="false">F428+F431+F434+F437</f>
        <v>8.59914987299908</v>
      </c>
    </row>
    <row r="439" customFormat="false" ht="17.15" hidden="false" customHeight="false" outlineLevel="0" collapsed="false">
      <c r="A439" s="5" t="s">
        <v>530</v>
      </c>
      <c r="B439" s="0" t="s">
        <v>30</v>
      </c>
      <c r="C439" s="26" t="n">
        <f aca="false">c26_tel/1000</f>
        <v>0.75</v>
      </c>
      <c r="D439" s="26" t="n">
        <f aca="false">C439*(1+g_tel_27)</f>
        <v>0.9375</v>
      </c>
      <c r="E439" s="26" t="n">
        <f aca="false">D439*(1+g_tel_28)</f>
        <v>1.078125</v>
      </c>
      <c r="F439" s="26" t="n">
        <f aca="false">E439*(1+g_tel_29)</f>
        <v>1.1859375</v>
      </c>
    </row>
    <row r="440" customFormat="false" ht="17.15" hidden="false" customHeight="false" outlineLevel="0" collapsed="false">
      <c r="A440" s="5" t="s">
        <v>531</v>
      </c>
      <c r="B440" s="0" t="s">
        <v>30</v>
      </c>
      <c r="C440" s="26" t="n">
        <f aca="false">c26_ind/1000</f>
        <v>0.3</v>
      </c>
      <c r="D440" s="26" t="n">
        <f aca="false">C440*(1+g_ind)</f>
        <v>0.309</v>
      </c>
      <c r="E440" s="26" t="n">
        <f aca="false">D440*(1+g_ind)</f>
        <v>0.31827</v>
      </c>
      <c r="F440" s="26" t="n">
        <f aca="false">E440*(1+g_ind)</f>
        <v>0.3278181</v>
      </c>
    </row>
    <row r="441" customFormat="false" ht="15" hidden="false" customHeight="false" outlineLevel="0" collapsed="false">
      <c r="A441" s="5" t="s">
        <v>532</v>
      </c>
      <c r="B441" s="0" t="s">
        <v>30</v>
      </c>
      <c r="C441" s="26" t="n">
        <f aca="false">C438+C439+C440</f>
        <v>4.4647</v>
      </c>
      <c r="D441" s="26" t="n">
        <f aca="false">D438+D439+D440</f>
        <v>7.97704486990464</v>
      </c>
      <c r="E441" s="26" t="n">
        <f aca="false">E438+E439+E440</f>
        <v>8.88987301622875</v>
      </c>
      <c r="F441" s="26" t="n">
        <f aca="false">F438+F439+F440</f>
        <v>10.1129054729991</v>
      </c>
    </row>
    <row r="442" customFormat="false" ht="15" hidden="false" customHeight="false" outlineLevel="0" collapsed="false">
      <c r="A442" s="5" t="s">
        <v>533</v>
      </c>
      <c r="B442" s="0" t="s">
        <v>163</v>
      </c>
      <c r="D442" s="16" t="n">
        <f aca="false">D441/C441-1</f>
        <v>0.786692245818228</v>
      </c>
      <c r="E442" s="16" t="n">
        <f aca="false">E441/D441-1</f>
        <v>0.114431868092904</v>
      </c>
      <c r="F442" s="16" t="n">
        <f aca="false">F441/E441-1</f>
        <v>0.137575919761468</v>
      </c>
    </row>
    <row r="443" customFormat="false" ht="17.15" hidden="false" customHeight="false" outlineLevel="0" collapsed="false">
      <c r="A443" s="1" t="s">
        <v>534</v>
      </c>
    </row>
    <row r="444" customFormat="false" ht="17.15" hidden="false" customHeight="false" outlineLevel="0" collapsed="false">
      <c r="A444" s="6" t="s">
        <v>19</v>
      </c>
      <c r="B444" s="6" t="s">
        <v>20</v>
      </c>
      <c r="C444" s="14" t="s">
        <v>420</v>
      </c>
      <c r="D444" s="14" t="s">
        <v>487</v>
      </c>
      <c r="E444" s="14" t="s">
        <v>488</v>
      </c>
      <c r="F444" s="14" t="s">
        <v>489</v>
      </c>
      <c r="G444" s="14" t="s">
        <v>490</v>
      </c>
      <c r="H444" s="6" t="s">
        <v>428</v>
      </c>
    </row>
    <row r="445" customFormat="false" ht="17.15" hidden="false" customHeight="false" outlineLevel="0" collapsed="false">
      <c r="A445" s="0" t="s">
        <v>535</v>
      </c>
      <c r="B445" s="0" t="s">
        <v>30</v>
      </c>
      <c r="E445" s="26" t="n">
        <f aca="false">w2h_26*C438+h_1h*D438</f>
        <v>5.19013392387209</v>
      </c>
      <c r="F445" s="26" t="n">
        <f aca="false">(1-h_1h)*D438+h_1h*E438</f>
        <v>7.08912344867697</v>
      </c>
      <c r="G445" s="26" t="n">
        <f aca="false">(1-h_1h)*E438+h_1h*F438</f>
        <v>8.0131437889108</v>
      </c>
      <c r="H445" s="8" t="s">
        <v>536</v>
      </c>
    </row>
    <row r="446" customFormat="false" ht="17.15" hidden="false" customHeight="false" outlineLevel="0" collapsed="false">
      <c r="A446" s="5" t="s">
        <v>537</v>
      </c>
      <c r="B446" s="0" t="s">
        <v>30</v>
      </c>
      <c r="E446" s="26" t="n">
        <f aca="false">w2h_26*C439+h_1h*D439+w2h_26*C440+h_1h*D440</f>
        <v>1.20907716498309</v>
      </c>
      <c r="F446" s="26" t="n">
        <f aca="false">(1-h_1h)*D439+h_1h*E439+(1-h_1h)*D440+h_1h*E440</f>
        <v>1.31695065</v>
      </c>
      <c r="G446" s="26" t="n">
        <f aca="false">(1-h_1h)*E439+h_1h*F439+(1-h_1h)*E440+h_1h*F440</f>
        <v>1.451554482</v>
      </c>
    </row>
    <row r="447" customFormat="false" ht="15" hidden="false" customHeight="false" outlineLevel="0" collapsed="false">
      <c r="A447" s="5" t="s">
        <v>429</v>
      </c>
      <c r="B447" s="0" t="s">
        <v>30</v>
      </c>
      <c r="C447" s="26" t="n">
        <f aca="false">a25_rev/1000</f>
        <v>1.645</v>
      </c>
      <c r="D447" s="26" t="n">
        <f aca="false">a26_rev/1000</f>
        <v>3.014</v>
      </c>
      <c r="E447" s="26" t="n">
        <f aca="false">E445+E446</f>
        <v>6.39921108885518</v>
      </c>
      <c r="F447" s="26" t="n">
        <f aca="false">F445+F446</f>
        <v>8.40607409867697</v>
      </c>
      <c r="G447" s="26" t="n">
        <f aca="false">G445+G446</f>
        <v>9.4646982709108</v>
      </c>
    </row>
    <row r="448" customFormat="false" ht="15" hidden="false" customHeight="false" outlineLevel="0" collapsed="false">
      <c r="A448" s="5" t="s">
        <v>538</v>
      </c>
      <c r="B448" s="0" t="s">
        <v>163</v>
      </c>
      <c r="D448" s="16" t="n">
        <f aca="false">D447/C447-1</f>
        <v>0.832218844984802</v>
      </c>
      <c r="E448" s="16" t="n">
        <f aca="false">E447/D447-1</f>
        <v>1.12316227234744</v>
      </c>
      <c r="F448" s="16" t="n">
        <f aca="false">F447/E447-1</f>
        <v>0.313611003287097</v>
      </c>
      <c r="G448" s="16" t="n">
        <f aca="false">G447/F447-1</f>
        <v>0.125935622242545</v>
      </c>
    </row>
    <row r="449" customFormat="false" ht="17.15" hidden="false" customHeight="false" outlineLevel="0" collapsed="false">
      <c r="A449" s="0" t="s">
        <v>539</v>
      </c>
      <c r="B449" s="0" t="s">
        <v>163</v>
      </c>
      <c r="E449" s="16" t="n">
        <f aca="false">E445/E447</f>
        <v>0.811058402638286</v>
      </c>
      <c r="F449" s="16" t="n">
        <f aca="false">F445/F447</f>
        <v>0.843333447392847</v>
      </c>
      <c r="G449" s="16" t="n">
        <f aca="false">G445/G447</f>
        <v>0.846634890996867</v>
      </c>
    </row>
    <row r="450" customFormat="false" ht="17.15" hidden="false" customHeight="false" outlineLevel="0" collapsed="false">
      <c r="A450" s="5" t="s">
        <v>432</v>
      </c>
      <c r="B450" s="0" t="s">
        <v>163</v>
      </c>
      <c r="C450" s="16" t="n">
        <f aca="false">a25_gm</f>
        <v>0.347</v>
      </c>
      <c r="D450" s="16" t="n">
        <f aca="false">a26_gm</f>
        <v>0.46</v>
      </c>
      <c r="E450" s="16" t="n">
        <f aca="false">gm_27</f>
        <v>0.52</v>
      </c>
      <c r="F450" s="16" t="n">
        <f aca="false">gm_28</f>
        <v>0.51</v>
      </c>
      <c r="G450" s="16" t="n">
        <f aca="false">gm_29</f>
        <v>0.49</v>
      </c>
    </row>
    <row r="451" customFormat="false" ht="15" hidden="false" customHeight="false" outlineLevel="0" collapsed="false">
      <c r="A451" s="5" t="s">
        <v>433</v>
      </c>
      <c r="B451" s="0" t="s">
        <v>30</v>
      </c>
      <c r="C451" s="26" t="n">
        <f aca="false">C447*C450</f>
        <v>0.570815</v>
      </c>
      <c r="D451" s="26" t="n">
        <f aca="false">D447*D450</f>
        <v>1.38644</v>
      </c>
      <c r="E451" s="26" t="n">
        <f aca="false">E447*E450</f>
        <v>3.3275897662047</v>
      </c>
      <c r="F451" s="26" t="n">
        <f aca="false">F447*F450</f>
        <v>4.28709779032526</v>
      </c>
      <c r="G451" s="26" t="n">
        <f aca="false">G447*G450</f>
        <v>4.63770215274629</v>
      </c>
    </row>
    <row r="452" customFormat="false" ht="15" hidden="false" customHeight="false" outlineLevel="0" collapsed="false">
      <c r="A452" s="5" t="s">
        <v>540</v>
      </c>
      <c r="B452" s="0" t="s">
        <v>30</v>
      </c>
      <c r="C452" s="26" t="n">
        <f aca="false">a25_opx/1000</f>
        <v>0.4114</v>
      </c>
      <c r="D452" s="26" t="n">
        <f aca="false">a26_opx/1000</f>
        <v>0.4897</v>
      </c>
      <c r="E452" s="26" t="n">
        <f aca="false">D452*(1+MAX(0,phi*E448))</f>
        <v>0.615486067468252</v>
      </c>
      <c r="F452" s="26" t="n">
        <f aca="false">E452*(1+MAX(0,phi*F448))</f>
        <v>0.659629840186986</v>
      </c>
      <c r="G452" s="26" t="n">
        <f aca="false">F452*(1+MAX(0,phi*G448))</f>
        <v>0.678627880947628</v>
      </c>
    </row>
    <row r="453" customFormat="false" ht="15" hidden="false" customHeight="false" outlineLevel="0" collapsed="false">
      <c r="A453" s="5" t="s">
        <v>541</v>
      </c>
      <c r="B453" s="0" t="s">
        <v>30</v>
      </c>
      <c r="C453" s="26" t="n">
        <f aca="false">C452</f>
        <v>0.4114</v>
      </c>
      <c r="D453" s="26" t="n">
        <f aca="false">D452</f>
        <v>0.4897</v>
      </c>
      <c r="E453" s="26" t="n">
        <f aca="false">E452+0*E447</f>
        <v>0.615486067468252</v>
      </c>
      <c r="F453" s="26" t="n">
        <f aca="false">F452+0*F447</f>
        <v>0.659629840186986</v>
      </c>
      <c r="G453" s="26" t="n">
        <f aca="false">G452+0*G447</f>
        <v>0.678627880947628</v>
      </c>
    </row>
    <row r="454" customFormat="false" ht="15" hidden="false" customHeight="false" outlineLevel="0" collapsed="false">
      <c r="A454" s="5" t="s">
        <v>542</v>
      </c>
      <c r="B454" s="0" t="s">
        <v>30</v>
      </c>
      <c r="C454" s="26" t="n">
        <f aca="false">C451-C453</f>
        <v>0.159415</v>
      </c>
      <c r="D454" s="26" t="n">
        <f aca="false">D451-D453</f>
        <v>0.89674</v>
      </c>
      <c r="E454" s="26" t="n">
        <f aca="false">E451-E453</f>
        <v>2.71210369873644</v>
      </c>
      <c r="F454" s="26" t="n">
        <f aca="false">F451-F453</f>
        <v>3.62746795013827</v>
      </c>
      <c r="G454" s="26" t="n">
        <f aca="false">G451-G453</f>
        <v>3.95907427179867</v>
      </c>
    </row>
    <row r="455" customFormat="false" ht="15" hidden="false" customHeight="false" outlineLevel="0" collapsed="false">
      <c r="A455" s="5" t="s">
        <v>437</v>
      </c>
      <c r="B455" s="0" t="s">
        <v>163</v>
      </c>
      <c r="C455" s="16" t="n">
        <f aca="false">C454/C447</f>
        <v>0.0969088145896656</v>
      </c>
      <c r="D455" s="16" t="n">
        <f aca="false">D454/D447</f>
        <v>0.297524883875249</v>
      </c>
      <c r="E455" s="16" t="n">
        <f aca="false">E454/E447</f>
        <v>0.423818445911219</v>
      </c>
      <c r="F455" s="16" t="n">
        <f aca="false">F454/F447</f>
        <v>0.43152938072592</v>
      </c>
      <c r="G455" s="16" t="n">
        <f aca="false">G454/G447</f>
        <v>0.418299047521319</v>
      </c>
    </row>
    <row r="456" customFormat="false" ht="17.15" hidden="false" customHeight="false" outlineLevel="0" collapsed="false">
      <c r="A456" s="5" t="s">
        <v>438</v>
      </c>
      <c r="B456" s="0" t="s">
        <v>30</v>
      </c>
      <c r="C456" s="26" t="n">
        <f aca="false">a25_ni/1000</f>
        <v>0.1464</v>
      </c>
      <c r="D456" s="26" t="n">
        <f aca="false">a26_ni/1000</f>
        <v>0.7823</v>
      </c>
      <c r="E456" s="26" t="n">
        <f aca="false">(E454+oi_oth)*(1-tx)</f>
        <v>2.30820658844493</v>
      </c>
      <c r="F456" s="26" t="n">
        <f aca="false">(F454+oi_oth)*(1-tx)</f>
        <v>3.07253573836546</v>
      </c>
      <c r="G456" s="26" t="n">
        <f aca="false">(G454+oi_oth)*(1-tx)</f>
        <v>3.34942701695189</v>
      </c>
    </row>
    <row r="457" customFormat="false" ht="15" hidden="false" customHeight="false" outlineLevel="0" collapsed="false">
      <c r="A457" s="5" t="s">
        <v>500</v>
      </c>
      <c r="B457" s="0" t="s">
        <v>163</v>
      </c>
      <c r="C457" s="16" t="n">
        <f aca="false">C456/C447</f>
        <v>0.0889969604863222</v>
      </c>
      <c r="D457" s="16" t="n">
        <f aca="false">D456/D447</f>
        <v>0.259555408095554</v>
      </c>
      <c r="E457" s="16" t="n">
        <f aca="false">E456/E447</f>
        <v>0.360701742198329</v>
      </c>
      <c r="F457" s="16" t="n">
        <f aca="false">F456/F447</f>
        <v>0.365513758539083</v>
      </c>
      <c r="G457" s="16" t="n">
        <f aca="false">G456/G447</f>
        <v>0.353886296327708</v>
      </c>
    </row>
    <row r="458" customFormat="false" ht="17.15" hidden="false" customHeight="false" outlineLevel="0" collapsed="false">
      <c r="A458" s="5" t="s">
        <v>442</v>
      </c>
      <c r="B458" s="5" t="s">
        <v>237</v>
      </c>
      <c r="C458" s="15" t="n">
        <f aca="false">a25_sh</f>
        <v>71.0679611650485</v>
      </c>
      <c r="D458" s="15" t="n">
        <f aca="false">a26_sh</f>
        <v>90.2306805074971</v>
      </c>
      <c r="E458" s="15" t="n">
        <f aca="false">sh_q1</f>
        <v>102</v>
      </c>
      <c r="F458" s="15" t="n">
        <f aca="false">E458*(1+sh_g)</f>
        <v>103.02</v>
      </c>
      <c r="G458" s="15" t="n">
        <f aca="false">F458*(1+sh_g)</f>
        <v>104.0502</v>
      </c>
    </row>
    <row r="459" customFormat="false" ht="17.15" hidden="false" customHeight="false" outlineLevel="0" collapsed="false">
      <c r="A459" s="0" t="s">
        <v>444</v>
      </c>
      <c r="B459" s="0" t="s">
        <v>232</v>
      </c>
      <c r="C459" s="9" t="n">
        <f aca="false">C456*1000/C458</f>
        <v>2.06</v>
      </c>
      <c r="D459" s="9" t="n">
        <f aca="false">D456*1000/D458</f>
        <v>8.67</v>
      </c>
      <c r="E459" s="9" t="n">
        <f aca="false">E456*1000/E458</f>
        <v>22.6294763573032</v>
      </c>
      <c r="F459" s="9" t="n">
        <f aca="false">F456*1000/F458</f>
        <v>29.8246528670691</v>
      </c>
      <c r="G459" s="9" t="n">
        <f aca="false">G456*1000/G458</f>
        <v>32.1904909068112</v>
      </c>
    </row>
    <row r="460" customFormat="false" ht="17.15" hidden="false" customHeight="false" outlineLevel="0" collapsed="false">
      <c r="A460" s="0" t="s">
        <v>543</v>
      </c>
      <c r="B460" s="0" t="s">
        <v>163</v>
      </c>
      <c r="D460" s="16" t="n">
        <f aca="false">D459/C459-1</f>
        <v>3.20873786407767</v>
      </c>
      <c r="E460" s="16" t="n">
        <f aca="false">E459/D459-1</f>
        <v>1.61008954524835</v>
      </c>
      <c r="F460" s="16" t="n">
        <f aca="false">F459/E459-1</f>
        <v>0.317955943662114</v>
      </c>
      <c r="G460" s="16" t="n">
        <f aca="false">G459/F459-1</f>
        <v>0.0793249145358654</v>
      </c>
    </row>
    <row r="463" customFormat="false" ht="17.15" hidden="false" customHeight="false" outlineLevel="0" collapsed="false">
      <c r="A463" s="3" t="s">
        <v>843</v>
      </c>
    </row>
    <row r="464" customFormat="false" ht="17.15" hidden="false" customHeight="false" outlineLevel="0" collapsed="false">
      <c r="A464" s="1" t="s">
        <v>509</v>
      </c>
    </row>
    <row r="465" customFormat="false" ht="17.15" hidden="false" customHeight="false" outlineLevel="0" collapsed="false">
      <c r="A465" s="6" t="s">
        <v>19</v>
      </c>
      <c r="B465" s="6" t="s">
        <v>20</v>
      </c>
      <c r="C465" s="14" t="s">
        <v>510</v>
      </c>
      <c r="D465" s="14" t="s">
        <v>465</v>
      </c>
      <c r="E465" s="14" t="s">
        <v>466</v>
      </c>
      <c r="F465" s="14" t="s">
        <v>467</v>
      </c>
      <c r="G465" s="14"/>
      <c r="H465" s="6" t="s">
        <v>428</v>
      </c>
    </row>
    <row r="466" customFormat="false" ht="17.15" hidden="false" customHeight="false" outlineLevel="0" collapsed="false">
      <c r="A466" s="0" t="s">
        <v>511</v>
      </c>
      <c r="B466" s="0" t="s">
        <v>30</v>
      </c>
      <c r="C466" s="26" t="n">
        <f aca="false">mpl_26*1</f>
        <v>29.753262</v>
      </c>
      <c r="D466" s="26" t="n">
        <f aca="false">mpl_27*1*1</f>
        <v>54.688309</v>
      </c>
      <c r="E466" s="26" t="n">
        <f aca="false">mpl_28*um28_A*1</f>
        <v>61.21325</v>
      </c>
      <c r="F466" s="26" t="n">
        <f aca="false">mpl_29*um29_A*1</f>
        <v>78.80848</v>
      </c>
    </row>
    <row r="467" customFormat="false" ht="17.15" hidden="false" customHeight="false" outlineLevel="0" collapsed="false">
      <c r="A467" s="5" t="s">
        <v>512</v>
      </c>
      <c r="B467" s="0" t="s">
        <v>96</v>
      </c>
      <c r="C467" s="20" t="n">
        <f aca="false">asp_26</f>
        <v>500</v>
      </c>
      <c r="D467" s="20" t="n">
        <f aca="false">asp_27</f>
        <v>520</v>
      </c>
      <c r="E467" s="20" t="n">
        <f aca="false">asp_28</f>
        <v>540</v>
      </c>
      <c r="F467" s="20" t="n">
        <f aca="false">asp_29</f>
        <v>560</v>
      </c>
    </row>
    <row r="468" customFormat="false" ht="17.15" hidden="false" customHeight="false" outlineLevel="0" collapsed="false">
      <c r="A468" s="5" t="s">
        <v>513</v>
      </c>
      <c r="B468" s="5" t="s">
        <v>336</v>
      </c>
      <c r="C468" s="15" t="n">
        <f aca="false">C466*1000/C467</f>
        <v>59.506524</v>
      </c>
      <c r="D468" s="15" t="n">
        <f aca="false">D466*1000/D467</f>
        <v>105.169825</v>
      </c>
      <c r="E468" s="15" t="n">
        <f aca="false">E466*1000/E467</f>
        <v>113.35787037037</v>
      </c>
      <c r="F468" s="15" t="n">
        <f aca="false">F466*1000/F467</f>
        <v>140.729428571429</v>
      </c>
    </row>
    <row r="469" customFormat="false" ht="17.15" hidden="false" customHeight="false" outlineLevel="0" collapsed="false">
      <c r="A469" s="5" t="s">
        <v>514</v>
      </c>
      <c r="B469" s="5" t="s">
        <v>108</v>
      </c>
      <c r="C469" s="18" t="n">
        <f aca="false">lpm_26</f>
        <v>5.5</v>
      </c>
      <c r="D469" s="18" t="n">
        <f aca="false">lpm_27</f>
        <v>5.5</v>
      </c>
      <c r="E469" s="18" t="n">
        <f aca="false">lpm_28</f>
        <v>5</v>
      </c>
      <c r="F469" s="18" t="n">
        <f aca="false">lpm_29</f>
        <v>4.8</v>
      </c>
    </row>
    <row r="470" customFormat="false" ht="17.15" hidden="false" customHeight="false" outlineLevel="0" collapsed="false">
      <c r="A470" s="5" t="s">
        <v>515</v>
      </c>
      <c r="B470" s="0" t="s">
        <v>120</v>
      </c>
      <c r="C470" s="18" t="n">
        <f aca="false">lasp_26</f>
        <v>13</v>
      </c>
      <c r="D470" s="18" t="n">
        <f aca="false">lasp_27</f>
        <v>15</v>
      </c>
      <c r="E470" s="18" t="n">
        <f aca="false">lasp_28</f>
        <v>15</v>
      </c>
      <c r="F470" s="18" t="n">
        <f aca="false">lasp_29</f>
        <v>14</v>
      </c>
    </row>
    <row r="471" customFormat="false" ht="17.15" hidden="false" customHeight="false" outlineLevel="0" collapsed="false">
      <c r="A471" s="5" t="s">
        <v>516</v>
      </c>
      <c r="B471" s="0" t="s">
        <v>30</v>
      </c>
      <c r="C471" s="26" t="n">
        <f aca="false">C468*C469*C470/1000</f>
        <v>4.254716466</v>
      </c>
      <c r="D471" s="26" t="n">
        <f aca="false">D468*D469*D470/1000</f>
        <v>8.6765105625</v>
      </c>
      <c r="E471" s="26" t="n">
        <f aca="false">E468*E469*E470/1000</f>
        <v>8.50184027777778</v>
      </c>
      <c r="F471" s="26" t="n">
        <f aca="false">F468*F469*F470/1000</f>
        <v>9.4570176</v>
      </c>
    </row>
    <row r="472" customFormat="false" ht="17.15" hidden="false" customHeight="false" outlineLevel="0" collapsed="false">
      <c r="A472" s="0" t="s">
        <v>517</v>
      </c>
      <c r="B472" s="0" t="s">
        <v>163</v>
      </c>
      <c r="C472" s="16" t="n">
        <f aca="false">c26_las/1000/C471</f>
        <v>0.43826657190933</v>
      </c>
      <c r="H472" s="8" t="s">
        <v>518</v>
      </c>
    </row>
    <row r="473" customFormat="false" ht="17.15" hidden="false" customHeight="false" outlineLevel="0" collapsed="false">
      <c r="A473" s="5" t="s">
        <v>519</v>
      </c>
      <c r="B473" s="0" t="s">
        <v>74</v>
      </c>
      <c r="C473" s="9" t="n">
        <f aca="false">1</f>
        <v>1</v>
      </c>
      <c r="D473" s="9" t="n">
        <f aca="false">lrel_27</f>
        <v>0.95</v>
      </c>
      <c r="E473" s="9" t="n">
        <f aca="false">lrel_28</f>
        <v>0.95</v>
      </c>
      <c r="F473" s="9" t="n">
        <f aca="false">lrel_29</f>
        <v>0.9</v>
      </c>
    </row>
    <row r="474" customFormat="false" ht="15" hidden="false" customHeight="false" outlineLevel="0" collapsed="false">
      <c r="A474" s="5" t="s">
        <v>520</v>
      </c>
      <c r="B474" s="0" t="s">
        <v>163</v>
      </c>
      <c r="C474" s="16" t="n">
        <f aca="false">$C$472*C473</f>
        <v>0.43826657190933</v>
      </c>
      <c r="D474" s="16" t="n">
        <f aca="false">$C$472*D473</f>
        <v>0.416353243313864</v>
      </c>
      <c r="E474" s="16" t="n">
        <f aca="false">$C$472*E473</f>
        <v>0.416353243313864</v>
      </c>
      <c r="F474" s="16" t="n">
        <f aca="false">$C$472*F473</f>
        <v>0.394439914718397</v>
      </c>
    </row>
    <row r="475" customFormat="false" ht="17.15" hidden="false" customHeight="false" outlineLevel="0" collapsed="false">
      <c r="A475" s="5" t="s">
        <v>521</v>
      </c>
      <c r="B475" s="0" t="s">
        <v>30</v>
      </c>
      <c r="C475" s="26" t="n">
        <f aca="false">C471*C474</f>
        <v>1.8647</v>
      </c>
      <c r="D475" s="26" t="n">
        <f aca="false">D471*D474</f>
        <v>3.61249331334387</v>
      </c>
      <c r="E475" s="26" t="n">
        <f aca="false">E471*E474</f>
        <v>3.53976877378922</v>
      </c>
      <c r="F475" s="26" t="n">
        <f aca="false">F471*F474</f>
        <v>3.73022521563438</v>
      </c>
    </row>
    <row r="476" customFormat="false" ht="17.15" hidden="false" customHeight="false" outlineLevel="0" collapsed="false">
      <c r="A476" s="5" t="s">
        <v>522</v>
      </c>
      <c r="B476" s="0" t="s">
        <v>163</v>
      </c>
      <c r="C476" s="16" t="n">
        <f aca="false">c26_xcvr/1000/C466</f>
        <v>0.0336097601668012</v>
      </c>
    </row>
    <row r="477" customFormat="false" ht="15" hidden="false" customHeight="false" outlineLevel="0" collapsed="false">
      <c r="A477" s="5" t="s">
        <v>523</v>
      </c>
      <c r="B477" s="0" t="s">
        <v>163</v>
      </c>
      <c r="C477" s="16" t="n">
        <f aca="false">C476</f>
        <v>0.0336097601668012</v>
      </c>
      <c r="D477" s="16" t="n">
        <f aca="false">$C$476*mrel_27</f>
        <v>0.0336097601668012</v>
      </c>
      <c r="E477" s="16" t="n">
        <f aca="false">$C$476*mrel_28</f>
        <v>0.0336097601668012</v>
      </c>
      <c r="F477" s="16" t="n">
        <f aca="false">$C$476*mrel_29</f>
        <v>0.0336097601668012</v>
      </c>
    </row>
    <row r="478" customFormat="false" ht="15" hidden="false" customHeight="false" outlineLevel="0" collapsed="false">
      <c r="A478" s="5" t="s">
        <v>524</v>
      </c>
      <c r="B478" s="0" t="s">
        <v>30</v>
      </c>
      <c r="C478" s="26" t="n">
        <f aca="false">C466*C477</f>
        <v>1</v>
      </c>
      <c r="D478" s="26" t="n">
        <f aca="false">D466*D477</f>
        <v>1.83806094941792</v>
      </c>
      <c r="E478" s="26" t="n">
        <f aca="false">E466*E477</f>
        <v>2.05736265153044</v>
      </c>
      <c r="F478" s="26" t="n">
        <f aca="false">F466*F477</f>
        <v>2.64873411191015</v>
      </c>
    </row>
    <row r="479" customFormat="false" ht="17.15" hidden="false" customHeight="false" outlineLevel="0" collapsed="false">
      <c r="A479" s="0" t="s">
        <v>525</v>
      </c>
      <c r="B479" s="5" t="s">
        <v>53</v>
      </c>
      <c r="C479" s="19" t="n">
        <f aca="false">tpu_26*1</f>
        <v>3.85</v>
      </c>
      <c r="D479" s="19" t="n">
        <f aca="false">tpu_27*1</f>
        <v>5.5</v>
      </c>
      <c r="E479" s="19" t="n">
        <f aca="false">tpu_28*um28_A</f>
        <v>7</v>
      </c>
      <c r="F479" s="19" t="n">
        <f aca="false">tpu_29*um29_A</f>
        <v>8.05</v>
      </c>
    </row>
    <row r="480" customFormat="false" ht="17.15" hidden="false" customHeight="false" outlineLevel="0" collapsed="false">
      <c r="A480" s="0" t="s">
        <v>526</v>
      </c>
      <c r="B480" s="0" t="s">
        <v>120</v>
      </c>
      <c r="C480" s="20" t="n">
        <f aca="false">c26_ocs/C479</f>
        <v>129.87012987013</v>
      </c>
      <c r="D480" s="20" t="n">
        <f aca="false">$C480*OKHI_27</f>
        <v>259.74025974026</v>
      </c>
      <c r="E480" s="20" t="n">
        <f aca="false">$C480*OKHI_28</f>
        <v>311.688311688312</v>
      </c>
      <c r="F480" s="20" t="n">
        <f aca="false">$C480*OKHI_29</f>
        <v>311.688311688312</v>
      </c>
    </row>
    <row r="481" customFormat="false" ht="17.15" hidden="false" customHeight="false" outlineLevel="0" collapsed="false">
      <c r="A481" s="0" t="s">
        <v>479</v>
      </c>
      <c r="B481" s="0" t="s">
        <v>30</v>
      </c>
      <c r="C481" s="26" t="n">
        <f aca="false">C479*C480/1000</f>
        <v>0.5</v>
      </c>
      <c r="D481" s="26" t="n">
        <f aca="false">D479*D480/1000</f>
        <v>1.42857142857143</v>
      </c>
      <c r="E481" s="26" t="n">
        <f aca="false">E479*E480/1000</f>
        <v>2.18181818181818</v>
      </c>
      <c r="F481" s="26" t="n">
        <f aca="false">F479*F480/1000</f>
        <v>2.50909090909091</v>
      </c>
    </row>
    <row r="482" customFormat="false" ht="17.15" hidden="false" customHeight="false" outlineLevel="0" collapsed="false">
      <c r="A482" s="0" t="s">
        <v>527</v>
      </c>
      <c r="B482" s="0" t="s">
        <v>30</v>
      </c>
      <c r="C482" s="26" t="n">
        <f aca="false">mcp_26*1</f>
        <v>0.300538</v>
      </c>
      <c r="D482" s="26" t="n">
        <f aca="false">mcp_27*1</f>
        <v>1.691391</v>
      </c>
      <c r="E482" s="26" t="n">
        <f aca="false">mcp_28*um28_A</f>
        <v>3.22175</v>
      </c>
      <c r="F482" s="26" t="n">
        <f aca="false">mcp_29*um29_A</f>
        <v>5.87368</v>
      </c>
    </row>
    <row r="483" customFormat="false" ht="17.15" hidden="false" customHeight="false" outlineLevel="0" collapsed="false">
      <c r="A483" s="0" t="s">
        <v>480</v>
      </c>
      <c r="B483" s="0" t="s">
        <v>163</v>
      </c>
      <c r="C483" s="16" t="n">
        <f aca="false">c26_cpo/1000/C482</f>
        <v>0.166368312825666</v>
      </c>
      <c r="D483" s="16" t="n">
        <f aca="false">cpo_27</f>
        <v>0.25</v>
      </c>
      <c r="E483" s="16" t="n">
        <f aca="false">cpo_28</f>
        <v>0.25</v>
      </c>
      <c r="F483" s="16" t="n">
        <f aca="false">cpo_29</f>
        <v>0.2</v>
      </c>
    </row>
    <row r="484" customFormat="false" ht="17.15" hidden="false" customHeight="false" outlineLevel="0" collapsed="false">
      <c r="A484" s="0" t="s">
        <v>528</v>
      </c>
      <c r="B484" s="0" t="s">
        <v>30</v>
      </c>
      <c r="C484" s="26" t="n">
        <f aca="false">C482*C483</f>
        <v>0.05</v>
      </c>
      <c r="D484" s="26" t="n">
        <f aca="false">D482*D483</f>
        <v>0.42284775</v>
      </c>
      <c r="E484" s="26" t="n">
        <f aca="false">E482*E483</f>
        <v>0.8054375</v>
      </c>
      <c r="F484" s="26" t="n">
        <f aca="false">F482*F483</f>
        <v>1.174736</v>
      </c>
    </row>
    <row r="485" customFormat="false" ht="17.15" hidden="false" customHeight="false" outlineLevel="0" collapsed="false">
      <c r="A485" s="0" t="s">
        <v>529</v>
      </c>
      <c r="B485" s="0" t="s">
        <v>30</v>
      </c>
      <c r="C485" s="26" t="n">
        <f aca="false">C475+C478+C481+C484</f>
        <v>3.4147</v>
      </c>
      <c r="D485" s="26" t="n">
        <f aca="false">D475+D478+D481+D484</f>
        <v>7.30197344133322</v>
      </c>
      <c r="E485" s="26" t="n">
        <f aca="false">E475+E478+E481+E484</f>
        <v>8.58438710713784</v>
      </c>
      <c r="F485" s="26" t="n">
        <f aca="false">F475+F478+F481+F484</f>
        <v>10.0627862366354</v>
      </c>
    </row>
    <row r="486" customFormat="false" ht="17.15" hidden="false" customHeight="false" outlineLevel="0" collapsed="false">
      <c r="A486" s="5" t="s">
        <v>530</v>
      </c>
      <c r="B486" s="0" t="s">
        <v>30</v>
      </c>
      <c r="C486" s="26" t="n">
        <f aca="false">c26_tel/1000</f>
        <v>0.75</v>
      </c>
      <c r="D486" s="26" t="n">
        <f aca="false">C486*(1+g_tel_27)</f>
        <v>0.9375</v>
      </c>
      <c r="E486" s="26" t="n">
        <f aca="false">D486*(1+g_tel_28)</f>
        <v>1.078125</v>
      </c>
      <c r="F486" s="26" t="n">
        <f aca="false">E486*(1+g_tel_29)</f>
        <v>1.1859375</v>
      </c>
    </row>
    <row r="487" customFormat="false" ht="17.15" hidden="false" customHeight="false" outlineLevel="0" collapsed="false">
      <c r="A487" s="5" t="s">
        <v>531</v>
      </c>
      <c r="B487" s="0" t="s">
        <v>30</v>
      </c>
      <c r="C487" s="26" t="n">
        <f aca="false">c26_ind/1000</f>
        <v>0.3</v>
      </c>
      <c r="D487" s="26" t="n">
        <f aca="false">C487*(1+g_ind)</f>
        <v>0.309</v>
      </c>
      <c r="E487" s="26" t="n">
        <f aca="false">D487*(1+g_ind)</f>
        <v>0.31827</v>
      </c>
      <c r="F487" s="26" t="n">
        <f aca="false">E487*(1+g_ind)</f>
        <v>0.3278181</v>
      </c>
    </row>
    <row r="488" customFormat="false" ht="15" hidden="false" customHeight="false" outlineLevel="0" collapsed="false">
      <c r="A488" s="5" t="s">
        <v>532</v>
      </c>
      <c r="B488" s="0" t="s">
        <v>30</v>
      </c>
      <c r="C488" s="26" t="n">
        <f aca="false">C485+C486+C487</f>
        <v>4.4647</v>
      </c>
      <c r="D488" s="26" t="n">
        <f aca="false">D485+D486+D487</f>
        <v>8.54847344133321</v>
      </c>
      <c r="E488" s="26" t="n">
        <f aca="false">E485+E486+E487</f>
        <v>9.98078210713784</v>
      </c>
      <c r="F488" s="26" t="n">
        <f aca="false">F485+F486+F487</f>
        <v>11.5765418366354</v>
      </c>
    </row>
    <row r="489" customFormat="false" ht="15" hidden="false" customHeight="false" outlineLevel="0" collapsed="false">
      <c r="A489" s="5" t="s">
        <v>533</v>
      </c>
      <c r="B489" s="0" t="s">
        <v>163</v>
      </c>
      <c r="D489" s="16" t="n">
        <f aca="false">D488/C488-1</f>
        <v>0.914680368520441</v>
      </c>
      <c r="E489" s="16" t="n">
        <f aca="false">E488/D488-1</f>
        <v>0.167551396823577</v>
      </c>
      <c r="F489" s="16" t="n">
        <f aca="false">F488/E488-1</f>
        <v>0.159883234837516</v>
      </c>
    </row>
    <row r="490" customFormat="false" ht="17.15" hidden="false" customHeight="false" outlineLevel="0" collapsed="false">
      <c r="A490" s="1" t="s">
        <v>534</v>
      </c>
    </row>
    <row r="491" customFormat="false" ht="17.15" hidden="false" customHeight="false" outlineLevel="0" collapsed="false">
      <c r="A491" s="6" t="s">
        <v>19</v>
      </c>
      <c r="B491" s="6" t="s">
        <v>20</v>
      </c>
      <c r="C491" s="14" t="s">
        <v>420</v>
      </c>
      <c r="D491" s="14" t="s">
        <v>487</v>
      </c>
      <c r="E491" s="14" t="s">
        <v>488</v>
      </c>
      <c r="F491" s="14" t="s">
        <v>489</v>
      </c>
      <c r="G491" s="14" t="s">
        <v>490</v>
      </c>
      <c r="H491" s="6" t="s">
        <v>428</v>
      </c>
    </row>
    <row r="492" customFormat="false" ht="17.15" hidden="false" customHeight="false" outlineLevel="0" collapsed="false">
      <c r="A492" s="0" t="s">
        <v>535</v>
      </c>
      <c r="B492" s="0" t="s">
        <v>30</v>
      </c>
      <c r="E492" s="26" t="n">
        <f aca="false">w2h_26*C485+h_1h*D485</f>
        <v>5.45870535244352</v>
      </c>
      <c r="F492" s="26" t="n">
        <f aca="false">(1-h_1h)*D485+h_1h*E485</f>
        <v>7.90470786426139</v>
      </c>
      <c r="G492" s="26" t="n">
        <f aca="false">(1-h_1h)*E485+h_1h*F485</f>
        <v>9.27923469800171</v>
      </c>
      <c r="H492" s="8" t="s">
        <v>536</v>
      </c>
    </row>
    <row r="493" customFormat="false" ht="17.15" hidden="false" customHeight="false" outlineLevel="0" collapsed="false">
      <c r="A493" s="5" t="s">
        <v>537</v>
      </c>
      <c r="B493" s="0" t="s">
        <v>30</v>
      </c>
      <c r="E493" s="26" t="n">
        <f aca="false">w2h_26*C486+h_1h*D486+w2h_26*C487+h_1h*D487</f>
        <v>1.20907716498309</v>
      </c>
      <c r="F493" s="26" t="n">
        <f aca="false">(1-h_1h)*D486+h_1h*E486+(1-h_1h)*D487+h_1h*E487</f>
        <v>1.31695065</v>
      </c>
      <c r="G493" s="26" t="n">
        <f aca="false">(1-h_1h)*E486+h_1h*F486+(1-h_1h)*E487+h_1h*F487</f>
        <v>1.451554482</v>
      </c>
    </row>
    <row r="494" customFormat="false" ht="15" hidden="false" customHeight="false" outlineLevel="0" collapsed="false">
      <c r="A494" s="5" t="s">
        <v>429</v>
      </c>
      <c r="B494" s="0" t="s">
        <v>30</v>
      </c>
      <c r="C494" s="26" t="n">
        <f aca="false">a25_rev/1000</f>
        <v>1.645</v>
      </c>
      <c r="D494" s="26" t="n">
        <f aca="false">a26_rev/1000</f>
        <v>3.014</v>
      </c>
      <c r="E494" s="26" t="n">
        <f aca="false">E492+E493</f>
        <v>6.66778251742661</v>
      </c>
      <c r="F494" s="26" t="n">
        <f aca="false">F492+F493</f>
        <v>9.22165851426139</v>
      </c>
      <c r="G494" s="26" t="n">
        <f aca="false">G492+G493</f>
        <v>10.7307891800017</v>
      </c>
    </row>
    <row r="495" customFormat="false" ht="15" hidden="false" customHeight="false" outlineLevel="0" collapsed="false">
      <c r="A495" s="5" t="s">
        <v>538</v>
      </c>
      <c r="B495" s="0" t="s">
        <v>163</v>
      </c>
      <c r="D495" s="16" t="n">
        <f aca="false">D494/C494-1</f>
        <v>0.832218844984802</v>
      </c>
      <c r="E495" s="16" t="n">
        <f aca="false">E494/D494-1</f>
        <v>1.21227024466709</v>
      </c>
      <c r="F495" s="16" t="n">
        <f aca="false">F494/E494-1</f>
        <v>0.383017291004931</v>
      </c>
      <c r="G495" s="16" t="n">
        <f aca="false">G494/F494-1</f>
        <v>0.163650677739415</v>
      </c>
    </row>
    <row r="496" customFormat="false" ht="17.15" hidden="false" customHeight="false" outlineLevel="0" collapsed="false">
      <c r="A496" s="0" t="s">
        <v>539</v>
      </c>
      <c r="B496" s="0" t="s">
        <v>163</v>
      </c>
      <c r="E496" s="16" t="n">
        <f aca="false">E492/E494</f>
        <v>0.818668776040145</v>
      </c>
      <c r="F496" s="16" t="n">
        <f aca="false">F492/F494</f>
        <v>0.857189392996572</v>
      </c>
      <c r="G496" s="16" t="n">
        <f aca="false">G492/G494</f>
        <v>0.864729941325735</v>
      </c>
    </row>
    <row r="497" customFormat="false" ht="17.15" hidden="false" customHeight="false" outlineLevel="0" collapsed="false">
      <c r="A497" s="5" t="s">
        <v>432</v>
      </c>
      <c r="B497" s="0" t="s">
        <v>163</v>
      </c>
      <c r="C497" s="16" t="n">
        <f aca="false">a25_gm</f>
        <v>0.347</v>
      </c>
      <c r="D497" s="16" t="n">
        <f aca="false">a26_gm</f>
        <v>0.46</v>
      </c>
      <c r="E497" s="16" t="n">
        <f aca="false">gm_27</f>
        <v>0.52</v>
      </c>
      <c r="F497" s="16" t="n">
        <f aca="false">gm_28</f>
        <v>0.51</v>
      </c>
      <c r="G497" s="16" t="n">
        <f aca="false">gm_29</f>
        <v>0.49</v>
      </c>
    </row>
    <row r="498" customFormat="false" ht="15" hidden="false" customHeight="false" outlineLevel="0" collapsed="false">
      <c r="A498" s="5" t="s">
        <v>433</v>
      </c>
      <c r="B498" s="0" t="s">
        <v>30</v>
      </c>
      <c r="C498" s="26" t="n">
        <f aca="false">C494*C497</f>
        <v>0.570815</v>
      </c>
      <c r="D498" s="26" t="n">
        <f aca="false">D494*D497</f>
        <v>1.38644</v>
      </c>
      <c r="E498" s="26" t="n">
        <f aca="false">E494*E497</f>
        <v>3.46724690906184</v>
      </c>
      <c r="F498" s="26" t="n">
        <f aca="false">F494*F497</f>
        <v>4.70304584227331</v>
      </c>
      <c r="G498" s="26" t="n">
        <f aca="false">G494*G497</f>
        <v>5.25808669820084</v>
      </c>
    </row>
    <row r="499" customFormat="false" ht="15" hidden="false" customHeight="false" outlineLevel="0" collapsed="false">
      <c r="A499" s="5" t="s">
        <v>540</v>
      </c>
      <c r="B499" s="0" t="s">
        <v>30</v>
      </c>
      <c r="C499" s="26" t="n">
        <f aca="false">a25_opx/1000</f>
        <v>0.4114</v>
      </c>
      <c r="D499" s="26" t="n">
        <f aca="false">a26_opx/1000</f>
        <v>0.4897</v>
      </c>
      <c r="E499" s="26" t="n">
        <f aca="false">D499*(1+MAX(0,phi*E495))</f>
        <v>0.625465517182791</v>
      </c>
      <c r="F499" s="26" t="n">
        <f aca="false">E499*(1+MAX(0,phi*F495))</f>
        <v>0.680253042019776</v>
      </c>
      <c r="G499" s="26" t="n">
        <f aca="false">F499*(1+MAX(0,phi*G495))</f>
        <v>0.705712445842148</v>
      </c>
    </row>
    <row r="500" customFormat="false" ht="15" hidden="false" customHeight="false" outlineLevel="0" collapsed="false">
      <c r="A500" s="5" t="s">
        <v>541</v>
      </c>
      <c r="B500" s="0" t="s">
        <v>30</v>
      </c>
      <c r="C500" s="26" t="n">
        <f aca="false">C499</f>
        <v>0.4114</v>
      </c>
      <c r="D500" s="26" t="n">
        <f aca="false">D499</f>
        <v>0.4897</v>
      </c>
      <c r="E500" s="26" t="n">
        <f aca="false">E499+0*E494</f>
        <v>0.625465517182791</v>
      </c>
      <c r="F500" s="26" t="n">
        <f aca="false">F499+0*F494</f>
        <v>0.680253042019776</v>
      </c>
      <c r="G500" s="26" t="n">
        <f aca="false">G499+0*G494</f>
        <v>0.705712445842148</v>
      </c>
    </row>
    <row r="501" customFormat="false" ht="15" hidden="false" customHeight="false" outlineLevel="0" collapsed="false">
      <c r="A501" s="5" t="s">
        <v>542</v>
      </c>
      <c r="B501" s="0" t="s">
        <v>30</v>
      </c>
      <c r="C501" s="26" t="n">
        <f aca="false">C498-C500</f>
        <v>0.159415</v>
      </c>
      <c r="D501" s="26" t="n">
        <f aca="false">D498-D500</f>
        <v>0.89674</v>
      </c>
      <c r="E501" s="26" t="n">
        <f aca="false">E498-E500</f>
        <v>2.84178139187905</v>
      </c>
      <c r="F501" s="26" t="n">
        <f aca="false">F498-F500</f>
        <v>4.02279280025353</v>
      </c>
      <c r="G501" s="26" t="n">
        <f aca="false">G498-G500</f>
        <v>4.55237425235869</v>
      </c>
    </row>
    <row r="502" customFormat="false" ht="15" hidden="false" customHeight="false" outlineLevel="0" collapsed="false">
      <c r="A502" s="5" t="s">
        <v>437</v>
      </c>
      <c r="B502" s="0" t="s">
        <v>163</v>
      </c>
      <c r="C502" s="16" t="n">
        <f aca="false">C501/C494</f>
        <v>0.0969088145896656</v>
      </c>
      <c r="D502" s="16" t="n">
        <f aca="false">D501/D494</f>
        <v>0.297524883875249</v>
      </c>
      <c r="E502" s="16" t="n">
        <f aca="false">E501/E494</f>
        <v>0.426195873133519</v>
      </c>
      <c r="F502" s="16" t="n">
        <f aca="false">F501/F494</f>
        <v>0.436233112951672</v>
      </c>
      <c r="G502" s="16" t="n">
        <f aca="false">G501/G494</f>
        <v>0.42423480472831</v>
      </c>
    </row>
    <row r="503" customFormat="false" ht="17.15" hidden="false" customHeight="false" outlineLevel="0" collapsed="false">
      <c r="A503" s="5" t="s">
        <v>438</v>
      </c>
      <c r="B503" s="0" t="s">
        <v>30</v>
      </c>
      <c r="C503" s="26" t="n">
        <f aca="false">a25_ni/1000</f>
        <v>0.1464</v>
      </c>
      <c r="D503" s="26" t="n">
        <f aca="false">a26_ni/1000</f>
        <v>0.7823</v>
      </c>
      <c r="E503" s="26" t="n">
        <f aca="false">(E501+oi_oth)*(1-tx)</f>
        <v>2.416487462219</v>
      </c>
      <c r="F503" s="26" t="n">
        <f aca="false">(F501+oi_oth)*(1-tx)</f>
        <v>3.4026319882117</v>
      </c>
      <c r="G503" s="26" t="n">
        <f aca="false">(G501+oi_oth)*(1-tx)</f>
        <v>3.84483250071951</v>
      </c>
    </row>
    <row r="504" customFormat="false" ht="15" hidden="false" customHeight="false" outlineLevel="0" collapsed="false">
      <c r="A504" s="5" t="s">
        <v>500</v>
      </c>
      <c r="B504" s="0" t="s">
        <v>163</v>
      </c>
      <c r="C504" s="16" t="n">
        <f aca="false">C503/C494</f>
        <v>0.0889969604863222</v>
      </c>
      <c r="D504" s="16" t="n">
        <f aca="false">D503/D494</f>
        <v>0.259555408095554</v>
      </c>
      <c r="E504" s="16" t="n">
        <f aca="false">E503/E494</f>
        <v>0.362412459600082</v>
      </c>
      <c r="F504" s="16" t="n">
        <f aca="false">F503/F494</f>
        <v>0.368982649156819</v>
      </c>
      <c r="G504" s="16" t="n">
        <f aca="false">G503/G494</f>
        <v>0.358299136831881</v>
      </c>
    </row>
    <row r="505" customFormat="false" ht="17.15" hidden="false" customHeight="false" outlineLevel="0" collapsed="false">
      <c r="A505" s="5" t="s">
        <v>442</v>
      </c>
      <c r="B505" s="5" t="s">
        <v>237</v>
      </c>
      <c r="C505" s="15" t="n">
        <f aca="false">a25_sh</f>
        <v>71.0679611650485</v>
      </c>
      <c r="D505" s="15" t="n">
        <f aca="false">a26_sh</f>
        <v>90.2306805074971</v>
      </c>
      <c r="E505" s="15" t="n">
        <f aca="false">sh_q1</f>
        <v>102</v>
      </c>
      <c r="F505" s="15" t="n">
        <f aca="false">E505*(1+sh_g)</f>
        <v>103.02</v>
      </c>
      <c r="G505" s="15" t="n">
        <f aca="false">F505*(1+sh_g)</f>
        <v>104.0502</v>
      </c>
    </row>
    <row r="506" customFormat="false" ht="17.15" hidden="false" customHeight="false" outlineLevel="0" collapsed="false">
      <c r="A506" s="0" t="s">
        <v>444</v>
      </c>
      <c r="B506" s="0" t="s">
        <v>232</v>
      </c>
      <c r="C506" s="9" t="n">
        <f aca="false">C503*1000/C505</f>
        <v>2.06</v>
      </c>
      <c r="D506" s="9" t="n">
        <f aca="false">D503*1000/D505</f>
        <v>8.67</v>
      </c>
      <c r="E506" s="9" t="n">
        <f aca="false">E503*1000/E505</f>
        <v>23.6910535511667</v>
      </c>
      <c r="F506" s="9" t="n">
        <f aca="false">F503*1000/F505</f>
        <v>33.0288486528024</v>
      </c>
      <c r="G506" s="9" t="n">
        <f aca="false">G503*1000/G505</f>
        <v>36.9517069714379</v>
      </c>
    </row>
    <row r="507" customFormat="false" ht="17.15" hidden="false" customHeight="false" outlineLevel="0" collapsed="false">
      <c r="A507" s="0" t="s">
        <v>543</v>
      </c>
      <c r="B507" s="0" t="s">
        <v>163</v>
      </c>
      <c r="D507" s="16" t="n">
        <f aca="false">D506/C506-1</f>
        <v>3.20873786407767</v>
      </c>
      <c r="E507" s="16" t="n">
        <f aca="false">E506/D506-1</f>
        <v>1.73253212816225</v>
      </c>
      <c r="F507" s="16" t="n">
        <f aca="false">F506/E506-1</f>
        <v>0.394148579398058</v>
      </c>
      <c r="G507" s="16" t="n">
        <f aca="false">G506/F506-1</f>
        <v>0.118770664998723</v>
      </c>
    </row>
    <row r="510" customFormat="false" ht="17.15" hidden="false" customHeight="false" outlineLevel="0" collapsed="false">
      <c r="A510" s="3" t="s">
        <v>844</v>
      </c>
    </row>
    <row r="511" customFormat="false" ht="17.15" hidden="false" customHeight="false" outlineLevel="0" collapsed="false">
      <c r="A511" s="1" t="s">
        <v>509</v>
      </c>
    </row>
    <row r="512" customFormat="false" ht="17.15" hidden="false" customHeight="false" outlineLevel="0" collapsed="false">
      <c r="A512" s="6" t="s">
        <v>19</v>
      </c>
      <c r="B512" s="6" t="s">
        <v>20</v>
      </c>
      <c r="C512" s="14" t="s">
        <v>510</v>
      </c>
      <c r="D512" s="14" t="s">
        <v>465</v>
      </c>
      <c r="E512" s="14" t="s">
        <v>466</v>
      </c>
      <c r="F512" s="14" t="s">
        <v>467</v>
      </c>
      <c r="G512" s="14"/>
      <c r="H512" s="6" t="s">
        <v>428</v>
      </c>
    </row>
    <row r="513" customFormat="false" ht="17.15" hidden="false" customHeight="false" outlineLevel="0" collapsed="false">
      <c r="A513" s="0" t="s">
        <v>511</v>
      </c>
      <c r="B513" s="0" t="s">
        <v>30</v>
      </c>
      <c r="C513" s="26" t="n">
        <f aca="false">mpl_26*1</f>
        <v>29.753262</v>
      </c>
      <c r="D513" s="26" t="n">
        <f aca="false">mpl_27*1*1</f>
        <v>54.688309</v>
      </c>
      <c r="E513" s="26" t="n">
        <f aca="false">mpl_28*um28_A*1</f>
        <v>61.21325</v>
      </c>
      <c r="F513" s="26" t="n">
        <f aca="false">mpl_29*um29_A*1</f>
        <v>78.80848</v>
      </c>
    </row>
    <row r="514" customFormat="false" ht="17.15" hidden="false" customHeight="false" outlineLevel="0" collapsed="false">
      <c r="A514" s="5" t="s">
        <v>512</v>
      </c>
      <c r="B514" s="0" t="s">
        <v>96</v>
      </c>
      <c r="C514" s="20" t="n">
        <f aca="false">asp_26</f>
        <v>500</v>
      </c>
      <c r="D514" s="20" t="n">
        <f aca="false">asp_27</f>
        <v>520</v>
      </c>
      <c r="E514" s="20" t="n">
        <f aca="false">asp_28</f>
        <v>540</v>
      </c>
      <c r="F514" s="20" t="n">
        <f aca="false">asp_29</f>
        <v>560</v>
      </c>
    </row>
    <row r="515" customFormat="false" ht="17.15" hidden="false" customHeight="false" outlineLevel="0" collapsed="false">
      <c r="A515" s="5" t="s">
        <v>513</v>
      </c>
      <c r="B515" s="5" t="s">
        <v>336</v>
      </c>
      <c r="C515" s="15" t="n">
        <f aca="false">C513*1000/C514</f>
        <v>59.506524</v>
      </c>
      <c r="D515" s="15" t="n">
        <f aca="false">D513*1000/D514</f>
        <v>105.169825</v>
      </c>
      <c r="E515" s="15" t="n">
        <f aca="false">E513*1000/E514</f>
        <v>113.35787037037</v>
      </c>
      <c r="F515" s="15" t="n">
        <f aca="false">F513*1000/F514</f>
        <v>140.729428571429</v>
      </c>
    </row>
    <row r="516" customFormat="false" ht="17.15" hidden="false" customHeight="false" outlineLevel="0" collapsed="false">
      <c r="A516" s="5" t="s">
        <v>514</v>
      </c>
      <c r="B516" s="5" t="s">
        <v>108</v>
      </c>
      <c r="C516" s="18" t="n">
        <f aca="false">lpm_26</f>
        <v>5.5</v>
      </c>
      <c r="D516" s="18" t="n">
        <f aca="false">lpm_27</f>
        <v>5.5</v>
      </c>
      <c r="E516" s="18" t="n">
        <f aca="false">lpm_28</f>
        <v>5</v>
      </c>
      <c r="F516" s="18" t="n">
        <f aca="false">lpm_29</f>
        <v>4.8</v>
      </c>
    </row>
    <row r="517" customFormat="false" ht="17.15" hidden="false" customHeight="false" outlineLevel="0" collapsed="false">
      <c r="A517" s="5" t="s">
        <v>515</v>
      </c>
      <c r="B517" s="0" t="s">
        <v>120</v>
      </c>
      <c r="C517" s="18" t="n">
        <f aca="false">lasp_26</f>
        <v>13</v>
      </c>
      <c r="D517" s="18" t="n">
        <f aca="false">lasp_27</f>
        <v>15</v>
      </c>
      <c r="E517" s="18" t="n">
        <f aca="false">lasp_28</f>
        <v>15</v>
      </c>
      <c r="F517" s="18" t="n">
        <f aca="false">lasp_29</f>
        <v>14</v>
      </c>
    </row>
    <row r="518" customFormat="false" ht="17.15" hidden="false" customHeight="false" outlineLevel="0" collapsed="false">
      <c r="A518" s="5" t="s">
        <v>516</v>
      </c>
      <c r="B518" s="0" t="s">
        <v>30</v>
      </c>
      <c r="C518" s="26" t="n">
        <f aca="false">C515*C516*C517/1000</f>
        <v>4.254716466</v>
      </c>
      <c r="D518" s="26" t="n">
        <f aca="false">D515*D516*D517/1000</f>
        <v>8.6765105625</v>
      </c>
      <c r="E518" s="26" t="n">
        <f aca="false">E515*E516*E517/1000</f>
        <v>8.50184027777778</v>
      </c>
      <c r="F518" s="26" t="n">
        <f aca="false">F515*F516*F517/1000</f>
        <v>9.4570176</v>
      </c>
    </row>
    <row r="519" customFormat="false" ht="17.15" hidden="false" customHeight="false" outlineLevel="0" collapsed="false">
      <c r="A519" s="0" t="s">
        <v>517</v>
      </c>
      <c r="B519" s="0" t="s">
        <v>163</v>
      </c>
      <c r="C519" s="16" t="n">
        <f aca="false">c26_las/1000/C518</f>
        <v>0.43826657190933</v>
      </c>
      <c r="H519" s="8" t="s">
        <v>518</v>
      </c>
    </row>
    <row r="520" customFormat="false" ht="17.15" hidden="false" customHeight="false" outlineLevel="0" collapsed="false">
      <c r="A520" s="5" t="s">
        <v>519</v>
      </c>
      <c r="B520" s="0" t="s">
        <v>74</v>
      </c>
      <c r="C520" s="9" t="n">
        <f aca="false">1</f>
        <v>1</v>
      </c>
      <c r="D520" s="9" t="n">
        <f aca="false">lrel_27</f>
        <v>0.95</v>
      </c>
      <c r="E520" s="9" t="n">
        <f aca="false">lrel_28</f>
        <v>0.95</v>
      </c>
      <c r="F520" s="9" t="n">
        <f aca="false">lrel_29</f>
        <v>0.9</v>
      </c>
    </row>
    <row r="521" customFormat="false" ht="15" hidden="false" customHeight="false" outlineLevel="0" collapsed="false">
      <c r="A521" s="5" t="s">
        <v>520</v>
      </c>
      <c r="B521" s="0" t="s">
        <v>163</v>
      </c>
      <c r="C521" s="16" t="n">
        <f aca="false">$C$519*C520</f>
        <v>0.43826657190933</v>
      </c>
      <c r="D521" s="16" t="n">
        <f aca="false">$C$519*D520</f>
        <v>0.416353243313864</v>
      </c>
      <c r="E521" s="16" t="n">
        <f aca="false">$C$519*E520</f>
        <v>0.416353243313864</v>
      </c>
      <c r="F521" s="16" t="n">
        <f aca="false">$C$519*F520</f>
        <v>0.394439914718397</v>
      </c>
    </row>
    <row r="522" customFormat="false" ht="17.15" hidden="false" customHeight="false" outlineLevel="0" collapsed="false">
      <c r="A522" s="5" t="s">
        <v>521</v>
      </c>
      <c r="B522" s="0" t="s">
        <v>30</v>
      </c>
      <c r="C522" s="26" t="n">
        <f aca="false">C518*C521</f>
        <v>1.8647</v>
      </c>
      <c r="D522" s="26" t="n">
        <f aca="false">D518*D521</f>
        <v>3.61249331334387</v>
      </c>
      <c r="E522" s="26" t="n">
        <f aca="false">E518*E521</f>
        <v>3.53976877378922</v>
      </c>
      <c r="F522" s="26" t="n">
        <f aca="false">F518*F521</f>
        <v>3.73022521563438</v>
      </c>
    </row>
    <row r="523" customFormat="false" ht="17.15" hidden="false" customHeight="false" outlineLevel="0" collapsed="false">
      <c r="A523" s="5" t="s">
        <v>522</v>
      </c>
      <c r="B523" s="0" t="s">
        <v>163</v>
      </c>
      <c r="C523" s="16" t="n">
        <f aca="false">c26_xcvr/1000/C513</f>
        <v>0.0336097601668012</v>
      </c>
    </row>
    <row r="524" customFormat="false" ht="15" hidden="false" customHeight="false" outlineLevel="0" collapsed="false">
      <c r="A524" s="5" t="s">
        <v>523</v>
      </c>
      <c r="B524" s="0" t="s">
        <v>163</v>
      </c>
      <c r="C524" s="16" t="n">
        <f aca="false">C523</f>
        <v>0.0336097601668012</v>
      </c>
      <c r="D524" s="16" t="n">
        <f aca="false">$C$523*mrel_27</f>
        <v>0.0336097601668012</v>
      </c>
      <c r="E524" s="16" t="n">
        <f aca="false">$C$523*mrel_28</f>
        <v>0.0336097601668012</v>
      </c>
      <c r="F524" s="16" t="n">
        <f aca="false">$C$523*mrel_29</f>
        <v>0.0336097601668012</v>
      </c>
    </row>
    <row r="525" customFormat="false" ht="15" hidden="false" customHeight="false" outlineLevel="0" collapsed="false">
      <c r="A525" s="5" t="s">
        <v>524</v>
      </c>
      <c r="B525" s="0" t="s">
        <v>30</v>
      </c>
      <c r="C525" s="26" t="n">
        <f aca="false">C513*C524</f>
        <v>1</v>
      </c>
      <c r="D525" s="26" t="n">
        <f aca="false">D513*D524</f>
        <v>1.83806094941792</v>
      </c>
      <c r="E525" s="26" t="n">
        <f aca="false">E513*E524</f>
        <v>2.05736265153044</v>
      </c>
      <c r="F525" s="26" t="n">
        <f aca="false">F513*F524</f>
        <v>2.64873411191015</v>
      </c>
    </row>
    <row r="526" customFormat="false" ht="17.15" hidden="false" customHeight="false" outlineLevel="0" collapsed="false">
      <c r="A526" s="0" t="s">
        <v>525</v>
      </c>
      <c r="B526" s="5" t="s">
        <v>53</v>
      </c>
      <c r="C526" s="19" t="n">
        <f aca="false">tpu_26*1</f>
        <v>3.85</v>
      </c>
      <c r="D526" s="19" t="n">
        <f aca="false">tpu_27*1</f>
        <v>5.5</v>
      </c>
      <c r="E526" s="19" t="n">
        <f aca="false">tpu_28*um28_A</f>
        <v>7</v>
      </c>
      <c r="F526" s="19" t="n">
        <f aca="false">tpu_29*um29_A</f>
        <v>8.05</v>
      </c>
    </row>
    <row r="527" customFormat="false" ht="17.15" hidden="false" customHeight="false" outlineLevel="0" collapsed="false">
      <c r="A527" s="0" t="s">
        <v>526</v>
      </c>
      <c r="B527" s="0" t="s">
        <v>120</v>
      </c>
      <c r="C527" s="20" t="n">
        <f aca="false">c26_ocs/C526</f>
        <v>129.87012987013</v>
      </c>
      <c r="D527" s="20" t="n">
        <f aca="false">$C527*ocsk_27</f>
        <v>207.792207792208</v>
      </c>
      <c r="E527" s="20" t="n">
        <f aca="false">$C527*ocsk_28</f>
        <v>233.766233766234</v>
      </c>
      <c r="F527" s="20" t="n">
        <f aca="false">$C527*ocsk_29</f>
        <v>233.766233766234</v>
      </c>
    </row>
    <row r="528" customFormat="false" ht="17.15" hidden="false" customHeight="false" outlineLevel="0" collapsed="false">
      <c r="A528" s="0" t="s">
        <v>479</v>
      </c>
      <c r="B528" s="0" t="s">
        <v>30</v>
      </c>
      <c r="C528" s="26" t="n">
        <f aca="false">C526*C527/1000</f>
        <v>0.5</v>
      </c>
      <c r="D528" s="26" t="n">
        <f aca="false">D526*D527/1000</f>
        <v>1.14285714285714</v>
      </c>
      <c r="E528" s="26" t="n">
        <f aca="false">E526*E527/1000</f>
        <v>1.63636363636364</v>
      </c>
      <c r="F528" s="26" t="n">
        <f aca="false">F526*F527/1000</f>
        <v>1.88181818181818</v>
      </c>
    </row>
    <row r="529" customFormat="false" ht="17.15" hidden="false" customHeight="false" outlineLevel="0" collapsed="false">
      <c r="A529" s="0" t="s">
        <v>527</v>
      </c>
      <c r="B529" s="0" t="s">
        <v>30</v>
      </c>
      <c r="C529" s="26" t="n">
        <f aca="false">mcp_26*1</f>
        <v>0.300538</v>
      </c>
      <c r="D529" s="26" t="n">
        <f aca="false">mcp_27*1</f>
        <v>1.691391</v>
      </c>
      <c r="E529" s="26" t="n">
        <f aca="false">mcp_28*um28_A</f>
        <v>3.22175</v>
      </c>
      <c r="F529" s="26" t="n">
        <f aca="false">mcp_29*um29_A</f>
        <v>5.87368</v>
      </c>
    </row>
    <row r="530" customFormat="false" ht="17.15" hidden="false" customHeight="false" outlineLevel="0" collapsed="false">
      <c r="A530" s="0" t="s">
        <v>480</v>
      </c>
      <c r="B530" s="0" t="s">
        <v>163</v>
      </c>
      <c r="C530" s="16" t="n">
        <f aca="false">c26_cpo/1000/C529</f>
        <v>0.166368312825666</v>
      </c>
      <c r="D530" s="16" t="n">
        <f aca="false">CPLO_27</f>
        <v>0.1</v>
      </c>
      <c r="E530" s="16" t="n">
        <f aca="false">CPLO_28</f>
        <v>0.1</v>
      </c>
      <c r="F530" s="16" t="n">
        <f aca="false">CPLO_29</f>
        <v>0.1</v>
      </c>
    </row>
    <row r="531" customFormat="false" ht="17.15" hidden="false" customHeight="false" outlineLevel="0" collapsed="false">
      <c r="A531" s="0" t="s">
        <v>528</v>
      </c>
      <c r="B531" s="0" t="s">
        <v>30</v>
      </c>
      <c r="C531" s="26" t="n">
        <f aca="false">C529*C530</f>
        <v>0.05</v>
      </c>
      <c r="D531" s="26" t="n">
        <f aca="false">D529*D530</f>
        <v>0.1691391</v>
      </c>
      <c r="E531" s="26" t="n">
        <f aca="false">E529*E530</f>
        <v>0.322175</v>
      </c>
      <c r="F531" s="26" t="n">
        <f aca="false">F529*F530</f>
        <v>0.587368</v>
      </c>
    </row>
    <row r="532" customFormat="false" ht="17.15" hidden="false" customHeight="false" outlineLevel="0" collapsed="false">
      <c r="A532" s="0" t="s">
        <v>529</v>
      </c>
      <c r="B532" s="0" t="s">
        <v>30</v>
      </c>
      <c r="C532" s="26" t="n">
        <f aca="false">C522+C525+C528+C531</f>
        <v>3.4147</v>
      </c>
      <c r="D532" s="26" t="n">
        <f aca="false">D522+D525+D528+D531</f>
        <v>6.76255050561893</v>
      </c>
      <c r="E532" s="26" t="n">
        <f aca="false">E522+E525+E528+E531</f>
        <v>7.5556700616833</v>
      </c>
      <c r="F532" s="26" t="n">
        <f aca="false">F522+F525+F528+F531</f>
        <v>8.84814550936271</v>
      </c>
    </row>
    <row r="533" customFormat="false" ht="17.15" hidden="false" customHeight="false" outlineLevel="0" collapsed="false">
      <c r="A533" s="5" t="s">
        <v>530</v>
      </c>
      <c r="B533" s="0" t="s">
        <v>30</v>
      </c>
      <c r="C533" s="26" t="n">
        <f aca="false">c26_tel/1000</f>
        <v>0.75</v>
      </c>
      <c r="D533" s="26" t="n">
        <f aca="false">C533*(1+g_tel_27)</f>
        <v>0.9375</v>
      </c>
      <c r="E533" s="26" t="n">
        <f aca="false">D533*(1+g_tel_28)</f>
        <v>1.078125</v>
      </c>
      <c r="F533" s="26" t="n">
        <f aca="false">E533*(1+g_tel_29)</f>
        <v>1.1859375</v>
      </c>
    </row>
    <row r="534" customFormat="false" ht="17.15" hidden="false" customHeight="false" outlineLevel="0" collapsed="false">
      <c r="A534" s="5" t="s">
        <v>531</v>
      </c>
      <c r="B534" s="0" t="s">
        <v>30</v>
      </c>
      <c r="C534" s="26" t="n">
        <f aca="false">c26_ind/1000</f>
        <v>0.3</v>
      </c>
      <c r="D534" s="26" t="n">
        <f aca="false">C534*(1+g_ind)</f>
        <v>0.309</v>
      </c>
      <c r="E534" s="26" t="n">
        <f aca="false">D534*(1+g_ind)</f>
        <v>0.31827</v>
      </c>
      <c r="F534" s="26" t="n">
        <f aca="false">E534*(1+g_ind)</f>
        <v>0.3278181</v>
      </c>
    </row>
    <row r="535" customFormat="false" ht="15" hidden="false" customHeight="false" outlineLevel="0" collapsed="false">
      <c r="A535" s="5" t="s">
        <v>532</v>
      </c>
      <c r="B535" s="0" t="s">
        <v>30</v>
      </c>
      <c r="C535" s="26" t="n">
        <f aca="false">C532+C533+C534</f>
        <v>4.4647</v>
      </c>
      <c r="D535" s="26" t="n">
        <f aca="false">D532+D533+D534</f>
        <v>8.00905050561893</v>
      </c>
      <c r="E535" s="26" t="n">
        <f aca="false">E532+E533+E534</f>
        <v>8.9520650616833</v>
      </c>
      <c r="F535" s="26" t="n">
        <f aca="false">F532+F533+F534</f>
        <v>10.3619011093627</v>
      </c>
    </row>
    <row r="536" customFormat="false" ht="15" hidden="false" customHeight="false" outlineLevel="0" collapsed="false">
      <c r="A536" s="5" t="s">
        <v>533</v>
      </c>
      <c r="B536" s="0" t="s">
        <v>163</v>
      </c>
      <c r="D536" s="16" t="n">
        <f aca="false">D535/C535-1</f>
        <v>0.793860842972412</v>
      </c>
      <c r="E536" s="16" t="n">
        <f aca="false">E535/D535-1</f>
        <v>0.117743614602352</v>
      </c>
      <c r="F536" s="16" t="n">
        <f aca="false">F535/E535-1</f>
        <v>0.157487243218753</v>
      </c>
    </row>
    <row r="537" customFormat="false" ht="17.15" hidden="false" customHeight="false" outlineLevel="0" collapsed="false">
      <c r="A537" s="1" t="s">
        <v>534</v>
      </c>
    </row>
    <row r="538" customFormat="false" ht="17.15" hidden="false" customHeight="false" outlineLevel="0" collapsed="false">
      <c r="A538" s="6" t="s">
        <v>19</v>
      </c>
      <c r="B538" s="6" t="s">
        <v>20</v>
      </c>
      <c r="C538" s="14" t="s">
        <v>420</v>
      </c>
      <c r="D538" s="14" t="s">
        <v>487</v>
      </c>
      <c r="E538" s="14" t="s">
        <v>488</v>
      </c>
      <c r="F538" s="14" t="s">
        <v>489</v>
      </c>
      <c r="G538" s="14" t="s">
        <v>490</v>
      </c>
      <c r="H538" s="6" t="s">
        <v>428</v>
      </c>
    </row>
    <row r="539" customFormat="false" ht="17.15" hidden="false" customHeight="false" outlineLevel="0" collapsed="false">
      <c r="A539" s="0" t="s">
        <v>535</v>
      </c>
      <c r="B539" s="0" t="s">
        <v>30</v>
      </c>
      <c r="E539" s="26" t="n">
        <f aca="false">w2h_26*C532+h_1h*D532</f>
        <v>5.20517657265781</v>
      </c>
      <c r="F539" s="26" t="n">
        <f aca="false">(1-h_1h)*D532+h_1h*E532</f>
        <v>7.13531669696918</v>
      </c>
      <c r="G539" s="26" t="n">
        <f aca="false">(1-h_1h)*E532+h_1h*F532</f>
        <v>8.16313352209262</v>
      </c>
      <c r="H539" s="8" t="s">
        <v>536</v>
      </c>
    </row>
    <row r="540" customFormat="false" ht="17.15" hidden="false" customHeight="false" outlineLevel="0" collapsed="false">
      <c r="A540" s="5" t="s">
        <v>537</v>
      </c>
      <c r="B540" s="0" t="s">
        <v>30</v>
      </c>
      <c r="E540" s="26" t="n">
        <f aca="false">w2h_26*C533+h_1h*D533+w2h_26*C534+h_1h*D534</f>
        <v>1.20907716498309</v>
      </c>
      <c r="F540" s="26" t="n">
        <f aca="false">(1-h_1h)*D533+h_1h*E533+(1-h_1h)*D534+h_1h*E534</f>
        <v>1.31695065</v>
      </c>
      <c r="G540" s="26" t="n">
        <f aca="false">(1-h_1h)*E533+h_1h*F533+(1-h_1h)*E534+h_1h*F534</f>
        <v>1.451554482</v>
      </c>
    </row>
    <row r="541" customFormat="false" ht="15" hidden="false" customHeight="false" outlineLevel="0" collapsed="false">
      <c r="A541" s="5" t="s">
        <v>429</v>
      </c>
      <c r="B541" s="0" t="s">
        <v>30</v>
      </c>
      <c r="C541" s="26" t="n">
        <f aca="false">a25_rev/1000</f>
        <v>1.645</v>
      </c>
      <c r="D541" s="26" t="n">
        <f aca="false">a26_rev/1000</f>
        <v>3.014</v>
      </c>
      <c r="E541" s="26" t="n">
        <f aca="false">E539+E540</f>
        <v>6.4142537376409</v>
      </c>
      <c r="F541" s="26" t="n">
        <f aca="false">F539+F540</f>
        <v>8.45226734696918</v>
      </c>
      <c r="G541" s="26" t="n">
        <f aca="false">G539+G540</f>
        <v>9.61468800409262</v>
      </c>
    </row>
    <row r="542" customFormat="false" ht="15" hidden="false" customHeight="false" outlineLevel="0" collapsed="false">
      <c r="A542" s="5" t="s">
        <v>538</v>
      </c>
      <c r="B542" s="0" t="s">
        <v>163</v>
      </c>
      <c r="D542" s="16" t="n">
        <f aca="false">D541/C541-1</f>
        <v>0.832218844984802</v>
      </c>
      <c r="E542" s="16" t="n">
        <f aca="false">E541/D541-1</f>
        <v>1.12815319762472</v>
      </c>
      <c r="F542" s="16" t="n">
        <f aca="false">F541/E541-1</f>
        <v>0.317731990764345</v>
      </c>
      <c r="G542" s="16" t="n">
        <f aca="false">G541/F541-1</f>
        <v>0.13752767268303</v>
      </c>
    </row>
    <row r="543" customFormat="false" ht="17.15" hidden="false" customHeight="false" outlineLevel="0" collapsed="false">
      <c r="A543" s="0" t="s">
        <v>539</v>
      </c>
      <c r="B543" s="0" t="s">
        <v>163</v>
      </c>
      <c r="E543" s="16" t="n">
        <f aca="false">E539/E541</f>
        <v>0.811501506732134</v>
      </c>
      <c r="F543" s="16" t="n">
        <f aca="false">F539/F541</f>
        <v>0.844189659893776</v>
      </c>
      <c r="G543" s="16" t="n">
        <f aca="false">G539/G541</f>
        <v>0.849027396273064</v>
      </c>
    </row>
    <row r="544" customFormat="false" ht="17.15" hidden="false" customHeight="false" outlineLevel="0" collapsed="false">
      <c r="A544" s="5" t="s">
        <v>432</v>
      </c>
      <c r="B544" s="0" t="s">
        <v>163</v>
      </c>
      <c r="C544" s="16" t="n">
        <f aca="false">a25_gm</f>
        <v>0.347</v>
      </c>
      <c r="D544" s="16" t="n">
        <f aca="false">a26_gm</f>
        <v>0.46</v>
      </c>
      <c r="E544" s="16" t="n">
        <f aca="false">gm_27</f>
        <v>0.52</v>
      </c>
      <c r="F544" s="16" t="n">
        <f aca="false">gm_28</f>
        <v>0.51</v>
      </c>
      <c r="G544" s="16" t="n">
        <f aca="false">gm_29</f>
        <v>0.49</v>
      </c>
    </row>
    <row r="545" customFormat="false" ht="15" hidden="false" customHeight="false" outlineLevel="0" collapsed="false">
      <c r="A545" s="5" t="s">
        <v>433</v>
      </c>
      <c r="B545" s="0" t="s">
        <v>30</v>
      </c>
      <c r="C545" s="26" t="n">
        <f aca="false">C541*C544</f>
        <v>0.570815</v>
      </c>
      <c r="D545" s="26" t="n">
        <f aca="false">D541*D544</f>
        <v>1.38644</v>
      </c>
      <c r="E545" s="26" t="n">
        <f aca="false">E541*E544</f>
        <v>3.33541194357327</v>
      </c>
      <c r="F545" s="26" t="n">
        <f aca="false">F541*F544</f>
        <v>4.31065634695428</v>
      </c>
      <c r="G545" s="26" t="n">
        <f aca="false">G541*G544</f>
        <v>4.71119712200539</v>
      </c>
    </row>
    <row r="546" customFormat="false" ht="15" hidden="false" customHeight="false" outlineLevel="0" collapsed="false">
      <c r="A546" s="5" t="s">
        <v>540</v>
      </c>
      <c r="B546" s="0" t="s">
        <v>30</v>
      </c>
      <c r="C546" s="26" t="n">
        <f aca="false">a25_opx/1000</f>
        <v>0.4114</v>
      </c>
      <c r="D546" s="26" t="n">
        <f aca="false">a26_opx/1000</f>
        <v>0.4897</v>
      </c>
      <c r="E546" s="26" t="n">
        <f aca="false">D546*(1+MAX(0,phi*E542))</f>
        <v>0.616045015074589</v>
      </c>
      <c r="F546" s="26" t="n">
        <f aca="false">E546*(1+MAX(0,phi*F542))</f>
        <v>0.660809472033362</v>
      </c>
      <c r="G546" s="26" t="n">
        <f aca="false">F546*(1+MAX(0,phi*G542))</f>
        <v>0.681593335562064</v>
      </c>
    </row>
    <row r="547" customFormat="false" ht="15" hidden="false" customHeight="false" outlineLevel="0" collapsed="false">
      <c r="A547" s="5" t="s">
        <v>541</v>
      </c>
      <c r="B547" s="0" t="s">
        <v>30</v>
      </c>
      <c r="C547" s="26" t="n">
        <f aca="false">C546</f>
        <v>0.4114</v>
      </c>
      <c r="D547" s="26" t="n">
        <f aca="false">D546</f>
        <v>0.4897</v>
      </c>
      <c r="E547" s="26" t="n">
        <f aca="false">E546+0*E541</f>
        <v>0.616045015074589</v>
      </c>
      <c r="F547" s="26" t="n">
        <f aca="false">F546+0*F541</f>
        <v>0.660809472033362</v>
      </c>
      <c r="G547" s="26" t="n">
        <f aca="false">G546+0*G541</f>
        <v>0.681593335562064</v>
      </c>
    </row>
    <row r="548" customFormat="false" ht="15" hidden="false" customHeight="false" outlineLevel="0" collapsed="false">
      <c r="A548" s="5" t="s">
        <v>542</v>
      </c>
      <c r="B548" s="0" t="s">
        <v>30</v>
      </c>
      <c r="C548" s="26" t="n">
        <f aca="false">C545-C547</f>
        <v>0.159415</v>
      </c>
      <c r="D548" s="26" t="n">
        <f aca="false">D545-D547</f>
        <v>0.89674</v>
      </c>
      <c r="E548" s="26" t="n">
        <f aca="false">E545-E547</f>
        <v>2.71936692849868</v>
      </c>
      <c r="F548" s="26" t="n">
        <f aca="false">F545-F547</f>
        <v>3.64984687492092</v>
      </c>
      <c r="G548" s="26" t="n">
        <f aca="false">G545-G547</f>
        <v>4.02960378644332</v>
      </c>
    </row>
    <row r="549" customFormat="false" ht="15" hidden="false" customHeight="false" outlineLevel="0" collapsed="false">
      <c r="A549" s="5" t="s">
        <v>437</v>
      </c>
      <c r="B549" s="0" t="s">
        <v>163</v>
      </c>
      <c r="C549" s="16" t="n">
        <f aca="false">C548/C541</f>
        <v>0.0969088145896656</v>
      </c>
      <c r="D549" s="16" t="n">
        <f aca="false">D548/D541</f>
        <v>0.297524883875249</v>
      </c>
      <c r="E549" s="16" t="n">
        <f aca="false">E548/E541</f>
        <v>0.423956868519335</v>
      </c>
      <c r="F549" s="16" t="n">
        <f aca="false">F548/F541</f>
        <v>0.431818673628406</v>
      </c>
      <c r="G549" s="16" t="n">
        <f aca="false">G548/G541</f>
        <v>0.419109157231942</v>
      </c>
    </row>
    <row r="550" customFormat="false" ht="17.15" hidden="false" customHeight="false" outlineLevel="0" collapsed="false">
      <c r="A550" s="5" t="s">
        <v>438</v>
      </c>
      <c r="B550" s="0" t="s">
        <v>30</v>
      </c>
      <c r="C550" s="26" t="n">
        <f aca="false">a25_ni/1000</f>
        <v>0.1464</v>
      </c>
      <c r="D550" s="26" t="n">
        <f aca="false">a26_ni/1000</f>
        <v>0.7823</v>
      </c>
      <c r="E550" s="26" t="n">
        <f aca="false">(E548+oi_oth)*(1-tx)</f>
        <v>2.3142713852964</v>
      </c>
      <c r="F550" s="26" t="n">
        <f aca="false">(F548+oi_oth)*(1-tx)</f>
        <v>3.09122214055897</v>
      </c>
      <c r="G550" s="26" t="n">
        <f aca="false">(G548+oi_oth)*(1-tx)</f>
        <v>3.40831916168017</v>
      </c>
    </row>
    <row r="551" customFormat="false" ht="15" hidden="false" customHeight="false" outlineLevel="0" collapsed="false">
      <c r="A551" s="5" t="s">
        <v>500</v>
      </c>
      <c r="B551" s="0" t="s">
        <v>163</v>
      </c>
      <c r="C551" s="16" t="n">
        <f aca="false">C550/C541</f>
        <v>0.0889969604863222</v>
      </c>
      <c r="D551" s="16" t="n">
        <f aca="false">D550/D541</f>
        <v>0.259555408095554</v>
      </c>
      <c r="E551" s="16" t="n">
        <f aca="false">E550/E541</f>
        <v>0.360801346494216</v>
      </c>
      <c r="F551" s="16" t="n">
        <f aca="false">F550/F541</f>
        <v>0.365726971670793</v>
      </c>
      <c r="G551" s="16" t="n">
        <f aca="false">G550/G541</f>
        <v>0.354490874818754</v>
      </c>
    </row>
    <row r="552" customFormat="false" ht="17.15" hidden="false" customHeight="false" outlineLevel="0" collapsed="false">
      <c r="A552" s="5" t="s">
        <v>442</v>
      </c>
      <c r="B552" s="5" t="s">
        <v>237</v>
      </c>
      <c r="C552" s="15" t="n">
        <f aca="false">a25_sh</f>
        <v>71.0679611650485</v>
      </c>
      <c r="D552" s="15" t="n">
        <f aca="false">a26_sh</f>
        <v>90.2306805074971</v>
      </c>
      <c r="E552" s="15" t="n">
        <f aca="false">sh_q1</f>
        <v>102</v>
      </c>
      <c r="F552" s="15" t="n">
        <f aca="false">E552*(1+sh_g)</f>
        <v>103.02</v>
      </c>
      <c r="G552" s="15" t="n">
        <f aca="false">F552*(1+sh_g)</f>
        <v>104.0502</v>
      </c>
    </row>
    <row r="553" customFormat="false" ht="17.15" hidden="false" customHeight="false" outlineLevel="0" collapsed="false">
      <c r="A553" s="0" t="s">
        <v>444</v>
      </c>
      <c r="B553" s="0" t="s">
        <v>232</v>
      </c>
      <c r="C553" s="9" t="n">
        <f aca="false">C550*1000/C552</f>
        <v>2.06</v>
      </c>
      <c r="D553" s="9" t="n">
        <f aca="false">D550*1000/D552</f>
        <v>8.67</v>
      </c>
      <c r="E553" s="9" t="n">
        <f aca="false">E550*1000/E552</f>
        <v>22.6889351499647</v>
      </c>
      <c r="F553" s="9" t="n">
        <f aca="false">F550*1000/F552</f>
        <v>30.006039026975</v>
      </c>
      <c r="G553" s="9" t="n">
        <f aca="false">G550*1000/G552</f>
        <v>32.7564883265979</v>
      </c>
    </row>
    <row r="554" customFormat="false" ht="17.15" hidden="false" customHeight="false" outlineLevel="0" collapsed="false">
      <c r="A554" s="0" t="s">
        <v>543</v>
      </c>
      <c r="B554" s="0" t="s">
        <v>163</v>
      </c>
      <c r="D554" s="16" t="n">
        <f aca="false">D553/C553-1</f>
        <v>3.20873786407767</v>
      </c>
      <c r="E554" s="16" t="n">
        <f aca="false">E553/D553-1</f>
        <v>1.61694753748151</v>
      </c>
      <c r="F554" s="16" t="n">
        <f aca="false">F553/E553-1</f>
        <v>0.322496575033041</v>
      </c>
      <c r="G554" s="16" t="n">
        <f aca="false">G553/F553-1</f>
        <v>0.0916631914379036</v>
      </c>
    </row>
    <row r="557" customFormat="false" ht="17.15" hidden="false" customHeight="false" outlineLevel="0" collapsed="false">
      <c r="A557" s="3" t="s">
        <v>845</v>
      </c>
    </row>
    <row r="558" customFormat="false" ht="17.15" hidden="false" customHeight="false" outlineLevel="0" collapsed="false">
      <c r="A558" s="1" t="s">
        <v>509</v>
      </c>
    </row>
    <row r="559" customFormat="false" ht="17.15" hidden="false" customHeight="false" outlineLevel="0" collapsed="false">
      <c r="A559" s="6" t="s">
        <v>19</v>
      </c>
      <c r="B559" s="6" t="s">
        <v>20</v>
      </c>
      <c r="C559" s="14" t="s">
        <v>510</v>
      </c>
      <c r="D559" s="14" t="s">
        <v>465</v>
      </c>
      <c r="E559" s="14" t="s">
        <v>466</v>
      </c>
      <c r="F559" s="14" t="s">
        <v>467</v>
      </c>
      <c r="G559" s="14"/>
      <c r="H559" s="6" t="s">
        <v>428</v>
      </c>
    </row>
    <row r="560" customFormat="false" ht="17.15" hidden="false" customHeight="false" outlineLevel="0" collapsed="false">
      <c r="A560" s="0" t="s">
        <v>511</v>
      </c>
      <c r="B560" s="0" t="s">
        <v>30</v>
      </c>
      <c r="C560" s="26" t="n">
        <f aca="false">mpl_26*1</f>
        <v>29.753262</v>
      </c>
      <c r="D560" s="26" t="n">
        <f aca="false">mpl_27*1*1</f>
        <v>54.688309</v>
      </c>
      <c r="E560" s="26" t="n">
        <f aca="false">mpl_28*um28_A*1</f>
        <v>61.21325</v>
      </c>
      <c r="F560" s="26" t="n">
        <f aca="false">mpl_29*um29_A*1</f>
        <v>78.80848</v>
      </c>
    </row>
    <row r="561" customFormat="false" ht="17.15" hidden="false" customHeight="false" outlineLevel="0" collapsed="false">
      <c r="A561" s="5" t="s">
        <v>512</v>
      </c>
      <c r="B561" s="0" t="s">
        <v>96</v>
      </c>
      <c r="C561" s="20" t="n">
        <f aca="false">asp_26</f>
        <v>500</v>
      </c>
      <c r="D561" s="20" t="n">
        <f aca="false">asp_27</f>
        <v>520</v>
      </c>
      <c r="E561" s="20" t="n">
        <f aca="false">asp_28</f>
        <v>540</v>
      </c>
      <c r="F561" s="20" t="n">
        <f aca="false">asp_29</f>
        <v>560</v>
      </c>
    </row>
    <row r="562" customFormat="false" ht="17.15" hidden="false" customHeight="false" outlineLevel="0" collapsed="false">
      <c r="A562" s="5" t="s">
        <v>513</v>
      </c>
      <c r="B562" s="5" t="s">
        <v>336</v>
      </c>
      <c r="C562" s="15" t="n">
        <f aca="false">C560*1000/C561</f>
        <v>59.506524</v>
      </c>
      <c r="D562" s="15" t="n">
        <f aca="false">D560*1000/D561</f>
        <v>105.169825</v>
      </c>
      <c r="E562" s="15" t="n">
        <f aca="false">E560*1000/E561</f>
        <v>113.35787037037</v>
      </c>
      <c r="F562" s="15" t="n">
        <f aca="false">F560*1000/F561</f>
        <v>140.729428571429</v>
      </c>
    </row>
    <row r="563" customFormat="false" ht="17.15" hidden="false" customHeight="false" outlineLevel="0" collapsed="false">
      <c r="A563" s="5" t="s">
        <v>514</v>
      </c>
      <c r="B563" s="5" t="s">
        <v>108</v>
      </c>
      <c r="C563" s="18" t="n">
        <f aca="false">lpm_26</f>
        <v>5.5</v>
      </c>
      <c r="D563" s="18" t="n">
        <f aca="false">lpm_27</f>
        <v>5.5</v>
      </c>
      <c r="E563" s="18" t="n">
        <f aca="false">lpm_28</f>
        <v>5</v>
      </c>
      <c r="F563" s="18" t="n">
        <f aca="false">lpm_29</f>
        <v>4.8</v>
      </c>
    </row>
    <row r="564" customFormat="false" ht="17.15" hidden="false" customHeight="false" outlineLevel="0" collapsed="false">
      <c r="A564" s="5" t="s">
        <v>515</v>
      </c>
      <c r="B564" s="0" t="s">
        <v>120</v>
      </c>
      <c r="C564" s="18" t="n">
        <f aca="false">lasp_26</f>
        <v>13</v>
      </c>
      <c r="D564" s="18" t="n">
        <f aca="false">lasp_27</f>
        <v>15</v>
      </c>
      <c r="E564" s="18" t="n">
        <f aca="false">lasp_28</f>
        <v>15</v>
      </c>
      <c r="F564" s="18" t="n">
        <f aca="false">lasp_29</f>
        <v>14</v>
      </c>
    </row>
    <row r="565" customFormat="false" ht="17.15" hidden="false" customHeight="false" outlineLevel="0" collapsed="false">
      <c r="A565" s="5" t="s">
        <v>516</v>
      </c>
      <c r="B565" s="0" t="s">
        <v>30</v>
      </c>
      <c r="C565" s="26" t="n">
        <f aca="false">C562*C563*C564/1000</f>
        <v>4.254716466</v>
      </c>
      <c r="D565" s="26" t="n">
        <f aca="false">D562*D563*D564/1000</f>
        <v>8.6765105625</v>
      </c>
      <c r="E565" s="26" t="n">
        <f aca="false">E562*E563*E564/1000</f>
        <v>8.50184027777778</v>
      </c>
      <c r="F565" s="26" t="n">
        <f aca="false">F562*F563*F564/1000</f>
        <v>9.4570176</v>
      </c>
    </row>
    <row r="566" customFormat="false" ht="17.15" hidden="false" customHeight="false" outlineLevel="0" collapsed="false">
      <c r="A566" s="0" t="s">
        <v>517</v>
      </c>
      <c r="B566" s="0" t="s">
        <v>163</v>
      </c>
      <c r="C566" s="16" t="n">
        <f aca="false">c26_las/1000/C565</f>
        <v>0.43826657190933</v>
      </c>
      <c r="H566" s="8" t="s">
        <v>518</v>
      </c>
    </row>
    <row r="567" customFormat="false" ht="17.15" hidden="false" customHeight="false" outlineLevel="0" collapsed="false">
      <c r="A567" s="5" t="s">
        <v>519</v>
      </c>
      <c r="B567" s="0" t="s">
        <v>74</v>
      </c>
      <c r="C567" s="9" t="n">
        <f aca="false">1</f>
        <v>1</v>
      </c>
      <c r="D567" s="9" t="n">
        <f aca="false">lrel_27</f>
        <v>0.95</v>
      </c>
      <c r="E567" s="9" t="n">
        <f aca="false">lrel_28</f>
        <v>0.95</v>
      </c>
      <c r="F567" s="9" t="n">
        <f aca="false">lrel_29</f>
        <v>0.9</v>
      </c>
    </row>
    <row r="568" customFormat="false" ht="15" hidden="false" customHeight="false" outlineLevel="0" collapsed="false">
      <c r="A568" s="5" t="s">
        <v>520</v>
      </c>
      <c r="B568" s="0" t="s">
        <v>163</v>
      </c>
      <c r="C568" s="16" t="n">
        <f aca="false">$C$566*C567</f>
        <v>0.43826657190933</v>
      </c>
      <c r="D568" s="16" t="n">
        <f aca="false">$C$566*D567</f>
        <v>0.416353243313864</v>
      </c>
      <c r="E568" s="16" t="n">
        <f aca="false">$C$566*E567</f>
        <v>0.416353243313864</v>
      </c>
      <c r="F568" s="16" t="n">
        <f aca="false">$C$566*F567</f>
        <v>0.394439914718397</v>
      </c>
    </row>
    <row r="569" customFormat="false" ht="17.15" hidden="false" customHeight="false" outlineLevel="0" collapsed="false">
      <c r="A569" s="5" t="s">
        <v>521</v>
      </c>
      <c r="B569" s="0" t="s">
        <v>30</v>
      </c>
      <c r="C569" s="26" t="n">
        <f aca="false">C565*C568</f>
        <v>1.8647</v>
      </c>
      <c r="D569" s="26" t="n">
        <f aca="false">D565*D568</f>
        <v>3.61249331334387</v>
      </c>
      <c r="E569" s="26" t="n">
        <f aca="false">E565*E568</f>
        <v>3.53976877378922</v>
      </c>
      <c r="F569" s="26" t="n">
        <f aca="false">F565*F568</f>
        <v>3.73022521563438</v>
      </c>
    </row>
    <row r="570" customFormat="false" ht="17.15" hidden="false" customHeight="false" outlineLevel="0" collapsed="false">
      <c r="A570" s="5" t="s">
        <v>522</v>
      </c>
      <c r="B570" s="0" t="s">
        <v>163</v>
      </c>
      <c r="C570" s="16" t="n">
        <f aca="false">c26_xcvr/1000/C560</f>
        <v>0.0336097601668012</v>
      </c>
    </row>
    <row r="571" customFormat="false" ht="15" hidden="false" customHeight="false" outlineLevel="0" collapsed="false">
      <c r="A571" s="5" t="s">
        <v>523</v>
      </c>
      <c r="B571" s="0" t="s">
        <v>163</v>
      </c>
      <c r="C571" s="16" t="n">
        <f aca="false">C570</f>
        <v>0.0336097601668012</v>
      </c>
      <c r="D571" s="16" t="n">
        <f aca="false">$C$570*mrel_27</f>
        <v>0.0336097601668012</v>
      </c>
      <c r="E571" s="16" t="n">
        <f aca="false">$C$570*mrel_28</f>
        <v>0.0336097601668012</v>
      </c>
      <c r="F571" s="16" t="n">
        <f aca="false">$C$570*mrel_29</f>
        <v>0.0336097601668012</v>
      </c>
    </row>
    <row r="572" customFormat="false" ht="15" hidden="false" customHeight="false" outlineLevel="0" collapsed="false">
      <c r="A572" s="5" t="s">
        <v>524</v>
      </c>
      <c r="B572" s="0" t="s">
        <v>30</v>
      </c>
      <c r="C572" s="26" t="n">
        <f aca="false">C560*C571</f>
        <v>1</v>
      </c>
      <c r="D572" s="26" t="n">
        <f aca="false">D560*D571</f>
        <v>1.83806094941792</v>
      </c>
      <c r="E572" s="26" t="n">
        <f aca="false">E560*E571</f>
        <v>2.05736265153044</v>
      </c>
      <c r="F572" s="26" t="n">
        <f aca="false">F560*F571</f>
        <v>2.64873411191015</v>
      </c>
    </row>
    <row r="573" customFormat="false" ht="17.15" hidden="false" customHeight="false" outlineLevel="0" collapsed="false">
      <c r="A573" s="0" t="s">
        <v>525</v>
      </c>
      <c r="B573" s="5" t="s">
        <v>53</v>
      </c>
      <c r="C573" s="19" t="n">
        <f aca="false">tpu_26*1</f>
        <v>3.85</v>
      </c>
      <c r="D573" s="19" t="n">
        <f aca="false">tpu_27*1</f>
        <v>5.5</v>
      </c>
      <c r="E573" s="19" t="n">
        <f aca="false">tpu_28*um28_A</f>
        <v>7</v>
      </c>
      <c r="F573" s="19" t="n">
        <f aca="false">tpu_29*um29_A</f>
        <v>8.05</v>
      </c>
    </row>
    <row r="574" customFormat="false" ht="17.15" hidden="false" customHeight="false" outlineLevel="0" collapsed="false">
      <c r="A574" s="0" t="s">
        <v>526</v>
      </c>
      <c r="B574" s="0" t="s">
        <v>120</v>
      </c>
      <c r="C574" s="20" t="n">
        <f aca="false">c26_ocs/C573</f>
        <v>129.87012987013</v>
      </c>
      <c r="D574" s="20" t="n">
        <f aca="false">$C574*ocsk_27</f>
        <v>207.792207792208</v>
      </c>
      <c r="E574" s="20" t="n">
        <f aca="false">$C574*ocsk_28</f>
        <v>233.766233766234</v>
      </c>
      <c r="F574" s="20" t="n">
        <f aca="false">$C574*ocsk_29</f>
        <v>233.766233766234</v>
      </c>
    </row>
    <row r="575" customFormat="false" ht="17.15" hidden="false" customHeight="false" outlineLevel="0" collapsed="false">
      <c r="A575" s="0" t="s">
        <v>479</v>
      </c>
      <c r="B575" s="0" t="s">
        <v>30</v>
      </c>
      <c r="C575" s="26" t="n">
        <f aca="false">C573*C574/1000</f>
        <v>0.5</v>
      </c>
      <c r="D575" s="26" t="n">
        <f aca="false">D573*D574/1000</f>
        <v>1.14285714285714</v>
      </c>
      <c r="E575" s="26" t="n">
        <f aca="false">E573*E574/1000</f>
        <v>1.63636363636364</v>
      </c>
      <c r="F575" s="26" t="n">
        <f aca="false">F573*F574/1000</f>
        <v>1.88181818181818</v>
      </c>
    </row>
    <row r="576" customFormat="false" ht="17.15" hidden="false" customHeight="false" outlineLevel="0" collapsed="false">
      <c r="A576" s="0" t="s">
        <v>527</v>
      </c>
      <c r="B576" s="0" t="s">
        <v>30</v>
      </c>
      <c r="C576" s="26" t="n">
        <f aca="false">mcp_26*1</f>
        <v>0.300538</v>
      </c>
      <c r="D576" s="26" t="n">
        <f aca="false">mcp_27*1</f>
        <v>1.691391</v>
      </c>
      <c r="E576" s="26" t="n">
        <f aca="false">mcp_28*um28_A</f>
        <v>3.22175</v>
      </c>
      <c r="F576" s="26" t="n">
        <f aca="false">mcp_29*um29_A</f>
        <v>5.87368</v>
      </c>
    </row>
    <row r="577" customFormat="false" ht="17.15" hidden="false" customHeight="false" outlineLevel="0" collapsed="false">
      <c r="A577" s="0" t="s">
        <v>480</v>
      </c>
      <c r="B577" s="0" t="s">
        <v>163</v>
      </c>
      <c r="C577" s="16" t="n">
        <f aca="false">c26_cpo/1000/C576</f>
        <v>0.166368312825666</v>
      </c>
      <c r="D577" s="16" t="n">
        <f aca="false">CPHI_27</f>
        <v>0.35</v>
      </c>
      <c r="E577" s="16" t="n">
        <f aca="false">CPHI_28</f>
        <v>0.35</v>
      </c>
      <c r="F577" s="16" t="n">
        <f aca="false">CPHI_29</f>
        <v>0.3</v>
      </c>
    </row>
    <row r="578" customFormat="false" ht="17.15" hidden="false" customHeight="false" outlineLevel="0" collapsed="false">
      <c r="A578" s="0" t="s">
        <v>528</v>
      </c>
      <c r="B578" s="0" t="s">
        <v>30</v>
      </c>
      <c r="C578" s="26" t="n">
        <f aca="false">C576*C577</f>
        <v>0.05</v>
      </c>
      <c r="D578" s="26" t="n">
        <f aca="false">D576*D577</f>
        <v>0.59198685</v>
      </c>
      <c r="E578" s="26" t="n">
        <f aca="false">E576*E577</f>
        <v>1.1276125</v>
      </c>
      <c r="F578" s="26" t="n">
        <f aca="false">F576*F577</f>
        <v>1.762104</v>
      </c>
    </row>
    <row r="579" customFormat="false" ht="17.15" hidden="false" customHeight="false" outlineLevel="0" collapsed="false">
      <c r="A579" s="0" t="s">
        <v>529</v>
      </c>
      <c r="B579" s="0" t="s">
        <v>30</v>
      </c>
      <c r="C579" s="26" t="n">
        <f aca="false">C569+C572+C575+C578</f>
        <v>3.4147</v>
      </c>
      <c r="D579" s="26" t="n">
        <f aca="false">D569+D572+D575+D578</f>
        <v>7.18539825561893</v>
      </c>
      <c r="E579" s="26" t="n">
        <f aca="false">E569+E572+E575+E578</f>
        <v>8.3611075616833</v>
      </c>
      <c r="F579" s="26" t="n">
        <f aca="false">F569+F572+F575+F578</f>
        <v>10.0228815093627</v>
      </c>
    </row>
    <row r="580" customFormat="false" ht="17.15" hidden="false" customHeight="false" outlineLevel="0" collapsed="false">
      <c r="A580" s="5" t="s">
        <v>530</v>
      </c>
      <c r="B580" s="0" t="s">
        <v>30</v>
      </c>
      <c r="C580" s="26" t="n">
        <f aca="false">c26_tel/1000</f>
        <v>0.75</v>
      </c>
      <c r="D580" s="26" t="n">
        <f aca="false">C580*(1+g_tel_27)</f>
        <v>0.9375</v>
      </c>
      <c r="E580" s="26" t="n">
        <f aca="false">D580*(1+g_tel_28)</f>
        <v>1.078125</v>
      </c>
      <c r="F580" s="26" t="n">
        <f aca="false">E580*(1+g_tel_29)</f>
        <v>1.1859375</v>
      </c>
    </row>
    <row r="581" customFormat="false" ht="17.15" hidden="false" customHeight="false" outlineLevel="0" collapsed="false">
      <c r="A581" s="5" t="s">
        <v>531</v>
      </c>
      <c r="B581" s="0" t="s">
        <v>30</v>
      </c>
      <c r="C581" s="26" t="n">
        <f aca="false">c26_ind/1000</f>
        <v>0.3</v>
      </c>
      <c r="D581" s="26" t="n">
        <f aca="false">C581*(1+g_ind)</f>
        <v>0.309</v>
      </c>
      <c r="E581" s="26" t="n">
        <f aca="false">D581*(1+g_ind)</f>
        <v>0.31827</v>
      </c>
      <c r="F581" s="26" t="n">
        <f aca="false">E581*(1+g_ind)</f>
        <v>0.3278181</v>
      </c>
    </row>
    <row r="582" customFormat="false" ht="15" hidden="false" customHeight="false" outlineLevel="0" collapsed="false">
      <c r="A582" s="5" t="s">
        <v>532</v>
      </c>
      <c r="B582" s="0" t="s">
        <v>30</v>
      </c>
      <c r="C582" s="26" t="n">
        <f aca="false">C579+C580+C581</f>
        <v>4.4647</v>
      </c>
      <c r="D582" s="26" t="n">
        <f aca="false">D579+D580+D581</f>
        <v>8.43189825561893</v>
      </c>
      <c r="E582" s="26" t="n">
        <f aca="false">E579+E580+E581</f>
        <v>9.7575025616833</v>
      </c>
      <c r="F582" s="26" t="n">
        <f aca="false">F579+F580+F581</f>
        <v>11.5366371093627</v>
      </c>
    </row>
    <row r="583" customFormat="false" ht="15" hidden="false" customHeight="false" outlineLevel="0" collapsed="false">
      <c r="A583" s="5" t="s">
        <v>533</v>
      </c>
      <c r="B583" s="0" t="s">
        <v>163</v>
      </c>
      <c r="D583" s="16" t="n">
        <f aca="false">D582/C582-1</f>
        <v>0.888569949967283</v>
      </c>
      <c r="E583" s="16" t="n">
        <f aca="false">E582/D582-1</f>
        <v>0.157213033871821</v>
      </c>
      <c r="F583" s="16" t="n">
        <f aca="false">F582/E582-1</f>
        <v>0.182335032600032</v>
      </c>
    </row>
    <row r="584" customFormat="false" ht="17.15" hidden="false" customHeight="false" outlineLevel="0" collapsed="false">
      <c r="A584" s="1" t="s">
        <v>534</v>
      </c>
    </row>
    <row r="585" customFormat="false" ht="17.15" hidden="false" customHeight="false" outlineLevel="0" collapsed="false">
      <c r="A585" s="6" t="s">
        <v>19</v>
      </c>
      <c r="B585" s="6" t="s">
        <v>20</v>
      </c>
      <c r="C585" s="14" t="s">
        <v>420</v>
      </c>
      <c r="D585" s="14" t="s">
        <v>487</v>
      </c>
      <c r="E585" s="14" t="s">
        <v>488</v>
      </c>
      <c r="F585" s="14" t="s">
        <v>489</v>
      </c>
      <c r="G585" s="14" t="s">
        <v>490</v>
      </c>
      <c r="H585" s="6" t="s">
        <v>428</v>
      </c>
    </row>
    <row r="586" customFormat="false" ht="17.15" hidden="false" customHeight="false" outlineLevel="0" collapsed="false">
      <c r="A586" s="0" t="s">
        <v>535</v>
      </c>
      <c r="B586" s="0" t="s">
        <v>30</v>
      </c>
      <c r="E586" s="26" t="n">
        <f aca="false">w2h_26*C579+h_1h*D579</f>
        <v>5.40391501515781</v>
      </c>
      <c r="F586" s="26" t="n">
        <f aca="false">(1-h_1h)*D579+h_1h*E579</f>
        <v>7.73798162946918</v>
      </c>
      <c r="G586" s="26" t="n">
        <f aca="false">(1-h_1h)*E579+h_1h*F579</f>
        <v>9.14214131709262</v>
      </c>
      <c r="H586" s="8" t="s">
        <v>536</v>
      </c>
    </row>
    <row r="587" customFormat="false" ht="17.15" hidden="false" customHeight="false" outlineLevel="0" collapsed="false">
      <c r="A587" s="5" t="s">
        <v>537</v>
      </c>
      <c r="B587" s="0" t="s">
        <v>30</v>
      </c>
      <c r="E587" s="26" t="n">
        <f aca="false">w2h_26*C580+h_1h*D580+w2h_26*C581+h_1h*D581</f>
        <v>1.20907716498309</v>
      </c>
      <c r="F587" s="26" t="n">
        <f aca="false">(1-h_1h)*D580+h_1h*E580+(1-h_1h)*D581+h_1h*E581</f>
        <v>1.31695065</v>
      </c>
      <c r="G587" s="26" t="n">
        <f aca="false">(1-h_1h)*E580+h_1h*F580+(1-h_1h)*E581+h_1h*F581</f>
        <v>1.451554482</v>
      </c>
    </row>
    <row r="588" customFormat="false" ht="15" hidden="false" customHeight="false" outlineLevel="0" collapsed="false">
      <c r="A588" s="5" t="s">
        <v>429</v>
      </c>
      <c r="B588" s="0" t="s">
        <v>30</v>
      </c>
      <c r="C588" s="26" t="n">
        <f aca="false">a25_rev/1000</f>
        <v>1.645</v>
      </c>
      <c r="D588" s="26" t="n">
        <f aca="false">a26_rev/1000</f>
        <v>3.014</v>
      </c>
      <c r="E588" s="26" t="n">
        <f aca="false">E586+E587</f>
        <v>6.6129921801409</v>
      </c>
      <c r="F588" s="26" t="n">
        <f aca="false">F586+F587</f>
        <v>9.05493227946918</v>
      </c>
      <c r="G588" s="26" t="n">
        <f aca="false">G586+G587</f>
        <v>10.5936957990926</v>
      </c>
    </row>
    <row r="589" customFormat="false" ht="15" hidden="false" customHeight="false" outlineLevel="0" collapsed="false">
      <c r="A589" s="5" t="s">
        <v>538</v>
      </c>
      <c r="B589" s="0" t="s">
        <v>163</v>
      </c>
      <c r="D589" s="16" t="n">
        <f aca="false">D588/C588-1</f>
        <v>0.832218844984802</v>
      </c>
      <c r="E589" s="16" t="n">
        <f aca="false">E588/D588-1</f>
        <v>1.19409163242896</v>
      </c>
      <c r="F589" s="16" t="n">
        <f aca="false">F588/E588-1</f>
        <v>0.369264023426723</v>
      </c>
      <c r="G589" s="16" t="n">
        <f aca="false">G588/F588-1</f>
        <v>0.169936502243355</v>
      </c>
    </row>
    <row r="590" customFormat="false" ht="17.15" hidden="false" customHeight="false" outlineLevel="0" collapsed="false">
      <c r="A590" s="0" t="s">
        <v>539</v>
      </c>
      <c r="B590" s="0" t="s">
        <v>163</v>
      </c>
      <c r="E590" s="16" t="n">
        <f aca="false">E586/E588</f>
        <v>0.817166400315125</v>
      </c>
      <c r="F590" s="16" t="n">
        <f aca="false">F586/F588</f>
        <v>0.854559856512013</v>
      </c>
      <c r="G590" s="16" t="n">
        <f aca="false">G586/G588</f>
        <v>0.862979406853996</v>
      </c>
    </row>
    <row r="591" customFormat="false" ht="17.15" hidden="false" customHeight="false" outlineLevel="0" collapsed="false">
      <c r="A591" s="5" t="s">
        <v>432</v>
      </c>
      <c r="B591" s="0" t="s">
        <v>163</v>
      </c>
      <c r="C591" s="16" t="n">
        <f aca="false">a25_gm</f>
        <v>0.347</v>
      </c>
      <c r="D591" s="16" t="n">
        <f aca="false">a26_gm</f>
        <v>0.46</v>
      </c>
      <c r="E591" s="16" t="n">
        <f aca="false">gm_27</f>
        <v>0.52</v>
      </c>
      <c r="F591" s="16" t="n">
        <f aca="false">gm_28</f>
        <v>0.51</v>
      </c>
      <c r="G591" s="16" t="n">
        <f aca="false">gm_29</f>
        <v>0.49</v>
      </c>
    </row>
    <row r="592" customFormat="false" ht="15" hidden="false" customHeight="false" outlineLevel="0" collapsed="false">
      <c r="A592" s="5" t="s">
        <v>433</v>
      </c>
      <c r="B592" s="0" t="s">
        <v>30</v>
      </c>
      <c r="C592" s="26" t="n">
        <f aca="false">C588*C591</f>
        <v>0.570815</v>
      </c>
      <c r="D592" s="26" t="n">
        <f aca="false">D588*D591</f>
        <v>1.38644</v>
      </c>
      <c r="E592" s="26" t="n">
        <f aca="false">E588*E591</f>
        <v>3.43875593367327</v>
      </c>
      <c r="F592" s="26" t="n">
        <f aca="false">F588*F591</f>
        <v>4.61801546252928</v>
      </c>
      <c r="G592" s="26" t="n">
        <f aca="false">G588*G591</f>
        <v>5.19091094155539</v>
      </c>
    </row>
    <row r="593" customFormat="false" ht="15" hidden="false" customHeight="false" outlineLevel="0" collapsed="false">
      <c r="A593" s="5" t="s">
        <v>540</v>
      </c>
      <c r="B593" s="0" t="s">
        <v>30</v>
      </c>
      <c r="C593" s="26" t="n">
        <f aca="false">a25_opx/1000</f>
        <v>0.4114</v>
      </c>
      <c r="D593" s="26" t="n">
        <f aca="false">a26_opx/1000</f>
        <v>0.4897</v>
      </c>
      <c r="E593" s="26" t="n">
        <f aca="false">D593*(1+MAX(0,phi*E589))</f>
        <v>0.623429643826143</v>
      </c>
      <c r="F593" s="26" t="n">
        <f aca="false">E593*(1+MAX(0,phi*F589))</f>
        <v>0.676077946575999</v>
      </c>
      <c r="G593" s="26" t="n">
        <f aca="false">F593*(1+MAX(0,phi*G589))</f>
        <v>0.702352985830498</v>
      </c>
    </row>
    <row r="594" customFormat="false" ht="15" hidden="false" customHeight="false" outlineLevel="0" collapsed="false">
      <c r="A594" s="5" t="s">
        <v>541</v>
      </c>
      <c r="B594" s="0" t="s">
        <v>30</v>
      </c>
      <c r="C594" s="26" t="n">
        <f aca="false">C593</f>
        <v>0.4114</v>
      </c>
      <c r="D594" s="26" t="n">
        <f aca="false">D593</f>
        <v>0.4897</v>
      </c>
      <c r="E594" s="26" t="n">
        <f aca="false">E593+0*E588</f>
        <v>0.623429643826143</v>
      </c>
      <c r="F594" s="26" t="n">
        <f aca="false">F593+0*F588</f>
        <v>0.676077946575999</v>
      </c>
      <c r="G594" s="26" t="n">
        <f aca="false">G593+0*G588</f>
        <v>0.702352985830498</v>
      </c>
    </row>
    <row r="595" customFormat="false" ht="15" hidden="false" customHeight="false" outlineLevel="0" collapsed="false">
      <c r="A595" s="5" t="s">
        <v>542</v>
      </c>
      <c r="B595" s="0" t="s">
        <v>30</v>
      </c>
      <c r="C595" s="26" t="n">
        <f aca="false">C592-C594</f>
        <v>0.159415</v>
      </c>
      <c r="D595" s="26" t="n">
        <f aca="false">D592-D594</f>
        <v>0.89674</v>
      </c>
      <c r="E595" s="26" t="n">
        <f aca="false">E592-E594</f>
        <v>2.81532628984712</v>
      </c>
      <c r="F595" s="26" t="n">
        <f aca="false">F592-F594</f>
        <v>3.94193751595328</v>
      </c>
      <c r="G595" s="26" t="n">
        <f aca="false">G592-G594</f>
        <v>4.48855795572489</v>
      </c>
    </row>
    <row r="596" customFormat="false" ht="15" hidden="false" customHeight="false" outlineLevel="0" collapsed="false">
      <c r="A596" s="5" t="s">
        <v>437</v>
      </c>
      <c r="B596" s="0" t="s">
        <v>163</v>
      </c>
      <c r="C596" s="16" t="n">
        <f aca="false">C595/C588</f>
        <v>0.0969088145896656</v>
      </c>
      <c r="D596" s="16" t="n">
        <f aca="false">D595/D588</f>
        <v>0.297524883875249</v>
      </c>
      <c r="E596" s="16" t="n">
        <f aca="false">E595/E588</f>
        <v>0.425726541504415</v>
      </c>
      <c r="F596" s="16" t="n">
        <f aca="false">F595/F588</f>
        <v>0.435335946674177</v>
      </c>
      <c r="G596" s="16" t="n">
        <f aca="false">G595/G588</f>
        <v>0.423700853870973</v>
      </c>
    </row>
    <row r="597" customFormat="false" ht="17.15" hidden="false" customHeight="false" outlineLevel="0" collapsed="false">
      <c r="A597" s="5" t="s">
        <v>438</v>
      </c>
      <c r="B597" s="0" t="s">
        <v>30</v>
      </c>
      <c r="C597" s="26" t="n">
        <f aca="false">a25_ni/1000</f>
        <v>0.1464</v>
      </c>
      <c r="D597" s="26" t="n">
        <f aca="false">a26_ni/1000</f>
        <v>0.7823</v>
      </c>
      <c r="E597" s="26" t="n">
        <f aca="false">(E595+oi_oth)*(1-tx)</f>
        <v>2.39439745202235</v>
      </c>
      <c r="F597" s="26" t="n">
        <f aca="false">(F595+oi_oth)*(1-tx)</f>
        <v>3.33511782582099</v>
      </c>
      <c r="G597" s="26" t="n">
        <f aca="false">(G595+oi_oth)*(1-tx)</f>
        <v>3.79154589303028</v>
      </c>
    </row>
    <row r="598" customFormat="false" ht="15" hidden="false" customHeight="false" outlineLevel="0" collapsed="false">
      <c r="A598" s="5" t="s">
        <v>500</v>
      </c>
      <c r="B598" s="0" t="s">
        <v>163</v>
      </c>
      <c r="C598" s="16" t="n">
        <f aca="false">C597/C588</f>
        <v>0.0889969604863222</v>
      </c>
      <c r="D598" s="16" t="n">
        <f aca="false">D597/D588</f>
        <v>0.259555408095554</v>
      </c>
      <c r="E598" s="16" t="n">
        <f aca="false">E597/E588</f>
        <v>0.362074744200186</v>
      </c>
      <c r="F598" s="16" t="n">
        <f aca="false">F597/F588</f>
        <v>0.368320570810111</v>
      </c>
      <c r="G598" s="16" t="n">
        <f aca="false">G597/G588</f>
        <v>0.357905868257519</v>
      </c>
    </row>
    <row r="599" customFormat="false" ht="17.15" hidden="false" customHeight="false" outlineLevel="0" collapsed="false">
      <c r="A599" s="5" t="s">
        <v>442</v>
      </c>
      <c r="B599" s="5" t="s">
        <v>237</v>
      </c>
      <c r="C599" s="15" t="n">
        <f aca="false">a25_sh</f>
        <v>71.0679611650485</v>
      </c>
      <c r="D599" s="15" t="n">
        <f aca="false">a26_sh</f>
        <v>90.2306805074971</v>
      </c>
      <c r="E599" s="15" t="n">
        <f aca="false">sh_q1</f>
        <v>102</v>
      </c>
      <c r="F599" s="15" t="n">
        <f aca="false">E599*(1+sh_g)</f>
        <v>103.02</v>
      </c>
      <c r="G599" s="15" t="n">
        <f aca="false">F599*(1+sh_g)</f>
        <v>104.0502</v>
      </c>
    </row>
    <row r="600" customFormat="false" ht="17.15" hidden="false" customHeight="false" outlineLevel="0" collapsed="false">
      <c r="A600" s="0" t="s">
        <v>444</v>
      </c>
      <c r="B600" s="0" t="s">
        <v>232</v>
      </c>
      <c r="C600" s="9" t="n">
        <f aca="false">C597*1000/C599</f>
        <v>2.06</v>
      </c>
      <c r="D600" s="9" t="n">
        <f aca="false">D597*1000/D599</f>
        <v>8.67</v>
      </c>
      <c r="E600" s="9" t="n">
        <f aca="false">E597*1000/E599</f>
        <v>23.4744848237485</v>
      </c>
      <c r="F600" s="9" t="n">
        <f aca="false">F597*1000/F599</f>
        <v>32.3734986004756</v>
      </c>
      <c r="G600" s="9" t="n">
        <f aca="false">G597*1000/G599</f>
        <v>36.4395829419865</v>
      </c>
    </row>
    <row r="601" customFormat="false" ht="17.15" hidden="false" customHeight="false" outlineLevel="0" collapsed="false">
      <c r="A601" s="0" t="s">
        <v>543</v>
      </c>
      <c r="B601" s="0" t="s">
        <v>163</v>
      </c>
      <c r="D601" s="16" t="n">
        <f aca="false">D600/C600-1</f>
        <v>3.20873786407767</v>
      </c>
      <c r="E601" s="16" t="n">
        <f aca="false">E600/D600-1</f>
        <v>1.70755303618783</v>
      </c>
      <c r="F601" s="16" t="n">
        <f aca="false">F600/E600-1</f>
        <v>0.379093038400747</v>
      </c>
      <c r="G601" s="16" t="n">
        <f aca="false">G600/F600-1</f>
        <v>0.125599163429658</v>
      </c>
    </row>
    <row r="604" customFormat="false" ht="17.15" hidden="false" customHeight="false" outlineLevel="0" collapsed="false">
      <c r="A604" s="3" t="s">
        <v>846</v>
      </c>
    </row>
    <row r="605" customFormat="false" ht="17.15" hidden="false" customHeight="false" outlineLevel="0" collapsed="false">
      <c r="A605" s="1" t="s">
        <v>509</v>
      </c>
    </row>
    <row r="606" customFormat="false" ht="17.15" hidden="false" customHeight="false" outlineLevel="0" collapsed="false">
      <c r="A606" s="6" t="s">
        <v>19</v>
      </c>
      <c r="B606" s="6" t="s">
        <v>20</v>
      </c>
      <c r="C606" s="14" t="s">
        <v>510</v>
      </c>
      <c r="D606" s="14" t="s">
        <v>465</v>
      </c>
      <c r="E606" s="14" t="s">
        <v>466</v>
      </c>
      <c r="F606" s="14" t="s">
        <v>467</v>
      </c>
      <c r="G606" s="14"/>
      <c r="H606" s="6" t="s">
        <v>428</v>
      </c>
    </row>
    <row r="607" customFormat="false" ht="17.15" hidden="false" customHeight="false" outlineLevel="0" collapsed="false">
      <c r="A607" s="0" t="s">
        <v>511</v>
      </c>
      <c r="B607" s="0" t="s">
        <v>30</v>
      </c>
      <c r="C607" s="26" t="n">
        <f aca="false">mpl_26*1</f>
        <v>29.753262</v>
      </c>
      <c r="D607" s="26" t="n">
        <f aca="false">mpl_27*1*1</f>
        <v>54.688309</v>
      </c>
      <c r="E607" s="26" t="n">
        <f aca="false">mpl_28*um28_A*1</f>
        <v>61.21325</v>
      </c>
      <c r="F607" s="26" t="n">
        <f aca="false">mpl_29*um29_A*1</f>
        <v>78.80848</v>
      </c>
    </row>
    <row r="608" customFormat="false" ht="17.15" hidden="false" customHeight="false" outlineLevel="0" collapsed="false">
      <c r="A608" s="5" t="s">
        <v>512</v>
      </c>
      <c r="B608" s="0" t="s">
        <v>96</v>
      </c>
      <c r="C608" s="20" t="n">
        <f aca="false">asp_26</f>
        <v>500</v>
      </c>
      <c r="D608" s="20" t="n">
        <f aca="false">asp_27</f>
        <v>520</v>
      </c>
      <c r="E608" s="20" t="n">
        <f aca="false">asp_28</f>
        <v>540</v>
      </c>
      <c r="F608" s="20" t="n">
        <f aca="false">asp_29</f>
        <v>560</v>
      </c>
    </row>
    <row r="609" customFormat="false" ht="17.15" hidden="false" customHeight="false" outlineLevel="0" collapsed="false">
      <c r="A609" s="5" t="s">
        <v>513</v>
      </c>
      <c r="B609" s="5" t="s">
        <v>336</v>
      </c>
      <c r="C609" s="15" t="n">
        <f aca="false">C607*1000/C608</f>
        <v>59.506524</v>
      </c>
      <c r="D609" s="15" t="n">
        <f aca="false">D607*1000/D608</f>
        <v>105.169825</v>
      </c>
      <c r="E609" s="15" t="n">
        <f aca="false">E607*1000/E608</f>
        <v>113.35787037037</v>
      </c>
      <c r="F609" s="15" t="n">
        <f aca="false">F607*1000/F608</f>
        <v>140.729428571429</v>
      </c>
    </row>
    <row r="610" customFormat="false" ht="17.15" hidden="false" customHeight="false" outlineLevel="0" collapsed="false">
      <c r="A610" s="5" t="s">
        <v>514</v>
      </c>
      <c r="B610" s="5" t="s">
        <v>108</v>
      </c>
      <c r="C610" s="18" t="n">
        <f aca="false">lpm_26</f>
        <v>5.5</v>
      </c>
      <c r="D610" s="18" t="n">
        <f aca="false">lpm_27</f>
        <v>5.5</v>
      </c>
      <c r="E610" s="18" t="n">
        <f aca="false">lpm_28</f>
        <v>5</v>
      </c>
      <c r="F610" s="18" t="n">
        <f aca="false">lpm_29</f>
        <v>4.8</v>
      </c>
    </row>
    <row r="611" customFormat="false" ht="17.15" hidden="false" customHeight="false" outlineLevel="0" collapsed="false">
      <c r="A611" s="5" t="s">
        <v>515</v>
      </c>
      <c r="B611" s="0" t="s">
        <v>120</v>
      </c>
      <c r="C611" s="18" t="n">
        <f aca="false">lasp_26</f>
        <v>13</v>
      </c>
      <c r="D611" s="18" t="n">
        <f aca="false">lasp_27</f>
        <v>15</v>
      </c>
      <c r="E611" s="18" t="n">
        <f aca="false">lasp_28</f>
        <v>15</v>
      </c>
      <c r="F611" s="18" t="n">
        <f aca="false">lasp_29</f>
        <v>14</v>
      </c>
    </row>
    <row r="612" customFormat="false" ht="17.15" hidden="false" customHeight="false" outlineLevel="0" collapsed="false">
      <c r="A612" s="5" t="s">
        <v>516</v>
      </c>
      <c r="B612" s="0" t="s">
        <v>30</v>
      </c>
      <c r="C612" s="26" t="n">
        <f aca="false">C609*C610*C611/1000</f>
        <v>4.254716466</v>
      </c>
      <c r="D612" s="26" t="n">
        <f aca="false">D609*D610*D611/1000</f>
        <v>8.6765105625</v>
      </c>
      <c r="E612" s="26" t="n">
        <f aca="false">E609*E610*E611/1000</f>
        <v>8.50184027777778</v>
      </c>
      <c r="F612" s="26" t="n">
        <f aca="false">F609*F610*F611/1000</f>
        <v>9.4570176</v>
      </c>
    </row>
    <row r="613" customFormat="false" ht="17.15" hidden="false" customHeight="false" outlineLevel="0" collapsed="false">
      <c r="A613" s="0" t="s">
        <v>517</v>
      </c>
      <c r="B613" s="0" t="s">
        <v>163</v>
      </c>
      <c r="C613" s="16" t="n">
        <f aca="false">c26_las/1000/C612</f>
        <v>0.43826657190933</v>
      </c>
      <c r="H613" s="8" t="s">
        <v>518</v>
      </c>
    </row>
    <row r="614" customFormat="false" ht="17.15" hidden="false" customHeight="false" outlineLevel="0" collapsed="false">
      <c r="A614" s="5" t="s">
        <v>519</v>
      </c>
      <c r="B614" s="0" t="s">
        <v>74</v>
      </c>
      <c r="C614" s="9" t="n">
        <f aca="false">1</f>
        <v>1</v>
      </c>
      <c r="D614" s="9" t="n">
        <f aca="false">lrel_27</f>
        <v>0.95</v>
      </c>
      <c r="E614" s="9" t="n">
        <f aca="false">lrel_28</f>
        <v>0.95</v>
      </c>
      <c r="F614" s="9" t="n">
        <f aca="false">lrel_29</f>
        <v>0.9</v>
      </c>
    </row>
    <row r="615" customFormat="false" ht="15" hidden="false" customHeight="false" outlineLevel="0" collapsed="false">
      <c r="A615" s="5" t="s">
        <v>520</v>
      </c>
      <c r="B615" s="0" t="s">
        <v>163</v>
      </c>
      <c r="C615" s="16" t="n">
        <f aca="false">$C$613*C614</f>
        <v>0.43826657190933</v>
      </c>
      <c r="D615" s="16" t="n">
        <f aca="false">$C$613*D614</f>
        <v>0.416353243313864</v>
      </c>
      <c r="E615" s="16" t="n">
        <f aca="false">$C$613*E614</f>
        <v>0.416353243313864</v>
      </c>
      <c r="F615" s="16" t="n">
        <f aca="false">$C$613*F614</f>
        <v>0.394439914718397</v>
      </c>
    </row>
    <row r="616" customFormat="false" ht="17.15" hidden="false" customHeight="false" outlineLevel="0" collapsed="false">
      <c r="A616" s="5" t="s">
        <v>521</v>
      </c>
      <c r="B616" s="0" t="s">
        <v>30</v>
      </c>
      <c r="C616" s="26" t="n">
        <f aca="false">C612*C615</f>
        <v>1.8647</v>
      </c>
      <c r="D616" s="26" t="n">
        <f aca="false">D612*D615</f>
        <v>3.61249331334387</v>
      </c>
      <c r="E616" s="26" t="n">
        <f aca="false">E612*E615</f>
        <v>3.53976877378922</v>
      </c>
      <c r="F616" s="26" t="n">
        <f aca="false">F612*F615</f>
        <v>3.73022521563438</v>
      </c>
    </row>
    <row r="617" customFormat="false" ht="17.15" hidden="false" customHeight="false" outlineLevel="0" collapsed="false">
      <c r="A617" s="5" t="s">
        <v>522</v>
      </c>
      <c r="B617" s="0" t="s">
        <v>163</v>
      </c>
      <c r="C617" s="16" t="n">
        <f aca="false">c26_xcvr/1000/C607</f>
        <v>0.0336097601668012</v>
      </c>
    </row>
    <row r="618" customFormat="false" ht="15" hidden="false" customHeight="false" outlineLevel="0" collapsed="false">
      <c r="A618" s="5" t="s">
        <v>523</v>
      </c>
      <c r="B618" s="0" t="s">
        <v>163</v>
      </c>
      <c r="C618" s="16" t="n">
        <f aca="false">C617</f>
        <v>0.0336097601668012</v>
      </c>
      <c r="D618" s="16" t="n">
        <f aca="false">$C$617*mrel_27</f>
        <v>0.0336097601668012</v>
      </c>
      <c r="E618" s="16" t="n">
        <f aca="false">$C$617*mrel_28</f>
        <v>0.0336097601668012</v>
      </c>
      <c r="F618" s="16" t="n">
        <f aca="false">$C$617*mrel_29</f>
        <v>0.0336097601668012</v>
      </c>
    </row>
    <row r="619" customFormat="false" ht="15" hidden="false" customHeight="false" outlineLevel="0" collapsed="false">
      <c r="A619" s="5" t="s">
        <v>524</v>
      </c>
      <c r="B619" s="0" t="s">
        <v>30</v>
      </c>
      <c r="C619" s="26" t="n">
        <f aca="false">C607*C618</f>
        <v>1</v>
      </c>
      <c r="D619" s="26" t="n">
        <f aca="false">D607*D618</f>
        <v>1.83806094941792</v>
      </c>
      <c r="E619" s="26" t="n">
        <f aca="false">E607*E618</f>
        <v>2.05736265153044</v>
      </c>
      <c r="F619" s="26" t="n">
        <f aca="false">F607*F618</f>
        <v>2.64873411191015</v>
      </c>
    </row>
    <row r="620" customFormat="false" ht="17.15" hidden="false" customHeight="false" outlineLevel="0" collapsed="false">
      <c r="A620" s="0" t="s">
        <v>525</v>
      </c>
      <c r="B620" s="5" t="s">
        <v>53</v>
      </c>
      <c r="C620" s="19" t="n">
        <f aca="false">tpu_26*1</f>
        <v>3.85</v>
      </c>
      <c r="D620" s="19" t="n">
        <f aca="false">tpu_27*1</f>
        <v>5.5</v>
      </c>
      <c r="E620" s="19" t="n">
        <f aca="false">tpu_28*um28_A</f>
        <v>7</v>
      </c>
      <c r="F620" s="19" t="n">
        <f aca="false">tpu_29*um29_A</f>
        <v>8.05</v>
      </c>
    </row>
    <row r="621" customFormat="false" ht="17.15" hidden="false" customHeight="false" outlineLevel="0" collapsed="false">
      <c r="A621" s="0" t="s">
        <v>526</v>
      </c>
      <c r="B621" s="0" t="s">
        <v>120</v>
      </c>
      <c r="C621" s="20" t="n">
        <f aca="false">c26_ocs/C620</f>
        <v>129.87012987013</v>
      </c>
      <c r="D621" s="20" t="n">
        <f aca="false">$C621*ocsk_27</f>
        <v>207.792207792208</v>
      </c>
      <c r="E621" s="20" t="n">
        <f aca="false">$C621*ocsk_28</f>
        <v>233.766233766234</v>
      </c>
      <c r="F621" s="20" t="n">
        <f aca="false">$C621*ocsk_29</f>
        <v>233.766233766234</v>
      </c>
    </row>
    <row r="622" customFormat="false" ht="17.15" hidden="false" customHeight="false" outlineLevel="0" collapsed="false">
      <c r="A622" s="0" t="s">
        <v>479</v>
      </c>
      <c r="B622" s="0" t="s">
        <v>30</v>
      </c>
      <c r="C622" s="26" t="n">
        <f aca="false">C620*C621/1000</f>
        <v>0.5</v>
      </c>
      <c r="D622" s="26" t="n">
        <f aca="false">D620*D621/1000</f>
        <v>1.14285714285714</v>
      </c>
      <c r="E622" s="26" t="n">
        <f aca="false">E620*E621/1000</f>
        <v>1.63636363636364</v>
      </c>
      <c r="F622" s="26" t="n">
        <f aca="false">F620*F621/1000</f>
        <v>1.88181818181818</v>
      </c>
    </row>
    <row r="623" customFormat="false" ht="17.15" hidden="false" customHeight="false" outlineLevel="0" collapsed="false">
      <c r="A623" s="0" t="s">
        <v>527</v>
      </c>
      <c r="B623" s="0" t="s">
        <v>30</v>
      </c>
      <c r="C623" s="26" t="n">
        <f aca="false">mcp_26*1</f>
        <v>0.300538</v>
      </c>
      <c r="D623" s="26" t="n">
        <f aca="false">mcp_27*1</f>
        <v>1.691391</v>
      </c>
      <c r="E623" s="26" t="n">
        <f aca="false">mcp_28*um28_A</f>
        <v>3.22175</v>
      </c>
      <c r="F623" s="26" t="n">
        <f aca="false">mcp_29*um29_A</f>
        <v>5.87368</v>
      </c>
    </row>
    <row r="624" customFormat="false" ht="17.15" hidden="false" customHeight="false" outlineLevel="0" collapsed="false">
      <c r="A624" s="0" t="s">
        <v>480</v>
      </c>
      <c r="B624" s="0" t="s">
        <v>163</v>
      </c>
      <c r="C624" s="16" t="n">
        <f aca="false">c26_cpo/1000/C623</f>
        <v>0.166368312825666</v>
      </c>
      <c r="D624" s="16" t="n">
        <f aca="false">cpo_27</f>
        <v>0.25</v>
      </c>
      <c r="E624" s="16" t="n">
        <f aca="false">cpo_28</f>
        <v>0.25</v>
      </c>
      <c r="F624" s="16" t="n">
        <f aca="false">cpo_29</f>
        <v>0.2</v>
      </c>
    </row>
    <row r="625" customFormat="false" ht="17.15" hidden="false" customHeight="false" outlineLevel="0" collapsed="false">
      <c r="A625" s="0" t="s">
        <v>528</v>
      </c>
      <c r="B625" s="0" t="s">
        <v>30</v>
      </c>
      <c r="C625" s="26" t="n">
        <f aca="false">C623*C624</f>
        <v>0.05</v>
      </c>
      <c r="D625" s="26" t="n">
        <f aca="false">D623*D624</f>
        <v>0.42284775</v>
      </c>
      <c r="E625" s="26" t="n">
        <f aca="false">E623*E624</f>
        <v>0.8054375</v>
      </c>
      <c r="F625" s="26" t="n">
        <f aca="false">F623*F624</f>
        <v>1.174736</v>
      </c>
    </row>
    <row r="626" customFormat="false" ht="17.15" hidden="false" customHeight="false" outlineLevel="0" collapsed="false">
      <c r="A626" s="0" t="s">
        <v>529</v>
      </c>
      <c r="B626" s="0" t="s">
        <v>30</v>
      </c>
      <c r="C626" s="26" t="n">
        <f aca="false">C616+C619+C622+C625</f>
        <v>3.4147</v>
      </c>
      <c r="D626" s="26" t="n">
        <f aca="false">D616+D619+D622+D625</f>
        <v>7.01625915561893</v>
      </c>
      <c r="E626" s="26" t="n">
        <f aca="false">E616+E619+E622+E625</f>
        <v>8.0389325616833</v>
      </c>
      <c r="F626" s="26" t="n">
        <f aca="false">F616+F619+F622+F625</f>
        <v>9.43551350936271</v>
      </c>
    </row>
    <row r="627" customFormat="false" ht="17.15" hidden="false" customHeight="false" outlineLevel="0" collapsed="false">
      <c r="A627" s="5" t="s">
        <v>530</v>
      </c>
      <c r="B627" s="0" t="s">
        <v>30</v>
      </c>
      <c r="C627" s="26" t="n">
        <f aca="false">c26_tel/1000</f>
        <v>0.75</v>
      </c>
      <c r="D627" s="26" t="n">
        <f aca="false">C627*(1+g_tel_27)</f>
        <v>0.9375</v>
      </c>
      <c r="E627" s="26" t="n">
        <f aca="false">D627*(1+g_tel_28)</f>
        <v>1.078125</v>
      </c>
      <c r="F627" s="26" t="n">
        <f aca="false">E627*(1+g_tel_29)</f>
        <v>1.1859375</v>
      </c>
    </row>
    <row r="628" customFormat="false" ht="17.15" hidden="false" customHeight="false" outlineLevel="0" collapsed="false">
      <c r="A628" s="5" t="s">
        <v>531</v>
      </c>
      <c r="B628" s="0" t="s">
        <v>30</v>
      </c>
      <c r="C628" s="26" t="n">
        <f aca="false">c26_ind/1000</f>
        <v>0.3</v>
      </c>
      <c r="D628" s="26" t="n">
        <f aca="false">C628*(1+g_ind)</f>
        <v>0.309</v>
      </c>
      <c r="E628" s="26" t="n">
        <f aca="false">D628*(1+g_ind)</f>
        <v>0.31827</v>
      </c>
      <c r="F628" s="26" t="n">
        <f aca="false">E628*(1+g_ind)</f>
        <v>0.3278181</v>
      </c>
    </row>
    <row r="629" customFormat="false" ht="15" hidden="false" customHeight="false" outlineLevel="0" collapsed="false">
      <c r="A629" s="5" t="s">
        <v>532</v>
      </c>
      <c r="B629" s="0" t="s">
        <v>30</v>
      </c>
      <c r="C629" s="26" t="n">
        <f aca="false">C626+C627+C628</f>
        <v>4.4647</v>
      </c>
      <c r="D629" s="26" t="n">
        <f aca="false">D626+D627+D628</f>
        <v>8.26275915561893</v>
      </c>
      <c r="E629" s="26" t="n">
        <f aca="false">E626+E627+E628</f>
        <v>9.4353275616833</v>
      </c>
      <c r="F629" s="26" t="n">
        <f aca="false">F626+F627+F628</f>
        <v>10.9492691093627</v>
      </c>
    </row>
    <row r="630" customFormat="false" ht="15" hidden="false" customHeight="false" outlineLevel="0" collapsed="false">
      <c r="A630" s="5" t="s">
        <v>533</v>
      </c>
      <c r="B630" s="0" t="s">
        <v>163</v>
      </c>
      <c r="D630" s="16" t="n">
        <f aca="false">D629/C629-1</f>
        <v>0.850686307169335</v>
      </c>
      <c r="E630" s="16" t="n">
        <f aca="false">E629/D629-1</f>
        <v>0.141910030775493</v>
      </c>
      <c r="F630" s="16" t="n">
        <f aca="false">F629/E629-1</f>
        <v>0.160454582819944</v>
      </c>
    </row>
    <row r="631" customFormat="false" ht="17.15" hidden="false" customHeight="false" outlineLevel="0" collapsed="false">
      <c r="A631" s="1" t="s">
        <v>534</v>
      </c>
    </row>
    <row r="632" customFormat="false" ht="17.15" hidden="false" customHeight="false" outlineLevel="0" collapsed="false">
      <c r="A632" s="6" t="s">
        <v>19</v>
      </c>
      <c r="B632" s="6" t="s">
        <v>20</v>
      </c>
      <c r="C632" s="14" t="s">
        <v>420</v>
      </c>
      <c r="D632" s="14" t="s">
        <v>487</v>
      </c>
      <c r="E632" s="14" t="s">
        <v>488</v>
      </c>
      <c r="F632" s="14" t="s">
        <v>489</v>
      </c>
      <c r="G632" s="14" t="s">
        <v>490</v>
      </c>
      <c r="H632" s="6" t="s">
        <v>428</v>
      </c>
    </row>
    <row r="633" customFormat="false" ht="17.15" hidden="false" customHeight="false" outlineLevel="0" collapsed="false">
      <c r="A633" s="0" t="s">
        <v>535</v>
      </c>
      <c r="B633" s="0" t="s">
        <v>30</v>
      </c>
      <c r="E633" s="26" t="n">
        <f aca="false">w2h_26*C626+h_1h*D626</f>
        <v>5.32441963815781</v>
      </c>
      <c r="F633" s="26" t="n">
        <f aca="false">(1-h_1h)*D626+h_1h*E626</f>
        <v>7.49691565646918</v>
      </c>
      <c r="G633" s="26" t="n">
        <f aca="false">(1-h_1h)*E626+h_1h*F626</f>
        <v>8.69532560709262</v>
      </c>
      <c r="H633" s="8" t="s">
        <v>536</v>
      </c>
    </row>
    <row r="634" customFormat="false" ht="17.15" hidden="false" customHeight="false" outlineLevel="0" collapsed="false">
      <c r="A634" s="5" t="s">
        <v>537</v>
      </c>
      <c r="B634" s="0" t="s">
        <v>30</v>
      </c>
      <c r="E634" s="26" t="n">
        <f aca="false">w2h_26*C627+h_1h*D627+w2h_26*C628+h_1h*D628</f>
        <v>1.20907716498309</v>
      </c>
      <c r="F634" s="26" t="n">
        <f aca="false">(1-h_1h)*D627+h_1h*E627+(1-h_1h)*D628+h_1h*E628</f>
        <v>1.31695065</v>
      </c>
      <c r="G634" s="26" t="n">
        <f aca="false">(1-h_1h)*E627+h_1h*F627+(1-h_1h)*E628+h_1h*F628</f>
        <v>1.451554482</v>
      </c>
    </row>
    <row r="635" customFormat="false" ht="15" hidden="false" customHeight="false" outlineLevel="0" collapsed="false">
      <c r="A635" s="5" t="s">
        <v>429</v>
      </c>
      <c r="B635" s="0" t="s">
        <v>30</v>
      </c>
      <c r="C635" s="26" t="n">
        <f aca="false">a25_rev/1000</f>
        <v>1.645</v>
      </c>
      <c r="D635" s="26" t="n">
        <f aca="false">a26_rev/1000</f>
        <v>3.014</v>
      </c>
      <c r="E635" s="26" t="n">
        <f aca="false">E633+E634</f>
        <v>6.5334968031409</v>
      </c>
      <c r="F635" s="26" t="n">
        <f aca="false">F633+F634</f>
        <v>8.81386630646918</v>
      </c>
      <c r="G635" s="26" t="n">
        <f aca="false">G633+G634</f>
        <v>10.1468800890926</v>
      </c>
    </row>
    <row r="636" customFormat="false" ht="15" hidden="false" customHeight="false" outlineLevel="0" collapsed="false">
      <c r="A636" s="5" t="s">
        <v>538</v>
      </c>
      <c r="B636" s="0" t="s">
        <v>163</v>
      </c>
      <c r="D636" s="16" t="n">
        <f aca="false">D635/C635-1</f>
        <v>0.832218844984802</v>
      </c>
      <c r="E636" s="16" t="n">
        <f aca="false">E635/D635-1</f>
        <v>1.16771625850727</v>
      </c>
      <c r="F636" s="16" t="n">
        <f aca="false">F635/E635-1</f>
        <v>0.349027415492425</v>
      </c>
      <c r="G636" s="16" t="n">
        <f aca="false">G635/F635-1</f>
        <v>0.151240526719249</v>
      </c>
    </row>
    <row r="637" customFormat="false" ht="17.15" hidden="false" customHeight="false" outlineLevel="0" collapsed="false">
      <c r="A637" s="0" t="s">
        <v>539</v>
      </c>
      <c r="B637" s="0" t="s">
        <v>163</v>
      </c>
      <c r="E637" s="16" t="n">
        <f aca="false">E633/E635</f>
        <v>0.814941798945728</v>
      </c>
      <c r="F637" s="16" t="n">
        <f aca="false">F633/F635</f>
        <v>0.850581957541903</v>
      </c>
      <c r="G637" s="16" t="n">
        <f aca="false">G633/G635</f>
        <v>0.856945734131583</v>
      </c>
    </row>
    <row r="638" customFormat="false" ht="17.15" hidden="false" customHeight="false" outlineLevel="0" collapsed="false">
      <c r="A638" s="5" t="s">
        <v>432</v>
      </c>
      <c r="B638" s="0" t="s">
        <v>163</v>
      </c>
      <c r="C638" s="16" t="n">
        <f aca="false">a25_gm</f>
        <v>0.347</v>
      </c>
      <c r="D638" s="16" t="n">
        <f aca="false">a26_gm</f>
        <v>0.46</v>
      </c>
      <c r="E638" s="16" t="n">
        <f aca="false">GMLO_27</f>
        <v>0.49</v>
      </c>
      <c r="F638" s="16" t="n">
        <f aca="false">GMLO_28</f>
        <v>0.46</v>
      </c>
      <c r="G638" s="16" t="n">
        <f aca="false">GMLO_29</f>
        <v>0.42</v>
      </c>
    </row>
    <row r="639" customFormat="false" ht="15" hidden="false" customHeight="false" outlineLevel="0" collapsed="false">
      <c r="A639" s="5" t="s">
        <v>433</v>
      </c>
      <c r="B639" s="0" t="s">
        <v>30</v>
      </c>
      <c r="C639" s="26" t="n">
        <f aca="false">C635*C638</f>
        <v>0.570815</v>
      </c>
      <c r="D639" s="26" t="n">
        <f aca="false">D635*D638</f>
        <v>1.38644</v>
      </c>
      <c r="E639" s="26" t="n">
        <f aca="false">E635*E638</f>
        <v>3.20141343353904</v>
      </c>
      <c r="F639" s="26" t="n">
        <f aca="false">F635*F638</f>
        <v>4.05437850097582</v>
      </c>
      <c r="G639" s="26" t="n">
        <f aca="false">G635*G638</f>
        <v>4.2616896374189</v>
      </c>
    </row>
    <row r="640" customFormat="false" ht="15" hidden="false" customHeight="false" outlineLevel="0" collapsed="false">
      <c r="A640" s="5" t="s">
        <v>540</v>
      </c>
      <c r="B640" s="0" t="s">
        <v>30</v>
      </c>
      <c r="C640" s="26" t="n">
        <f aca="false">a25_opx/1000</f>
        <v>0.4114</v>
      </c>
      <c r="D640" s="26" t="n">
        <f aca="false">a26_opx/1000</f>
        <v>0.4897</v>
      </c>
      <c r="E640" s="26" t="n">
        <f aca="false">D640*(1+MAX(0,phi*E636))</f>
        <v>0.620475792325522</v>
      </c>
      <c r="F640" s="26" t="n">
        <f aca="false">E640*(1+MAX(0,phi*F636))</f>
        <v>0.670003053508791</v>
      </c>
      <c r="G640" s="26" t="n">
        <f aca="false">F640*(1+MAX(0,phi*G636))</f>
        <v>0.693177261048431</v>
      </c>
    </row>
    <row r="641" customFormat="false" ht="15" hidden="false" customHeight="false" outlineLevel="0" collapsed="false">
      <c r="A641" s="5" t="s">
        <v>541</v>
      </c>
      <c r="B641" s="0" t="s">
        <v>30</v>
      </c>
      <c r="C641" s="26" t="n">
        <f aca="false">C640</f>
        <v>0.4114</v>
      </c>
      <c r="D641" s="26" t="n">
        <f aca="false">D640</f>
        <v>0.4897</v>
      </c>
      <c r="E641" s="26" t="n">
        <f aca="false">E640+0*E635</f>
        <v>0.620475792325522</v>
      </c>
      <c r="F641" s="26" t="n">
        <f aca="false">F640+0*F635</f>
        <v>0.670003053508791</v>
      </c>
      <c r="G641" s="26" t="n">
        <f aca="false">G640+0*G635</f>
        <v>0.693177261048431</v>
      </c>
    </row>
    <row r="642" customFormat="false" ht="15" hidden="false" customHeight="false" outlineLevel="0" collapsed="false">
      <c r="A642" s="5" t="s">
        <v>542</v>
      </c>
      <c r="B642" s="0" t="s">
        <v>30</v>
      </c>
      <c r="C642" s="26" t="n">
        <f aca="false">C639-C641</f>
        <v>0.159415</v>
      </c>
      <c r="D642" s="26" t="n">
        <f aca="false">D639-D641</f>
        <v>0.89674</v>
      </c>
      <c r="E642" s="26" t="n">
        <f aca="false">E639-E641</f>
        <v>2.58093764121352</v>
      </c>
      <c r="F642" s="26" t="n">
        <f aca="false">F639-F641</f>
        <v>3.38437544746703</v>
      </c>
      <c r="G642" s="26" t="n">
        <f aca="false">G639-G641</f>
        <v>3.56851237637047</v>
      </c>
    </row>
    <row r="643" customFormat="false" ht="15" hidden="false" customHeight="false" outlineLevel="0" collapsed="false">
      <c r="A643" s="5" t="s">
        <v>437</v>
      </c>
      <c r="B643" s="0" t="s">
        <v>163</v>
      </c>
      <c r="C643" s="16" t="n">
        <f aca="false">C642/C635</f>
        <v>0.0969088145896656</v>
      </c>
      <c r="D643" s="16" t="n">
        <f aca="false">D642/D635</f>
        <v>0.297524883875249</v>
      </c>
      <c r="E643" s="16" t="n">
        <f aca="false">E642/E635</f>
        <v>0.395031591654375</v>
      </c>
      <c r="F643" s="16" t="n">
        <f aca="false">F642/F635</f>
        <v>0.383983070515033</v>
      </c>
      <c r="G643" s="16" t="n">
        <f aca="false">G642/G635</f>
        <v>0.351685675304909</v>
      </c>
    </row>
    <row r="644" customFormat="false" ht="17.15" hidden="false" customHeight="false" outlineLevel="0" collapsed="false">
      <c r="A644" s="5" t="s">
        <v>438</v>
      </c>
      <c r="B644" s="0" t="s">
        <v>30</v>
      </c>
      <c r="C644" s="26" t="n">
        <f aca="false">a25_ni/1000</f>
        <v>0.1464</v>
      </c>
      <c r="D644" s="26" t="n">
        <f aca="false">a26_ni/1000</f>
        <v>0.7823</v>
      </c>
      <c r="E644" s="26" t="n">
        <f aca="false">(E642+oi_oth)*(1-tx)</f>
        <v>2.19868293041329</v>
      </c>
      <c r="F644" s="26" t="n">
        <f aca="false">(F642+oi_oth)*(1-tx)</f>
        <v>2.86955349863497</v>
      </c>
      <c r="G644" s="26" t="n">
        <f aca="false">(G642+oi_oth)*(1-tx)</f>
        <v>3.02330783426934</v>
      </c>
    </row>
    <row r="645" customFormat="false" ht="15" hidden="false" customHeight="false" outlineLevel="0" collapsed="false">
      <c r="A645" s="5" t="s">
        <v>500</v>
      </c>
      <c r="B645" s="0" t="s">
        <v>163</v>
      </c>
      <c r="C645" s="16" t="n">
        <f aca="false">C644/C635</f>
        <v>0.0889969604863222</v>
      </c>
      <c r="D645" s="16" t="n">
        <f aca="false">D644/D635</f>
        <v>0.259555408095554</v>
      </c>
      <c r="E645" s="16" t="n">
        <f aca="false">E644/E635</f>
        <v>0.3365246814472</v>
      </c>
      <c r="F645" s="16" t="n">
        <f aca="false">F644/F635</f>
        <v>0.325572614657064</v>
      </c>
      <c r="G645" s="16" t="n">
        <f aca="false">G644/G635</f>
        <v>0.297954426160928</v>
      </c>
    </row>
    <row r="646" customFormat="false" ht="17.15" hidden="false" customHeight="false" outlineLevel="0" collapsed="false">
      <c r="A646" s="5" t="s">
        <v>442</v>
      </c>
      <c r="B646" s="5" t="s">
        <v>237</v>
      </c>
      <c r="C646" s="15" t="n">
        <f aca="false">a25_sh</f>
        <v>71.0679611650485</v>
      </c>
      <c r="D646" s="15" t="n">
        <f aca="false">a26_sh</f>
        <v>90.2306805074971</v>
      </c>
      <c r="E646" s="15" t="n">
        <f aca="false">sh_q1</f>
        <v>102</v>
      </c>
      <c r="F646" s="15" t="n">
        <f aca="false">E646*(1+sh_g)</f>
        <v>103.02</v>
      </c>
      <c r="G646" s="15" t="n">
        <f aca="false">F646*(1+sh_g)</f>
        <v>104.0502</v>
      </c>
    </row>
    <row r="647" customFormat="false" ht="17.15" hidden="false" customHeight="false" outlineLevel="0" collapsed="false">
      <c r="A647" s="0" t="s">
        <v>444</v>
      </c>
      <c r="B647" s="0" t="s">
        <v>232</v>
      </c>
      <c r="C647" s="9" t="n">
        <f aca="false">C644*1000/C646</f>
        <v>2.06</v>
      </c>
      <c r="D647" s="9" t="n">
        <f aca="false">D644*1000/D646</f>
        <v>8.67</v>
      </c>
      <c r="E647" s="9" t="n">
        <f aca="false">E644*1000/E646</f>
        <v>21.5557150040518</v>
      </c>
      <c r="F647" s="9" t="n">
        <f aca="false">F644*1000/F646</f>
        <v>27.8543340966314</v>
      </c>
      <c r="G647" s="9" t="n">
        <f aca="false">G644*1000/G646</f>
        <v>29.0562424125023</v>
      </c>
    </row>
    <row r="648" customFormat="false" ht="17.15" hidden="false" customHeight="false" outlineLevel="0" collapsed="false">
      <c r="A648" s="0" t="s">
        <v>543</v>
      </c>
      <c r="B648" s="0" t="s">
        <v>163</v>
      </c>
      <c r="D648" s="16" t="n">
        <f aca="false">D647/C647-1</f>
        <v>3.20873786407767</v>
      </c>
      <c r="E648" s="16" t="n">
        <f aca="false">E647/D647-1</f>
        <v>1.48624163829894</v>
      </c>
      <c r="F648" s="16" t="n">
        <f aca="false">F647/E647-1</f>
        <v>0.29220181707708</v>
      </c>
      <c r="G648" s="16" t="n">
        <f aca="false">G647/F647-1</f>
        <v>0.0431497773991358</v>
      </c>
    </row>
    <row r="651" customFormat="false" ht="17.15" hidden="false" customHeight="false" outlineLevel="0" collapsed="false">
      <c r="A651" s="3" t="s">
        <v>847</v>
      </c>
    </row>
    <row r="652" customFormat="false" ht="17.15" hidden="false" customHeight="false" outlineLevel="0" collapsed="false">
      <c r="A652" s="1" t="s">
        <v>509</v>
      </c>
    </row>
    <row r="653" customFormat="false" ht="17.15" hidden="false" customHeight="false" outlineLevel="0" collapsed="false">
      <c r="A653" s="6" t="s">
        <v>19</v>
      </c>
      <c r="B653" s="6" t="s">
        <v>20</v>
      </c>
      <c r="C653" s="14" t="s">
        <v>510</v>
      </c>
      <c r="D653" s="14" t="s">
        <v>465</v>
      </c>
      <c r="E653" s="14" t="s">
        <v>466</v>
      </c>
      <c r="F653" s="14" t="s">
        <v>467</v>
      </c>
      <c r="G653" s="14"/>
      <c r="H653" s="6" t="s">
        <v>428</v>
      </c>
    </row>
    <row r="654" customFormat="false" ht="17.15" hidden="false" customHeight="false" outlineLevel="0" collapsed="false">
      <c r="A654" s="0" t="s">
        <v>511</v>
      </c>
      <c r="B654" s="0" t="s">
        <v>30</v>
      </c>
      <c r="C654" s="26" t="n">
        <f aca="false">mpl_26*1</f>
        <v>29.753262</v>
      </c>
      <c r="D654" s="26" t="n">
        <f aca="false">mpl_27*1*1</f>
        <v>54.688309</v>
      </c>
      <c r="E654" s="26" t="n">
        <f aca="false">mpl_28*um28_A*1</f>
        <v>61.21325</v>
      </c>
      <c r="F654" s="26" t="n">
        <f aca="false">mpl_29*um29_A*1</f>
        <v>78.80848</v>
      </c>
    </row>
    <row r="655" customFormat="false" ht="17.15" hidden="false" customHeight="false" outlineLevel="0" collapsed="false">
      <c r="A655" s="5" t="s">
        <v>512</v>
      </c>
      <c r="B655" s="0" t="s">
        <v>96</v>
      </c>
      <c r="C655" s="20" t="n">
        <f aca="false">asp_26</f>
        <v>500</v>
      </c>
      <c r="D655" s="20" t="n">
        <f aca="false">asp_27</f>
        <v>520</v>
      </c>
      <c r="E655" s="20" t="n">
        <f aca="false">asp_28</f>
        <v>540</v>
      </c>
      <c r="F655" s="20" t="n">
        <f aca="false">asp_29</f>
        <v>560</v>
      </c>
    </row>
    <row r="656" customFormat="false" ht="17.15" hidden="false" customHeight="false" outlineLevel="0" collapsed="false">
      <c r="A656" s="5" t="s">
        <v>513</v>
      </c>
      <c r="B656" s="5" t="s">
        <v>336</v>
      </c>
      <c r="C656" s="15" t="n">
        <f aca="false">C654*1000/C655</f>
        <v>59.506524</v>
      </c>
      <c r="D656" s="15" t="n">
        <f aca="false">D654*1000/D655</f>
        <v>105.169825</v>
      </c>
      <c r="E656" s="15" t="n">
        <f aca="false">E654*1000/E655</f>
        <v>113.35787037037</v>
      </c>
      <c r="F656" s="15" t="n">
        <f aca="false">F654*1000/F655</f>
        <v>140.729428571429</v>
      </c>
    </row>
    <row r="657" customFormat="false" ht="17.15" hidden="false" customHeight="false" outlineLevel="0" collapsed="false">
      <c r="A657" s="5" t="s">
        <v>514</v>
      </c>
      <c r="B657" s="5" t="s">
        <v>108</v>
      </c>
      <c r="C657" s="18" t="n">
        <f aca="false">lpm_26</f>
        <v>5.5</v>
      </c>
      <c r="D657" s="18" t="n">
        <f aca="false">lpm_27</f>
        <v>5.5</v>
      </c>
      <c r="E657" s="18" t="n">
        <f aca="false">lpm_28</f>
        <v>5</v>
      </c>
      <c r="F657" s="18" t="n">
        <f aca="false">lpm_29</f>
        <v>4.8</v>
      </c>
    </row>
    <row r="658" customFormat="false" ht="17.15" hidden="false" customHeight="false" outlineLevel="0" collapsed="false">
      <c r="A658" s="5" t="s">
        <v>515</v>
      </c>
      <c r="B658" s="0" t="s">
        <v>120</v>
      </c>
      <c r="C658" s="18" t="n">
        <f aca="false">lasp_26</f>
        <v>13</v>
      </c>
      <c r="D658" s="18" t="n">
        <f aca="false">lasp_27</f>
        <v>15</v>
      </c>
      <c r="E658" s="18" t="n">
        <f aca="false">lasp_28</f>
        <v>15</v>
      </c>
      <c r="F658" s="18" t="n">
        <f aca="false">lasp_29</f>
        <v>14</v>
      </c>
    </row>
    <row r="659" customFormat="false" ht="17.15" hidden="false" customHeight="false" outlineLevel="0" collapsed="false">
      <c r="A659" s="5" t="s">
        <v>516</v>
      </c>
      <c r="B659" s="0" t="s">
        <v>30</v>
      </c>
      <c r="C659" s="26" t="n">
        <f aca="false">C656*C657*C658/1000</f>
        <v>4.254716466</v>
      </c>
      <c r="D659" s="26" t="n">
        <f aca="false">D656*D657*D658/1000</f>
        <v>8.6765105625</v>
      </c>
      <c r="E659" s="26" t="n">
        <f aca="false">E656*E657*E658/1000</f>
        <v>8.50184027777778</v>
      </c>
      <c r="F659" s="26" t="n">
        <f aca="false">F656*F657*F658/1000</f>
        <v>9.4570176</v>
      </c>
    </row>
    <row r="660" customFormat="false" ht="17.15" hidden="false" customHeight="false" outlineLevel="0" collapsed="false">
      <c r="A660" s="0" t="s">
        <v>517</v>
      </c>
      <c r="B660" s="0" t="s">
        <v>163</v>
      </c>
      <c r="C660" s="16" t="n">
        <f aca="false">c26_las/1000/C659</f>
        <v>0.43826657190933</v>
      </c>
      <c r="H660" s="8" t="s">
        <v>518</v>
      </c>
    </row>
    <row r="661" customFormat="false" ht="17.15" hidden="false" customHeight="false" outlineLevel="0" collapsed="false">
      <c r="A661" s="5" t="s">
        <v>519</v>
      </c>
      <c r="B661" s="0" t="s">
        <v>74</v>
      </c>
      <c r="C661" s="9" t="n">
        <f aca="false">1</f>
        <v>1</v>
      </c>
      <c r="D661" s="9" t="n">
        <f aca="false">lrel_27</f>
        <v>0.95</v>
      </c>
      <c r="E661" s="9" t="n">
        <f aca="false">lrel_28</f>
        <v>0.95</v>
      </c>
      <c r="F661" s="9" t="n">
        <f aca="false">lrel_29</f>
        <v>0.9</v>
      </c>
    </row>
    <row r="662" customFormat="false" ht="15" hidden="false" customHeight="false" outlineLevel="0" collapsed="false">
      <c r="A662" s="5" t="s">
        <v>520</v>
      </c>
      <c r="B662" s="0" t="s">
        <v>163</v>
      </c>
      <c r="C662" s="16" t="n">
        <f aca="false">$C$660*C661</f>
        <v>0.43826657190933</v>
      </c>
      <c r="D662" s="16" t="n">
        <f aca="false">$C$660*D661</f>
        <v>0.416353243313864</v>
      </c>
      <c r="E662" s="16" t="n">
        <f aca="false">$C$660*E661</f>
        <v>0.416353243313864</v>
      </c>
      <c r="F662" s="16" t="n">
        <f aca="false">$C$660*F661</f>
        <v>0.394439914718397</v>
      </c>
    </row>
    <row r="663" customFormat="false" ht="17.15" hidden="false" customHeight="false" outlineLevel="0" collapsed="false">
      <c r="A663" s="5" t="s">
        <v>521</v>
      </c>
      <c r="B663" s="0" t="s">
        <v>30</v>
      </c>
      <c r="C663" s="26" t="n">
        <f aca="false">C659*C662</f>
        <v>1.8647</v>
      </c>
      <c r="D663" s="26" t="n">
        <f aca="false">D659*D662</f>
        <v>3.61249331334387</v>
      </c>
      <c r="E663" s="26" t="n">
        <f aca="false">E659*E662</f>
        <v>3.53976877378922</v>
      </c>
      <c r="F663" s="26" t="n">
        <f aca="false">F659*F662</f>
        <v>3.73022521563438</v>
      </c>
    </row>
    <row r="664" customFormat="false" ht="17.15" hidden="false" customHeight="false" outlineLevel="0" collapsed="false">
      <c r="A664" s="5" t="s">
        <v>522</v>
      </c>
      <c r="B664" s="0" t="s">
        <v>163</v>
      </c>
      <c r="C664" s="16" t="n">
        <f aca="false">c26_xcvr/1000/C654</f>
        <v>0.0336097601668012</v>
      </c>
    </row>
    <row r="665" customFormat="false" ht="15" hidden="false" customHeight="false" outlineLevel="0" collapsed="false">
      <c r="A665" s="5" t="s">
        <v>523</v>
      </c>
      <c r="B665" s="0" t="s">
        <v>163</v>
      </c>
      <c r="C665" s="16" t="n">
        <f aca="false">C664</f>
        <v>0.0336097601668012</v>
      </c>
      <c r="D665" s="16" t="n">
        <f aca="false">$C$664*mrel_27</f>
        <v>0.0336097601668012</v>
      </c>
      <c r="E665" s="16" t="n">
        <f aca="false">$C$664*mrel_28</f>
        <v>0.0336097601668012</v>
      </c>
      <c r="F665" s="16" t="n">
        <f aca="false">$C$664*mrel_29</f>
        <v>0.0336097601668012</v>
      </c>
    </row>
    <row r="666" customFormat="false" ht="15" hidden="false" customHeight="false" outlineLevel="0" collapsed="false">
      <c r="A666" s="5" t="s">
        <v>524</v>
      </c>
      <c r="B666" s="0" t="s">
        <v>30</v>
      </c>
      <c r="C666" s="26" t="n">
        <f aca="false">C654*C665</f>
        <v>1</v>
      </c>
      <c r="D666" s="26" t="n">
        <f aca="false">D654*D665</f>
        <v>1.83806094941792</v>
      </c>
      <c r="E666" s="26" t="n">
        <f aca="false">E654*E665</f>
        <v>2.05736265153044</v>
      </c>
      <c r="F666" s="26" t="n">
        <f aca="false">F654*F665</f>
        <v>2.64873411191015</v>
      </c>
    </row>
    <row r="667" customFormat="false" ht="17.15" hidden="false" customHeight="false" outlineLevel="0" collapsed="false">
      <c r="A667" s="0" t="s">
        <v>525</v>
      </c>
      <c r="B667" s="5" t="s">
        <v>53</v>
      </c>
      <c r="C667" s="19" t="n">
        <f aca="false">tpu_26*1</f>
        <v>3.85</v>
      </c>
      <c r="D667" s="19" t="n">
        <f aca="false">tpu_27*1</f>
        <v>5.5</v>
      </c>
      <c r="E667" s="19" t="n">
        <f aca="false">tpu_28*um28_A</f>
        <v>7</v>
      </c>
      <c r="F667" s="19" t="n">
        <f aca="false">tpu_29*um29_A</f>
        <v>8.05</v>
      </c>
    </row>
    <row r="668" customFormat="false" ht="17.15" hidden="false" customHeight="false" outlineLevel="0" collapsed="false">
      <c r="A668" s="0" t="s">
        <v>526</v>
      </c>
      <c r="B668" s="0" t="s">
        <v>120</v>
      </c>
      <c r="C668" s="20" t="n">
        <f aca="false">c26_ocs/C667</f>
        <v>129.87012987013</v>
      </c>
      <c r="D668" s="20" t="n">
        <f aca="false">$C668*ocsk_27</f>
        <v>207.792207792208</v>
      </c>
      <c r="E668" s="20" t="n">
        <f aca="false">$C668*ocsk_28</f>
        <v>233.766233766234</v>
      </c>
      <c r="F668" s="20" t="n">
        <f aca="false">$C668*ocsk_29</f>
        <v>233.766233766234</v>
      </c>
    </row>
    <row r="669" customFormat="false" ht="17.15" hidden="false" customHeight="false" outlineLevel="0" collapsed="false">
      <c r="A669" s="0" t="s">
        <v>479</v>
      </c>
      <c r="B669" s="0" t="s">
        <v>30</v>
      </c>
      <c r="C669" s="26" t="n">
        <f aca="false">C667*C668/1000</f>
        <v>0.5</v>
      </c>
      <c r="D669" s="26" t="n">
        <f aca="false">D667*D668/1000</f>
        <v>1.14285714285714</v>
      </c>
      <c r="E669" s="26" t="n">
        <f aca="false">E667*E668/1000</f>
        <v>1.63636363636364</v>
      </c>
      <c r="F669" s="26" t="n">
        <f aca="false">F667*F668/1000</f>
        <v>1.88181818181818</v>
      </c>
    </row>
    <row r="670" customFormat="false" ht="17.15" hidden="false" customHeight="false" outlineLevel="0" collapsed="false">
      <c r="A670" s="0" t="s">
        <v>527</v>
      </c>
      <c r="B670" s="0" t="s">
        <v>30</v>
      </c>
      <c r="C670" s="26" t="n">
        <f aca="false">mcp_26*1</f>
        <v>0.300538</v>
      </c>
      <c r="D670" s="26" t="n">
        <f aca="false">mcp_27*1</f>
        <v>1.691391</v>
      </c>
      <c r="E670" s="26" t="n">
        <f aca="false">mcp_28*um28_A</f>
        <v>3.22175</v>
      </c>
      <c r="F670" s="26" t="n">
        <f aca="false">mcp_29*um29_A</f>
        <v>5.87368</v>
      </c>
    </row>
    <row r="671" customFormat="false" ht="17.15" hidden="false" customHeight="false" outlineLevel="0" collapsed="false">
      <c r="A671" s="0" t="s">
        <v>480</v>
      </c>
      <c r="B671" s="0" t="s">
        <v>163</v>
      </c>
      <c r="C671" s="16" t="n">
        <f aca="false">c26_cpo/1000/C670</f>
        <v>0.166368312825666</v>
      </c>
      <c r="D671" s="16" t="n">
        <f aca="false">cpo_27</f>
        <v>0.25</v>
      </c>
      <c r="E671" s="16" t="n">
        <f aca="false">cpo_28</f>
        <v>0.25</v>
      </c>
      <c r="F671" s="16" t="n">
        <f aca="false">cpo_29</f>
        <v>0.2</v>
      </c>
    </row>
    <row r="672" customFormat="false" ht="17.15" hidden="false" customHeight="false" outlineLevel="0" collapsed="false">
      <c r="A672" s="0" t="s">
        <v>528</v>
      </c>
      <c r="B672" s="0" t="s">
        <v>30</v>
      </c>
      <c r="C672" s="26" t="n">
        <f aca="false">C670*C671</f>
        <v>0.05</v>
      </c>
      <c r="D672" s="26" t="n">
        <f aca="false">D670*D671</f>
        <v>0.42284775</v>
      </c>
      <c r="E672" s="26" t="n">
        <f aca="false">E670*E671</f>
        <v>0.8054375</v>
      </c>
      <c r="F672" s="26" t="n">
        <f aca="false">F670*F671</f>
        <v>1.174736</v>
      </c>
    </row>
    <row r="673" customFormat="false" ht="17.15" hidden="false" customHeight="false" outlineLevel="0" collapsed="false">
      <c r="A673" s="0" t="s">
        <v>529</v>
      </c>
      <c r="B673" s="0" t="s">
        <v>30</v>
      </c>
      <c r="C673" s="26" t="n">
        <f aca="false">C663+C666+C669+C672</f>
        <v>3.4147</v>
      </c>
      <c r="D673" s="26" t="n">
        <f aca="false">D663+D666+D669+D672</f>
        <v>7.01625915561893</v>
      </c>
      <c r="E673" s="26" t="n">
        <f aca="false">E663+E666+E669+E672</f>
        <v>8.0389325616833</v>
      </c>
      <c r="F673" s="26" t="n">
        <f aca="false">F663+F666+F669+F672</f>
        <v>9.43551350936271</v>
      </c>
    </row>
    <row r="674" customFormat="false" ht="17.15" hidden="false" customHeight="false" outlineLevel="0" collapsed="false">
      <c r="A674" s="5" t="s">
        <v>530</v>
      </c>
      <c r="B674" s="0" t="s">
        <v>30</v>
      </c>
      <c r="C674" s="26" t="n">
        <f aca="false">c26_tel/1000</f>
        <v>0.75</v>
      </c>
      <c r="D674" s="26" t="n">
        <f aca="false">C674*(1+g_tel_27)</f>
        <v>0.9375</v>
      </c>
      <c r="E674" s="26" t="n">
        <f aca="false">D674*(1+g_tel_28)</f>
        <v>1.078125</v>
      </c>
      <c r="F674" s="26" t="n">
        <f aca="false">E674*(1+g_tel_29)</f>
        <v>1.1859375</v>
      </c>
    </row>
    <row r="675" customFormat="false" ht="17.15" hidden="false" customHeight="false" outlineLevel="0" collapsed="false">
      <c r="A675" s="5" t="s">
        <v>531</v>
      </c>
      <c r="B675" s="0" t="s">
        <v>30</v>
      </c>
      <c r="C675" s="26" t="n">
        <f aca="false">c26_ind/1000</f>
        <v>0.3</v>
      </c>
      <c r="D675" s="26" t="n">
        <f aca="false">C675*(1+g_ind)</f>
        <v>0.309</v>
      </c>
      <c r="E675" s="26" t="n">
        <f aca="false">D675*(1+g_ind)</f>
        <v>0.31827</v>
      </c>
      <c r="F675" s="26" t="n">
        <f aca="false">E675*(1+g_ind)</f>
        <v>0.3278181</v>
      </c>
    </row>
    <row r="676" customFormat="false" ht="15" hidden="false" customHeight="false" outlineLevel="0" collapsed="false">
      <c r="A676" s="5" t="s">
        <v>532</v>
      </c>
      <c r="B676" s="0" t="s">
        <v>30</v>
      </c>
      <c r="C676" s="26" t="n">
        <f aca="false">C673+C674+C675</f>
        <v>4.4647</v>
      </c>
      <c r="D676" s="26" t="n">
        <f aca="false">D673+D674+D675</f>
        <v>8.26275915561893</v>
      </c>
      <c r="E676" s="26" t="n">
        <f aca="false">E673+E674+E675</f>
        <v>9.4353275616833</v>
      </c>
      <c r="F676" s="26" t="n">
        <f aca="false">F673+F674+F675</f>
        <v>10.9492691093627</v>
      </c>
    </row>
    <row r="677" customFormat="false" ht="15" hidden="false" customHeight="false" outlineLevel="0" collapsed="false">
      <c r="A677" s="5" t="s">
        <v>533</v>
      </c>
      <c r="B677" s="0" t="s">
        <v>163</v>
      </c>
      <c r="D677" s="16" t="n">
        <f aca="false">D676/C676-1</f>
        <v>0.850686307169335</v>
      </c>
      <c r="E677" s="16" t="n">
        <f aca="false">E676/D676-1</f>
        <v>0.141910030775493</v>
      </c>
      <c r="F677" s="16" t="n">
        <f aca="false">F676/E676-1</f>
        <v>0.160454582819944</v>
      </c>
    </row>
    <row r="678" customFormat="false" ht="17.15" hidden="false" customHeight="false" outlineLevel="0" collapsed="false">
      <c r="A678" s="1" t="s">
        <v>534</v>
      </c>
    </row>
    <row r="679" customFormat="false" ht="17.15" hidden="false" customHeight="false" outlineLevel="0" collapsed="false">
      <c r="A679" s="6" t="s">
        <v>19</v>
      </c>
      <c r="B679" s="6" t="s">
        <v>20</v>
      </c>
      <c r="C679" s="14" t="s">
        <v>420</v>
      </c>
      <c r="D679" s="14" t="s">
        <v>487</v>
      </c>
      <c r="E679" s="14" t="s">
        <v>488</v>
      </c>
      <c r="F679" s="14" t="s">
        <v>489</v>
      </c>
      <c r="G679" s="14" t="s">
        <v>490</v>
      </c>
      <c r="H679" s="6" t="s">
        <v>428</v>
      </c>
    </row>
    <row r="680" customFormat="false" ht="17.15" hidden="false" customHeight="false" outlineLevel="0" collapsed="false">
      <c r="A680" s="0" t="s">
        <v>535</v>
      </c>
      <c r="B680" s="0" t="s">
        <v>30</v>
      </c>
      <c r="E680" s="26" t="n">
        <f aca="false">w2h_26*C673+h_1h*D673</f>
        <v>5.32441963815781</v>
      </c>
      <c r="F680" s="26" t="n">
        <f aca="false">(1-h_1h)*D673+h_1h*E673</f>
        <v>7.49691565646918</v>
      </c>
      <c r="G680" s="26" t="n">
        <f aca="false">(1-h_1h)*E673+h_1h*F673</f>
        <v>8.69532560709262</v>
      </c>
      <c r="H680" s="8" t="s">
        <v>536</v>
      </c>
    </row>
    <row r="681" customFormat="false" ht="17.15" hidden="false" customHeight="false" outlineLevel="0" collapsed="false">
      <c r="A681" s="5" t="s">
        <v>537</v>
      </c>
      <c r="B681" s="0" t="s">
        <v>30</v>
      </c>
      <c r="E681" s="26" t="n">
        <f aca="false">w2h_26*C674+h_1h*D674+w2h_26*C675+h_1h*D675</f>
        <v>1.20907716498309</v>
      </c>
      <c r="F681" s="26" t="n">
        <f aca="false">(1-h_1h)*D674+h_1h*E674+(1-h_1h)*D675+h_1h*E675</f>
        <v>1.31695065</v>
      </c>
      <c r="G681" s="26" t="n">
        <f aca="false">(1-h_1h)*E674+h_1h*F674+(1-h_1h)*E675+h_1h*F675</f>
        <v>1.451554482</v>
      </c>
    </row>
    <row r="682" customFormat="false" ht="15" hidden="false" customHeight="false" outlineLevel="0" collapsed="false">
      <c r="A682" s="5" t="s">
        <v>429</v>
      </c>
      <c r="B682" s="0" t="s">
        <v>30</v>
      </c>
      <c r="C682" s="26" t="n">
        <f aca="false">a25_rev/1000</f>
        <v>1.645</v>
      </c>
      <c r="D682" s="26" t="n">
        <f aca="false">a26_rev/1000</f>
        <v>3.014</v>
      </c>
      <c r="E682" s="26" t="n">
        <f aca="false">E680+E681</f>
        <v>6.5334968031409</v>
      </c>
      <c r="F682" s="26" t="n">
        <f aca="false">F680+F681</f>
        <v>8.81386630646918</v>
      </c>
      <c r="G682" s="26" t="n">
        <f aca="false">G680+G681</f>
        <v>10.1468800890926</v>
      </c>
    </row>
    <row r="683" customFormat="false" ht="15" hidden="false" customHeight="false" outlineLevel="0" collapsed="false">
      <c r="A683" s="5" t="s">
        <v>538</v>
      </c>
      <c r="B683" s="0" t="s">
        <v>163</v>
      </c>
      <c r="D683" s="16" t="n">
        <f aca="false">D682/C682-1</f>
        <v>0.832218844984802</v>
      </c>
      <c r="E683" s="16" t="n">
        <f aca="false">E682/D682-1</f>
        <v>1.16771625850727</v>
      </c>
      <c r="F683" s="16" t="n">
        <f aca="false">F682/E682-1</f>
        <v>0.349027415492425</v>
      </c>
      <c r="G683" s="16" t="n">
        <f aca="false">G682/F682-1</f>
        <v>0.151240526719249</v>
      </c>
    </row>
    <row r="684" customFormat="false" ht="17.15" hidden="false" customHeight="false" outlineLevel="0" collapsed="false">
      <c r="A684" s="0" t="s">
        <v>539</v>
      </c>
      <c r="B684" s="0" t="s">
        <v>163</v>
      </c>
      <c r="E684" s="16" t="n">
        <f aca="false">E680/E682</f>
        <v>0.814941798945728</v>
      </c>
      <c r="F684" s="16" t="n">
        <f aca="false">F680/F682</f>
        <v>0.850581957541903</v>
      </c>
      <c r="G684" s="16" t="n">
        <f aca="false">G680/G682</f>
        <v>0.856945734131583</v>
      </c>
    </row>
    <row r="685" customFormat="false" ht="17.15" hidden="false" customHeight="false" outlineLevel="0" collapsed="false">
      <c r="A685" s="5" t="s">
        <v>432</v>
      </c>
      <c r="B685" s="0" t="s">
        <v>163</v>
      </c>
      <c r="C685" s="16" t="n">
        <f aca="false">a25_gm</f>
        <v>0.347</v>
      </c>
      <c r="D685" s="16" t="n">
        <f aca="false">a26_gm</f>
        <v>0.46</v>
      </c>
      <c r="E685" s="16" t="n">
        <f aca="false">GMHI_27</f>
        <v>0.54</v>
      </c>
      <c r="F685" s="16" t="n">
        <f aca="false">GMHI_28</f>
        <v>0.54</v>
      </c>
      <c r="G685" s="16" t="n">
        <f aca="false">GMHI_29</f>
        <v>0.53</v>
      </c>
    </row>
    <row r="686" customFormat="false" ht="15" hidden="false" customHeight="false" outlineLevel="0" collapsed="false">
      <c r="A686" s="5" t="s">
        <v>433</v>
      </c>
      <c r="B686" s="0" t="s">
        <v>30</v>
      </c>
      <c r="C686" s="26" t="n">
        <f aca="false">C682*C685</f>
        <v>0.570815</v>
      </c>
      <c r="D686" s="26" t="n">
        <f aca="false">D682*D685</f>
        <v>1.38644</v>
      </c>
      <c r="E686" s="26" t="n">
        <f aca="false">E682*E685</f>
        <v>3.52808827369608</v>
      </c>
      <c r="F686" s="26" t="n">
        <f aca="false">F682*F685</f>
        <v>4.75948780549336</v>
      </c>
      <c r="G686" s="26" t="n">
        <f aca="false">G682*G685</f>
        <v>5.37784644721909</v>
      </c>
    </row>
    <row r="687" customFormat="false" ht="15" hidden="false" customHeight="false" outlineLevel="0" collapsed="false">
      <c r="A687" s="5" t="s">
        <v>540</v>
      </c>
      <c r="B687" s="0" t="s">
        <v>30</v>
      </c>
      <c r="C687" s="26" t="n">
        <f aca="false">a25_opx/1000</f>
        <v>0.4114</v>
      </c>
      <c r="D687" s="26" t="n">
        <f aca="false">a26_opx/1000</f>
        <v>0.4897</v>
      </c>
      <c r="E687" s="26" t="n">
        <f aca="false">D687*(1+MAX(0,phi*E683))</f>
        <v>0.620475792325522</v>
      </c>
      <c r="F687" s="26" t="n">
        <f aca="false">E687*(1+MAX(0,phi*F683))</f>
        <v>0.670003053508791</v>
      </c>
      <c r="G687" s="26" t="n">
        <f aca="false">F687*(1+MAX(0,phi*G683))</f>
        <v>0.693177261048431</v>
      </c>
    </row>
    <row r="688" customFormat="false" ht="15" hidden="false" customHeight="false" outlineLevel="0" collapsed="false">
      <c r="A688" s="5" t="s">
        <v>541</v>
      </c>
      <c r="B688" s="0" t="s">
        <v>30</v>
      </c>
      <c r="C688" s="26" t="n">
        <f aca="false">C687</f>
        <v>0.4114</v>
      </c>
      <c r="D688" s="26" t="n">
        <f aca="false">D687</f>
        <v>0.4897</v>
      </c>
      <c r="E688" s="26" t="n">
        <f aca="false">E687+0*E682</f>
        <v>0.620475792325522</v>
      </c>
      <c r="F688" s="26" t="n">
        <f aca="false">F687+0*F682</f>
        <v>0.670003053508791</v>
      </c>
      <c r="G688" s="26" t="n">
        <f aca="false">G687+0*G682</f>
        <v>0.693177261048431</v>
      </c>
    </row>
    <row r="689" customFormat="false" ht="15" hidden="false" customHeight="false" outlineLevel="0" collapsed="false">
      <c r="A689" s="5" t="s">
        <v>542</v>
      </c>
      <c r="B689" s="0" t="s">
        <v>30</v>
      </c>
      <c r="C689" s="26" t="n">
        <f aca="false">C686-C688</f>
        <v>0.159415</v>
      </c>
      <c r="D689" s="26" t="n">
        <f aca="false">D686-D688</f>
        <v>0.89674</v>
      </c>
      <c r="E689" s="26" t="n">
        <f aca="false">E686-E688</f>
        <v>2.90761248137056</v>
      </c>
      <c r="F689" s="26" t="n">
        <f aca="false">F686-F688</f>
        <v>4.08948475198457</v>
      </c>
      <c r="G689" s="26" t="n">
        <f aca="false">G686-G688</f>
        <v>4.68466918617066</v>
      </c>
    </row>
    <row r="690" customFormat="false" ht="15" hidden="false" customHeight="false" outlineLevel="0" collapsed="false">
      <c r="A690" s="5" t="s">
        <v>437</v>
      </c>
      <c r="B690" s="0" t="s">
        <v>163</v>
      </c>
      <c r="C690" s="16" t="n">
        <f aca="false">C689/C682</f>
        <v>0.0969088145896656</v>
      </c>
      <c r="D690" s="16" t="n">
        <f aca="false">D689/D682</f>
        <v>0.297524883875249</v>
      </c>
      <c r="E690" s="16" t="n">
        <f aca="false">E689/E682</f>
        <v>0.445031591654375</v>
      </c>
      <c r="F690" s="16" t="n">
        <f aca="false">F689/F682</f>
        <v>0.463983070515033</v>
      </c>
      <c r="G690" s="16" t="n">
        <f aca="false">G689/G682</f>
        <v>0.461685675304909</v>
      </c>
    </row>
    <row r="691" customFormat="false" ht="17.15" hidden="false" customHeight="false" outlineLevel="0" collapsed="false">
      <c r="A691" s="5" t="s">
        <v>438</v>
      </c>
      <c r="B691" s="0" t="s">
        <v>30</v>
      </c>
      <c r="C691" s="26" t="n">
        <f aca="false">a25_ni/1000</f>
        <v>0.1464</v>
      </c>
      <c r="D691" s="26" t="n">
        <f aca="false">a26_ni/1000</f>
        <v>0.7823</v>
      </c>
      <c r="E691" s="26" t="n">
        <f aca="false">(E689+oi_oth)*(1-tx)</f>
        <v>2.47145642194442</v>
      </c>
      <c r="F691" s="26" t="n">
        <f aca="false">(F689+oi_oth)*(1-tx)</f>
        <v>3.45831976790711</v>
      </c>
      <c r="G691" s="26" t="n">
        <f aca="false">(G689+oi_oth)*(1-tx)</f>
        <v>3.9552987704525</v>
      </c>
    </row>
    <row r="692" customFormat="false" ht="15" hidden="false" customHeight="false" outlineLevel="0" collapsed="false">
      <c r="A692" s="5" t="s">
        <v>500</v>
      </c>
      <c r="B692" s="0" t="s">
        <v>163</v>
      </c>
      <c r="C692" s="16" t="n">
        <f aca="false">C691/C682</f>
        <v>0.0889969604863222</v>
      </c>
      <c r="D692" s="16" t="n">
        <f aca="false">D691/D682</f>
        <v>0.259555408095554</v>
      </c>
      <c r="E692" s="16" t="n">
        <f aca="false">E691/E682</f>
        <v>0.3782746814472</v>
      </c>
      <c r="F692" s="16" t="n">
        <f aca="false">F691/F682</f>
        <v>0.392372614657064</v>
      </c>
      <c r="G692" s="16" t="n">
        <f aca="false">G691/G682</f>
        <v>0.389804426160929</v>
      </c>
    </row>
    <row r="693" customFormat="false" ht="17.15" hidden="false" customHeight="false" outlineLevel="0" collapsed="false">
      <c r="A693" s="5" t="s">
        <v>442</v>
      </c>
      <c r="B693" s="5" t="s">
        <v>237</v>
      </c>
      <c r="C693" s="15" t="n">
        <f aca="false">a25_sh</f>
        <v>71.0679611650485</v>
      </c>
      <c r="D693" s="15" t="n">
        <f aca="false">a26_sh</f>
        <v>90.2306805074971</v>
      </c>
      <c r="E693" s="15" t="n">
        <f aca="false">sh_q1</f>
        <v>102</v>
      </c>
      <c r="F693" s="15" t="n">
        <f aca="false">E693*(1+sh_g)</f>
        <v>103.02</v>
      </c>
      <c r="G693" s="15" t="n">
        <f aca="false">F693*(1+sh_g)</f>
        <v>104.0502</v>
      </c>
    </row>
    <row r="694" customFormat="false" ht="17.15" hidden="false" customHeight="false" outlineLevel="0" collapsed="false">
      <c r="A694" s="0" t="s">
        <v>444</v>
      </c>
      <c r="B694" s="0" t="s">
        <v>232</v>
      </c>
      <c r="C694" s="9" t="n">
        <f aca="false">C691*1000/C693</f>
        <v>2.06</v>
      </c>
      <c r="D694" s="9" t="n">
        <f aca="false">D691*1000/D693</f>
        <v>8.67</v>
      </c>
      <c r="E694" s="9" t="n">
        <f aca="false">E691*1000/E693</f>
        <v>24.2299649210237</v>
      </c>
      <c r="F694" s="9" t="n">
        <f aca="false">F691*1000/F693</f>
        <v>33.5694017463319</v>
      </c>
      <c r="G694" s="9" t="n">
        <f aca="false">G691*1000/G693</f>
        <v>38.0133701852808</v>
      </c>
    </row>
    <row r="695" customFormat="false" ht="17.15" hidden="false" customHeight="false" outlineLevel="0" collapsed="false">
      <c r="A695" s="0" t="s">
        <v>543</v>
      </c>
      <c r="B695" s="0" t="s">
        <v>163</v>
      </c>
      <c r="D695" s="16" t="n">
        <f aca="false">D694/C694-1</f>
        <v>3.20873786407767</v>
      </c>
      <c r="E695" s="16" t="n">
        <f aca="false">E694/D694-1</f>
        <v>1.79469030230954</v>
      </c>
      <c r="F695" s="16" t="n">
        <f aca="false">F694/E694-1</f>
        <v>0.385449869851219</v>
      </c>
      <c r="G695" s="16" t="n">
        <f aca="false">G694/F694-1</f>
        <v>0.132381520306194</v>
      </c>
    </row>
    <row r="698" customFormat="false" ht="17.15" hidden="false" customHeight="false" outlineLevel="0" collapsed="false">
      <c r="A698" s="3" t="s">
        <v>848</v>
      </c>
    </row>
    <row r="699" customFormat="false" ht="17.15" hidden="false" customHeight="false" outlineLevel="0" collapsed="false">
      <c r="A699" s="1" t="s">
        <v>509</v>
      </c>
    </row>
    <row r="700" customFormat="false" ht="17.15" hidden="false" customHeight="false" outlineLevel="0" collapsed="false">
      <c r="A700" s="6" t="s">
        <v>19</v>
      </c>
      <c r="B700" s="6" t="s">
        <v>20</v>
      </c>
      <c r="C700" s="14" t="s">
        <v>510</v>
      </c>
      <c r="D700" s="14" t="s">
        <v>465</v>
      </c>
      <c r="E700" s="14" t="s">
        <v>466</v>
      </c>
      <c r="F700" s="14" t="s">
        <v>467</v>
      </c>
      <c r="G700" s="14"/>
      <c r="H700" s="6" t="s">
        <v>428</v>
      </c>
    </row>
    <row r="701" customFormat="false" ht="17.15" hidden="false" customHeight="false" outlineLevel="0" collapsed="false">
      <c r="A701" s="0" t="s">
        <v>511</v>
      </c>
      <c r="B701" s="0" t="s">
        <v>30</v>
      </c>
      <c r="C701" s="26" t="n">
        <f aca="false">mpl_26*1</f>
        <v>29.753262</v>
      </c>
      <c r="D701" s="26" t="n">
        <f aca="false">mpl_27*1*mf_lo</f>
        <v>43.7506472</v>
      </c>
      <c r="E701" s="26" t="n">
        <f aca="false">mpl_28*um28_A*mf_lo</f>
        <v>48.9706</v>
      </c>
      <c r="F701" s="26" t="n">
        <f aca="false">mpl_29*um29_A*mf_lo</f>
        <v>63.046784</v>
      </c>
    </row>
    <row r="702" customFormat="false" ht="17.15" hidden="false" customHeight="false" outlineLevel="0" collapsed="false">
      <c r="A702" s="5" t="s">
        <v>512</v>
      </c>
      <c r="B702" s="0" t="s">
        <v>96</v>
      </c>
      <c r="C702" s="20" t="n">
        <f aca="false">asp_26</f>
        <v>500</v>
      </c>
      <c r="D702" s="20" t="n">
        <f aca="false">asp_27</f>
        <v>520</v>
      </c>
      <c r="E702" s="20" t="n">
        <f aca="false">asp_28</f>
        <v>540</v>
      </c>
      <c r="F702" s="20" t="n">
        <f aca="false">asp_29</f>
        <v>560</v>
      </c>
    </row>
    <row r="703" customFormat="false" ht="17.15" hidden="false" customHeight="false" outlineLevel="0" collapsed="false">
      <c r="A703" s="5" t="s">
        <v>513</v>
      </c>
      <c r="B703" s="5" t="s">
        <v>336</v>
      </c>
      <c r="C703" s="15" t="n">
        <f aca="false">C701*1000/C702</f>
        <v>59.506524</v>
      </c>
      <c r="D703" s="15" t="n">
        <f aca="false">D701*1000/D702</f>
        <v>84.13586</v>
      </c>
      <c r="E703" s="15" t="n">
        <f aca="false">E701*1000/E702</f>
        <v>90.6862962962963</v>
      </c>
      <c r="F703" s="15" t="n">
        <f aca="false">F701*1000/F702</f>
        <v>112.583542857143</v>
      </c>
    </row>
    <row r="704" customFormat="false" ht="17.15" hidden="false" customHeight="false" outlineLevel="0" collapsed="false">
      <c r="A704" s="5" t="s">
        <v>514</v>
      </c>
      <c r="B704" s="5" t="s">
        <v>108</v>
      </c>
      <c r="C704" s="18" t="n">
        <f aca="false">lpm_26</f>
        <v>5.5</v>
      </c>
      <c r="D704" s="18" t="n">
        <f aca="false">lpm_27</f>
        <v>5.5</v>
      </c>
      <c r="E704" s="18" t="n">
        <f aca="false">lpm_28</f>
        <v>5</v>
      </c>
      <c r="F704" s="18" t="n">
        <f aca="false">lpm_29</f>
        <v>4.8</v>
      </c>
    </row>
    <row r="705" customFormat="false" ht="17.15" hidden="false" customHeight="false" outlineLevel="0" collapsed="false">
      <c r="A705" s="5" t="s">
        <v>515</v>
      </c>
      <c r="B705" s="0" t="s">
        <v>120</v>
      </c>
      <c r="C705" s="18" t="n">
        <f aca="false">lasp_26</f>
        <v>13</v>
      </c>
      <c r="D705" s="18" t="n">
        <f aca="false">lasp_27</f>
        <v>15</v>
      </c>
      <c r="E705" s="18" t="n">
        <f aca="false">lasp_28</f>
        <v>15</v>
      </c>
      <c r="F705" s="18" t="n">
        <f aca="false">lasp_29</f>
        <v>14</v>
      </c>
    </row>
    <row r="706" customFormat="false" ht="17.15" hidden="false" customHeight="false" outlineLevel="0" collapsed="false">
      <c r="A706" s="5" t="s">
        <v>516</v>
      </c>
      <c r="B706" s="0" t="s">
        <v>30</v>
      </c>
      <c r="C706" s="26" t="n">
        <f aca="false">C703*C704*C705/1000</f>
        <v>4.254716466</v>
      </c>
      <c r="D706" s="26" t="n">
        <f aca="false">D703*D704*D705/1000</f>
        <v>6.94120845</v>
      </c>
      <c r="E706" s="26" t="n">
        <f aca="false">E703*E704*E705/1000</f>
        <v>6.80147222222222</v>
      </c>
      <c r="F706" s="26" t="n">
        <f aca="false">F703*F704*F705/1000</f>
        <v>7.56561408</v>
      </c>
    </row>
    <row r="707" customFormat="false" ht="17.15" hidden="false" customHeight="false" outlineLevel="0" collapsed="false">
      <c r="A707" s="0" t="s">
        <v>517</v>
      </c>
      <c r="B707" s="0" t="s">
        <v>163</v>
      </c>
      <c r="C707" s="16" t="n">
        <f aca="false">c26_las/1000/C706</f>
        <v>0.43826657190933</v>
      </c>
      <c r="H707" s="8" t="s">
        <v>518</v>
      </c>
    </row>
    <row r="708" customFormat="false" ht="17.15" hidden="false" customHeight="false" outlineLevel="0" collapsed="false">
      <c r="A708" s="5" t="s">
        <v>519</v>
      </c>
      <c r="B708" s="0" t="s">
        <v>74</v>
      </c>
      <c r="C708" s="9" t="n">
        <f aca="false">1</f>
        <v>1</v>
      </c>
      <c r="D708" s="9" t="n">
        <f aca="false">lrel_27</f>
        <v>0.95</v>
      </c>
      <c r="E708" s="9" t="n">
        <f aca="false">lrel_28</f>
        <v>0.95</v>
      </c>
      <c r="F708" s="9" t="n">
        <f aca="false">lrel_29</f>
        <v>0.9</v>
      </c>
    </row>
    <row r="709" customFormat="false" ht="15" hidden="false" customHeight="false" outlineLevel="0" collapsed="false">
      <c r="A709" s="5" t="s">
        <v>520</v>
      </c>
      <c r="B709" s="0" t="s">
        <v>163</v>
      </c>
      <c r="C709" s="16" t="n">
        <f aca="false">$C$707*C708</f>
        <v>0.43826657190933</v>
      </c>
      <c r="D709" s="16" t="n">
        <f aca="false">$C$707*D708</f>
        <v>0.416353243313864</v>
      </c>
      <c r="E709" s="16" t="n">
        <f aca="false">$C$707*E708</f>
        <v>0.416353243313864</v>
      </c>
      <c r="F709" s="16" t="n">
        <f aca="false">$C$707*F708</f>
        <v>0.394439914718397</v>
      </c>
    </row>
    <row r="710" customFormat="false" ht="17.15" hidden="false" customHeight="false" outlineLevel="0" collapsed="false">
      <c r="A710" s="5" t="s">
        <v>521</v>
      </c>
      <c r="B710" s="0" t="s">
        <v>30</v>
      </c>
      <c r="C710" s="26" t="n">
        <f aca="false">C706*C709</f>
        <v>1.8647</v>
      </c>
      <c r="D710" s="26" t="n">
        <f aca="false">D706*D709</f>
        <v>2.8899946506751</v>
      </c>
      <c r="E710" s="26" t="n">
        <f aca="false">E706*E709</f>
        <v>2.83181501903137</v>
      </c>
      <c r="F710" s="26" t="n">
        <f aca="false">F706*F709</f>
        <v>2.9841801725075</v>
      </c>
    </row>
    <row r="711" customFormat="false" ht="17.15" hidden="false" customHeight="false" outlineLevel="0" collapsed="false">
      <c r="A711" s="5" t="s">
        <v>522</v>
      </c>
      <c r="B711" s="0" t="s">
        <v>163</v>
      </c>
      <c r="C711" s="16" t="n">
        <f aca="false">c26_xcvr/1000/C701</f>
        <v>0.0336097601668012</v>
      </c>
    </row>
    <row r="712" customFormat="false" ht="15" hidden="false" customHeight="false" outlineLevel="0" collapsed="false">
      <c r="A712" s="5" t="s">
        <v>523</v>
      </c>
      <c r="B712" s="0" t="s">
        <v>163</v>
      </c>
      <c r="C712" s="16" t="n">
        <f aca="false">C711</f>
        <v>0.0336097601668012</v>
      </c>
      <c r="D712" s="16" t="n">
        <f aca="false">$C$711*mrel_27</f>
        <v>0.0336097601668012</v>
      </c>
      <c r="E712" s="16" t="n">
        <f aca="false">$C$711*mrel_28</f>
        <v>0.0336097601668012</v>
      </c>
      <c r="F712" s="16" t="n">
        <f aca="false">$C$711*mrel_29</f>
        <v>0.0336097601668012</v>
      </c>
    </row>
    <row r="713" customFormat="false" ht="15" hidden="false" customHeight="false" outlineLevel="0" collapsed="false">
      <c r="A713" s="5" t="s">
        <v>524</v>
      </c>
      <c r="B713" s="0" t="s">
        <v>30</v>
      </c>
      <c r="C713" s="26" t="n">
        <f aca="false">C701*C712</f>
        <v>1</v>
      </c>
      <c r="D713" s="26" t="n">
        <f aca="false">D701*D712</f>
        <v>1.47044875953433</v>
      </c>
      <c r="E713" s="26" t="n">
        <f aca="false">E701*E712</f>
        <v>1.64589012122436</v>
      </c>
      <c r="F713" s="26" t="n">
        <f aca="false">F701*F712</f>
        <v>2.11898728952812</v>
      </c>
    </row>
    <row r="714" customFormat="false" ht="17.15" hidden="false" customHeight="false" outlineLevel="0" collapsed="false">
      <c r="A714" s="0" t="s">
        <v>525</v>
      </c>
      <c r="B714" s="5" t="s">
        <v>53</v>
      </c>
      <c r="C714" s="19" t="n">
        <f aca="false">tpu_26*1</f>
        <v>3.85</v>
      </c>
      <c r="D714" s="19" t="n">
        <f aca="false">tpu_27*1</f>
        <v>5.5</v>
      </c>
      <c r="E714" s="19" t="n">
        <f aca="false">tpu_28*um28_A</f>
        <v>7</v>
      </c>
      <c r="F714" s="19" t="n">
        <f aca="false">tpu_29*um29_A</f>
        <v>8.05</v>
      </c>
    </row>
    <row r="715" customFormat="false" ht="17.15" hidden="false" customHeight="false" outlineLevel="0" collapsed="false">
      <c r="A715" s="0" t="s">
        <v>526</v>
      </c>
      <c r="B715" s="0" t="s">
        <v>120</v>
      </c>
      <c r="C715" s="20" t="n">
        <f aca="false">c26_ocs/C714</f>
        <v>129.87012987013</v>
      </c>
      <c r="D715" s="20" t="n">
        <f aca="false">$C715*ocsk_27</f>
        <v>207.792207792208</v>
      </c>
      <c r="E715" s="20" t="n">
        <f aca="false">$C715*ocsk_28</f>
        <v>233.766233766234</v>
      </c>
      <c r="F715" s="20" t="n">
        <f aca="false">$C715*ocsk_29</f>
        <v>233.766233766234</v>
      </c>
    </row>
    <row r="716" customFormat="false" ht="17.15" hidden="false" customHeight="false" outlineLevel="0" collapsed="false">
      <c r="A716" s="0" t="s">
        <v>479</v>
      </c>
      <c r="B716" s="0" t="s">
        <v>30</v>
      </c>
      <c r="C716" s="26" t="n">
        <f aca="false">C714*C715/1000</f>
        <v>0.5</v>
      </c>
      <c r="D716" s="26" t="n">
        <f aca="false">D714*D715/1000</f>
        <v>1.14285714285714</v>
      </c>
      <c r="E716" s="26" t="n">
        <f aca="false">E714*E715/1000</f>
        <v>1.63636363636364</v>
      </c>
      <c r="F716" s="26" t="n">
        <f aca="false">F714*F715/1000</f>
        <v>1.88181818181818</v>
      </c>
    </row>
    <row r="717" customFormat="false" ht="17.15" hidden="false" customHeight="false" outlineLevel="0" collapsed="false">
      <c r="A717" s="0" t="s">
        <v>527</v>
      </c>
      <c r="B717" s="0" t="s">
        <v>30</v>
      </c>
      <c r="C717" s="26" t="n">
        <f aca="false">mcp_26*1</f>
        <v>0.300538</v>
      </c>
      <c r="D717" s="26" t="n">
        <f aca="false">mcp_27*1</f>
        <v>1.691391</v>
      </c>
      <c r="E717" s="26" t="n">
        <f aca="false">mcp_28*um28_A</f>
        <v>3.22175</v>
      </c>
      <c r="F717" s="26" t="n">
        <f aca="false">mcp_29*um29_A</f>
        <v>5.87368</v>
      </c>
    </row>
    <row r="718" customFormat="false" ht="17.15" hidden="false" customHeight="false" outlineLevel="0" collapsed="false">
      <c r="A718" s="0" t="s">
        <v>480</v>
      </c>
      <c r="B718" s="0" t="s">
        <v>163</v>
      </c>
      <c r="C718" s="16" t="n">
        <f aca="false">c26_cpo/1000/C717</f>
        <v>0.166368312825666</v>
      </c>
      <c r="D718" s="16" t="n">
        <f aca="false">cpo_27</f>
        <v>0.25</v>
      </c>
      <c r="E718" s="16" t="n">
        <f aca="false">cpo_28</f>
        <v>0.25</v>
      </c>
      <c r="F718" s="16" t="n">
        <f aca="false">cpo_29</f>
        <v>0.2</v>
      </c>
    </row>
    <row r="719" customFormat="false" ht="17.15" hidden="false" customHeight="false" outlineLevel="0" collapsed="false">
      <c r="A719" s="0" t="s">
        <v>528</v>
      </c>
      <c r="B719" s="0" t="s">
        <v>30</v>
      </c>
      <c r="C719" s="26" t="n">
        <f aca="false">C717*C718</f>
        <v>0.05</v>
      </c>
      <c r="D719" s="26" t="n">
        <f aca="false">D717*D718</f>
        <v>0.42284775</v>
      </c>
      <c r="E719" s="26" t="n">
        <f aca="false">E717*E718</f>
        <v>0.8054375</v>
      </c>
      <c r="F719" s="26" t="n">
        <f aca="false">F717*F718</f>
        <v>1.174736</v>
      </c>
    </row>
    <row r="720" customFormat="false" ht="17.15" hidden="false" customHeight="false" outlineLevel="0" collapsed="false">
      <c r="A720" s="0" t="s">
        <v>529</v>
      </c>
      <c r="B720" s="0" t="s">
        <v>30</v>
      </c>
      <c r="C720" s="26" t="n">
        <f aca="false">C710+C713+C716+C719</f>
        <v>3.4147</v>
      </c>
      <c r="D720" s="26" t="n">
        <f aca="false">D710+D713+D716+D719</f>
        <v>5.92614830306657</v>
      </c>
      <c r="E720" s="26" t="n">
        <f aca="false">E710+E713+E716+E719</f>
        <v>6.91950627661937</v>
      </c>
      <c r="F720" s="26" t="n">
        <f aca="false">F710+F713+F716+F719</f>
        <v>8.15972164385381</v>
      </c>
    </row>
    <row r="721" customFormat="false" ht="17.15" hidden="false" customHeight="false" outlineLevel="0" collapsed="false">
      <c r="A721" s="5" t="s">
        <v>530</v>
      </c>
      <c r="B721" s="0" t="s">
        <v>30</v>
      </c>
      <c r="C721" s="26" t="n">
        <f aca="false">c26_tel/1000</f>
        <v>0.75</v>
      </c>
      <c r="D721" s="26" t="n">
        <f aca="false">C721*(1+g_tel_27)</f>
        <v>0.9375</v>
      </c>
      <c r="E721" s="26" t="n">
        <f aca="false">D721*(1+g_tel_28)</f>
        <v>1.078125</v>
      </c>
      <c r="F721" s="26" t="n">
        <f aca="false">E721*(1+g_tel_29)</f>
        <v>1.1859375</v>
      </c>
    </row>
    <row r="722" customFormat="false" ht="17.15" hidden="false" customHeight="false" outlineLevel="0" collapsed="false">
      <c r="A722" s="5" t="s">
        <v>531</v>
      </c>
      <c r="B722" s="0" t="s">
        <v>30</v>
      </c>
      <c r="C722" s="26" t="n">
        <f aca="false">c26_ind/1000</f>
        <v>0.3</v>
      </c>
      <c r="D722" s="26" t="n">
        <f aca="false">C722*(1+g_ind)</f>
        <v>0.309</v>
      </c>
      <c r="E722" s="26" t="n">
        <f aca="false">D722*(1+g_ind)</f>
        <v>0.31827</v>
      </c>
      <c r="F722" s="26" t="n">
        <f aca="false">E722*(1+g_ind)</f>
        <v>0.3278181</v>
      </c>
    </row>
    <row r="723" customFormat="false" ht="15" hidden="false" customHeight="false" outlineLevel="0" collapsed="false">
      <c r="A723" s="5" t="s">
        <v>532</v>
      </c>
      <c r="B723" s="0" t="s">
        <v>30</v>
      </c>
      <c r="C723" s="26" t="n">
        <f aca="false">C720+C721+C722</f>
        <v>4.4647</v>
      </c>
      <c r="D723" s="26" t="n">
        <f aca="false">D720+D721+D722</f>
        <v>7.17264830306657</v>
      </c>
      <c r="E723" s="26" t="n">
        <f aca="false">E720+E721+E722</f>
        <v>8.31590127661937</v>
      </c>
      <c r="F723" s="26" t="n">
        <f aca="false">F720+F721+F722</f>
        <v>9.67347724385381</v>
      </c>
    </row>
    <row r="724" customFormat="false" ht="15" hidden="false" customHeight="false" outlineLevel="0" collapsed="false">
      <c r="A724" s="5" t="s">
        <v>533</v>
      </c>
      <c r="B724" s="0" t="s">
        <v>163</v>
      </c>
      <c r="D724" s="16" t="n">
        <f aca="false">D723/C723-1</f>
        <v>0.606524134447235</v>
      </c>
      <c r="E724" s="16" t="n">
        <f aca="false">E723/D723-1</f>
        <v>0.15939063582192</v>
      </c>
      <c r="F724" s="16" t="n">
        <f aca="false">F723/E723-1</f>
        <v>0.163250611337985</v>
      </c>
    </row>
    <row r="725" customFormat="false" ht="17.15" hidden="false" customHeight="false" outlineLevel="0" collapsed="false">
      <c r="A725" s="1" t="s">
        <v>534</v>
      </c>
    </row>
    <row r="726" customFormat="false" ht="17.15" hidden="false" customHeight="false" outlineLevel="0" collapsed="false">
      <c r="A726" s="6" t="s">
        <v>19</v>
      </c>
      <c r="B726" s="6" t="s">
        <v>20</v>
      </c>
      <c r="C726" s="14" t="s">
        <v>420</v>
      </c>
      <c r="D726" s="14" t="s">
        <v>487</v>
      </c>
      <c r="E726" s="14" t="s">
        <v>488</v>
      </c>
      <c r="F726" s="14" t="s">
        <v>489</v>
      </c>
      <c r="G726" s="14" t="s">
        <v>490</v>
      </c>
      <c r="H726" s="6" t="s">
        <v>428</v>
      </c>
    </row>
    <row r="727" customFormat="false" ht="17.15" hidden="false" customHeight="false" outlineLevel="0" collapsed="false">
      <c r="A727" s="0" t="s">
        <v>535</v>
      </c>
      <c r="B727" s="0" t="s">
        <v>30</v>
      </c>
      <c r="E727" s="26" t="n">
        <f aca="false">w2h_26*C720+h_1h*D720</f>
        <v>4.8120675374582</v>
      </c>
      <c r="F727" s="26" t="n">
        <f aca="false">(1-h_1h)*D720+h_1h*E720</f>
        <v>6.39302655063639</v>
      </c>
      <c r="G727" s="26" t="n">
        <f aca="false">(1-h_1h)*E720+h_1h*F720</f>
        <v>7.50240749921955</v>
      </c>
      <c r="H727" s="8" t="s">
        <v>536</v>
      </c>
    </row>
    <row r="728" customFormat="false" ht="17.15" hidden="false" customHeight="false" outlineLevel="0" collapsed="false">
      <c r="A728" s="5" t="s">
        <v>537</v>
      </c>
      <c r="B728" s="0" t="s">
        <v>30</v>
      </c>
      <c r="E728" s="26" t="n">
        <f aca="false">w2h_26*C721+h_1h*D721+w2h_26*C722+h_1h*D722</f>
        <v>1.20907716498309</v>
      </c>
      <c r="F728" s="26" t="n">
        <f aca="false">(1-h_1h)*D721+h_1h*E721+(1-h_1h)*D722+h_1h*E722</f>
        <v>1.31695065</v>
      </c>
      <c r="G728" s="26" t="n">
        <f aca="false">(1-h_1h)*E721+h_1h*F721+(1-h_1h)*E722+h_1h*F722</f>
        <v>1.451554482</v>
      </c>
    </row>
    <row r="729" customFormat="false" ht="15" hidden="false" customHeight="false" outlineLevel="0" collapsed="false">
      <c r="A729" s="5" t="s">
        <v>429</v>
      </c>
      <c r="B729" s="0" t="s">
        <v>30</v>
      </c>
      <c r="C729" s="26" t="n">
        <f aca="false">a25_rev/1000</f>
        <v>1.645</v>
      </c>
      <c r="D729" s="26" t="n">
        <f aca="false">a26_rev/1000</f>
        <v>3.014</v>
      </c>
      <c r="E729" s="26" t="n">
        <f aca="false">E727+E728</f>
        <v>6.02114470244129</v>
      </c>
      <c r="F729" s="26" t="n">
        <f aca="false">F727+F728</f>
        <v>7.70997720063639</v>
      </c>
      <c r="G729" s="26" t="n">
        <f aca="false">G727+G728</f>
        <v>8.95396198121955</v>
      </c>
    </row>
    <row r="730" customFormat="false" ht="15" hidden="false" customHeight="false" outlineLevel="0" collapsed="false">
      <c r="A730" s="5" t="s">
        <v>538</v>
      </c>
      <c r="B730" s="0" t="s">
        <v>163</v>
      </c>
      <c r="D730" s="16" t="n">
        <f aca="false">D729/C729-1</f>
        <v>0.832218844984802</v>
      </c>
      <c r="E730" s="16" t="n">
        <f aca="false">E729/D729-1</f>
        <v>0.997725515076738</v>
      </c>
      <c r="F730" s="16" t="n">
        <f aca="false">F729/E729-1</f>
        <v>0.28048362589764</v>
      </c>
      <c r="G730" s="16" t="n">
        <f aca="false">G729/F729-1</f>
        <v>0.161347400674608</v>
      </c>
    </row>
    <row r="731" customFormat="false" ht="17.15" hidden="false" customHeight="false" outlineLevel="0" collapsed="false">
      <c r="A731" s="0" t="s">
        <v>539</v>
      </c>
      <c r="B731" s="0" t="s">
        <v>163</v>
      </c>
      <c r="E731" s="16" t="n">
        <f aca="false">E727/E729</f>
        <v>0.799194800202548</v>
      </c>
      <c r="F731" s="16" t="n">
        <f aca="false">F727/F729</f>
        <v>0.829188775047052</v>
      </c>
      <c r="G731" s="16" t="n">
        <f aca="false">G727/G729</f>
        <v>0.837886905813923</v>
      </c>
    </row>
    <row r="732" customFormat="false" ht="17.15" hidden="false" customHeight="false" outlineLevel="0" collapsed="false">
      <c r="A732" s="5" t="s">
        <v>432</v>
      </c>
      <c r="B732" s="0" t="s">
        <v>163</v>
      </c>
      <c r="C732" s="16" t="n">
        <f aca="false">a25_gm</f>
        <v>0.347</v>
      </c>
      <c r="D732" s="16" t="n">
        <f aca="false">a26_gm</f>
        <v>0.46</v>
      </c>
      <c r="E732" s="16" t="n">
        <f aca="false">gm_27</f>
        <v>0.52</v>
      </c>
      <c r="F732" s="16" t="n">
        <f aca="false">gm_28</f>
        <v>0.51</v>
      </c>
      <c r="G732" s="16" t="n">
        <f aca="false">gm_29</f>
        <v>0.49</v>
      </c>
    </row>
    <row r="733" customFormat="false" ht="15" hidden="false" customHeight="false" outlineLevel="0" collapsed="false">
      <c r="A733" s="5" t="s">
        <v>433</v>
      </c>
      <c r="B733" s="0" t="s">
        <v>30</v>
      </c>
      <c r="C733" s="26" t="n">
        <f aca="false">C729*C732</f>
        <v>0.570815</v>
      </c>
      <c r="D733" s="26" t="n">
        <f aca="false">D729*D732</f>
        <v>1.38644</v>
      </c>
      <c r="E733" s="26" t="n">
        <f aca="false">E729*E732</f>
        <v>3.13099524526947</v>
      </c>
      <c r="F733" s="26" t="n">
        <f aca="false">F729*F732</f>
        <v>3.93208837232456</v>
      </c>
      <c r="G733" s="26" t="n">
        <f aca="false">G729*G732</f>
        <v>4.38744137079758</v>
      </c>
    </row>
    <row r="734" customFormat="false" ht="15" hidden="false" customHeight="false" outlineLevel="0" collapsed="false">
      <c r="A734" s="5" t="s">
        <v>540</v>
      </c>
      <c r="B734" s="0" t="s">
        <v>30</v>
      </c>
      <c r="C734" s="26" t="n">
        <f aca="false">a25_opx/1000</f>
        <v>0.4114</v>
      </c>
      <c r="D734" s="26" t="n">
        <f aca="false">a26_opx/1000</f>
        <v>0.4897</v>
      </c>
      <c r="E734" s="26" t="n">
        <f aca="false">D734*(1+MAX(0,phi*E730))</f>
        <v>0.601438056061962</v>
      </c>
      <c r="F734" s="26" t="n">
        <f aca="false">E734*(1+MAX(0,phi*F730))</f>
        <v>0.640017711677689</v>
      </c>
      <c r="G734" s="26" t="n">
        <f aca="false">F734*(1+MAX(0,phi*G730))</f>
        <v>0.663634122487895</v>
      </c>
    </row>
    <row r="735" customFormat="false" ht="15" hidden="false" customHeight="false" outlineLevel="0" collapsed="false">
      <c r="A735" s="5" t="s">
        <v>541</v>
      </c>
      <c r="B735" s="0" t="s">
        <v>30</v>
      </c>
      <c r="C735" s="26" t="n">
        <f aca="false">C734</f>
        <v>0.4114</v>
      </c>
      <c r="D735" s="26" t="n">
        <f aca="false">D734</f>
        <v>0.4897</v>
      </c>
      <c r="E735" s="26" t="n">
        <f aca="false">E734+0*E729</f>
        <v>0.601438056061962</v>
      </c>
      <c r="F735" s="26" t="n">
        <f aca="false">F734+0*F729</f>
        <v>0.640017711677689</v>
      </c>
      <c r="G735" s="26" t="n">
        <f aca="false">G734+0*G729</f>
        <v>0.663634122487895</v>
      </c>
    </row>
    <row r="736" customFormat="false" ht="15" hidden="false" customHeight="false" outlineLevel="0" collapsed="false">
      <c r="A736" s="5" t="s">
        <v>542</v>
      </c>
      <c r="B736" s="0" t="s">
        <v>30</v>
      </c>
      <c r="C736" s="26" t="n">
        <f aca="false">C733-C735</f>
        <v>0.159415</v>
      </c>
      <c r="D736" s="26" t="n">
        <f aca="false">D733-D735</f>
        <v>0.89674</v>
      </c>
      <c r="E736" s="26" t="n">
        <f aca="false">E733-E735</f>
        <v>2.52955718920751</v>
      </c>
      <c r="F736" s="26" t="n">
        <f aca="false">F733-F735</f>
        <v>3.29207066064687</v>
      </c>
      <c r="G736" s="26" t="n">
        <f aca="false">G733-G735</f>
        <v>3.72380724830969</v>
      </c>
    </row>
    <row r="737" customFormat="false" ht="15" hidden="false" customHeight="false" outlineLevel="0" collapsed="false">
      <c r="A737" s="5" t="s">
        <v>437</v>
      </c>
      <c r="B737" s="0" t="s">
        <v>163</v>
      </c>
      <c r="C737" s="16" t="n">
        <f aca="false">C736/C729</f>
        <v>0.0969088145896656</v>
      </c>
      <c r="D737" s="16" t="n">
        <f aca="false">D736/D729</f>
        <v>0.297524883875249</v>
      </c>
      <c r="E737" s="16" t="n">
        <f aca="false">E736/E729</f>
        <v>0.420112339798426</v>
      </c>
      <c r="F737" s="16" t="n">
        <f aca="false">F736/F729</f>
        <v>0.426988378172524</v>
      </c>
      <c r="G737" s="16" t="n">
        <f aca="false">G736/G729</f>
        <v>0.415883745778703</v>
      </c>
    </row>
    <row r="738" customFormat="false" ht="17.15" hidden="false" customHeight="false" outlineLevel="0" collapsed="false">
      <c r="A738" s="5" t="s">
        <v>438</v>
      </c>
      <c r="B738" s="0" t="s">
        <v>30</v>
      </c>
      <c r="C738" s="26" t="n">
        <f aca="false">a25_ni/1000</f>
        <v>0.1464</v>
      </c>
      <c r="D738" s="26" t="n">
        <f aca="false">a26_ni/1000</f>
        <v>0.7823</v>
      </c>
      <c r="E738" s="26" t="n">
        <f aca="false">(E736+oi_oth)*(1-tx)</f>
        <v>2.15578025298827</v>
      </c>
      <c r="F738" s="26" t="n">
        <f aca="false">(F736+oi_oth)*(1-tx)</f>
        <v>2.79247900164013</v>
      </c>
      <c r="G738" s="26" t="n">
        <f aca="false">(G736+oi_oth)*(1-tx)</f>
        <v>3.15297905233859</v>
      </c>
    </row>
    <row r="739" customFormat="false" ht="15" hidden="false" customHeight="false" outlineLevel="0" collapsed="false">
      <c r="A739" s="5" t="s">
        <v>500</v>
      </c>
      <c r="B739" s="0" t="s">
        <v>163</v>
      </c>
      <c r="C739" s="16" t="n">
        <f aca="false">C738/C729</f>
        <v>0.0889969604863222</v>
      </c>
      <c r="D739" s="16" t="n">
        <f aca="false">D738/D729</f>
        <v>0.259555408095554</v>
      </c>
      <c r="E739" s="16" t="n">
        <f aca="false">E738/E729</f>
        <v>0.358034951745007</v>
      </c>
      <c r="F739" s="16" t="n">
        <f aca="false">F738/F729</f>
        <v>0.362190306011494</v>
      </c>
      <c r="G739" s="16" t="n">
        <f aca="false">G738/G729</f>
        <v>0.352132280542601</v>
      </c>
    </row>
    <row r="740" customFormat="false" ht="17.15" hidden="false" customHeight="false" outlineLevel="0" collapsed="false">
      <c r="A740" s="5" t="s">
        <v>442</v>
      </c>
      <c r="B740" s="5" t="s">
        <v>237</v>
      </c>
      <c r="C740" s="15" t="n">
        <f aca="false">a25_sh</f>
        <v>71.0679611650485</v>
      </c>
      <c r="D740" s="15" t="n">
        <f aca="false">a26_sh</f>
        <v>90.2306805074971</v>
      </c>
      <c r="E740" s="15" t="n">
        <f aca="false">sh_q1</f>
        <v>102</v>
      </c>
      <c r="F740" s="15" t="n">
        <f aca="false">E740*(1+sh_g)</f>
        <v>103.02</v>
      </c>
      <c r="G740" s="15" t="n">
        <f aca="false">F740*(1+sh_g)</f>
        <v>104.0502</v>
      </c>
    </row>
    <row r="741" customFormat="false" ht="17.15" hidden="false" customHeight="false" outlineLevel="0" collapsed="false">
      <c r="A741" s="0" t="s">
        <v>444</v>
      </c>
      <c r="B741" s="0" t="s">
        <v>232</v>
      </c>
      <c r="C741" s="9" t="n">
        <f aca="false">C738*1000/C740</f>
        <v>2.06</v>
      </c>
      <c r="D741" s="9" t="n">
        <f aca="false">D738*1000/D740</f>
        <v>8.67</v>
      </c>
      <c r="E741" s="9" t="n">
        <f aca="false">E738*1000/E740</f>
        <v>21.1351005194928</v>
      </c>
      <c r="F741" s="9" t="n">
        <f aca="false">F738*1000/F740</f>
        <v>27.1061832813059</v>
      </c>
      <c r="G741" s="9" t="n">
        <f aca="false">G738*1000/G740</f>
        <v>30.3024794987284</v>
      </c>
    </row>
    <row r="742" customFormat="false" ht="17.15" hidden="false" customHeight="false" outlineLevel="0" collapsed="false">
      <c r="A742" s="0" t="s">
        <v>543</v>
      </c>
      <c r="B742" s="0" t="s">
        <v>163</v>
      </c>
      <c r="D742" s="16" t="n">
        <f aca="false">D741/C741-1</f>
        <v>3.20873786407767</v>
      </c>
      <c r="E742" s="16" t="n">
        <f aca="false">E741/D741-1</f>
        <v>1.43772785691959</v>
      </c>
      <c r="F742" s="16" t="n">
        <f aca="false">F741/E741-1</f>
        <v>0.28251972382653</v>
      </c>
      <c r="G742" s="16" t="n">
        <f aca="false">G741/F741-1</f>
        <v>0.11791760515494</v>
      </c>
    </row>
    <row r="745" customFormat="false" ht="17.15" hidden="false" customHeight="false" outlineLevel="0" collapsed="false">
      <c r="A745" s="3" t="s">
        <v>849</v>
      </c>
    </row>
    <row r="746" customFormat="false" ht="17.15" hidden="false" customHeight="false" outlineLevel="0" collapsed="false">
      <c r="A746" s="1" t="s">
        <v>509</v>
      </c>
    </row>
    <row r="747" customFormat="false" ht="17.15" hidden="false" customHeight="false" outlineLevel="0" collapsed="false">
      <c r="A747" s="6" t="s">
        <v>19</v>
      </c>
      <c r="B747" s="6" t="s">
        <v>20</v>
      </c>
      <c r="C747" s="14" t="s">
        <v>510</v>
      </c>
      <c r="D747" s="14" t="s">
        <v>465</v>
      </c>
      <c r="E747" s="14" t="s">
        <v>466</v>
      </c>
      <c r="F747" s="14" t="s">
        <v>467</v>
      </c>
      <c r="G747" s="14"/>
      <c r="H747" s="6" t="s">
        <v>428</v>
      </c>
    </row>
    <row r="748" customFormat="false" ht="17.15" hidden="false" customHeight="false" outlineLevel="0" collapsed="false">
      <c r="A748" s="0" t="s">
        <v>511</v>
      </c>
      <c r="B748" s="0" t="s">
        <v>30</v>
      </c>
      <c r="C748" s="26" t="n">
        <f aca="false">mpl_26*1</f>
        <v>29.753262</v>
      </c>
      <c r="D748" s="26" t="n">
        <f aca="false">mpl_27*1*mf_hi</f>
        <v>65.6259708</v>
      </c>
      <c r="E748" s="26" t="n">
        <f aca="false">mpl_28*um28_A*mf_hi</f>
        <v>73.4559</v>
      </c>
      <c r="F748" s="26" t="n">
        <f aca="false">mpl_29*um29_A*mf_hi</f>
        <v>94.570176</v>
      </c>
    </row>
    <row r="749" customFormat="false" ht="17.15" hidden="false" customHeight="false" outlineLevel="0" collapsed="false">
      <c r="A749" s="5" t="s">
        <v>512</v>
      </c>
      <c r="B749" s="0" t="s">
        <v>96</v>
      </c>
      <c r="C749" s="20" t="n">
        <f aca="false">asp_26</f>
        <v>500</v>
      </c>
      <c r="D749" s="20" t="n">
        <f aca="false">asp_27</f>
        <v>520</v>
      </c>
      <c r="E749" s="20" t="n">
        <f aca="false">asp_28</f>
        <v>540</v>
      </c>
      <c r="F749" s="20" t="n">
        <f aca="false">asp_29</f>
        <v>560</v>
      </c>
    </row>
    <row r="750" customFormat="false" ht="17.15" hidden="false" customHeight="false" outlineLevel="0" collapsed="false">
      <c r="A750" s="5" t="s">
        <v>513</v>
      </c>
      <c r="B750" s="5" t="s">
        <v>336</v>
      </c>
      <c r="C750" s="15" t="n">
        <f aca="false">C748*1000/C749</f>
        <v>59.506524</v>
      </c>
      <c r="D750" s="15" t="n">
        <f aca="false">D748*1000/D749</f>
        <v>126.20379</v>
      </c>
      <c r="E750" s="15" t="n">
        <f aca="false">E748*1000/E749</f>
        <v>136.029444444444</v>
      </c>
      <c r="F750" s="15" t="n">
        <f aca="false">F748*1000/F749</f>
        <v>168.875314285714</v>
      </c>
    </row>
    <row r="751" customFormat="false" ht="17.15" hidden="false" customHeight="false" outlineLevel="0" collapsed="false">
      <c r="A751" s="5" t="s">
        <v>514</v>
      </c>
      <c r="B751" s="5" t="s">
        <v>108</v>
      </c>
      <c r="C751" s="18" t="n">
        <f aca="false">lpm_26</f>
        <v>5.5</v>
      </c>
      <c r="D751" s="18" t="n">
        <f aca="false">lpm_27</f>
        <v>5.5</v>
      </c>
      <c r="E751" s="18" t="n">
        <f aca="false">lpm_28</f>
        <v>5</v>
      </c>
      <c r="F751" s="18" t="n">
        <f aca="false">lpm_29</f>
        <v>4.8</v>
      </c>
    </row>
    <row r="752" customFormat="false" ht="17.15" hidden="false" customHeight="false" outlineLevel="0" collapsed="false">
      <c r="A752" s="5" t="s">
        <v>515</v>
      </c>
      <c r="B752" s="0" t="s">
        <v>120</v>
      </c>
      <c r="C752" s="18" t="n">
        <f aca="false">lasp_26</f>
        <v>13</v>
      </c>
      <c r="D752" s="18" t="n">
        <f aca="false">lasp_27</f>
        <v>15</v>
      </c>
      <c r="E752" s="18" t="n">
        <f aca="false">lasp_28</f>
        <v>15</v>
      </c>
      <c r="F752" s="18" t="n">
        <f aca="false">lasp_29</f>
        <v>14</v>
      </c>
    </row>
    <row r="753" customFormat="false" ht="17.15" hidden="false" customHeight="false" outlineLevel="0" collapsed="false">
      <c r="A753" s="5" t="s">
        <v>516</v>
      </c>
      <c r="B753" s="0" t="s">
        <v>30</v>
      </c>
      <c r="C753" s="26" t="n">
        <f aca="false">C750*C751*C752/1000</f>
        <v>4.254716466</v>
      </c>
      <c r="D753" s="26" t="n">
        <f aca="false">D750*D751*D752/1000</f>
        <v>10.411812675</v>
      </c>
      <c r="E753" s="26" t="n">
        <f aca="false">E750*E751*E752/1000</f>
        <v>10.2022083333333</v>
      </c>
      <c r="F753" s="26" t="n">
        <f aca="false">F750*F751*F752/1000</f>
        <v>11.34842112</v>
      </c>
    </row>
    <row r="754" customFormat="false" ht="17.15" hidden="false" customHeight="false" outlineLevel="0" collapsed="false">
      <c r="A754" s="0" t="s">
        <v>517</v>
      </c>
      <c r="B754" s="0" t="s">
        <v>163</v>
      </c>
      <c r="C754" s="16" t="n">
        <f aca="false">c26_las/1000/C753</f>
        <v>0.43826657190933</v>
      </c>
      <c r="H754" s="8" t="s">
        <v>518</v>
      </c>
    </row>
    <row r="755" customFormat="false" ht="17.15" hidden="false" customHeight="false" outlineLevel="0" collapsed="false">
      <c r="A755" s="5" t="s">
        <v>519</v>
      </c>
      <c r="B755" s="0" t="s">
        <v>74</v>
      </c>
      <c r="C755" s="9" t="n">
        <f aca="false">1</f>
        <v>1</v>
      </c>
      <c r="D755" s="9" t="n">
        <f aca="false">lrel_27</f>
        <v>0.95</v>
      </c>
      <c r="E755" s="9" t="n">
        <f aca="false">lrel_28</f>
        <v>0.95</v>
      </c>
      <c r="F755" s="9" t="n">
        <f aca="false">lrel_29</f>
        <v>0.9</v>
      </c>
    </row>
    <row r="756" customFormat="false" ht="15" hidden="false" customHeight="false" outlineLevel="0" collapsed="false">
      <c r="A756" s="5" t="s">
        <v>520</v>
      </c>
      <c r="B756" s="0" t="s">
        <v>163</v>
      </c>
      <c r="C756" s="16" t="n">
        <f aca="false">$C$754*C755</f>
        <v>0.43826657190933</v>
      </c>
      <c r="D756" s="16" t="n">
        <f aca="false">$C$754*D755</f>
        <v>0.416353243313864</v>
      </c>
      <c r="E756" s="16" t="n">
        <f aca="false">$C$754*E755</f>
        <v>0.416353243313864</v>
      </c>
      <c r="F756" s="16" t="n">
        <f aca="false">$C$754*F755</f>
        <v>0.394439914718397</v>
      </c>
    </row>
    <row r="757" customFormat="false" ht="17.15" hidden="false" customHeight="false" outlineLevel="0" collapsed="false">
      <c r="A757" s="5" t="s">
        <v>521</v>
      </c>
      <c r="B757" s="0" t="s">
        <v>30</v>
      </c>
      <c r="C757" s="26" t="n">
        <f aca="false">C753*C756</f>
        <v>1.8647</v>
      </c>
      <c r="D757" s="26" t="n">
        <f aca="false">D753*D756</f>
        <v>4.33499197601264</v>
      </c>
      <c r="E757" s="26" t="n">
        <f aca="false">E753*E756</f>
        <v>4.24772252854706</v>
      </c>
      <c r="F757" s="26" t="n">
        <f aca="false">F753*F756</f>
        <v>4.47627025876126</v>
      </c>
    </row>
    <row r="758" customFormat="false" ht="17.15" hidden="false" customHeight="false" outlineLevel="0" collapsed="false">
      <c r="A758" s="5" t="s">
        <v>522</v>
      </c>
      <c r="B758" s="0" t="s">
        <v>163</v>
      </c>
      <c r="C758" s="16" t="n">
        <f aca="false">c26_xcvr/1000/C748</f>
        <v>0.0336097601668012</v>
      </c>
    </row>
    <row r="759" customFormat="false" ht="15" hidden="false" customHeight="false" outlineLevel="0" collapsed="false">
      <c r="A759" s="5" t="s">
        <v>523</v>
      </c>
      <c r="B759" s="0" t="s">
        <v>163</v>
      </c>
      <c r="C759" s="16" t="n">
        <f aca="false">C758</f>
        <v>0.0336097601668012</v>
      </c>
      <c r="D759" s="16" t="n">
        <f aca="false">$C$758*mrel_27</f>
        <v>0.0336097601668012</v>
      </c>
      <c r="E759" s="16" t="n">
        <f aca="false">$C$758*mrel_28</f>
        <v>0.0336097601668012</v>
      </c>
      <c r="F759" s="16" t="n">
        <f aca="false">$C$758*mrel_29</f>
        <v>0.0336097601668012</v>
      </c>
    </row>
    <row r="760" customFormat="false" ht="15" hidden="false" customHeight="false" outlineLevel="0" collapsed="false">
      <c r="A760" s="5" t="s">
        <v>524</v>
      </c>
      <c r="B760" s="0" t="s">
        <v>30</v>
      </c>
      <c r="C760" s="26" t="n">
        <f aca="false">C748*C759</f>
        <v>1</v>
      </c>
      <c r="D760" s="26" t="n">
        <f aca="false">D748*D759</f>
        <v>2.2056731393015</v>
      </c>
      <c r="E760" s="26" t="n">
        <f aca="false">E748*E759</f>
        <v>2.46883518183653</v>
      </c>
      <c r="F760" s="26" t="n">
        <f aca="false">F748*F759</f>
        <v>3.17848093429218</v>
      </c>
    </row>
    <row r="761" customFormat="false" ht="17.15" hidden="false" customHeight="false" outlineLevel="0" collapsed="false">
      <c r="A761" s="0" t="s">
        <v>525</v>
      </c>
      <c r="B761" s="5" t="s">
        <v>53</v>
      </c>
      <c r="C761" s="19" t="n">
        <f aca="false">tpu_26*1</f>
        <v>3.85</v>
      </c>
      <c r="D761" s="19" t="n">
        <f aca="false">tpu_27*1</f>
        <v>5.5</v>
      </c>
      <c r="E761" s="19" t="n">
        <f aca="false">tpu_28*um28_A</f>
        <v>7</v>
      </c>
      <c r="F761" s="19" t="n">
        <f aca="false">tpu_29*um29_A</f>
        <v>8.05</v>
      </c>
    </row>
    <row r="762" customFormat="false" ht="17.15" hidden="false" customHeight="false" outlineLevel="0" collapsed="false">
      <c r="A762" s="0" t="s">
        <v>526</v>
      </c>
      <c r="B762" s="0" t="s">
        <v>120</v>
      </c>
      <c r="C762" s="20" t="n">
        <f aca="false">c26_ocs/C761</f>
        <v>129.87012987013</v>
      </c>
      <c r="D762" s="20" t="n">
        <f aca="false">$C762*ocsk_27</f>
        <v>207.792207792208</v>
      </c>
      <c r="E762" s="20" t="n">
        <f aca="false">$C762*ocsk_28</f>
        <v>233.766233766234</v>
      </c>
      <c r="F762" s="20" t="n">
        <f aca="false">$C762*ocsk_29</f>
        <v>233.766233766234</v>
      </c>
    </row>
    <row r="763" customFormat="false" ht="17.15" hidden="false" customHeight="false" outlineLevel="0" collapsed="false">
      <c r="A763" s="0" t="s">
        <v>479</v>
      </c>
      <c r="B763" s="0" t="s">
        <v>30</v>
      </c>
      <c r="C763" s="26" t="n">
        <f aca="false">C761*C762/1000</f>
        <v>0.5</v>
      </c>
      <c r="D763" s="26" t="n">
        <f aca="false">D761*D762/1000</f>
        <v>1.14285714285714</v>
      </c>
      <c r="E763" s="26" t="n">
        <f aca="false">E761*E762/1000</f>
        <v>1.63636363636364</v>
      </c>
      <c r="F763" s="26" t="n">
        <f aca="false">F761*F762/1000</f>
        <v>1.88181818181818</v>
      </c>
    </row>
    <row r="764" customFormat="false" ht="17.15" hidden="false" customHeight="false" outlineLevel="0" collapsed="false">
      <c r="A764" s="0" t="s">
        <v>527</v>
      </c>
      <c r="B764" s="0" t="s">
        <v>30</v>
      </c>
      <c r="C764" s="26" t="n">
        <f aca="false">mcp_26*1</f>
        <v>0.300538</v>
      </c>
      <c r="D764" s="26" t="n">
        <f aca="false">mcp_27*1</f>
        <v>1.691391</v>
      </c>
      <c r="E764" s="26" t="n">
        <f aca="false">mcp_28*um28_A</f>
        <v>3.22175</v>
      </c>
      <c r="F764" s="26" t="n">
        <f aca="false">mcp_29*um29_A</f>
        <v>5.87368</v>
      </c>
    </row>
    <row r="765" customFormat="false" ht="17.15" hidden="false" customHeight="false" outlineLevel="0" collapsed="false">
      <c r="A765" s="0" t="s">
        <v>480</v>
      </c>
      <c r="B765" s="0" t="s">
        <v>163</v>
      </c>
      <c r="C765" s="16" t="n">
        <f aca="false">c26_cpo/1000/C764</f>
        <v>0.166368312825666</v>
      </c>
      <c r="D765" s="16" t="n">
        <f aca="false">cpo_27</f>
        <v>0.25</v>
      </c>
      <c r="E765" s="16" t="n">
        <f aca="false">cpo_28</f>
        <v>0.25</v>
      </c>
      <c r="F765" s="16" t="n">
        <f aca="false">cpo_29</f>
        <v>0.2</v>
      </c>
    </row>
    <row r="766" customFormat="false" ht="17.15" hidden="false" customHeight="false" outlineLevel="0" collapsed="false">
      <c r="A766" s="0" t="s">
        <v>528</v>
      </c>
      <c r="B766" s="0" t="s">
        <v>30</v>
      </c>
      <c r="C766" s="26" t="n">
        <f aca="false">C764*C765</f>
        <v>0.05</v>
      </c>
      <c r="D766" s="26" t="n">
        <f aca="false">D764*D765</f>
        <v>0.42284775</v>
      </c>
      <c r="E766" s="26" t="n">
        <f aca="false">E764*E765</f>
        <v>0.8054375</v>
      </c>
      <c r="F766" s="26" t="n">
        <f aca="false">F764*F765</f>
        <v>1.174736</v>
      </c>
    </row>
    <row r="767" customFormat="false" ht="17.15" hidden="false" customHeight="false" outlineLevel="0" collapsed="false">
      <c r="A767" s="0" t="s">
        <v>529</v>
      </c>
      <c r="B767" s="0" t="s">
        <v>30</v>
      </c>
      <c r="C767" s="26" t="n">
        <f aca="false">C757+C760+C763+C766</f>
        <v>3.4147</v>
      </c>
      <c r="D767" s="26" t="n">
        <f aca="false">D757+D760+D763+D766</f>
        <v>8.10637000817129</v>
      </c>
      <c r="E767" s="26" t="n">
        <f aca="false">E757+E760+E763+E766</f>
        <v>9.15835884674723</v>
      </c>
      <c r="F767" s="26" t="n">
        <f aca="false">F757+F760+F763+F766</f>
        <v>10.7113053748716</v>
      </c>
    </row>
    <row r="768" customFormat="false" ht="17.15" hidden="false" customHeight="false" outlineLevel="0" collapsed="false">
      <c r="A768" s="5" t="s">
        <v>530</v>
      </c>
      <c r="B768" s="0" t="s">
        <v>30</v>
      </c>
      <c r="C768" s="26" t="n">
        <f aca="false">c26_tel/1000</f>
        <v>0.75</v>
      </c>
      <c r="D768" s="26" t="n">
        <f aca="false">C768*(1+g_tel_27)</f>
        <v>0.9375</v>
      </c>
      <c r="E768" s="26" t="n">
        <f aca="false">D768*(1+g_tel_28)</f>
        <v>1.078125</v>
      </c>
      <c r="F768" s="26" t="n">
        <f aca="false">E768*(1+g_tel_29)</f>
        <v>1.1859375</v>
      </c>
    </row>
    <row r="769" customFormat="false" ht="17.15" hidden="false" customHeight="false" outlineLevel="0" collapsed="false">
      <c r="A769" s="5" t="s">
        <v>531</v>
      </c>
      <c r="B769" s="0" t="s">
        <v>30</v>
      </c>
      <c r="C769" s="26" t="n">
        <f aca="false">c26_ind/1000</f>
        <v>0.3</v>
      </c>
      <c r="D769" s="26" t="n">
        <f aca="false">C769*(1+g_ind)</f>
        <v>0.309</v>
      </c>
      <c r="E769" s="26" t="n">
        <f aca="false">D769*(1+g_ind)</f>
        <v>0.31827</v>
      </c>
      <c r="F769" s="26" t="n">
        <f aca="false">E769*(1+g_ind)</f>
        <v>0.3278181</v>
      </c>
    </row>
    <row r="770" customFormat="false" ht="15" hidden="false" customHeight="false" outlineLevel="0" collapsed="false">
      <c r="A770" s="5" t="s">
        <v>532</v>
      </c>
      <c r="B770" s="0" t="s">
        <v>30</v>
      </c>
      <c r="C770" s="26" t="n">
        <f aca="false">C767+C768+C769</f>
        <v>4.4647</v>
      </c>
      <c r="D770" s="26" t="n">
        <f aca="false">D767+D768+D769</f>
        <v>9.35287000817129</v>
      </c>
      <c r="E770" s="26" t="n">
        <f aca="false">E767+E768+E769</f>
        <v>10.5547538467472</v>
      </c>
      <c r="F770" s="26" t="n">
        <f aca="false">F767+F768+F769</f>
        <v>12.2250609748716</v>
      </c>
    </row>
    <row r="771" customFormat="false" ht="15" hidden="false" customHeight="false" outlineLevel="0" collapsed="false">
      <c r="A771" s="5" t="s">
        <v>533</v>
      </c>
      <c r="B771" s="0" t="s">
        <v>163</v>
      </c>
      <c r="D771" s="16" t="n">
        <f aca="false">D770/C770-1</f>
        <v>1.09484847989143</v>
      </c>
      <c r="E771" s="16" t="n">
        <f aca="false">E770/D770-1</f>
        <v>0.128504281308935</v>
      </c>
      <c r="F771" s="16" t="n">
        <f aca="false">F770/E770-1</f>
        <v>0.15825164209198</v>
      </c>
    </row>
    <row r="772" customFormat="false" ht="17.15" hidden="false" customHeight="false" outlineLevel="0" collapsed="false">
      <c r="A772" s="1" t="s">
        <v>534</v>
      </c>
    </row>
    <row r="773" customFormat="false" ht="17.15" hidden="false" customHeight="false" outlineLevel="0" collapsed="false">
      <c r="A773" s="6" t="s">
        <v>19</v>
      </c>
      <c r="B773" s="6" t="s">
        <v>20</v>
      </c>
      <c r="C773" s="14" t="s">
        <v>420</v>
      </c>
      <c r="D773" s="14" t="s">
        <v>487</v>
      </c>
      <c r="E773" s="14" t="s">
        <v>488</v>
      </c>
      <c r="F773" s="14" t="s">
        <v>489</v>
      </c>
      <c r="G773" s="14" t="s">
        <v>490</v>
      </c>
      <c r="H773" s="6" t="s">
        <v>428</v>
      </c>
    </row>
    <row r="774" customFormat="false" ht="17.15" hidden="false" customHeight="false" outlineLevel="0" collapsed="false">
      <c r="A774" s="0" t="s">
        <v>535</v>
      </c>
      <c r="B774" s="0" t="s">
        <v>30</v>
      </c>
      <c r="E774" s="26" t="n">
        <f aca="false">w2h_26*C767+h_1h*D767</f>
        <v>5.83677173885742</v>
      </c>
      <c r="F774" s="26" t="n">
        <f aca="false">(1-h_1h)*D767+h_1h*E767</f>
        <v>8.60080476230198</v>
      </c>
      <c r="G774" s="26" t="n">
        <f aca="false">(1-h_1h)*E767+h_1h*F767</f>
        <v>9.88824371496569</v>
      </c>
      <c r="H774" s="8" t="s">
        <v>536</v>
      </c>
    </row>
    <row r="775" customFormat="false" ht="17.15" hidden="false" customHeight="false" outlineLevel="0" collapsed="false">
      <c r="A775" s="5" t="s">
        <v>537</v>
      </c>
      <c r="B775" s="0" t="s">
        <v>30</v>
      </c>
      <c r="E775" s="26" t="n">
        <f aca="false">w2h_26*C768+h_1h*D768+w2h_26*C769+h_1h*D769</f>
        <v>1.20907716498309</v>
      </c>
      <c r="F775" s="26" t="n">
        <f aca="false">(1-h_1h)*D768+h_1h*E768+(1-h_1h)*D769+h_1h*E769</f>
        <v>1.31695065</v>
      </c>
      <c r="G775" s="26" t="n">
        <f aca="false">(1-h_1h)*E768+h_1h*F768+(1-h_1h)*E769+h_1h*F769</f>
        <v>1.451554482</v>
      </c>
    </row>
    <row r="776" customFormat="false" ht="15" hidden="false" customHeight="false" outlineLevel="0" collapsed="false">
      <c r="A776" s="5" t="s">
        <v>429</v>
      </c>
      <c r="B776" s="0" t="s">
        <v>30</v>
      </c>
      <c r="C776" s="26" t="n">
        <f aca="false">a25_rev/1000</f>
        <v>1.645</v>
      </c>
      <c r="D776" s="26" t="n">
        <f aca="false">a26_rev/1000</f>
        <v>3.014</v>
      </c>
      <c r="E776" s="26" t="n">
        <f aca="false">E774+E775</f>
        <v>7.0458489038405</v>
      </c>
      <c r="F776" s="26" t="n">
        <f aca="false">F774+F775</f>
        <v>9.91775541230198</v>
      </c>
      <c r="G776" s="26" t="n">
        <f aca="false">G774+G775</f>
        <v>11.3397981969657</v>
      </c>
    </row>
    <row r="777" customFormat="false" ht="15" hidden="false" customHeight="false" outlineLevel="0" collapsed="false">
      <c r="A777" s="5" t="s">
        <v>538</v>
      </c>
      <c r="B777" s="0" t="s">
        <v>163</v>
      </c>
      <c r="D777" s="16" t="n">
        <f aca="false">D776/C776-1</f>
        <v>0.832218844984802</v>
      </c>
      <c r="E777" s="16" t="n">
        <f aca="false">E776/D776-1</f>
        <v>1.33770700193779</v>
      </c>
      <c r="F777" s="16" t="n">
        <f aca="false">F776/E776-1</f>
        <v>0.407602624986193</v>
      </c>
      <c r="G777" s="16" t="n">
        <f aca="false">G776/F776-1</f>
        <v>0.143383530400418</v>
      </c>
    </row>
    <row r="778" customFormat="false" ht="17.15" hidden="false" customHeight="false" outlineLevel="0" collapsed="false">
      <c r="A778" s="0" t="s">
        <v>539</v>
      </c>
      <c r="B778" s="0" t="s">
        <v>163</v>
      </c>
      <c r="E778" s="16" t="n">
        <f aca="false">E774/E776</f>
        <v>0.828398652669935</v>
      </c>
      <c r="F778" s="16" t="n">
        <f aca="false">F774/F776</f>
        <v>0.867212832415039</v>
      </c>
      <c r="G778" s="16" t="n">
        <f aca="false">G774/G776</f>
        <v>0.871994681317309</v>
      </c>
    </row>
    <row r="779" customFormat="false" ht="17.15" hidden="false" customHeight="false" outlineLevel="0" collapsed="false">
      <c r="A779" s="5" t="s">
        <v>432</v>
      </c>
      <c r="B779" s="0" t="s">
        <v>163</v>
      </c>
      <c r="C779" s="16" t="n">
        <f aca="false">a25_gm</f>
        <v>0.347</v>
      </c>
      <c r="D779" s="16" t="n">
        <f aca="false">a26_gm</f>
        <v>0.46</v>
      </c>
      <c r="E779" s="16" t="n">
        <f aca="false">gm_27</f>
        <v>0.52</v>
      </c>
      <c r="F779" s="16" t="n">
        <f aca="false">gm_28</f>
        <v>0.51</v>
      </c>
      <c r="G779" s="16" t="n">
        <f aca="false">gm_29</f>
        <v>0.49</v>
      </c>
    </row>
    <row r="780" customFormat="false" ht="15" hidden="false" customHeight="false" outlineLevel="0" collapsed="false">
      <c r="A780" s="5" t="s">
        <v>433</v>
      </c>
      <c r="B780" s="0" t="s">
        <v>30</v>
      </c>
      <c r="C780" s="26" t="n">
        <f aca="false">C776*C779</f>
        <v>0.570815</v>
      </c>
      <c r="D780" s="26" t="n">
        <f aca="false">D776*D779</f>
        <v>1.38644</v>
      </c>
      <c r="E780" s="26" t="n">
        <f aca="false">E776*E779</f>
        <v>3.66384142999706</v>
      </c>
      <c r="F780" s="26" t="n">
        <f aca="false">F776*F779</f>
        <v>5.05805526027401</v>
      </c>
      <c r="G780" s="26" t="n">
        <f aca="false">G776*G779</f>
        <v>5.55650111651319</v>
      </c>
    </row>
    <row r="781" customFormat="false" ht="15" hidden="false" customHeight="false" outlineLevel="0" collapsed="false">
      <c r="A781" s="5" t="s">
        <v>540</v>
      </c>
      <c r="B781" s="0" t="s">
        <v>30</v>
      </c>
      <c r="C781" s="26" t="n">
        <f aca="false">a25_opx/1000</f>
        <v>0.4114</v>
      </c>
      <c r="D781" s="26" t="n">
        <f aca="false">a26_opx/1000</f>
        <v>0.4897</v>
      </c>
      <c r="E781" s="26" t="n">
        <f aca="false">D781*(1+MAX(0,phi*E777))</f>
        <v>0.639513528589081</v>
      </c>
      <c r="F781" s="26" t="n">
        <f aca="false">E781*(1+MAX(0,phi*F777))</f>
        <v>0.69912730539858</v>
      </c>
      <c r="G781" s="26" t="n">
        <f aca="false">F781*(1+MAX(0,phi*G777))</f>
        <v>0.722052628369506</v>
      </c>
    </row>
    <row r="782" customFormat="false" ht="15" hidden="false" customHeight="false" outlineLevel="0" collapsed="false">
      <c r="A782" s="5" t="s">
        <v>541</v>
      </c>
      <c r="B782" s="0" t="s">
        <v>30</v>
      </c>
      <c r="C782" s="26" t="n">
        <f aca="false">C781</f>
        <v>0.4114</v>
      </c>
      <c r="D782" s="26" t="n">
        <f aca="false">D781</f>
        <v>0.4897</v>
      </c>
      <c r="E782" s="26" t="n">
        <f aca="false">E781+0*E776</f>
        <v>0.639513528589081</v>
      </c>
      <c r="F782" s="26" t="n">
        <f aca="false">F781+0*F776</f>
        <v>0.69912730539858</v>
      </c>
      <c r="G782" s="26" t="n">
        <f aca="false">G781+0*G776</f>
        <v>0.722052628369506</v>
      </c>
    </row>
    <row r="783" customFormat="false" ht="15" hidden="false" customHeight="false" outlineLevel="0" collapsed="false">
      <c r="A783" s="5" t="s">
        <v>542</v>
      </c>
      <c r="B783" s="0" t="s">
        <v>30</v>
      </c>
      <c r="C783" s="26" t="n">
        <f aca="false">C780-C782</f>
        <v>0.159415</v>
      </c>
      <c r="D783" s="26" t="n">
        <f aca="false">D780-D782</f>
        <v>0.89674</v>
      </c>
      <c r="E783" s="26" t="n">
        <f aca="false">E780-E782</f>
        <v>3.02432790140798</v>
      </c>
      <c r="F783" s="26" t="n">
        <f aca="false">F780-F782</f>
        <v>4.35892795487543</v>
      </c>
      <c r="G783" s="26" t="n">
        <f aca="false">G780-G782</f>
        <v>4.83444848814368</v>
      </c>
    </row>
    <row r="784" customFormat="false" ht="15" hidden="false" customHeight="false" outlineLevel="0" collapsed="false">
      <c r="A784" s="5" t="s">
        <v>437</v>
      </c>
      <c r="B784" s="0" t="s">
        <v>163</v>
      </c>
      <c r="C784" s="16" t="n">
        <f aca="false">C783/C776</f>
        <v>0.0969088145896656</v>
      </c>
      <c r="D784" s="16" t="n">
        <f aca="false">D783/D776</f>
        <v>0.297524883875249</v>
      </c>
      <c r="E784" s="16" t="n">
        <f aca="false">E783/E776</f>
        <v>0.429235418284304</v>
      </c>
      <c r="F784" s="16" t="n">
        <f aca="false">F783/F776</f>
        <v>0.439507506856704</v>
      </c>
      <c r="G784" s="16" t="n">
        <f aca="false">G783/G776</f>
        <v>0.426325795589316</v>
      </c>
    </row>
    <row r="785" customFormat="false" ht="17.15" hidden="false" customHeight="false" outlineLevel="0" collapsed="false">
      <c r="A785" s="5" t="s">
        <v>438</v>
      </c>
      <c r="B785" s="0" t="s">
        <v>30</v>
      </c>
      <c r="C785" s="26" t="n">
        <f aca="false">a25_ni/1000</f>
        <v>0.1464</v>
      </c>
      <c r="D785" s="26" t="n">
        <f aca="false">a26_ni/1000</f>
        <v>0.7823</v>
      </c>
      <c r="E785" s="26" t="n">
        <f aca="false">(E783+oi_oth)*(1-tx)</f>
        <v>2.56891379767566</v>
      </c>
      <c r="F785" s="26" t="n">
        <f aca="false">(F783+oi_oth)*(1-tx)</f>
        <v>3.68330484232098</v>
      </c>
      <c r="G785" s="26" t="n">
        <f aca="false">(G783+oi_oth)*(1-tx)</f>
        <v>4.08036448759998</v>
      </c>
    </row>
    <row r="786" customFormat="false" ht="15" hidden="false" customHeight="false" outlineLevel="0" collapsed="false">
      <c r="A786" s="5" t="s">
        <v>500</v>
      </c>
      <c r="B786" s="0" t="s">
        <v>163</v>
      </c>
      <c r="C786" s="16" t="n">
        <f aca="false">C785/C776</f>
        <v>0.0889969604863222</v>
      </c>
      <c r="D786" s="16" t="n">
        <f aca="false">D785/D776</f>
        <v>0.259555408095554</v>
      </c>
      <c r="E786" s="16" t="n">
        <f aca="false">E785/E776</f>
        <v>0.36459961499819</v>
      </c>
      <c r="F786" s="16" t="n">
        <f aca="false">F785/F776</f>
        <v>0.371384924229147</v>
      </c>
      <c r="G786" s="16" t="n">
        <f aca="false">G785/G776</f>
        <v>0.359826904917215</v>
      </c>
    </row>
    <row r="787" customFormat="false" ht="17.15" hidden="false" customHeight="false" outlineLevel="0" collapsed="false">
      <c r="A787" s="5" t="s">
        <v>442</v>
      </c>
      <c r="B787" s="5" t="s">
        <v>237</v>
      </c>
      <c r="C787" s="15" t="n">
        <f aca="false">a25_sh</f>
        <v>71.0679611650485</v>
      </c>
      <c r="D787" s="15" t="n">
        <f aca="false">a26_sh</f>
        <v>90.2306805074971</v>
      </c>
      <c r="E787" s="15" t="n">
        <f aca="false">sh_q1</f>
        <v>102</v>
      </c>
      <c r="F787" s="15" t="n">
        <f aca="false">E787*(1+sh_g)</f>
        <v>103.02</v>
      </c>
      <c r="G787" s="15" t="n">
        <f aca="false">F787*(1+sh_g)</f>
        <v>104.0502</v>
      </c>
    </row>
    <row r="788" customFormat="false" ht="17.15" hidden="false" customHeight="false" outlineLevel="0" collapsed="false">
      <c r="A788" s="0" t="s">
        <v>444</v>
      </c>
      <c r="B788" s="0" t="s">
        <v>232</v>
      </c>
      <c r="C788" s="9" t="n">
        <f aca="false">C785*1000/C787</f>
        <v>2.06</v>
      </c>
      <c r="D788" s="9" t="n">
        <f aca="false">D785*1000/D787</f>
        <v>8.67</v>
      </c>
      <c r="E788" s="9" t="n">
        <f aca="false">E785*1000/E787</f>
        <v>25.1854293889771</v>
      </c>
      <c r="F788" s="9" t="n">
        <f aca="false">F785*1000/F787</f>
        <v>35.753298799466</v>
      </c>
      <c r="G788" s="9" t="n">
        <f aca="false">G785*1000/G787</f>
        <v>39.2153449738682</v>
      </c>
    </row>
    <row r="789" customFormat="false" ht="17.15" hidden="false" customHeight="false" outlineLevel="0" collapsed="false">
      <c r="A789" s="0" t="s">
        <v>543</v>
      </c>
      <c r="B789" s="0" t="s">
        <v>163</v>
      </c>
      <c r="D789" s="16" t="n">
        <f aca="false">D788/C788-1</f>
        <v>3.20873786407767</v>
      </c>
      <c r="E789" s="16" t="n">
        <f aca="false">E788/D788-1</f>
        <v>1.90489381649101</v>
      </c>
      <c r="F789" s="16" t="n">
        <f aca="false">F788/E788-1</f>
        <v>0.419602510930948</v>
      </c>
      <c r="G789" s="16" t="n">
        <f aca="false">G788/F788-1</f>
        <v>0.0968315173886525</v>
      </c>
    </row>
    <row r="792" customFormat="false" ht="17.15" hidden="false" customHeight="false" outlineLevel="0" collapsed="false">
      <c r="A792" s="3" t="s">
        <v>850</v>
      </c>
    </row>
    <row r="793" customFormat="false" ht="17.15" hidden="false" customHeight="false" outlineLevel="0" collapsed="false">
      <c r="A793" s="1" t="s">
        <v>509</v>
      </c>
    </row>
    <row r="794" customFormat="false" ht="17.15" hidden="false" customHeight="false" outlineLevel="0" collapsed="false">
      <c r="A794" s="6" t="s">
        <v>19</v>
      </c>
      <c r="B794" s="6" t="s">
        <v>20</v>
      </c>
      <c r="C794" s="14" t="s">
        <v>510</v>
      </c>
      <c r="D794" s="14" t="s">
        <v>465</v>
      </c>
      <c r="E794" s="14" t="s">
        <v>466</v>
      </c>
      <c r="F794" s="14" t="s">
        <v>467</v>
      </c>
      <c r="G794" s="14"/>
      <c r="H794" s="6" t="s">
        <v>428</v>
      </c>
    </row>
    <row r="795" customFormat="false" ht="17.15" hidden="false" customHeight="false" outlineLevel="0" collapsed="false">
      <c r="A795" s="0" t="s">
        <v>511</v>
      </c>
      <c r="B795" s="0" t="s">
        <v>30</v>
      </c>
      <c r="C795" s="26" t="n">
        <f aca="false">mpl_26*1</f>
        <v>29.753262</v>
      </c>
      <c r="D795" s="26" t="n">
        <f aca="false">mpl_27*1*1</f>
        <v>54.688309</v>
      </c>
      <c r="E795" s="26" t="n">
        <f aca="false">mpl_28*um28_A*1</f>
        <v>61.21325</v>
      </c>
      <c r="F795" s="26" t="n">
        <f aca="false">mpl_29*um29_A*1</f>
        <v>78.80848</v>
      </c>
    </row>
    <row r="796" customFormat="false" ht="17.15" hidden="false" customHeight="false" outlineLevel="0" collapsed="false">
      <c r="A796" s="5" t="s">
        <v>512</v>
      </c>
      <c r="B796" s="0" t="s">
        <v>96</v>
      </c>
      <c r="C796" s="20" t="n">
        <f aca="false">asp_26</f>
        <v>500</v>
      </c>
      <c r="D796" s="20" t="n">
        <f aca="false">asp_27</f>
        <v>520</v>
      </c>
      <c r="E796" s="20" t="n">
        <f aca="false">asp_28</f>
        <v>540</v>
      </c>
      <c r="F796" s="20" t="n">
        <f aca="false">asp_29</f>
        <v>560</v>
      </c>
    </row>
    <row r="797" customFormat="false" ht="17.15" hidden="false" customHeight="false" outlineLevel="0" collapsed="false">
      <c r="A797" s="5" t="s">
        <v>513</v>
      </c>
      <c r="B797" s="5" t="s">
        <v>336</v>
      </c>
      <c r="C797" s="15" t="n">
        <f aca="false">C795*1000/C796</f>
        <v>59.506524</v>
      </c>
      <c r="D797" s="15" t="n">
        <f aca="false">D795*1000/D796</f>
        <v>105.169825</v>
      </c>
      <c r="E797" s="15" t="n">
        <f aca="false">E795*1000/E796</f>
        <v>113.35787037037</v>
      </c>
      <c r="F797" s="15" t="n">
        <f aca="false">F795*1000/F796</f>
        <v>140.729428571429</v>
      </c>
    </row>
    <row r="798" customFormat="false" ht="17.15" hidden="false" customHeight="false" outlineLevel="0" collapsed="false">
      <c r="A798" s="5" t="s">
        <v>514</v>
      </c>
      <c r="B798" s="5" t="s">
        <v>108</v>
      </c>
      <c r="C798" s="18" t="n">
        <f aca="false">lpm_26</f>
        <v>5.5</v>
      </c>
      <c r="D798" s="18" t="n">
        <f aca="false">lpm_27</f>
        <v>5.5</v>
      </c>
      <c r="E798" s="18" t="n">
        <f aca="false">lpm_28</f>
        <v>5</v>
      </c>
      <c r="F798" s="18" t="n">
        <f aca="false">lpm_29</f>
        <v>4.8</v>
      </c>
    </row>
    <row r="799" customFormat="false" ht="17.15" hidden="false" customHeight="false" outlineLevel="0" collapsed="false">
      <c r="A799" s="5" t="s">
        <v>515</v>
      </c>
      <c r="B799" s="0" t="s">
        <v>120</v>
      </c>
      <c r="C799" s="18" t="n">
        <f aca="false">lasp_26</f>
        <v>13</v>
      </c>
      <c r="D799" s="18" t="n">
        <f aca="false">lasp_27</f>
        <v>15</v>
      </c>
      <c r="E799" s="18" t="n">
        <f aca="false">lasp_28</f>
        <v>15</v>
      </c>
      <c r="F799" s="18" t="n">
        <f aca="false">lasp_29</f>
        <v>14</v>
      </c>
    </row>
    <row r="800" customFormat="false" ht="17.15" hidden="false" customHeight="false" outlineLevel="0" collapsed="false">
      <c r="A800" s="5" t="s">
        <v>516</v>
      </c>
      <c r="B800" s="0" t="s">
        <v>30</v>
      </c>
      <c r="C800" s="26" t="n">
        <f aca="false">C797*C798*C799/1000</f>
        <v>4.254716466</v>
      </c>
      <c r="D800" s="26" t="n">
        <f aca="false">D797*D798*D799/1000</f>
        <v>8.6765105625</v>
      </c>
      <c r="E800" s="26" t="n">
        <f aca="false">E797*E798*E799/1000</f>
        <v>8.50184027777778</v>
      </c>
      <c r="F800" s="26" t="n">
        <f aca="false">F797*F798*F799/1000</f>
        <v>9.4570176</v>
      </c>
    </row>
    <row r="801" customFormat="false" ht="17.15" hidden="false" customHeight="false" outlineLevel="0" collapsed="false">
      <c r="A801" s="0" t="s">
        <v>517</v>
      </c>
      <c r="B801" s="0" t="s">
        <v>163</v>
      </c>
      <c r="C801" s="16" t="n">
        <f aca="false">c26_las/1000/C800</f>
        <v>0.43826657190933</v>
      </c>
      <c r="H801" s="8" t="s">
        <v>518</v>
      </c>
    </row>
    <row r="802" customFormat="false" ht="17.15" hidden="false" customHeight="false" outlineLevel="0" collapsed="false">
      <c r="A802" s="5" t="s">
        <v>519</v>
      </c>
      <c r="B802" s="0" t="s">
        <v>74</v>
      </c>
      <c r="C802" s="9" t="n">
        <f aca="false">1</f>
        <v>1</v>
      </c>
      <c r="D802" s="9" t="n">
        <f aca="false">lrel_27</f>
        <v>0.95</v>
      </c>
      <c r="E802" s="9" t="n">
        <f aca="false">lrel_28</f>
        <v>0.95</v>
      </c>
      <c r="F802" s="9" t="n">
        <f aca="false">lrel_29</f>
        <v>0.9</v>
      </c>
    </row>
    <row r="803" customFormat="false" ht="15" hidden="false" customHeight="false" outlineLevel="0" collapsed="false">
      <c r="A803" s="5" t="s">
        <v>520</v>
      </c>
      <c r="B803" s="0" t="s">
        <v>163</v>
      </c>
      <c r="C803" s="16" t="n">
        <f aca="false">$C$801*C802</f>
        <v>0.43826657190933</v>
      </c>
      <c r="D803" s="16" t="n">
        <f aca="false">$C$801*D802</f>
        <v>0.416353243313864</v>
      </c>
      <c r="E803" s="16" t="n">
        <f aca="false">$C$801*E802</f>
        <v>0.416353243313864</v>
      </c>
      <c r="F803" s="16" t="n">
        <f aca="false">$C$801*F802</f>
        <v>0.394439914718397</v>
      </c>
    </row>
    <row r="804" customFormat="false" ht="17.15" hidden="false" customHeight="false" outlineLevel="0" collapsed="false">
      <c r="A804" s="5" t="s">
        <v>521</v>
      </c>
      <c r="B804" s="0" t="s">
        <v>30</v>
      </c>
      <c r="C804" s="26" t="n">
        <f aca="false">C800*C803</f>
        <v>1.8647</v>
      </c>
      <c r="D804" s="26" t="n">
        <f aca="false">D800*D803</f>
        <v>3.61249331334387</v>
      </c>
      <c r="E804" s="26" t="n">
        <f aca="false">E800*E803</f>
        <v>3.53976877378922</v>
      </c>
      <c r="F804" s="26" t="n">
        <f aca="false">F800*F803</f>
        <v>3.73022521563438</v>
      </c>
    </row>
    <row r="805" customFormat="false" ht="17.15" hidden="false" customHeight="false" outlineLevel="0" collapsed="false">
      <c r="A805" s="5" t="s">
        <v>522</v>
      </c>
      <c r="B805" s="0" t="s">
        <v>163</v>
      </c>
      <c r="C805" s="16" t="n">
        <f aca="false">c26_xcvr/1000/C795</f>
        <v>0.0336097601668012</v>
      </c>
    </row>
    <row r="806" customFormat="false" ht="15" hidden="false" customHeight="false" outlineLevel="0" collapsed="false">
      <c r="A806" s="5" t="s">
        <v>523</v>
      </c>
      <c r="B806" s="0" t="s">
        <v>163</v>
      </c>
      <c r="C806" s="16" t="n">
        <f aca="false">C805</f>
        <v>0.0336097601668012</v>
      </c>
      <c r="D806" s="16" t="n">
        <f aca="false">$C$805*mrel_27</f>
        <v>0.0336097601668012</v>
      </c>
      <c r="E806" s="16" t="n">
        <f aca="false">$C$805*mrel_28</f>
        <v>0.0336097601668012</v>
      </c>
      <c r="F806" s="16" t="n">
        <f aca="false">$C$805*mrel_29</f>
        <v>0.0336097601668012</v>
      </c>
    </row>
    <row r="807" customFormat="false" ht="15" hidden="false" customHeight="false" outlineLevel="0" collapsed="false">
      <c r="A807" s="5" t="s">
        <v>524</v>
      </c>
      <c r="B807" s="0" t="s">
        <v>30</v>
      </c>
      <c r="C807" s="26" t="n">
        <f aca="false">C795*C806</f>
        <v>1</v>
      </c>
      <c r="D807" s="26" t="n">
        <f aca="false">D795*D806</f>
        <v>1.83806094941792</v>
      </c>
      <c r="E807" s="26" t="n">
        <f aca="false">E795*E806</f>
        <v>2.05736265153044</v>
      </c>
      <c r="F807" s="26" t="n">
        <f aca="false">F795*F806</f>
        <v>2.64873411191015</v>
      </c>
    </row>
    <row r="808" customFormat="false" ht="17.15" hidden="false" customHeight="false" outlineLevel="0" collapsed="false">
      <c r="A808" s="0" t="s">
        <v>525</v>
      </c>
      <c r="B808" s="5" t="s">
        <v>53</v>
      </c>
      <c r="C808" s="19" t="n">
        <f aca="false">tpu_26*1</f>
        <v>3.85</v>
      </c>
      <c r="D808" s="19" t="n">
        <f aca="false">tpu_27*1</f>
        <v>5.5</v>
      </c>
      <c r="E808" s="19" t="n">
        <f aca="false">tpu_28*um28_A</f>
        <v>7</v>
      </c>
      <c r="F808" s="19" t="n">
        <f aca="false">tpu_29*um29_A</f>
        <v>8.05</v>
      </c>
    </row>
    <row r="809" customFormat="false" ht="17.15" hidden="false" customHeight="false" outlineLevel="0" collapsed="false">
      <c r="A809" s="0" t="s">
        <v>526</v>
      </c>
      <c r="B809" s="0" t="s">
        <v>120</v>
      </c>
      <c r="C809" s="20" t="n">
        <f aca="false">c26_ocs/C808</f>
        <v>129.87012987013</v>
      </c>
      <c r="D809" s="20" t="n">
        <f aca="false">$C809*ocsk_27</f>
        <v>207.792207792208</v>
      </c>
      <c r="E809" s="20" t="n">
        <f aca="false">$C809*ocsk_28</f>
        <v>233.766233766234</v>
      </c>
      <c r="F809" s="20" t="n">
        <f aca="false">$C809*ocsk_29</f>
        <v>233.766233766234</v>
      </c>
    </row>
    <row r="810" customFormat="false" ht="17.15" hidden="false" customHeight="false" outlineLevel="0" collapsed="false">
      <c r="A810" s="0" t="s">
        <v>479</v>
      </c>
      <c r="B810" s="0" t="s">
        <v>30</v>
      </c>
      <c r="C810" s="26" t="n">
        <f aca="false">C808*C809/1000</f>
        <v>0.5</v>
      </c>
      <c r="D810" s="26" t="n">
        <f aca="false">D808*D809/1000</f>
        <v>1.14285714285714</v>
      </c>
      <c r="E810" s="26" t="n">
        <f aca="false">E808*E809/1000</f>
        <v>1.63636363636364</v>
      </c>
      <c r="F810" s="26" t="n">
        <f aca="false">F808*F809/1000</f>
        <v>1.88181818181818</v>
      </c>
    </row>
    <row r="811" customFormat="false" ht="17.15" hidden="false" customHeight="false" outlineLevel="0" collapsed="false">
      <c r="A811" s="0" t="s">
        <v>527</v>
      </c>
      <c r="B811" s="0" t="s">
        <v>30</v>
      </c>
      <c r="C811" s="26" t="n">
        <f aca="false">mcp_26*1</f>
        <v>0.300538</v>
      </c>
      <c r="D811" s="26" t="n">
        <f aca="false">mcp_27*1</f>
        <v>1.691391</v>
      </c>
      <c r="E811" s="26" t="n">
        <f aca="false">mcp_28*um28_A</f>
        <v>3.22175</v>
      </c>
      <c r="F811" s="26" t="n">
        <f aca="false">mcp_29*um29_A</f>
        <v>5.87368</v>
      </c>
    </row>
    <row r="812" customFormat="false" ht="17.15" hidden="false" customHeight="false" outlineLevel="0" collapsed="false">
      <c r="A812" s="0" t="s">
        <v>480</v>
      </c>
      <c r="B812" s="0" t="s">
        <v>163</v>
      </c>
      <c r="C812" s="16" t="n">
        <f aca="false">c26_cpo/1000/C811</f>
        <v>0.166368312825666</v>
      </c>
      <c r="D812" s="16" t="n">
        <f aca="false">cpo_27</f>
        <v>0.25</v>
      </c>
      <c r="E812" s="16" t="n">
        <f aca="false">cpo_28</f>
        <v>0.25</v>
      </c>
      <c r="F812" s="16" t="n">
        <f aca="false">cpo_29</f>
        <v>0.2</v>
      </c>
    </row>
    <row r="813" customFormat="false" ht="17.15" hidden="false" customHeight="false" outlineLevel="0" collapsed="false">
      <c r="A813" s="0" t="s">
        <v>528</v>
      </c>
      <c r="B813" s="0" t="s">
        <v>30</v>
      </c>
      <c r="C813" s="26" t="n">
        <f aca="false">C811*C812</f>
        <v>0.05</v>
      </c>
      <c r="D813" s="26" t="n">
        <f aca="false">D811*D812</f>
        <v>0.42284775</v>
      </c>
      <c r="E813" s="26" t="n">
        <f aca="false">E811*E812</f>
        <v>0.8054375</v>
      </c>
      <c r="F813" s="26" t="n">
        <f aca="false">F811*F812</f>
        <v>1.174736</v>
      </c>
    </row>
    <row r="814" customFormat="false" ht="17.15" hidden="false" customHeight="false" outlineLevel="0" collapsed="false">
      <c r="A814" s="0" t="s">
        <v>529</v>
      </c>
      <c r="B814" s="0" t="s">
        <v>30</v>
      </c>
      <c r="C814" s="26" t="n">
        <f aca="false">C804+C807+C810+C813</f>
        <v>3.4147</v>
      </c>
      <c r="D814" s="26" t="n">
        <f aca="false">D804+D807+D810+D813</f>
        <v>7.01625915561893</v>
      </c>
      <c r="E814" s="26" t="n">
        <f aca="false">E804+E807+E810+E813</f>
        <v>8.0389325616833</v>
      </c>
      <c r="F814" s="26" t="n">
        <f aca="false">F804+F807+F810+F813</f>
        <v>9.43551350936271</v>
      </c>
    </row>
    <row r="815" customFormat="false" ht="17.15" hidden="false" customHeight="false" outlineLevel="0" collapsed="false">
      <c r="A815" s="5" t="s">
        <v>530</v>
      </c>
      <c r="B815" s="0" t="s">
        <v>30</v>
      </c>
      <c r="C815" s="26" t="n">
        <f aca="false">c26_tel/1000</f>
        <v>0.75</v>
      </c>
      <c r="D815" s="26" t="n">
        <f aca="false">C815*(1+g_tel_27)</f>
        <v>0.9375</v>
      </c>
      <c r="E815" s="26" t="n">
        <f aca="false">D815*(1+g_tel_28)</f>
        <v>1.078125</v>
      </c>
      <c r="F815" s="26" t="n">
        <f aca="false">E815*(1+g_tel_29)</f>
        <v>1.1859375</v>
      </c>
    </row>
    <row r="816" customFormat="false" ht="17.15" hidden="false" customHeight="false" outlineLevel="0" collapsed="false">
      <c r="A816" s="5" t="s">
        <v>531</v>
      </c>
      <c r="B816" s="0" t="s">
        <v>30</v>
      </c>
      <c r="C816" s="26" t="n">
        <f aca="false">c26_ind/1000</f>
        <v>0.3</v>
      </c>
      <c r="D816" s="26" t="n">
        <f aca="false">C816*(1+g_ind)</f>
        <v>0.309</v>
      </c>
      <c r="E816" s="26" t="n">
        <f aca="false">D816*(1+g_ind)</f>
        <v>0.31827</v>
      </c>
      <c r="F816" s="26" t="n">
        <f aca="false">E816*(1+g_ind)</f>
        <v>0.3278181</v>
      </c>
    </row>
    <row r="817" customFormat="false" ht="15" hidden="false" customHeight="false" outlineLevel="0" collapsed="false">
      <c r="A817" s="5" t="s">
        <v>532</v>
      </c>
      <c r="B817" s="0" t="s">
        <v>30</v>
      </c>
      <c r="C817" s="26" t="n">
        <f aca="false">C814+C815+C816</f>
        <v>4.4647</v>
      </c>
      <c r="D817" s="26" t="n">
        <f aca="false">D814+D815+D816</f>
        <v>8.26275915561893</v>
      </c>
      <c r="E817" s="26" t="n">
        <f aca="false">E814+E815+E816</f>
        <v>9.4353275616833</v>
      </c>
      <c r="F817" s="26" t="n">
        <f aca="false">F814+F815+F816</f>
        <v>10.9492691093627</v>
      </c>
    </row>
    <row r="818" customFormat="false" ht="15" hidden="false" customHeight="false" outlineLevel="0" collapsed="false">
      <c r="A818" s="5" t="s">
        <v>533</v>
      </c>
      <c r="B818" s="0" t="s">
        <v>163</v>
      </c>
      <c r="D818" s="16" t="n">
        <f aca="false">D817/C817-1</f>
        <v>0.850686307169335</v>
      </c>
      <c r="E818" s="16" t="n">
        <f aca="false">E817/D817-1</f>
        <v>0.141910030775493</v>
      </c>
      <c r="F818" s="16" t="n">
        <f aca="false">F817/E817-1</f>
        <v>0.160454582819944</v>
      </c>
    </row>
    <row r="819" customFormat="false" ht="17.15" hidden="false" customHeight="false" outlineLevel="0" collapsed="false">
      <c r="A819" s="1" t="s">
        <v>534</v>
      </c>
    </row>
    <row r="820" customFormat="false" ht="17.15" hidden="false" customHeight="false" outlineLevel="0" collapsed="false">
      <c r="A820" s="6" t="s">
        <v>19</v>
      </c>
      <c r="B820" s="6" t="s">
        <v>20</v>
      </c>
      <c r="C820" s="14" t="s">
        <v>420</v>
      </c>
      <c r="D820" s="14" t="s">
        <v>487</v>
      </c>
      <c r="E820" s="14" t="s">
        <v>488</v>
      </c>
      <c r="F820" s="14" t="s">
        <v>489</v>
      </c>
      <c r="G820" s="14" t="s">
        <v>490</v>
      </c>
      <c r="H820" s="6" t="s">
        <v>428</v>
      </c>
    </row>
    <row r="821" customFormat="false" ht="17.15" hidden="false" customHeight="false" outlineLevel="0" collapsed="false">
      <c r="A821" s="0" t="s">
        <v>535</v>
      </c>
      <c r="B821" s="0" t="s">
        <v>30</v>
      </c>
      <c r="E821" s="26" t="n">
        <f aca="false">w2h_26*C814+h_1h_lo*D814</f>
        <v>5.11393186348924</v>
      </c>
      <c r="F821" s="26" t="n">
        <f aca="false">(1-h_1h_lo)*D814+h_1h_lo*E814</f>
        <v>7.46623545428725</v>
      </c>
      <c r="G821" s="26" t="n">
        <f aca="false">(1-h_1h_lo)*E814+h_1h_lo*F814</f>
        <v>8.65342817866224</v>
      </c>
      <c r="H821" s="8" t="s">
        <v>536</v>
      </c>
    </row>
    <row r="822" customFormat="false" ht="17.15" hidden="false" customHeight="false" outlineLevel="0" collapsed="false">
      <c r="A822" s="5" t="s">
        <v>537</v>
      </c>
      <c r="B822" s="0" t="s">
        <v>30</v>
      </c>
      <c r="E822" s="26" t="n">
        <f aca="false">w2h_26*C815+h_1h_lo*D815+w2h_26*C816+h_1h_lo*D816</f>
        <v>1.17168216498309</v>
      </c>
      <c r="F822" s="26" t="n">
        <f aca="false">(1-h_1h_lo)*D815+h_1h_lo*E815+(1-h_1h_lo)*D816+h_1h_lo*E816</f>
        <v>1.3124538</v>
      </c>
      <c r="G822" s="26" t="n">
        <f aca="false">(1-h_1h_lo)*E815+h_1h_lo*F815+(1-h_1h_lo)*E816+h_1h_lo*F816</f>
        <v>1.448033664</v>
      </c>
    </row>
    <row r="823" customFormat="false" ht="15" hidden="false" customHeight="false" outlineLevel="0" collapsed="false">
      <c r="A823" s="5" t="s">
        <v>429</v>
      </c>
      <c r="B823" s="0" t="s">
        <v>30</v>
      </c>
      <c r="C823" s="26" t="n">
        <f aca="false">a25_rev/1000</f>
        <v>1.645</v>
      </c>
      <c r="D823" s="26" t="n">
        <f aca="false">a26_rev/1000</f>
        <v>3.014</v>
      </c>
      <c r="E823" s="26" t="n">
        <f aca="false">E821+E822</f>
        <v>6.28561402847233</v>
      </c>
      <c r="F823" s="26" t="n">
        <f aca="false">F821+F822</f>
        <v>8.77868925428725</v>
      </c>
      <c r="G823" s="26" t="n">
        <f aca="false">G821+G822</f>
        <v>10.1014618426622</v>
      </c>
    </row>
    <row r="824" customFormat="false" ht="15" hidden="false" customHeight="false" outlineLevel="0" collapsed="false">
      <c r="A824" s="5" t="s">
        <v>538</v>
      </c>
      <c r="B824" s="0" t="s">
        <v>163</v>
      </c>
      <c r="D824" s="16" t="n">
        <f aca="false">D823/C823-1</f>
        <v>0.832218844984802</v>
      </c>
      <c r="E824" s="16" t="n">
        <f aca="false">E823/D823-1</f>
        <v>1.08547247129142</v>
      </c>
      <c r="F824" s="16" t="n">
        <f aca="false">F823/E823-1</f>
        <v>0.396631930392463</v>
      </c>
      <c r="G824" s="16" t="n">
        <f aca="false">G823/F823-1</f>
        <v>0.15067996486252</v>
      </c>
    </row>
    <row r="825" customFormat="false" ht="17.15" hidden="false" customHeight="false" outlineLevel="0" collapsed="false">
      <c r="A825" s="0" t="s">
        <v>539</v>
      </c>
      <c r="B825" s="0" t="s">
        <v>163</v>
      </c>
      <c r="E825" s="16" t="n">
        <f aca="false">E821/E823</f>
        <v>0.813593046013381</v>
      </c>
      <c r="F825" s="16" t="n">
        <f aca="false">F821/F823</f>
        <v>0.850495471250559</v>
      </c>
      <c r="G825" s="16" t="n">
        <f aca="false">G821/G823</f>
        <v>0.856651078175199</v>
      </c>
    </row>
    <row r="826" customFormat="false" ht="17.15" hidden="false" customHeight="false" outlineLevel="0" collapsed="false">
      <c r="A826" s="5" t="s">
        <v>432</v>
      </c>
      <c r="B826" s="0" t="s">
        <v>163</v>
      </c>
      <c r="C826" s="16" t="n">
        <f aca="false">a25_gm</f>
        <v>0.347</v>
      </c>
      <c r="D826" s="16" t="n">
        <f aca="false">a26_gm</f>
        <v>0.46</v>
      </c>
      <c r="E826" s="16" t="n">
        <f aca="false">gm_27</f>
        <v>0.52</v>
      </c>
      <c r="F826" s="16" t="n">
        <f aca="false">gm_28</f>
        <v>0.51</v>
      </c>
      <c r="G826" s="16" t="n">
        <f aca="false">gm_29</f>
        <v>0.49</v>
      </c>
    </row>
    <row r="827" customFormat="false" ht="15" hidden="false" customHeight="false" outlineLevel="0" collapsed="false">
      <c r="A827" s="5" t="s">
        <v>433</v>
      </c>
      <c r="B827" s="0" t="s">
        <v>30</v>
      </c>
      <c r="C827" s="26" t="n">
        <f aca="false">C823*C826</f>
        <v>0.570815</v>
      </c>
      <c r="D827" s="26" t="n">
        <f aca="false">D823*D826</f>
        <v>1.38644</v>
      </c>
      <c r="E827" s="26" t="n">
        <f aca="false">E823*E826</f>
        <v>3.26851929480561</v>
      </c>
      <c r="F827" s="26" t="n">
        <f aca="false">F823*F826</f>
        <v>4.4771315196865</v>
      </c>
      <c r="G827" s="26" t="n">
        <f aca="false">G823*G826</f>
        <v>4.9497163029045</v>
      </c>
    </row>
    <row r="828" customFormat="false" ht="15" hidden="false" customHeight="false" outlineLevel="0" collapsed="false">
      <c r="A828" s="5" t="s">
        <v>540</v>
      </c>
      <c r="B828" s="0" t="s">
        <v>30</v>
      </c>
      <c r="C828" s="26" t="n">
        <f aca="false">a25_opx/1000</f>
        <v>0.4114</v>
      </c>
      <c r="D828" s="26" t="n">
        <f aca="false">a26_opx/1000</f>
        <v>0.4897</v>
      </c>
      <c r="E828" s="26" t="n">
        <f aca="false">D828*(1+MAX(0,phi*E824))</f>
        <v>0.611265081796618</v>
      </c>
      <c r="F828" s="26" t="n">
        <f aca="false">E828*(1+MAX(0,phi*F824))</f>
        <v>0.666711971596575</v>
      </c>
      <c r="G828" s="26" t="n">
        <f aca="false">F828*(1+MAX(0,phi*G824))</f>
        <v>0.689686874919265</v>
      </c>
    </row>
    <row r="829" customFormat="false" ht="15" hidden="false" customHeight="false" outlineLevel="0" collapsed="false">
      <c r="A829" s="5" t="s">
        <v>541</v>
      </c>
      <c r="B829" s="0" t="s">
        <v>30</v>
      </c>
      <c r="C829" s="26" t="n">
        <f aca="false">C828</f>
        <v>0.4114</v>
      </c>
      <c r="D829" s="26" t="n">
        <f aca="false">D828</f>
        <v>0.4897</v>
      </c>
      <c r="E829" s="26" t="n">
        <f aca="false">E828+0*E823</f>
        <v>0.611265081796618</v>
      </c>
      <c r="F829" s="26" t="n">
        <f aca="false">F828+0*F823</f>
        <v>0.666711971596575</v>
      </c>
      <c r="G829" s="26" t="n">
        <f aca="false">G828+0*G823</f>
        <v>0.689686874919265</v>
      </c>
    </row>
    <row r="830" customFormat="false" ht="15" hidden="false" customHeight="false" outlineLevel="0" collapsed="false">
      <c r="A830" s="5" t="s">
        <v>542</v>
      </c>
      <c r="B830" s="0" t="s">
        <v>30</v>
      </c>
      <c r="C830" s="26" t="n">
        <f aca="false">C827-C829</f>
        <v>0.159415</v>
      </c>
      <c r="D830" s="26" t="n">
        <f aca="false">D827-D829</f>
        <v>0.89674</v>
      </c>
      <c r="E830" s="26" t="n">
        <f aca="false">E827-E829</f>
        <v>2.65725421300899</v>
      </c>
      <c r="F830" s="26" t="n">
        <f aca="false">F827-F829</f>
        <v>3.81041954808992</v>
      </c>
      <c r="G830" s="26" t="n">
        <f aca="false">G827-G829</f>
        <v>4.26002942798523</v>
      </c>
    </row>
    <row r="831" customFormat="false" ht="15" hidden="false" customHeight="false" outlineLevel="0" collapsed="false">
      <c r="A831" s="5" t="s">
        <v>437</v>
      </c>
      <c r="B831" s="0" t="s">
        <v>163</v>
      </c>
      <c r="C831" s="16" t="n">
        <f aca="false">C830/C823</f>
        <v>0.0969088145896656</v>
      </c>
      <c r="D831" s="16" t="n">
        <f aca="false">D830/D823</f>
        <v>0.297524883875249</v>
      </c>
      <c r="E831" s="16" t="n">
        <f aca="false">E830/E823</f>
        <v>0.422751731330029</v>
      </c>
      <c r="F831" s="16" t="n">
        <f aca="false">F830/F823</f>
        <v>0.434053357820933</v>
      </c>
      <c r="G831" s="16" t="n">
        <f aca="false">G830/G823</f>
        <v>0.421724052848821</v>
      </c>
    </row>
    <row r="832" customFormat="false" ht="17.15" hidden="false" customHeight="false" outlineLevel="0" collapsed="false">
      <c r="A832" s="5" t="s">
        <v>438</v>
      </c>
      <c r="B832" s="0" t="s">
        <v>30</v>
      </c>
      <c r="C832" s="26" t="n">
        <f aca="false">a25_ni/1000</f>
        <v>0.1464</v>
      </c>
      <c r="D832" s="26" t="n">
        <f aca="false">a26_ni/1000</f>
        <v>0.7823</v>
      </c>
      <c r="E832" s="26" t="n">
        <f aca="false">(E830+oi_oth)*(1-tx)</f>
        <v>2.26240726786251</v>
      </c>
      <c r="F832" s="26" t="n">
        <f aca="false">(F830+oi_oth)*(1-tx)</f>
        <v>3.22530032265509</v>
      </c>
      <c r="G832" s="26" t="n">
        <f aca="false">(G830+oi_oth)*(1-tx)</f>
        <v>3.60072457236767</v>
      </c>
    </row>
    <row r="833" customFormat="false" ht="15" hidden="false" customHeight="false" outlineLevel="0" collapsed="false">
      <c r="A833" s="5" t="s">
        <v>500</v>
      </c>
      <c r="B833" s="0" t="s">
        <v>163</v>
      </c>
      <c r="C833" s="16" t="n">
        <f aca="false">C832/C823</f>
        <v>0.0889969604863222</v>
      </c>
      <c r="D833" s="16" t="n">
        <f aca="false">D832/D823</f>
        <v>0.259555408095554</v>
      </c>
      <c r="E833" s="16" t="n">
        <f aca="false">E832/E823</f>
        <v>0.359934169933812</v>
      </c>
      <c r="F833" s="16" t="n">
        <f aca="false">F832/F823</f>
        <v>0.367401126663636</v>
      </c>
      <c r="G833" s="16" t="n">
        <f aca="false">G832/G823</f>
        <v>0.356455791097529</v>
      </c>
    </row>
    <row r="834" customFormat="false" ht="17.15" hidden="false" customHeight="false" outlineLevel="0" collapsed="false">
      <c r="A834" s="5" t="s">
        <v>442</v>
      </c>
      <c r="B834" s="5" t="s">
        <v>237</v>
      </c>
      <c r="C834" s="15" t="n">
        <f aca="false">a25_sh</f>
        <v>71.0679611650485</v>
      </c>
      <c r="D834" s="15" t="n">
        <f aca="false">a26_sh</f>
        <v>90.2306805074971</v>
      </c>
      <c r="E834" s="15" t="n">
        <f aca="false">sh_q1</f>
        <v>102</v>
      </c>
      <c r="F834" s="15" t="n">
        <f aca="false">E834*(1+sh_g)</f>
        <v>103.02</v>
      </c>
      <c r="G834" s="15" t="n">
        <f aca="false">F834*(1+sh_g)</f>
        <v>104.0502</v>
      </c>
    </row>
    <row r="835" customFormat="false" ht="17.15" hidden="false" customHeight="false" outlineLevel="0" collapsed="false">
      <c r="A835" s="0" t="s">
        <v>444</v>
      </c>
      <c r="B835" s="0" t="s">
        <v>232</v>
      </c>
      <c r="C835" s="9" t="n">
        <f aca="false">C832*1000/C834</f>
        <v>2.06</v>
      </c>
      <c r="D835" s="9" t="n">
        <f aca="false">D832*1000/D834</f>
        <v>8.67</v>
      </c>
      <c r="E835" s="9" t="n">
        <f aca="false">E832*1000/E834</f>
        <v>22.1804634104168</v>
      </c>
      <c r="F835" s="9" t="n">
        <f aca="false">F832*1000/F834</f>
        <v>31.3075162362171</v>
      </c>
      <c r="G835" s="9" t="n">
        <f aca="false">G832*1000/G834</f>
        <v>34.6056477773966</v>
      </c>
    </row>
    <row r="836" customFormat="false" ht="17.15" hidden="false" customHeight="false" outlineLevel="0" collapsed="false">
      <c r="A836" s="0" t="s">
        <v>543</v>
      </c>
      <c r="B836" s="0" t="s">
        <v>163</v>
      </c>
      <c r="D836" s="16" t="n">
        <f aca="false">D835/C835-1</f>
        <v>3.20873786407767</v>
      </c>
      <c r="E836" s="16" t="n">
        <f aca="false">E835/D835-1</f>
        <v>1.55830027801808</v>
      </c>
      <c r="F836" s="16" t="n">
        <f aca="false">F835/E835-1</f>
        <v>0.411490628347916</v>
      </c>
      <c r="G836" s="16" t="n">
        <f aca="false">G835/F835-1</f>
        <v>0.105346317360179</v>
      </c>
    </row>
    <row r="839" customFormat="false" ht="17.15" hidden="false" customHeight="false" outlineLevel="0" collapsed="false">
      <c r="A839" s="3" t="s">
        <v>851</v>
      </c>
    </row>
    <row r="840" customFormat="false" ht="17.15" hidden="false" customHeight="false" outlineLevel="0" collapsed="false">
      <c r="A840" s="1" t="s">
        <v>509</v>
      </c>
    </row>
    <row r="841" customFormat="false" ht="17.15" hidden="false" customHeight="false" outlineLevel="0" collapsed="false">
      <c r="A841" s="6" t="s">
        <v>19</v>
      </c>
      <c r="B841" s="6" t="s">
        <v>20</v>
      </c>
      <c r="C841" s="14" t="s">
        <v>510</v>
      </c>
      <c r="D841" s="14" t="s">
        <v>465</v>
      </c>
      <c r="E841" s="14" t="s">
        <v>466</v>
      </c>
      <c r="F841" s="14" t="s">
        <v>467</v>
      </c>
      <c r="G841" s="14"/>
      <c r="H841" s="6" t="s">
        <v>428</v>
      </c>
    </row>
    <row r="842" customFormat="false" ht="17.15" hidden="false" customHeight="false" outlineLevel="0" collapsed="false">
      <c r="A842" s="0" t="s">
        <v>511</v>
      </c>
      <c r="B842" s="0" t="s">
        <v>30</v>
      </c>
      <c r="C842" s="26" t="n">
        <f aca="false">mpl_26*1</f>
        <v>29.753262</v>
      </c>
      <c r="D842" s="26" t="n">
        <f aca="false">mpl_27*1*1</f>
        <v>54.688309</v>
      </c>
      <c r="E842" s="26" t="n">
        <f aca="false">mpl_28*um28_A*1</f>
        <v>61.21325</v>
      </c>
      <c r="F842" s="26" t="n">
        <f aca="false">mpl_29*um29_A*1</f>
        <v>78.80848</v>
      </c>
    </row>
    <row r="843" customFormat="false" ht="17.15" hidden="false" customHeight="false" outlineLevel="0" collapsed="false">
      <c r="A843" s="5" t="s">
        <v>512</v>
      </c>
      <c r="B843" s="0" t="s">
        <v>96</v>
      </c>
      <c r="C843" s="20" t="n">
        <f aca="false">asp_26</f>
        <v>500</v>
      </c>
      <c r="D843" s="20" t="n">
        <f aca="false">asp_27</f>
        <v>520</v>
      </c>
      <c r="E843" s="20" t="n">
        <f aca="false">asp_28</f>
        <v>540</v>
      </c>
      <c r="F843" s="20" t="n">
        <f aca="false">asp_29</f>
        <v>560</v>
      </c>
    </row>
    <row r="844" customFormat="false" ht="17.15" hidden="false" customHeight="false" outlineLevel="0" collapsed="false">
      <c r="A844" s="5" t="s">
        <v>513</v>
      </c>
      <c r="B844" s="5" t="s">
        <v>336</v>
      </c>
      <c r="C844" s="15" t="n">
        <f aca="false">C842*1000/C843</f>
        <v>59.506524</v>
      </c>
      <c r="D844" s="15" t="n">
        <f aca="false">D842*1000/D843</f>
        <v>105.169825</v>
      </c>
      <c r="E844" s="15" t="n">
        <f aca="false">E842*1000/E843</f>
        <v>113.35787037037</v>
      </c>
      <c r="F844" s="15" t="n">
        <f aca="false">F842*1000/F843</f>
        <v>140.729428571429</v>
      </c>
    </row>
    <row r="845" customFormat="false" ht="17.15" hidden="false" customHeight="false" outlineLevel="0" collapsed="false">
      <c r="A845" s="5" t="s">
        <v>514</v>
      </c>
      <c r="B845" s="5" t="s">
        <v>108</v>
      </c>
      <c r="C845" s="18" t="n">
        <f aca="false">lpm_26</f>
        <v>5.5</v>
      </c>
      <c r="D845" s="18" t="n">
        <f aca="false">lpm_27</f>
        <v>5.5</v>
      </c>
      <c r="E845" s="18" t="n">
        <f aca="false">lpm_28</f>
        <v>5</v>
      </c>
      <c r="F845" s="18" t="n">
        <f aca="false">lpm_29</f>
        <v>4.8</v>
      </c>
    </row>
    <row r="846" customFormat="false" ht="17.15" hidden="false" customHeight="false" outlineLevel="0" collapsed="false">
      <c r="A846" s="5" t="s">
        <v>515</v>
      </c>
      <c r="B846" s="0" t="s">
        <v>120</v>
      </c>
      <c r="C846" s="18" t="n">
        <f aca="false">lasp_26</f>
        <v>13</v>
      </c>
      <c r="D846" s="18" t="n">
        <f aca="false">lasp_27</f>
        <v>15</v>
      </c>
      <c r="E846" s="18" t="n">
        <f aca="false">lasp_28</f>
        <v>15</v>
      </c>
      <c r="F846" s="18" t="n">
        <f aca="false">lasp_29</f>
        <v>14</v>
      </c>
    </row>
    <row r="847" customFormat="false" ht="17.15" hidden="false" customHeight="false" outlineLevel="0" collapsed="false">
      <c r="A847" s="5" t="s">
        <v>516</v>
      </c>
      <c r="B847" s="0" t="s">
        <v>30</v>
      </c>
      <c r="C847" s="26" t="n">
        <f aca="false">C844*C845*C846/1000</f>
        <v>4.254716466</v>
      </c>
      <c r="D847" s="26" t="n">
        <f aca="false">D844*D845*D846/1000</f>
        <v>8.6765105625</v>
      </c>
      <c r="E847" s="26" t="n">
        <f aca="false">E844*E845*E846/1000</f>
        <v>8.50184027777778</v>
      </c>
      <c r="F847" s="26" t="n">
        <f aca="false">F844*F845*F846/1000</f>
        <v>9.4570176</v>
      </c>
    </row>
    <row r="848" customFormat="false" ht="17.15" hidden="false" customHeight="false" outlineLevel="0" collapsed="false">
      <c r="A848" s="0" t="s">
        <v>517</v>
      </c>
      <c r="B848" s="0" t="s">
        <v>163</v>
      </c>
      <c r="C848" s="16" t="n">
        <f aca="false">c26_las/1000/C847</f>
        <v>0.43826657190933</v>
      </c>
      <c r="H848" s="8" t="s">
        <v>518</v>
      </c>
    </row>
    <row r="849" customFormat="false" ht="17.15" hidden="false" customHeight="false" outlineLevel="0" collapsed="false">
      <c r="A849" s="5" t="s">
        <v>519</v>
      </c>
      <c r="B849" s="0" t="s">
        <v>74</v>
      </c>
      <c r="C849" s="9" t="n">
        <f aca="false">1</f>
        <v>1</v>
      </c>
      <c r="D849" s="9" t="n">
        <f aca="false">lrel_27</f>
        <v>0.95</v>
      </c>
      <c r="E849" s="9" t="n">
        <f aca="false">lrel_28</f>
        <v>0.95</v>
      </c>
      <c r="F849" s="9" t="n">
        <f aca="false">lrel_29</f>
        <v>0.9</v>
      </c>
    </row>
    <row r="850" customFormat="false" ht="15" hidden="false" customHeight="false" outlineLevel="0" collapsed="false">
      <c r="A850" s="5" t="s">
        <v>520</v>
      </c>
      <c r="B850" s="0" t="s">
        <v>163</v>
      </c>
      <c r="C850" s="16" t="n">
        <f aca="false">$C$848*C849</f>
        <v>0.43826657190933</v>
      </c>
      <c r="D850" s="16" t="n">
        <f aca="false">$C$848*D849</f>
        <v>0.416353243313864</v>
      </c>
      <c r="E850" s="16" t="n">
        <f aca="false">$C$848*E849</f>
        <v>0.416353243313864</v>
      </c>
      <c r="F850" s="16" t="n">
        <f aca="false">$C$848*F849</f>
        <v>0.394439914718397</v>
      </c>
    </row>
    <row r="851" customFormat="false" ht="17.15" hidden="false" customHeight="false" outlineLevel="0" collapsed="false">
      <c r="A851" s="5" t="s">
        <v>521</v>
      </c>
      <c r="B851" s="0" t="s">
        <v>30</v>
      </c>
      <c r="C851" s="26" t="n">
        <f aca="false">C847*C850</f>
        <v>1.8647</v>
      </c>
      <c r="D851" s="26" t="n">
        <f aca="false">D847*D850</f>
        <v>3.61249331334387</v>
      </c>
      <c r="E851" s="26" t="n">
        <f aca="false">E847*E850</f>
        <v>3.53976877378922</v>
      </c>
      <c r="F851" s="26" t="n">
        <f aca="false">F847*F850</f>
        <v>3.73022521563438</v>
      </c>
    </row>
    <row r="852" customFormat="false" ht="17.15" hidden="false" customHeight="false" outlineLevel="0" collapsed="false">
      <c r="A852" s="5" t="s">
        <v>522</v>
      </c>
      <c r="B852" s="0" t="s">
        <v>163</v>
      </c>
      <c r="C852" s="16" t="n">
        <f aca="false">c26_xcvr/1000/C842</f>
        <v>0.0336097601668012</v>
      </c>
    </row>
    <row r="853" customFormat="false" ht="15" hidden="false" customHeight="false" outlineLevel="0" collapsed="false">
      <c r="A853" s="5" t="s">
        <v>523</v>
      </c>
      <c r="B853" s="0" t="s">
        <v>163</v>
      </c>
      <c r="C853" s="16" t="n">
        <f aca="false">C852</f>
        <v>0.0336097601668012</v>
      </c>
      <c r="D853" s="16" t="n">
        <f aca="false">$C$852*mrel_27</f>
        <v>0.0336097601668012</v>
      </c>
      <c r="E853" s="16" t="n">
        <f aca="false">$C$852*mrel_28</f>
        <v>0.0336097601668012</v>
      </c>
      <c r="F853" s="16" t="n">
        <f aca="false">$C$852*mrel_29</f>
        <v>0.0336097601668012</v>
      </c>
    </row>
    <row r="854" customFormat="false" ht="15" hidden="false" customHeight="false" outlineLevel="0" collapsed="false">
      <c r="A854" s="5" t="s">
        <v>524</v>
      </c>
      <c r="B854" s="0" t="s">
        <v>30</v>
      </c>
      <c r="C854" s="26" t="n">
        <f aca="false">C842*C853</f>
        <v>1</v>
      </c>
      <c r="D854" s="26" t="n">
        <f aca="false">D842*D853</f>
        <v>1.83806094941792</v>
      </c>
      <c r="E854" s="26" t="n">
        <f aca="false">E842*E853</f>
        <v>2.05736265153044</v>
      </c>
      <c r="F854" s="26" t="n">
        <f aca="false">F842*F853</f>
        <v>2.64873411191015</v>
      </c>
    </row>
    <row r="855" customFormat="false" ht="17.15" hidden="false" customHeight="false" outlineLevel="0" collapsed="false">
      <c r="A855" s="0" t="s">
        <v>525</v>
      </c>
      <c r="B855" s="5" t="s">
        <v>53</v>
      </c>
      <c r="C855" s="19" t="n">
        <f aca="false">tpu_26*1</f>
        <v>3.85</v>
      </c>
      <c r="D855" s="19" t="n">
        <f aca="false">tpu_27*1</f>
        <v>5.5</v>
      </c>
      <c r="E855" s="19" t="n">
        <f aca="false">tpu_28*um28_A</f>
        <v>7</v>
      </c>
      <c r="F855" s="19" t="n">
        <f aca="false">tpu_29*um29_A</f>
        <v>8.05</v>
      </c>
    </row>
    <row r="856" customFormat="false" ht="17.15" hidden="false" customHeight="false" outlineLevel="0" collapsed="false">
      <c r="A856" s="0" t="s">
        <v>526</v>
      </c>
      <c r="B856" s="0" t="s">
        <v>120</v>
      </c>
      <c r="C856" s="20" t="n">
        <f aca="false">c26_ocs/C855</f>
        <v>129.87012987013</v>
      </c>
      <c r="D856" s="20" t="n">
        <f aca="false">$C856*ocsk_27</f>
        <v>207.792207792208</v>
      </c>
      <c r="E856" s="20" t="n">
        <f aca="false">$C856*ocsk_28</f>
        <v>233.766233766234</v>
      </c>
      <c r="F856" s="20" t="n">
        <f aca="false">$C856*ocsk_29</f>
        <v>233.766233766234</v>
      </c>
    </row>
    <row r="857" customFormat="false" ht="17.15" hidden="false" customHeight="false" outlineLevel="0" collapsed="false">
      <c r="A857" s="0" t="s">
        <v>479</v>
      </c>
      <c r="B857" s="0" t="s">
        <v>30</v>
      </c>
      <c r="C857" s="26" t="n">
        <f aca="false">C855*C856/1000</f>
        <v>0.5</v>
      </c>
      <c r="D857" s="26" t="n">
        <f aca="false">D855*D856/1000</f>
        <v>1.14285714285714</v>
      </c>
      <c r="E857" s="26" t="n">
        <f aca="false">E855*E856/1000</f>
        <v>1.63636363636364</v>
      </c>
      <c r="F857" s="26" t="n">
        <f aca="false">F855*F856/1000</f>
        <v>1.88181818181818</v>
      </c>
    </row>
    <row r="858" customFormat="false" ht="17.15" hidden="false" customHeight="false" outlineLevel="0" collapsed="false">
      <c r="A858" s="0" t="s">
        <v>527</v>
      </c>
      <c r="B858" s="0" t="s">
        <v>30</v>
      </c>
      <c r="C858" s="26" t="n">
        <f aca="false">mcp_26*1</f>
        <v>0.300538</v>
      </c>
      <c r="D858" s="26" t="n">
        <f aca="false">mcp_27*1</f>
        <v>1.691391</v>
      </c>
      <c r="E858" s="26" t="n">
        <f aca="false">mcp_28*um28_A</f>
        <v>3.22175</v>
      </c>
      <c r="F858" s="26" t="n">
        <f aca="false">mcp_29*um29_A</f>
        <v>5.87368</v>
      </c>
    </row>
    <row r="859" customFormat="false" ht="17.15" hidden="false" customHeight="false" outlineLevel="0" collapsed="false">
      <c r="A859" s="0" t="s">
        <v>480</v>
      </c>
      <c r="B859" s="0" t="s">
        <v>163</v>
      </c>
      <c r="C859" s="16" t="n">
        <f aca="false">c26_cpo/1000/C858</f>
        <v>0.166368312825666</v>
      </c>
      <c r="D859" s="16" t="n">
        <f aca="false">cpo_27</f>
        <v>0.25</v>
      </c>
      <c r="E859" s="16" t="n">
        <f aca="false">cpo_28</f>
        <v>0.25</v>
      </c>
      <c r="F859" s="16" t="n">
        <f aca="false">cpo_29</f>
        <v>0.2</v>
      </c>
    </row>
    <row r="860" customFormat="false" ht="17.15" hidden="false" customHeight="false" outlineLevel="0" collapsed="false">
      <c r="A860" s="0" t="s">
        <v>528</v>
      </c>
      <c r="B860" s="0" t="s">
        <v>30</v>
      </c>
      <c r="C860" s="26" t="n">
        <f aca="false">C858*C859</f>
        <v>0.05</v>
      </c>
      <c r="D860" s="26" t="n">
        <f aca="false">D858*D859</f>
        <v>0.42284775</v>
      </c>
      <c r="E860" s="26" t="n">
        <f aca="false">E858*E859</f>
        <v>0.8054375</v>
      </c>
      <c r="F860" s="26" t="n">
        <f aca="false">F858*F859</f>
        <v>1.174736</v>
      </c>
    </row>
    <row r="861" customFormat="false" ht="17.15" hidden="false" customHeight="false" outlineLevel="0" collapsed="false">
      <c r="A861" s="0" t="s">
        <v>529</v>
      </c>
      <c r="B861" s="0" t="s">
        <v>30</v>
      </c>
      <c r="C861" s="26" t="n">
        <f aca="false">C851+C854+C857+C860</f>
        <v>3.4147</v>
      </c>
      <c r="D861" s="26" t="n">
        <f aca="false">D851+D854+D857+D860</f>
        <v>7.01625915561893</v>
      </c>
      <c r="E861" s="26" t="n">
        <f aca="false">E851+E854+E857+E860</f>
        <v>8.0389325616833</v>
      </c>
      <c r="F861" s="26" t="n">
        <f aca="false">F851+F854+F857+F860</f>
        <v>9.43551350936271</v>
      </c>
    </row>
    <row r="862" customFormat="false" ht="17.15" hidden="false" customHeight="false" outlineLevel="0" collapsed="false">
      <c r="A862" s="5" t="s">
        <v>530</v>
      </c>
      <c r="B862" s="0" t="s">
        <v>30</v>
      </c>
      <c r="C862" s="26" t="n">
        <f aca="false">c26_tel/1000</f>
        <v>0.75</v>
      </c>
      <c r="D862" s="26" t="n">
        <f aca="false">C862*(1+g_tel_27)</f>
        <v>0.9375</v>
      </c>
      <c r="E862" s="26" t="n">
        <f aca="false">D862*(1+g_tel_28)</f>
        <v>1.078125</v>
      </c>
      <c r="F862" s="26" t="n">
        <f aca="false">E862*(1+g_tel_29)</f>
        <v>1.1859375</v>
      </c>
    </row>
    <row r="863" customFormat="false" ht="17.15" hidden="false" customHeight="false" outlineLevel="0" collapsed="false">
      <c r="A863" s="5" t="s">
        <v>531</v>
      </c>
      <c r="B863" s="0" t="s">
        <v>30</v>
      </c>
      <c r="C863" s="26" t="n">
        <f aca="false">c26_ind/1000</f>
        <v>0.3</v>
      </c>
      <c r="D863" s="26" t="n">
        <f aca="false">C863*(1+g_ind)</f>
        <v>0.309</v>
      </c>
      <c r="E863" s="26" t="n">
        <f aca="false">D863*(1+g_ind)</f>
        <v>0.31827</v>
      </c>
      <c r="F863" s="26" t="n">
        <f aca="false">E863*(1+g_ind)</f>
        <v>0.3278181</v>
      </c>
    </row>
    <row r="864" customFormat="false" ht="15" hidden="false" customHeight="false" outlineLevel="0" collapsed="false">
      <c r="A864" s="5" t="s">
        <v>532</v>
      </c>
      <c r="B864" s="0" t="s">
        <v>30</v>
      </c>
      <c r="C864" s="26" t="n">
        <f aca="false">C861+C862+C863</f>
        <v>4.4647</v>
      </c>
      <c r="D864" s="26" t="n">
        <f aca="false">D861+D862+D863</f>
        <v>8.26275915561893</v>
      </c>
      <c r="E864" s="26" t="n">
        <f aca="false">E861+E862+E863</f>
        <v>9.4353275616833</v>
      </c>
      <c r="F864" s="26" t="n">
        <f aca="false">F861+F862+F863</f>
        <v>10.9492691093627</v>
      </c>
    </row>
    <row r="865" customFormat="false" ht="15" hidden="false" customHeight="false" outlineLevel="0" collapsed="false">
      <c r="A865" s="5" t="s">
        <v>533</v>
      </c>
      <c r="B865" s="0" t="s">
        <v>163</v>
      </c>
      <c r="D865" s="16" t="n">
        <f aca="false">D864/C864-1</f>
        <v>0.850686307169335</v>
      </c>
      <c r="E865" s="16" t="n">
        <f aca="false">E864/D864-1</f>
        <v>0.141910030775493</v>
      </c>
      <c r="F865" s="16" t="n">
        <f aca="false">F864/E864-1</f>
        <v>0.160454582819944</v>
      </c>
    </row>
    <row r="866" customFormat="false" ht="17.15" hidden="false" customHeight="false" outlineLevel="0" collapsed="false">
      <c r="A866" s="1" t="s">
        <v>534</v>
      </c>
    </row>
    <row r="867" customFormat="false" ht="17.15" hidden="false" customHeight="false" outlineLevel="0" collapsed="false">
      <c r="A867" s="6" t="s">
        <v>19</v>
      </c>
      <c r="B867" s="6" t="s">
        <v>20</v>
      </c>
      <c r="C867" s="14" t="s">
        <v>420</v>
      </c>
      <c r="D867" s="14" t="s">
        <v>487</v>
      </c>
      <c r="E867" s="14" t="s">
        <v>488</v>
      </c>
      <c r="F867" s="14" t="s">
        <v>489</v>
      </c>
      <c r="G867" s="14" t="s">
        <v>490</v>
      </c>
      <c r="H867" s="6" t="s">
        <v>428</v>
      </c>
    </row>
    <row r="868" customFormat="false" ht="17.15" hidden="false" customHeight="false" outlineLevel="0" collapsed="false">
      <c r="A868" s="0" t="s">
        <v>535</v>
      </c>
      <c r="B868" s="0" t="s">
        <v>30</v>
      </c>
      <c r="E868" s="26" t="n">
        <f aca="false">w2h_26*C861+h_1h*D861</f>
        <v>5.32441963815781</v>
      </c>
      <c r="F868" s="26" t="n">
        <f aca="false">(1-h_1h)*D861+h_1h*E861</f>
        <v>7.49691565646918</v>
      </c>
      <c r="G868" s="26" t="n">
        <f aca="false">(1-h_1h)*E861+h_1h*F861</f>
        <v>8.69532560709262</v>
      </c>
      <c r="H868" s="8" t="s">
        <v>536</v>
      </c>
    </row>
    <row r="869" customFormat="false" ht="17.15" hidden="false" customHeight="false" outlineLevel="0" collapsed="false">
      <c r="A869" s="5" t="s">
        <v>537</v>
      </c>
      <c r="B869" s="0" t="s">
        <v>30</v>
      </c>
      <c r="E869" s="26" t="n">
        <f aca="false">w2h_26*C862+h_1h*D862+w2h_26*C863+h_1h*D863</f>
        <v>1.20907716498309</v>
      </c>
      <c r="F869" s="26" t="n">
        <f aca="false">(1-h_1h)*D862+h_1h*E862+(1-h_1h)*D863+h_1h*E863</f>
        <v>1.31695065</v>
      </c>
      <c r="G869" s="26" t="n">
        <f aca="false">(1-h_1h)*E862+h_1h*F862+(1-h_1h)*E863+h_1h*F863</f>
        <v>1.451554482</v>
      </c>
    </row>
    <row r="870" customFormat="false" ht="15" hidden="false" customHeight="false" outlineLevel="0" collapsed="false">
      <c r="A870" s="5" t="s">
        <v>429</v>
      </c>
      <c r="B870" s="0" t="s">
        <v>30</v>
      </c>
      <c r="C870" s="26" t="n">
        <f aca="false">a25_rev/1000</f>
        <v>1.645</v>
      </c>
      <c r="D870" s="26" t="n">
        <f aca="false">a26_rev/1000</f>
        <v>3.014</v>
      </c>
      <c r="E870" s="26" t="n">
        <f aca="false">E868+E869</f>
        <v>6.5334968031409</v>
      </c>
      <c r="F870" s="26" t="n">
        <f aca="false">F868+F869</f>
        <v>8.81386630646918</v>
      </c>
      <c r="G870" s="26" t="n">
        <f aca="false">G868+G869</f>
        <v>10.1468800890926</v>
      </c>
    </row>
    <row r="871" customFormat="false" ht="15" hidden="false" customHeight="false" outlineLevel="0" collapsed="false">
      <c r="A871" s="5" t="s">
        <v>538</v>
      </c>
      <c r="B871" s="0" t="s">
        <v>163</v>
      </c>
      <c r="D871" s="16" t="n">
        <f aca="false">D870/C870-1</f>
        <v>0.832218844984802</v>
      </c>
      <c r="E871" s="16" t="n">
        <f aca="false">E870/D870-1</f>
        <v>1.16771625850727</v>
      </c>
      <c r="F871" s="16" t="n">
        <f aca="false">F870/E870-1</f>
        <v>0.349027415492425</v>
      </c>
      <c r="G871" s="16" t="n">
        <f aca="false">G870/F870-1</f>
        <v>0.151240526719249</v>
      </c>
    </row>
    <row r="872" customFormat="false" ht="17.15" hidden="false" customHeight="false" outlineLevel="0" collapsed="false">
      <c r="A872" s="0" t="s">
        <v>539</v>
      </c>
      <c r="B872" s="0" t="s">
        <v>163</v>
      </c>
      <c r="E872" s="16" t="n">
        <f aca="false">E868/E870</f>
        <v>0.814941798945728</v>
      </c>
      <c r="F872" s="16" t="n">
        <f aca="false">F868/F870</f>
        <v>0.850581957541903</v>
      </c>
      <c r="G872" s="16" t="n">
        <f aca="false">G868/G870</f>
        <v>0.856945734131583</v>
      </c>
    </row>
    <row r="873" customFormat="false" ht="17.15" hidden="false" customHeight="false" outlineLevel="0" collapsed="false">
      <c r="A873" s="5" t="s">
        <v>432</v>
      </c>
      <c r="B873" s="0" t="s">
        <v>163</v>
      </c>
      <c r="C873" s="16" t="n">
        <f aca="false">a25_gm</f>
        <v>0.347</v>
      </c>
      <c r="D873" s="16" t="n">
        <f aca="false">a26_gm</f>
        <v>0.46</v>
      </c>
      <c r="E873" s="16" t="n">
        <f aca="false">gm_27</f>
        <v>0.52</v>
      </c>
      <c r="F873" s="16" t="n">
        <f aca="false">gm_28</f>
        <v>0.51</v>
      </c>
      <c r="G873" s="16" t="n">
        <f aca="false">gm_29</f>
        <v>0.49</v>
      </c>
    </row>
    <row r="874" customFormat="false" ht="15" hidden="false" customHeight="false" outlineLevel="0" collapsed="false">
      <c r="A874" s="5" t="s">
        <v>433</v>
      </c>
      <c r="B874" s="0" t="s">
        <v>30</v>
      </c>
      <c r="C874" s="26" t="n">
        <f aca="false">C870*C873</f>
        <v>0.570815</v>
      </c>
      <c r="D874" s="26" t="n">
        <f aca="false">D870*D873</f>
        <v>1.38644</v>
      </c>
      <c r="E874" s="26" t="n">
        <f aca="false">E870*E873</f>
        <v>3.39741833763327</v>
      </c>
      <c r="F874" s="26" t="n">
        <f aca="false">F870*F873</f>
        <v>4.49507181629928</v>
      </c>
      <c r="G874" s="26" t="n">
        <f aca="false">G870*G873</f>
        <v>4.97197124365538</v>
      </c>
    </row>
    <row r="875" customFormat="false" ht="15" hidden="false" customHeight="false" outlineLevel="0" collapsed="false">
      <c r="A875" s="5" t="s">
        <v>540</v>
      </c>
      <c r="B875" s="0" t="s">
        <v>30</v>
      </c>
      <c r="C875" s="26" t="n">
        <f aca="false">a25_opx/1000</f>
        <v>0.4114</v>
      </c>
      <c r="D875" s="26" t="n">
        <f aca="false">a26_opx/1000</f>
        <v>0.4897</v>
      </c>
      <c r="E875" s="26" t="n">
        <f aca="false">D875*(1+MAX(0,phi*E871))</f>
        <v>0.620475792325522</v>
      </c>
      <c r="F875" s="26" t="n">
        <f aca="false">E875*(1+MAX(0,phi*F871))</f>
        <v>0.670003053508791</v>
      </c>
      <c r="G875" s="26" t="n">
        <f aca="false">F875*(1+MAX(0,phi*G871))</f>
        <v>0.693177261048431</v>
      </c>
    </row>
    <row r="876" customFormat="false" ht="15" hidden="false" customHeight="false" outlineLevel="0" collapsed="false">
      <c r="A876" s="5" t="s">
        <v>541</v>
      </c>
      <c r="B876" s="0" t="s">
        <v>30</v>
      </c>
      <c r="C876" s="26" t="n">
        <f aca="false">C875</f>
        <v>0.4114</v>
      </c>
      <c r="D876" s="26" t="n">
        <f aca="false">D875</f>
        <v>0.4897</v>
      </c>
      <c r="E876" s="26" t="n">
        <f aca="false">E875+opx_adj_hi*E870</f>
        <v>0.75114572838834</v>
      </c>
      <c r="F876" s="26" t="n">
        <f aca="false">F875+opx_adj_hi*F870</f>
        <v>0.846280379638175</v>
      </c>
      <c r="G876" s="26" t="n">
        <f aca="false">G875+opx_adj_hi*G870</f>
        <v>0.896114862830283</v>
      </c>
    </row>
    <row r="877" customFormat="false" ht="15" hidden="false" customHeight="false" outlineLevel="0" collapsed="false">
      <c r="A877" s="5" t="s">
        <v>542</v>
      </c>
      <c r="B877" s="0" t="s">
        <v>30</v>
      </c>
      <c r="C877" s="26" t="n">
        <f aca="false">C874-C876</f>
        <v>0.159415</v>
      </c>
      <c r="D877" s="26" t="n">
        <f aca="false">D874-D876</f>
        <v>0.89674</v>
      </c>
      <c r="E877" s="26" t="n">
        <f aca="false">E874-E876</f>
        <v>2.64627260924493</v>
      </c>
      <c r="F877" s="26" t="n">
        <f aca="false">F874-F876</f>
        <v>3.64879143666111</v>
      </c>
      <c r="G877" s="26" t="n">
        <f aca="false">G874-G876</f>
        <v>4.0758563808251</v>
      </c>
    </row>
    <row r="878" customFormat="false" ht="15" hidden="false" customHeight="false" outlineLevel="0" collapsed="false">
      <c r="A878" s="5" t="s">
        <v>437</v>
      </c>
      <c r="B878" s="0" t="s">
        <v>163</v>
      </c>
      <c r="C878" s="16" t="n">
        <f aca="false">C877/C870</f>
        <v>0.0969088145896656</v>
      </c>
      <c r="D878" s="16" t="n">
        <f aca="false">D877/D870</f>
        <v>0.297524883875249</v>
      </c>
      <c r="E878" s="16" t="n">
        <f aca="false">E877/E870</f>
        <v>0.405031591654375</v>
      </c>
      <c r="F878" s="16" t="n">
        <f aca="false">F877/F870</f>
        <v>0.413983070515033</v>
      </c>
      <c r="G878" s="16" t="n">
        <f aca="false">G877/G870</f>
        <v>0.401685675304909</v>
      </c>
    </row>
    <row r="879" customFormat="false" ht="17.15" hidden="false" customHeight="false" outlineLevel="0" collapsed="false">
      <c r="A879" s="5" t="s">
        <v>438</v>
      </c>
      <c r="B879" s="0" t="s">
        <v>30</v>
      </c>
      <c r="C879" s="26" t="n">
        <f aca="false">a25_ni/1000</f>
        <v>0.1464</v>
      </c>
      <c r="D879" s="26" t="n">
        <f aca="false">a26_ni/1000</f>
        <v>0.7823</v>
      </c>
      <c r="E879" s="26" t="n">
        <f aca="false">(E877+oi_oth)*(1-tx)</f>
        <v>2.25323762871951</v>
      </c>
      <c r="F879" s="26" t="n">
        <f aca="false">(F877+oi_oth)*(1-tx)</f>
        <v>3.09034084961203</v>
      </c>
      <c r="G879" s="26" t="n">
        <f aca="false">(G877+oi_oth)*(1-tx)</f>
        <v>3.44694007798896</v>
      </c>
    </row>
    <row r="880" customFormat="false" ht="15" hidden="false" customHeight="false" outlineLevel="0" collapsed="false">
      <c r="A880" s="5" t="s">
        <v>500</v>
      </c>
      <c r="B880" s="0" t="s">
        <v>163</v>
      </c>
      <c r="C880" s="16" t="n">
        <f aca="false">C879/C870</f>
        <v>0.0889969604863222</v>
      </c>
      <c r="D880" s="16" t="n">
        <f aca="false">D879/D870</f>
        <v>0.259555408095554</v>
      </c>
      <c r="E880" s="16" t="n">
        <f aca="false">E879/E870</f>
        <v>0.3448746814472</v>
      </c>
      <c r="F880" s="16" t="n">
        <f aca="false">F879/F870</f>
        <v>0.350622614657064</v>
      </c>
      <c r="G880" s="16" t="n">
        <f aca="false">G879/G870</f>
        <v>0.339704426160928</v>
      </c>
    </row>
    <row r="881" customFormat="false" ht="17.15" hidden="false" customHeight="false" outlineLevel="0" collapsed="false">
      <c r="A881" s="5" t="s">
        <v>442</v>
      </c>
      <c r="B881" s="5" t="s">
        <v>237</v>
      </c>
      <c r="C881" s="15" t="n">
        <f aca="false">a25_sh</f>
        <v>71.0679611650485</v>
      </c>
      <c r="D881" s="15" t="n">
        <f aca="false">a26_sh</f>
        <v>90.2306805074971</v>
      </c>
      <c r="E881" s="15" t="n">
        <f aca="false">sh_q1</f>
        <v>102</v>
      </c>
      <c r="F881" s="15" t="n">
        <f aca="false">E881*(1+sh_g)</f>
        <v>103.02</v>
      </c>
      <c r="G881" s="15" t="n">
        <f aca="false">F881*(1+sh_g)</f>
        <v>104.0502</v>
      </c>
    </row>
    <row r="882" customFormat="false" ht="17.15" hidden="false" customHeight="false" outlineLevel="0" collapsed="false">
      <c r="A882" s="0" t="s">
        <v>444</v>
      </c>
      <c r="B882" s="0" t="s">
        <v>232</v>
      </c>
      <c r="C882" s="9" t="n">
        <f aca="false">C879*1000/C881</f>
        <v>2.06</v>
      </c>
      <c r="D882" s="9" t="n">
        <f aca="false">D879*1000/D881</f>
        <v>8.67</v>
      </c>
      <c r="E882" s="9" t="n">
        <f aca="false">E879*1000/E881</f>
        <v>22.0905649874462</v>
      </c>
      <c r="F882" s="9" t="n">
        <f aca="false">F879*1000/F881</f>
        <v>29.9974844652691</v>
      </c>
      <c r="G882" s="9" t="n">
        <f aca="false">G879*1000/G881</f>
        <v>33.1276641274016</v>
      </c>
    </row>
    <row r="883" customFormat="false" ht="17.15" hidden="false" customHeight="false" outlineLevel="0" collapsed="false">
      <c r="A883" s="0" t="s">
        <v>543</v>
      </c>
      <c r="B883" s="0" t="s">
        <v>163</v>
      </c>
      <c r="D883" s="16" t="n">
        <f aca="false">D882/C882-1</f>
        <v>3.20873786407767</v>
      </c>
      <c r="E883" s="16" t="n">
        <f aca="false">E882/D882-1</f>
        <v>1.54793137110106</v>
      </c>
      <c r="F883" s="16" t="n">
        <f aca="false">F882/E882-1</f>
        <v>0.357931971514369</v>
      </c>
      <c r="G883" s="16" t="n">
        <f aca="false">G882/F882-1</f>
        <v>0.104348071777703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852</v>
      </c>
    </row>
    <row r="2" customFormat="false" ht="17.15" hidden="false" customHeight="false" outlineLevel="0" collapsed="false">
      <c r="A2" s="5" t="s">
        <v>853</v>
      </c>
      <c r="B2" s="0" t="s">
        <v>854</v>
      </c>
    </row>
    <row r="3" customFormat="false" ht="17.15" hidden="false" customHeight="false" outlineLevel="0" collapsed="false">
      <c r="A3" s="5" t="s">
        <v>855</v>
      </c>
      <c r="B3" s="0" t="s">
        <v>856</v>
      </c>
    </row>
    <row r="4" customFormat="false" ht="17.15" hidden="false" customHeight="false" outlineLevel="0" collapsed="false">
      <c r="A4" s="5" t="s">
        <v>857</v>
      </c>
      <c r="B4" s="0" t="s">
        <v>858</v>
      </c>
    </row>
    <row r="5" customFormat="false" ht="17.15" hidden="false" customHeight="false" outlineLevel="0" collapsed="false">
      <c r="A5" s="5" t="s">
        <v>859</v>
      </c>
      <c r="B5" s="0" t="s">
        <v>860</v>
      </c>
    </row>
    <row r="6" customFormat="false" ht="17.15" hidden="false" customHeight="false" outlineLevel="0" collapsed="false">
      <c r="A6" s="5" t="s">
        <v>861</v>
      </c>
      <c r="B6" s="0" t="s">
        <v>862</v>
      </c>
    </row>
    <row r="7" customFormat="false" ht="17.15" hidden="false" customHeight="false" outlineLevel="0" collapsed="false">
      <c r="A7" s="5" t="s">
        <v>863</v>
      </c>
      <c r="B7" s="0" t="s">
        <v>864</v>
      </c>
    </row>
    <row r="8" customFormat="false" ht="17.15" hidden="false" customHeight="false" outlineLevel="0" collapsed="false">
      <c r="A8" s="5" t="s">
        <v>865</v>
      </c>
      <c r="B8" s="0" t="s">
        <v>866</v>
      </c>
    </row>
    <row r="9" customFormat="false" ht="17.15" hidden="false" customHeight="false" outlineLevel="0" collapsed="false">
      <c r="A9" s="5" t="s">
        <v>867</v>
      </c>
      <c r="B9" s="0" t="s">
        <v>868</v>
      </c>
    </row>
    <row r="10" customFormat="false" ht="17.15" hidden="false" customHeight="false" outlineLevel="0" collapsed="false">
      <c r="A10" s="5" t="s">
        <v>869</v>
      </c>
      <c r="B10" s="0" t="s">
        <v>870</v>
      </c>
    </row>
    <row r="11" customFormat="false" ht="17.15" hidden="false" customHeight="false" outlineLevel="0" collapsed="false">
      <c r="A11" s="5" t="s">
        <v>871</v>
      </c>
      <c r="B11" s="0" t="s">
        <v>872</v>
      </c>
    </row>
    <row r="12" customFormat="false" ht="17.15" hidden="false" customHeight="false" outlineLevel="0" collapsed="false">
      <c r="A12" s="5" t="s">
        <v>873</v>
      </c>
      <c r="B12" s="0" t="s">
        <v>874</v>
      </c>
    </row>
    <row r="13" customFormat="false" ht="17.15" hidden="false" customHeight="false" outlineLevel="0" collapsed="false">
      <c r="A13" s="5" t="s">
        <v>875</v>
      </c>
    </row>
    <row r="14" customFormat="false" ht="17.15" hidden="false" customHeight="false" outlineLevel="0" collapsed="false">
      <c r="A14" s="5" t="s">
        <v>876</v>
      </c>
      <c r="B14" s="5" t="s">
        <v>877</v>
      </c>
    </row>
    <row r="15" customFormat="false" ht="15" hidden="false" customHeight="false" outlineLevel="0" collapsed="false">
      <c r="A15" s="0" t="s">
        <v>878</v>
      </c>
      <c r="B15" s="5" t="s">
        <v>879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2026-10-25T07:45:50Z</dcterms:created>
  <dc:creator>openpyxl</dc:creator>
  <dc:description/>
  <dc:language>en-US</dc:language>
  <cp:lastModifiedBy/>
  <dcterms:modified xsi:type="dcterms:W3CDTF">2026-10-25T07:45:51Z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